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hidePivotFieldList="1" defaultThemeVersion="124226"/>
  <xr:revisionPtr revIDLastSave="0" documentId="13_ncr:1_{46981CC3-7008-44C5-A2C6-40F7109E4745}" xr6:coauthVersionLast="47" xr6:coauthVersionMax="47" xr10:uidLastSave="{00000000-0000-0000-0000-000000000000}"/>
  <bookViews>
    <workbookView xWindow="-120" yWindow="-120" windowWidth="20730" windowHeight="11040" tabRatio="781" activeTab="6" xr2:uid="{00000000-000D-0000-FFFF-FFFF00000000}"/>
  </bookViews>
  <sheets>
    <sheet name="Dashboard" sheetId="12" r:id="rId1"/>
    <sheet name="Region vs Salse" sheetId="17" r:id="rId2"/>
    <sheet name="Ship Mode Vs Salse" sheetId="18" r:id="rId3"/>
    <sheet name="Product" sheetId="19" r:id="rId4"/>
    <sheet name="Month" sheetId="21" r:id="rId5"/>
    <sheet name="Customer name " sheetId="24" r:id="rId6"/>
    <sheet name="Orders" sheetId="9" r:id="rId7"/>
    <sheet name="Returns" sheetId="11" r:id="rId8"/>
  </sheets>
  <definedNames>
    <definedName name="_xlnm._FilterDatabase" localSheetId="6" hidden="1">Orders!$A$1:$AC$1953</definedName>
    <definedName name="Slicer_City">#N/A</definedName>
    <definedName name="Slicer_Customer_Name">#N/A</definedName>
    <definedName name="Slicer_Months">#N/A</definedName>
    <definedName name="Slicer_Product_Sub_Category">#N/A</definedName>
    <definedName name="Slicer_Region1">#N/A</definedName>
    <definedName name="Slicer_Ship_Mode">#N/A</definedName>
  </definedNames>
  <calcPr calcId="191029"/>
  <pivotCaches>
    <pivotCache cacheId="2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9" l="1"/>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2" i="9"/>
  <c r="AD3" i="9"/>
  <c r="AD4"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2" i="9"/>
  <c r="AD73" i="9"/>
  <c r="AD74" i="9"/>
  <c r="AD75" i="9"/>
  <c r="AD76" i="9"/>
  <c r="AD77" i="9"/>
  <c r="AD78" i="9"/>
  <c r="AD79" i="9"/>
  <c r="AD80" i="9"/>
  <c r="AD81" i="9"/>
  <c r="AD82" i="9"/>
  <c r="AD83" i="9"/>
  <c r="AD84" i="9"/>
  <c r="AD85" i="9"/>
  <c r="AD86" i="9"/>
  <c r="AD87" i="9"/>
  <c r="AD88" i="9"/>
  <c r="AD89" i="9"/>
  <c r="AD90" i="9"/>
  <c r="AD91" i="9"/>
  <c r="AD92" i="9"/>
  <c r="AD93" i="9"/>
  <c r="AD94" i="9"/>
  <c r="AD95" i="9"/>
  <c r="AD96" i="9"/>
  <c r="AD97" i="9"/>
  <c r="AD98" i="9"/>
  <c r="AD99" i="9"/>
  <c r="AD100" i="9"/>
  <c r="AD101" i="9"/>
  <c r="AD102" i="9"/>
  <c r="AD103" i="9"/>
  <c r="AD104" i="9"/>
  <c r="AD105" i="9"/>
  <c r="AD106" i="9"/>
  <c r="AD107" i="9"/>
  <c r="AD108" i="9"/>
  <c r="AD109" i="9"/>
  <c r="AD110" i="9"/>
  <c r="AD111" i="9"/>
  <c r="AD112" i="9"/>
  <c r="AD113" i="9"/>
  <c r="AD114" i="9"/>
  <c r="AD115" i="9"/>
  <c r="AD116" i="9"/>
  <c r="AD117" i="9"/>
  <c r="AD118" i="9"/>
  <c r="AD119" i="9"/>
  <c r="AD120" i="9"/>
  <c r="AD121" i="9"/>
  <c r="AD122" i="9"/>
  <c r="AD123" i="9"/>
  <c r="AD124" i="9"/>
  <c r="AD125" i="9"/>
  <c r="AD126" i="9"/>
  <c r="AD127" i="9"/>
  <c r="AD128" i="9"/>
  <c r="AD129" i="9"/>
  <c r="AD130" i="9"/>
  <c r="AD131" i="9"/>
  <c r="AD132" i="9"/>
  <c r="AD133" i="9"/>
  <c r="AD134" i="9"/>
  <c r="AD135" i="9"/>
  <c r="AD136" i="9"/>
  <c r="AD137" i="9"/>
  <c r="AD138" i="9"/>
  <c r="AD139" i="9"/>
  <c r="AD140" i="9"/>
  <c r="AD141" i="9"/>
  <c r="AD142" i="9"/>
  <c r="AD143" i="9"/>
  <c r="AD144" i="9"/>
  <c r="AD145" i="9"/>
  <c r="AD146" i="9"/>
  <c r="AD147" i="9"/>
  <c r="AD148" i="9"/>
  <c r="AD149" i="9"/>
  <c r="AD150" i="9"/>
  <c r="AD151" i="9"/>
  <c r="AD152" i="9"/>
  <c r="AD153" i="9"/>
  <c r="AD154" i="9"/>
  <c r="AD155" i="9"/>
  <c r="AD156" i="9"/>
  <c r="AD157" i="9"/>
  <c r="AD158" i="9"/>
  <c r="AD159" i="9"/>
  <c r="AD160" i="9"/>
  <c r="AD161" i="9"/>
  <c r="AD162" i="9"/>
  <c r="AD163" i="9"/>
  <c r="AD164" i="9"/>
  <c r="AD165" i="9"/>
  <c r="AD166" i="9"/>
  <c r="AD167" i="9"/>
  <c r="AD168" i="9"/>
  <c r="AD169" i="9"/>
  <c r="AD170" i="9"/>
  <c r="AD171" i="9"/>
  <c r="AD172" i="9"/>
  <c r="AD173" i="9"/>
  <c r="AD174" i="9"/>
  <c r="AD175" i="9"/>
  <c r="AD176" i="9"/>
  <c r="AD177" i="9"/>
  <c r="AD178" i="9"/>
  <c r="AD179" i="9"/>
  <c r="AD180" i="9"/>
  <c r="AD181" i="9"/>
  <c r="AD182" i="9"/>
  <c r="AD183" i="9"/>
  <c r="AD184" i="9"/>
  <c r="AD185" i="9"/>
  <c r="AD186" i="9"/>
  <c r="AD187" i="9"/>
  <c r="AD188" i="9"/>
  <c r="AD189" i="9"/>
  <c r="AD190" i="9"/>
  <c r="AD191" i="9"/>
  <c r="AD192" i="9"/>
  <c r="AD193" i="9"/>
  <c r="AD194" i="9"/>
  <c r="AD195" i="9"/>
  <c r="AD196" i="9"/>
  <c r="AD197" i="9"/>
  <c r="AD198" i="9"/>
  <c r="AD199" i="9"/>
  <c r="AD200" i="9"/>
  <c r="AD201" i="9"/>
  <c r="AD202" i="9"/>
  <c r="AD203" i="9"/>
  <c r="AD204" i="9"/>
  <c r="AD205" i="9"/>
  <c r="AD206" i="9"/>
  <c r="AD207" i="9"/>
  <c r="AD208" i="9"/>
  <c r="AD209" i="9"/>
  <c r="AD210" i="9"/>
  <c r="AD211" i="9"/>
  <c r="AD212" i="9"/>
  <c r="AD213" i="9"/>
  <c r="AD214" i="9"/>
  <c r="AD215" i="9"/>
  <c r="AD216" i="9"/>
  <c r="AD217" i="9"/>
  <c r="AD218" i="9"/>
  <c r="AD219" i="9"/>
  <c r="AD220" i="9"/>
  <c r="AD221" i="9"/>
  <c r="AD222" i="9"/>
  <c r="AD223" i="9"/>
  <c r="AD224" i="9"/>
  <c r="AD225" i="9"/>
  <c r="AD226" i="9"/>
  <c r="AD227" i="9"/>
  <c r="AD228" i="9"/>
  <c r="AD229" i="9"/>
  <c r="AD230" i="9"/>
  <c r="AD231" i="9"/>
  <c r="AD232" i="9"/>
  <c r="AD233" i="9"/>
  <c r="AD234" i="9"/>
  <c r="AD235" i="9"/>
  <c r="AD236" i="9"/>
  <c r="AD237" i="9"/>
  <c r="AD238" i="9"/>
  <c r="AD239" i="9"/>
  <c r="AD240" i="9"/>
  <c r="AD241" i="9"/>
  <c r="AD242" i="9"/>
  <c r="AD243" i="9"/>
  <c r="AD244" i="9"/>
  <c r="AD245" i="9"/>
  <c r="AD246" i="9"/>
  <c r="AD247" i="9"/>
  <c r="AD248" i="9"/>
  <c r="AD249" i="9"/>
  <c r="AD250" i="9"/>
  <c r="AD251" i="9"/>
  <c r="AD252" i="9"/>
  <c r="AD253" i="9"/>
  <c r="AD254" i="9"/>
  <c r="AD255" i="9"/>
  <c r="AD256" i="9"/>
  <c r="AD257" i="9"/>
  <c r="AD258" i="9"/>
  <c r="AD259" i="9"/>
  <c r="AD260" i="9"/>
  <c r="AD261" i="9"/>
  <c r="AD262" i="9"/>
  <c r="AD263" i="9"/>
  <c r="AD264" i="9"/>
  <c r="AD265" i="9"/>
  <c r="AD266" i="9"/>
  <c r="AD267" i="9"/>
  <c r="AD268" i="9"/>
  <c r="AD269" i="9"/>
  <c r="AD270" i="9"/>
  <c r="AD271" i="9"/>
  <c r="AD272" i="9"/>
  <c r="AD273" i="9"/>
  <c r="AD274" i="9"/>
  <c r="AD275" i="9"/>
  <c r="AD276" i="9"/>
  <c r="AD277" i="9"/>
  <c r="AD278" i="9"/>
  <c r="AD279" i="9"/>
  <c r="AD280" i="9"/>
  <c r="AD281" i="9"/>
  <c r="AD282" i="9"/>
  <c r="AD283" i="9"/>
  <c r="AD284" i="9"/>
  <c r="AD285" i="9"/>
  <c r="AD286" i="9"/>
  <c r="AD287" i="9"/>
  <c r="AD288" i="9"/>
  <c r="AD289" i="9"/>
  <c r="AD290" i="9"/>
  <c r="AD291" i="9"/>
  <c r="AD292" i="9"/>
  <c r="AD293" i="9"/>
  <c r="AD294" i="9"/>
  <c r="AD295" i="9"/>
  <c r="AD296" i="9"/>
  <c r="AD297" i="9"/>
  <c r="AD298" i="9"/>
  <c r="AD299" i="9"/>
  <c r="AD300" i="9"/>
  <c r="AD301" i="9"/>
  <c r="AD302" i="9"/>
  <c r="AD303" i="9"/>
  <c r="AD304" i="9"/>
  <c r="AD305" i="9"/>
  <c r="AD306" i="9"/>
  <c r="AD307" i="9"/>
  <c r="AD308" i="9"/>
  <c r="AD309" i="9"/>
  <c r="AD310" i="9"/>
  <c r="AD311" i="9"/>
  <c r="AD312" i="9"/>
  <c r="AD313" i="9"/>
  <c r="AD314" i="9"/>
  <c r="AD315" i="9"/>
  <c r="AD316" i="9"/>
  <c r="AD317" i="9"/>
  <c r="AD318" i="9"/>
  <c r="AD319" i="9"/>
  <c r="AD320" i="9"/>
  <c r="AD321" i="9"/>
  <c r="AD322" i="9"/>
  <c r="AD323" i="9"/>
  <c r="AD324" i="9"/>
  <c r="AD325" i="9"/>
  <c r="AD326" i="9"/>
  <c r="AD327" i="9"/>
  <c r="AD328" i="9"/>
  <c r="AD329" i="9"/>
  <c r="AD330" i="9"/>
  <c r="AD331" i="9"/>
  <c r="AD332" i="9"/>
  <c r="AD333" i="9"/>
  <c r="AD334" i="9"/>
  <c r="AD335" i="9"/>
  <c r="AD336" i="9"/>
  <c r="AD337" i="9"/>
  <c r="AD338" i="9"/>
  <c r="AD339" i="9"/>
  <c r="AD340" i="9"/>
  <c r="AD341" i="9"/>
  <c r="AD342" i="9"/>
  <c r="AD343" i="9"/>
  <c r="AD344" i="9"/>
  <c r="AD345" i="9"/>
  <c r="AD346" i="9"/>
  <c r="AD347" i="9"/>
  <c r="AD348" i="9"/>
  <c r="AD349" i="9"/>
  <c r="AD350" i="9"/>
  <c r="AD351" i="9"/>
  <c r="AD352" i="9"/>
  <c r="AD353" i="9"/>
  <c r="AD354" i="9"/>
  <c r="AD355" i="9"/>
  <c r="AD356" i="9"/>
  <c r="AD357" i="9"/>
  <c r="AD358" i="9"/>
  <c r="AD359" i="9"/>
  <c r="AD360" i="9"/>
  <c r="AD361" i="9"/>
  <c r="AD362" i="9"/>
  <c r="AD363" i="9"/>
  <c r="AD364" i="9"/>
  <c r="AD365" i="9"/>
  <c r="AD366" i="9"/>
  <c r="AD367" i="9"/>
  <c r="AD368" i="9"/>
  <c r="AD369" i="9"/>
  <c r="AD370" i="9"/>
  <c r="AD371" i="9"/>
  <c r="AD372" i="9"/>
  <c r="AD373" i="9"/>
  <c r="AD374" i="9"/>
  <c r="AD375" i="9"/>
  <c r="AD376" i="9"/>
  <c r="AD377" i="9"/>
  <c r="AD378" i="9"/>
  <c r="AD379" i="9"/>
  <c r="AD380" i="9"/>
  <c r="AD381" i="9"/>
  <c r="AD382" i="9"/>
  <c r="AD383" i="9"/>
  <c r="AD384" i="9"/>
  <c r="AD385" i="9"/>
  <c r="AD386" i="9"/>
  <c r="AD387" i="9"/>
  <c r="AD388" i="9"/>
  <c r="AD389" i="9"/>
  <c r="AD390" i="9"/>
  <c r="AD391" i="9"/>
  <c r="AD392" i="9"/>
  <c r="AD393" i="9"/>
  <c r="AD394" i="9"/>
  <c r="AD395" i="9"/>
  <c r="AD396" i="9"/>
  <c r="AD397" i="9"/>
  <c r="AD398" i="9"/>
  <c r="AD399" i="9"/>
  <c r="AD400" i="9"/>
  <c r="AD401" i="9"/>
  <c r="AD402" i="9"/>
  <c r="AD403" i="9"/>
  <c r="AD404" i="9"/>
  <c r="AD405" i="9"/>
  <c r="AD406" i="9"/>
  <c r="AD407" i="9"/>
  <c r="AD408" i="9"/>
  <c r="AD409" i="9"/>
  <c r="AD410" i="9"/>
  <c r="AD411" i="9"/>
  <c r="AD412" i="9"/>
  <c r="AD413" i="9"/>
  <c r="AD414" i="9"/>
  <c r="AD415" i="9"/>
  <c r="AD416" i="9"/>
  <c r="AD417" i="9"/>
  <c r="AD418" i="9"/>
  <c r="AD419" i="9"/>
  <c r="AD420" i="9"/>
  <c r="AD421" i="9"/>
  <c r="AD422" i="9"/>
  <c r="AD423" i="9"/>
  <c r="AD424" i="9"/>
  <c r="AD425" i="9"/>
  <c r="AD426" i="9"/>
  <c r="AD427" i="9"/>
  <c r="AD428" i="9"/>
  <c r="AD429" i="9"/>
  <c r="AD430" i="9"/>
  <c r="AD431" i="9"/>
  <c r="AD432" i="9"/>
  <c r="AD433" i="9"/>
  <c r="AD434" i="9"/>
  <c r="AD435" i="9"/>
  <c r="AD436" i="9"/>
  <c r="AD437" i="9"/>
  <c r="AD438" i="9"/>
  <c r="AD439" i="9"/>
  <c r="AD440" i="9"/>
  <c r="AD441" i="9"/>
  <c r="AD442" i="9"/>
  <c r="AD443" i="9"/>
  <c r="AD444" i="9"/>
  <c r="AD445" i="9"/>
  <c r="AD446" i="9"/>
  <c r="AD447" i="9"/>
  <c r="AD448" i="9"/>
  <c r="AD449" i="9"/>
  <c r="AD450" i="9"/>
  <c r="AD451" i="9"/>
  <c r="AD452" i="9"/>
  <c r="AD453" i="9"/>
  <c r="AD454" i="9"/>
  <c r="AD455" i="9"/>
  <c r="AD456" i="9"/>
  <c r="AD457" i="9"/>
  <c r="AD458" i="9"/>
  <c r="AD459" i="9"/>
  <c r="AD460" i="9"/>
  <c r="AD461" i="9"/>
  <c r="AD462" i="9"/>
  <c r="AD463" i="9"/>
  <c r="AD464" i="9"/>
  <c r="AD465" i="9"/>
  <c r="AD466" i="9"/>
  <c r="AD467" i="9"/>
  <c r="AD468" i="9"/>
  <c r="AD469" i="9"/>
  <c r="AD470" i="9"/>
  <c r="AD471" i="9"/>
  <c r="AD472" i="9"/>
  <c r="AD473" i="9"/>
  <c r="AD474" i="9"/>
  <c r="AD475" i="9"/>
  <c r="AD476" i="9"/>
  <c r="AD477" i="9"/>
  <c r="AD478" i="9"/>
  <c r="AD479" i="9"/>
  <c r="AD480" i="9"/>
  <c r="AD481" i="9"/>
  <c r="AD482" i="9"/>
  <c r="AD483" i="9"/>
  <c r="AD484" i="9"/>
  <c r="AD485" i="9"/>
  <c r="AD486" i="9"/>
  <c r="AD487" i="9"/>
  <c r="AD488" i="9"/>
  <c r="AD489" i="9"/>
  <c r="AD490" i="9"/>
  <c r="AD491" i="9"/>
  <c r="AD492" i="9"/>
  <c r="AD493" i="9"/>
  <c r="AD494" i="9"/>
  <c r="AD495" i="9"/>
  <c r="AD496" i="9"/>
  <c r="AD497" i="9"/>
  <c r="AD498" i="9"/>
  <c r="AD499" i="9"/>
  <c r="AD500" i="9"/>
  <c r="AD501" i="9"/>
  <c r="AD502" i="9"/>
  <c r="AD503" i="9"/>
  <c r="AD504" i="9"/>
  <c r="AD505" i="9"/>
  <c r="AD506" i="9"/>
  <c r="AD507" i="9"/>
  <c r="AD508" i="9"/>
  <c r="AD509" i="9"/>
  <c r="AD510" i="9"/>
  <c r="AD511" i="9"/>
  <c r="AD512" i="9"/>
  <c r="AD513" i="9"/>
  <c r="AD514" i="9"/>
  <c r="AD515" i="9"/>
  <c r="AD516" i="9"/>
  <c r="AD517" i="9"/>
  <c r="AD518" i="9"/>
  <c r="AD519" i="9"/>
  <c r="AD520" i="9"/>
  <c r="AD521" i="9"/>
  <c r="AD522" i="9"/>
  <c r="AD523" i="9"/>
  <c r="AD524" i="9"/>
  <c r="AD525" i="9"/>
  <c r="AD526" i="9"/>
  <c r="AD527" i="9"/>
  <c r="AD528" i="9"/>
  <c r="AD529" i="9"/>
  <c r="AD530" i="9"/>
  <c r="AD531" i="9"/>
  <c r="AD532" i="9"/>
  <c r="AD533" i="9"/>
  <c r="AD534" i="9"/>
  <c r="AD535" i="9"/>
  <c r="AD536" i="9"/>
  <c r="AD537" i="9"/>
  <c r="AD538" i="9"/>
  <c r="AD539" i="9"/>
  <c r="AD540" i="9"/>
  <c r="AD541" i="9"/>
  <c r="AD542" i="9"/>
  <c r="AD543" i="9"/>
  <c r="AD544" i="9"/>
  <c r="AD545" i="9"/>
  <c r="AD546" i="9"/>
  <c r="AD547" i="9"/>
  <c r="AD548" i="9"/>
  <c r="AD549" i="9"/>
  <c r="AD550" i="9"/>
  <c r="AD551" i="9"/>
  <c r="AD552" i="9"/>
  <c r="AD553" i="9"/>
  <c r="AD554" i="9"/>
  <c r="AD555" i="9"/>
  <c r="AD556" i="9"/>
  <c r="AD557" i="9"/>
  <c r="AD558" i="9"/>
  <c r="AD559" i="9"/>
  <c r="AD560" i="9"/>
  <c r="AD561" i="9"/>
  <c r="AD562" i="9"/>
  <c r="AD563" i="9"/>
  <c r="AD564" i="9"/>
  <c r="AD565" i="9"/>
  <c r="AD566" i="9"/>
  <c r="AD567" i="9"/>
  <c r="AD568" i="9"/>
  <c r="AD569" i="9"/>
  <c r="AD570" i="9"/>
  <c r="AD571" i="9"/>
  <c r="AD572" i="9"/>
  <c r="AD573" i="9"/>
  <c r="AD574" i="9"/>
  <c r="AD575" i="9"/>
  <c r="AD576" i="9"/>
  <c r="AD577" i="9"/>
  <c r="AD578" i="9"/>
  <c r="AD579" i="9"/>
  <c r="AD580" i="9"/>
  <c r="AD581" i="9"/>
  <c r="AD582" i="9"/>
  <c r="AD583" i="9"/>
  <c r="AD584" i="9"/>
  <c r="AD585" i="9"/>
  <c r="AD586" i="9"/>
  <c r="AD587" i="9"/>
  <c r="AD588" i="9"/>
  <c r="AD589" i="9"/>
  <c r="AD590" i="9"/>
  <c r="AD591" i="9"/>
  <c r="AD592" i="9"/>
  <c r="AD593" i="9"/>
  <c r="AD594" i="9"/>
  <c r="AD595" i="9"/>
  <c r="AD596" i="9"/>
  <c r="AD597" i="9"/>
  <c r="AD598" i="9"/>
  <c r="AD599" i="9"/>
  <c r="AD600" i="9"/>
  <c r="AD601" i="9"/>
  <c r="AD602" i="9"/>
  <c r="AD603" i="9"/>
  <c r="AD604" i="9"/>
  <c r="AD605" i="9"/>
  <c r="AD606" i="9"/>
  <c r="AD607" i="9"/>
  <c r="AD608" i="9"/>
  <c r="AD609" i="9"/>
  <c r="AD610" i="9"/>
  <c r="AD611" i="9"/>
  <c r="AD612" i="9"/>
  <c r="AD613" i="9"/>
  <c r="AD614" i="9"/>
  <c r="AD615" i="9"/>
  <c r="AD616" i="9"/>
  <c r="AD617" i="9"/>
  <c r="AD618" i="9"/>
  <c r="AD619" i="9"/>
  <c r="AD620" i="9"/>
  <c r="AD621" i="9"/>
  <c r="AD622" i="9"/>
  <c r="AD623" i="9"/>
  <c r="AD624" i="9"/>
  <c r="AD625" i="9"/>
  <c r="AD626" i="9"/>
  <c r="AD627" i="9"/>
  <c r="AD628" i="9"/>
  <c r="AD629" i="9"/>
  <c r="AD630" i="9"/>
  <c r="AD631" i="9"/>
  <c r="AD632" i="9"/>
  <c r="AD633" i="9"/>
  <c r="AD634" i="9"/>
  <c r="AD635" i="9"/>
  <c r="AD636" i="9"/>
  <c r="AD637" i="9"/>
  <c r="AD638" i="9"/>
  <c r="AD639" i="9"/>
  <c r="AD640" i="9"/>
  <c r="AD641" i="9"/>
  <c r="AD642" i="9"/>
  <c r="AD643" i="9"/>
  <c r="AD644" i="9"/>
  <c r="AD645" i="9"/>
  <c r="AD646" i="9"/>
  <c r="AD647" i="9"/>
  <c r="AD648" i="9"/>
  <c r="AD649" i="9"/>
  <c r="AD650" i="9"/>
  <c r="AD651" i="9"/>
  <c r="AD652" i="9"/>
  <c r="AD653" i="9"/>
  <c r="AD654" i="9"/>
  <c r="AD655" i="9"/>
  <c r="AD656" i="9"/>
  <c r="AD657" i="9"/>
  <c r="AD658" i="9"/>
  <c r="AD659" i="9"/>
  <c r="AD660" i="9"/>
  <c r="AD661" i="9"/>
  <c r="AD662" i="9"/>
  <c r="AD663" i="9"/>
  <c r="AD664" i="9"/>
  <c r="AD665" i="9"/>
  <c r="AD666" i="9"/>
  <c r="AD667" i="9"/>
  <c r="AD668" i="9"/>
  <c r="AD669" i="9"/>
  <c r="AD670" i="9"/>
  <c r="AD671" i="9"/>
  <c r="AD672" i="9"/>
  <c r="AD673" i="9"/>
  <c r="AD674" i="9"/>
  <c r="AD675" i="9"/>
  <c r="AD676" i="9"/>
  <c r="AD677" i="9"/>
  <c r="AD678" i="9"/>
  <c r="AD679" i="9"/>
  <c r="AD680" i="9"/>
  <c r="AD681" i="9"/>
  <c r="AD682" i="9"/>
  <c r="AD683" i="9"/>
  <c r="AD684" i="9"/>
  <c r="AD685" i="9"/>
  <c r="AD686" i="9"/>
  <c r="AD687" i="9"/>
  <c r="AD688" i="9"/>
  <c r="AD689" i="9"/>
  <c r="AD690" i="9"/>
  <c r="AD691" i="9"/>
  <c r="AD692" i="9"/>
  <c r="AD693" i="9"/>
  <c r="AD694" i="9"/>
  <c r="AD695" i="9"/>
  <c r="AD696" i="9"/>
  <c r="AD697" i="9"/>
  <c r="AD698" i="9"/>
  <c r="AD699" i="9"/>
  <c r="AD700" i="9"/>
  <c r="AD701" i="9"/>
  <c r="AD702" i="9"/>
  <c r="AD703" i="9"/>
  <c r="AD704" i="9"/>
  <c r="AD705" i="9"/>
  <c r="AD706" i="9"/>
  <c r="AD707" i="9"/>
  <c r="AD708" i="9"/>
  <c r="AD709" i="9"/>
  <c r="AD710" i="9"/>
  <c r="AD711" i="9"/>
  <c r="AD712" i="9"/>
  <c r="AD713" i="9"/>
  <c r="AD714" i="9"/>
  <c r="AD715" i="9"/>
  <c r="AD716" i="9"/>
  <c r="AD717" i="9"/>
  <c r="AD718" i="9"/>
  <c r="AD719" i="9"/>
  <c r="AD720" i="9"/>
  <c r="AD721" i="9"/>
  <c r="AD722" i="9"/>
  <c r="AD723" i="9"/>
  <c r="AD724" i="9"/>
  <c r="AD725" i="9"/>
  <c r="AD726" i="9"/>
  <c r="AD727" i="9"/>
  <c r="AD728" i="9"/>
  <c r="AD729" i="9"/>
  <c r="AD730" i="9"/>
  <c r="AD731" i="9"/>
  <c r="AD732" i="9"/>
  <c r="AD733" i="9"/>
  <c r="AD734" i="9"/>
  <c r="AD735" i="9"/>
  <c r="AD736" i="9"/>
  <c r="AD737" i="9"/>
  <c r="AD738" i="9"/>
  <c r="AD739" i="9"/>
  <c r="AD740" i="9"/>
  <c r="AD741" i="9"/>
  <c r="AD742" i="9"/>
  <c r="AD743" i="9"/>
  <c r="AD744" i="9"/>
  <c r="AD745" i="9"/>
  <c r="AD746" i="9"/>
  <c r="AD747" i="9"/>
  <c r="AD748" i="9"/>
  <c r="AD749" i="9"/>
  <c r="AD750" i="9"/>
  <c r="AD751" i="9"/>
  <c r="AD752" i="9"/>
  <c r="AD753" i="9"/>
  <c r="AD754" i="9"/>
  <c r="AD755" i="9"/>
  <c r="AD756" i="9"/>
  <c r="AD757" i="9"/>
  <c r="AD758" i="9"/>
  <c r="AD759" i="9"/>
  <c r="AD760" i="9"/>
  <c r="AD761" i="9"/>
  <c r="AD762" i="9"/>
  <c r="AD763" i="9"/>
  <c r="AD764" i="9"/>
  <c r="AD765" i="9"/>
  <c r="AD766" i="9"/>
  <c r="AD767" i="9"/>
  <c r="AD768" i="9"/>
  <c r="AD769" i="9"/>
  <c r="AD770" i="9"/>
  <c r="AD771" i="9"/>
  <c r="AD772" i="9"/>
  <c r="AD773" i="9"/>
  <c r="AD774" i="9"/>
  <c r="AD775" i="9"/>
  <c r="AD776" i="9"/>
  <c r="AD777" i="9"/>
  <c r="AD778" i="9"/>
  <c r="AD779" i="9"/>
  <c r="AD780" i="9"/>
  <c r="AD781" i="9"/>
  <c r="AD782" i="9"/>
  <c r="AD783" i="9"/>
  <c r="AD784" i="9"/>
  <c r="AD785" i="9"/>
  <c r="AD786" i="9"/>
  <c r="AD787" i="9"/>
  <c r="AD788" i="9"/>
  <c r="AD789" i="9"/>
  <c r="AD790" i="9"/>
  <c r="AD791" i="9"/>
  <c r="AD792" i="9"/>
  <c r="AD793" i="9"/>
  <c r="AD794" i="9"/>
  <c r="AD795" i="9"/>
  <c r="AD796" i="9"/>
  <c r="AD797" i="9"/>
  <c r="AD798" i="9"/>
  <c r="AD799" i="9"/>
  <c r="AD800" i="9"/>
  <c r="AD801" i="9"/>
  <c r="AD802" i="9"/>
  <c r="AD803" i="9"/>
  <c r="AD804" i="9"/>
  <c r="AD805" i="9"/>
  <c r="AD806" i="9"/>
  <c r="AD807" i="9"/>
  <c r="AD808" i="9"/>
  <c r="AD809" i="9"/>
  <c r="AD810" i="9"/>
  <c r="AD811" i="9"/>
  <c r="AD812" i="9"/>
  <c r="AD813" i="9"/>
  <c r="AD814" i="9"/>
  <c r="AD815" i="9"/>
  <c r="AD816" i="9"/>
  <c r="AD817" i="9"/>
  <c r="AD818" i="9"/>
  <c r="AD819" i="9"/>
  <c r="AD820" i="9"/>
  <c r="AD821" i="9"/>
  <c r="AD822" i="9"/>
  <c r="AD823" i="9"/>
  <c r="AD824" i="9"/>
  <c r="AD825" i="9"/>
  <c r="AD826" i="9"/>
  <c r="AD827" i="9"/>
  <c r="AD828" i="9"/>
  <c r="AD829" i="9"/>
  <c r="AD830" i="9"/>
  <c r="AD831" i="9"/>
  <c r="AD832" i="9"/>
  <c r="AD833" i="9"/>
  <c r="AD834" i="9"/>
  <c r="AD835" i="9"/>
  <c r="AD836" i="9"/>
  <c r="AD837" i="9"/>
  <c r="AD838" i="9"/>
  <c r="AD839" i="9"/>
  <c r="AD840" i="9"/>
  <c r="AD841" i="9"/>
  <c r="AD842" i="9"/>
  <c r="AD843" i="9"/>
  <c r="AD844" i="9"/>
  <c r="AD845" i="9"/>
  <c r="AD846" i="9"/>
  <c r="AD847" i="9"/>
  <c r="AD848" i="9"/>
  <c r="AD849" i="9"/>
  <c r="AD850" i="9"/>
  <c r="AD851" i="9"/>
  <c r="AD852" i="9"/>
  <c r="AD853" i="9"/>
  <c r="AD854" i="9"/>
  <c r="AD855" i="9"/>
  <c r="AD856" i="9"/>
  <c r="AD857" i="9"/>
  <c r="AD858" i="9"/>
  <c r="AD859" i="9"/>
  <c r="AD860" i="9"/>
  <c r="AD861" i="9"/>
  <c r="AD862" i="9"/>
  <c r="AD863" i="9"/>
  <c r="AD864" i="9"/>
  <c r="AD865" i="9"/>
  <c r="AD866" i="9"/>
  <c r="AD867" i="9"/>
  <c r="AD868" i="9"/>
  <c r="AD869" i="9"/>
  <c r="AD870" i="9"/>
  <c r="AD871" i="9"/>
  <c r="AD872" i="9"/>
  <c r="AD873" i="9"/>
  <c r="AD874" i="9"/>
  <c r="AD875" i="9"/>
  <c r="AD876" i="9"/>
  <c r="AD877" i="9"/>
  <c r="AD878" i="9"/>
  <c r="AD879" i="9"/>
  <c r="AD880" i="9"/>
  <c r="AD881" i="9"/>
  <c r="AD882" i="9"/>
  <c r="AD883" i="9"/>
  <c r="AD884" i="9"/>
  <c r="AD885" i="9"/>
  <c r="AD886" i="9"/>
  <c r="AD887" i="9"/>
  <c r="AD888" i="9"/>
  <c r="AD889" i="9"/>
  <c r="AD890" i="9"/>
  <c r="AD891" i="9"/>
  <c r="AD892" i="9"/>
  <c r="AD893" i="9"/>
  <c r="AD894" i="9"/>
  <c r="AD895" i="9"/>
  <c r="AD896" i="9"/>
  <c r="AD897" i="9"/>
  <c r="AD898" i="9"/>
  <c r="AD899" i="9"/>
  <c r="AD900" i="9"/>
  <c r="AD901" i="9"/>
  <c r="AD902" i="9"/>
  <c r="AD903" i="9"/>
  <c r="AD904" i="9"/>
  <c r="AD905" i="9"/>
  <c r="AD906" i="9"/>
  <c r="AD907" i="9"/>
  <c r="AD908" i="9"/>
  <c r="AD909" i="9"/>
  <c r="AD910" i="9"/>
  <c r="AD911" i="9"/>
  <c r="AD912" i="9"/>
  <c r="AD913" i="9"/>
  <c r="AD914" i="9"/>
  <c r="AD915" i="9"/>
  <c r="AD916" i="9"/>
  <c r="AD917" i="9"/>
  <c r="AD918" i="9"/>
  <c r="AD919" i="9"/>
  <c r="AD920" i="9"/>
  <c r="AD921" i="9"/>
  <c r="AD922" i="9"/>
  <c r="AD923" i="9"/>
  <c r="AD924" i="9"/>
  <c r="AD925" i="9"/>
  <c r="AD926" i="9"/>
  <c r="AD927" i="9"/>
  <c r="AD928" i="9"/>
  <c r="AD929" i="9"/>
  <c r="AD930" i="9"/>
  <c r="AD931" i="9"/>
  <c r="AD932" i="9"/>
  <c r="AD933" i="9"/>
  <c r="AD934" i="9"/>
  <c r="AD935" i="9"/>
  <c r="AD936" i="9"/>
  <c r="AD937" i="9"/>
  <c r="AD938" i="9"/>
  <c r="AD939" i="9"/>
  <c r="AD940" i="9"/>
  <c r="AD941" i="9"/>
  <c r="AD942" i="9"/>
  <c r="AD943" i="9"/>
  <c r="AD944" i="9"/>
  <c r="AD945" i="9"/>
  <c r="AD946" i="9"/>
  <c r="AD947" i="9"/>
  <c r="AD948" i="9"/>
  <c r="AD949" i="9"/>
  <c r="AD950" i="9"/>
  <c r="AD951" i="9"/>
  <c r="AD952" i="9"/>
  <c r="AD953" i="9"/>
  <c r="AD954" i="9"/>
  <c r="AD955" i="9"/>
  <c r="AD956" i="9"/>
  <c r="AD957" i="9"/>
  <c r="AD958" i="9"/>
  <c r="AD959" i="9"/>
  <c r="AD960" i="9"/>
  <c r="AD961" i="9"/>
  <c r="AD962" i="9"/>
  <c r="AD963" i="9"/>
  <c r="AD964" i="9"/>
  <c r="AD965" i="9"/>
  <c r="AD966" i="9"/>
  <c r="AD967" i="9"/>
  <c r="AD968" i="9"/>
  <c r="AD969" i="9"/>
  <c r="AD970" i="9"/>
  <c r="AD971" i="9"/>
  <c r="AD972" i="9"/>
  <c r="AD973" i="9"/>
  <c r="AD974" i="9"/>
  <c r="AD975" i="9"/>
  <c r="AD976" i="9"/>
  <c r="AD977" i="9"/>
  <c r="AD978" i="9"/>
  <c r="AD979" i="9"/>
  <c r="AD980" i="9"/>
  <c r="AD981" i="9"/>
  <c r="AD982" i="9"/>
  <c r="AD983" i="9"/>
  <c r="AD984" i="9"/>
  <c r="AD985" i="9"/>
  <c r="AD986" i="9"/>
  <c r="AD987" i="9"/>
  <c r="AD988" i="9"/>
  <c r="AD989" i="9"/>
  <c r="AD990" i="9"/>
  <c r="AD991" i="9"/>
  <c r="AD992" i="9"/>
  <c r="AD993" i="9"/>
  <c r="AD994" i="9"/>
  <c r="AD995" i="9"/>
  <c r="AD996" i="9"/>
  <c r="AD997" i="9"/>
  <c r="AD998" i="9"/>
  <c r="AD999" i="9"/>
  <c r="AD1000" i="9"/>
  <c r="AD1001" i="9"/>
  <c r="AD1002" i="9"/>
  <c r="AD1003" i="9"/>
  <c r="AD1004" i="9"/>
  <c r="AD1005" i="9"/>
  <c r="AD1006" i="9"/>
  <c r="AD1007" i="9"/>
  <c r="AD1008" i="9"/>
  <c r="AD1009" i="9"/>
  <c r="AD1010" i="9"/>
  <c r="AD1011" i="9"/>
  <c r="AD1012" i="9"/>
  <c r="AD1013" i="9"/>
  <c r="AD1014" i="9"/>
  <c r="AD1015" i="9"/>
  <c r="AD1016" i="9"/>
  <c r="AD1017" i="9"/>
  <c r="AD1018" i="9"/>
  <c r="AD1019" i="9"/>
  <c r="AD1020" i="9"/>
  <c r="AD1021" i="9"/>
  <c r="AD1022" i="9"/>
  <c r="AD1023" i="9"/>
  <c r="AD1024" i="9"/>
  <c r="AD1025" i="9"/>
  <c r="AD1026" i="9"/>
  <c r="AD1027" i="9"/>
  <c r="AD1028" i="9"/>
  <c r="AD1029" i="9"/>
  <c r="AD1030" i="9"/>
  <c r="AD1031" i="9"/>
  <c r="AD1032" i="9"/>
  <c r="AD1033" i="9"/>
  <c r="AD1034" i="9"/>
  <c r="AD1035" i="9"/>
  <c r="AD1036" i="9"/>
  <c r="AD1037" i="9"/>
  <c r="AD1038" i="9"/>
  <c r="AD1039" i="9"/>
  <c r="AD1040" i="9"/>
  <c r="AD1041" i="9"/>
  <c r="AD1042" i="9"/>
  <c r="AD1043" i="9"/>
  <c r="AD1044" i="9"/>
  <c r="AD1045" i="9"/>
  <c r="AD1046" i="9"/>
  <c r="AD1047" i="9"/>
  <c r="AD1048" i="9"/>
  <c r="AD1049" i="9"/>
  <c r="AD1050" i="9"/>
  <c r="AD1051" i="9"/>
  <c r="AD1052" i="9"/>
  <c r="AD1053" i="9"/>
  <c r="AD1054" i="9"/>
  <c r="AD1055" i="9"/>
  <c r="AD1056" i="9"/>
  <c r="AD1057" i="9"/>
  <c r="AD1058" i="9"/>
  <c r="AD1059" i="9"/>
  <c r="AD1060" i="9"/>
  <c r="AD1061" i="9"/>
  <c r="AD1062" i="9"/>
  <c r="AD1063" i="9"/>
  <c r="AD1064" i="9"/>
  <c r="AD1065" i="9"/>
  <c r="AD1066" i="9"/>
  <c r="AD1067" i="9"/>
  <c r="AD1068" i="9"/>
  <c r="AD1069" i="9"/>
  <c r="AD1070" i="9"/>
  <c r="AD1071" i="9"/>
  <c r="AD1072" i="9"/>
  <c r="AD1073" i="9"/>
  <c r="AD1074" i="9"/>
  <c r="AD1075" i="9"/>
  <c r="AD1076" i="9"/>
  <c r="AD1077" i="9"/>
  <c r="AD1078" i="9"/>
  <c r="AD1079" i="9"/>
  <c r="AD1080" i="9"/>
  <c r="AD1081" i="9"/>
  <c r="AD1082" i="9"/>
  <c r="AD1083" i="9"/>
  <c r="AD1084" i="9"/>
  <c r="AD1085" i="9"/>
  <c r="AD1086" i="9"/>
  <c r="AD1087" i="9"/>
  <c r="AD1088" i="9"/>
  <c r="AD1089" i="9"/>
  <c r="AD1090" i="9"/>
  <c r="AD1091" i="9"/>
  <c r="AD1092" i="9"/>
  <c r="AD1093" i="9"/>
  <c r="AD1094" i="9"/>
  <c r="AD1095" i="9"/>
  <c r="AD1096" i="9"/>
  <c r="AD1097" i="9"/>
  <c r="AD1098" i="9"/>
  <c r="AD1099" i="9"/>
  <c r="AD1100" i="9"/>
  <c r="AD1101" i="9"/>
  <c r="AD1102" i="9"/>
  <c r="AD1103" i="9"/>
  <c r="AD1104" i="9"/>
  <c r="AD1105" i="9"/>
  <c r="AD1106" i="9"/>
  <c r="AD1107" i="9"/>
  <c r="AD1108" i="9"/>
  <c r="AD1109" i="9"/>
  <c r="AD1110" i="9"/>
  <c r="AD1111" i="9"/>
  <c r="AD1112" i="9"/>
  <c r="AD1113" i="9"/>
  <c r="AD1114" i="9"/>
  <c r="AD1115" i="9"/>
  <c r="AD1116" i="9"/>
  <c r="AD1117" i="9"/>
  <c r="AD1118" i="9"/>
  <c r="AD1119" i="9"/>
  <c r="AD1120" i="9"/>
  <c r="AD1121" i="9"/>
  <c r="AD1122" i="9"/>
  <c r="AD1123" i="9"/>
  <c r="AD1124" i="9"/>
  <c r="AD1125" i="9"/>
  <c r="AD1126" i="9"/>
  <c r="AD1127" i="9"/>
  <c r="AD1128" i="9"/>
  <c r="AD1129" i="9"/>
  <c r="AD1130" i="9"/>
  <c r="AD1131" i="9"/>
  <c r="AD1132" i="9"/>
  <c r="AD1133" i="9"/>
  <c r="AD1134" i="9"/>
  <c r="AD1135" i="9"/>
  <c r="AD1136" i="9"/>
  <c r="AD1137" i="9"/>
  <c r="AD1138" i="9"/>
  <c r="AD1139" i="9"/>
  <c r="AD1140" i="9"/>
  <c r="AD1141" i="9"/>
  <c r="AD1142" i="9"/>
  <c r="AD1143" i="9"/>
  <c r="AD1144" i="9"/>
  <c r="AD1145" i="9"/>
  <c r="AD1146" i="9"/>
  <c r="AD1147" i="9"/>
  <c r="AD1148" i="9"/>
  <c r="AD1149" i="9"/>
  <c r="AD1150" i="9"/>
  <c r="AD1151" i="9"/>
  <c r="AD1152" i="9"/>
  <c r="AD1153" i="9"/>
  <c r="AD1154" i="9"/>
  <c r="AD1155" i="9"/>
  <c r="AD1156" i="9"/>
  <c r="AD1157" i="9"/>
  <c r="AD1158" i="9"/>
  <c r="AD1159" i="9"/>
  <c r="AD1160" i="9"/>
  <c r="AD1161" i="9"/>
  <c r="AD1162" i="9"/>
  <c r="AD1163" i="9"/>
  <c r="AD1164" i="9"/>
  <c r="AD1165" i="9"/>
  <c r="AD1166" i="9"/>
  <c r="AD1167" i="9"/>
  <c r="AD1168" i="9"/>
  <c r="AD1169" i="9"/>
  <c r="AD1170" i="9"/>
  <c r="AD1171" i="9"/>
  <c r="AD1172" i="9"/>
  <c r="AD1173" i="9"/>
  <c r="AD1174" i="9"/>
  <c r="AD1175" i="9"/>
  <c r="AD1176" i="9"/>
  <c r="AD1177" i="9"/>
  <c r="AD1178" i="9"/>
  <c r="AD1179" i="9"/>
  <c r="AD1180" i="9"/>
  <c r="AD1181" i="9"/>
  <c r="AD1182" i="9"/>
  <c r="AD1183" i="9"/>
  <c r="AD1184" i="9"/>
  <c r="AD1185" i="9"/>
  <c r="AD1186" i="9"/>
  <c r="AD1187" i="9"/>
  <c r="AD1188" i="9"/>
  <c r="AD1189" i="9"/>
  <c r="AD1190" i="9"/>
  <c r="AD1191" i="9"/>
  <c r="AD1192" i="9"/>
  <c r="AD1193" i="9"/>
  <c r="AD1194" i="9"/>
  <c r="AD1195" i="9"/>
  <c r="AD1196" i="9"/>
  <c r="AD1197" i="9"/>
  <c r="AD1198" i="9"/>
  <c r="AD1199" i="9"/>
  <c r="AD1200" i="9"/>
  <c r="AD1201" i="9"/>
  <c r="AD1202" i="9"/>
  <c r="AD1203" i="9"/>
  <c r="AD1204" i="9"/>
  <c r="AD1205" i="9"/>
  <c r="AD1206" i="9"/>
  <c r="AD1207" i="9"/>
  <c r="AD1208" i="9"/>
  <c r="AD1209" i="9"/>
  <c r="AD1210" i="9"/>
  <c r="AD1211" i="9"/>
  <c r="AD1212" i="9"/>
  <c r="AD1213" i="9"/>
  <c r="AD1214" i="9"/>
  <c r="AD1215" i="9"/>
  <c r="AD1216" i="9"/>
  <c r="AD1217" i="9"/>
  <c r="AD1218" i="9"/>
  <c r="AD1219" i="9"/>
  <c r="AD1220" i="9"/>
  <c r="AD1221" i="9"/>
  <c r="AD1222" i="9"/>
  <c r="AD1223" i="9"/>
  <c r="AD1224" i="9"/>
  <c r="AD1225" i="9"/>
  <c r="AD1226" i="9"/>
  <c r="AD1227" i="9"/>
  <c r="AD1228" i="9"/>
  <c r="AD1229" i="9"/>
  <c r="AD1230" i="9"/>
  <c r="AD1231" i="9"/>
  <c r="AD1232" i="9"/>
  <c r="AD1233" i="9"/>
  <c r="AD1234" i="9"/>
  <c r="AD1235" i="9"/>
  <c r="AD1236" i="9"/>
  <c r="AD1237" i="9"/>
  <c r="AD1238" i="9"/>
  <c r="AD1239" i="9"/>
  <c r="AD1240" i="9"/>
  <c r="AD1241" i="9"/>
  <c r="AD1242" i="9"/>
  <c r="AD1243" i="9"/>
  <c r="AD1244" i="9"/>
  <c r="AD1245" i="9"/>
  <c r="AD1246" i="9"/>
  <c r="AD1247" i="9"/>
  <c r="AD1248" i="9"/>
  <c r="AD1249" i="9"/>
  <c r="AD1250" i="9"/>
  <c r="AD1251" i="9"/>
  <c r="AD1252" i="9"/>
  <c r="AD1253" i="9"/>
  <c r="AD1254" i="9"/>
  <c r="AD1255" i="9"/>
  <c r="AD1256" i="9"/>
  <c r="AD1257" i="9"/>
  <c r="AD1258" i="9"/>
  <c r="AD1259" i="9"/>
  <c r="AD1260" i="9"/>
  <c r="AD1261" i="9"/>
  <c r="AD1262" i="9"/>
  <c r="AD1263" i="9"/>
  <c r="AD1264" i="9"/>
  <c r="AD1265" i="9"/>
  <c r="AD1266" i="9"/>
  <c r="AD1267" i="9"/>
  <c r="AD1268" i="9"/>
  <c r="AD1269" i="9"/>
  <c r="AD1270" i="9"/>
  <c r="AD1271" i="9"/>
  <c r="AD1272" i="9"/>
  <c r="AD1273" i="9"/>
  <c r="AD1274" i="9"/>
  <c r="AD1275" i="9"/>
  <c r="AD1276" i="9"/>
  <c r="AD1277" i="9"/>
  <c r="AD1278" i="9"/>
  <c r="AD1279" i="9"/>
  <c r="AD1280" i="9"/>
  <c r="AD1281" i="9"/>
  <c r="AD1282" i="9"/>
  <c r="AD1283" i="9"/>
  <c r="AD1284" i="9"/>
  <c r="AD1285" i="9"/>
  <c r="AD1286" i="9"/>
  <c r="AD1287" i="9"/>
  <c r="AD1288" i="9"/>
  <c r="AD1289" i="9"/>
  <c r="AD1290" i="9"/>
  <c r="AD1291" i="9"/>
  <c r="AD1292" i="9"/>
  <c r="AD1293" i="9"/>
  <c r="AD1294" i="9"/>
  <c r="AD1295" i="9"/>
  <c r="AD1296" i="9"/>
  <c r="AD1297" i="9"/>
  <c r="AD1298" i="9"/>
  <c r="AD1299" i="9"/>
  <c r="AD1300" i="9"/>
  <c r="AD1301" i="9"/>
  <c r="AD1302" i="9"/>
  <c r="AD1303" i="9"/>
  <c r="AD1304" i="9"/>
  <c r="AD1305" i="9"/>
  <c r="AD1306" i="9"/>
  <c r="AD1307" i="9"/>
  <c r="AD1308" i="9"/>
  <c r="AD1309" i="9"/>
  <c r="AD1310" i="9"/>
  <c r="AD1311" i="9"/>
  <c r="AD1312" i="9"/>
  <c r="AD1313" i="9"/>
  <c r="AD1314" i="9"/>
  <c r="AD1315" i="9"/>
  <c r="AD1316" i="9"/>
  <c r="AD1317" i="9"/>
  <c r="AD1318" i="9"/>
  <c r="AD1319" i="9"/>
  <c r="AD1320" i="9"/>
  <c r="AD1321" i="9"/>
  <c r="AD1322" i="9"/>
  <c r="AD1323" i="9"/>
  <c r="AD1324" i="9"/>
  <c r="AD1325" i="9"/>
  <c r="AD1326" i="9"/>
  <c r="AD1327" i="9"/>
  <c r="AD1328" i="9"/>
  <c r="AD1329" i="9"/>
  <c r="AD1330" i="9"/>
  <c r="AD1331" i="9"/>
  <c r="AD1332" i="9"/>
  <c r="AD1333" i="9"/>
  <c r="AD1334" i="9"/>
  <c r="AD1335" i="9"/>
  <c r="AD1336" i="9"/>
  <c r="AD1337" i="9"/>
  <c r="AD1338" i="9"/>
  <c r="AD1339" i="9"/>
  <c r="AD1340" i="9"/>
  <c r="AD1341" i="9"/>
  <c r="AD1342" i="9"/>
  <c r="AD1343" i="9"/>
  <c r="AD1344" i="9"/>
  <c r="AD1345" i="9"/>
  <c r="AD1346" i="9"/>
  <c r="AD1347" i="9"/>
  <c r="AD1348" i="9"/>
  <c r="AD1349" i="9"/>
  <c r="AD1350" i="9"/>
  <c r="AD1351" i="9"/>
  <c r="AD1352" i="9"/>
  <c r="AD1353" i="9"/>
  <c r="AD1354" i="9"/>
  <c r="AD1355" i="9"/>
  <c r="AD1356" i="9"/>
  <c r="AD1357" i="9"/>
  <c r="AD1358" i="9"/>
  <c r="AD1359" i="9"/>
  <c r="AD1360" i="9"/>
  <c r="AD1361" i="9"/>
  <c r="AD1362" i="9"/>
  <c r="AD1363" i="9"/>
  <c r="AD1364" i="9"/>
  <c r="AD1365" i="9"/>
  <c r="AD1366" i="9"/>
  <c r="AD1367" i="9"/>
  <c r="AD1368" i="9"/>
  <c r="AD1369" i="9"/>
  <c r="AD1370" i="9"/>
  <c r="AD1371" i="9"/>
  <c r="AD1372" i="9"/>
  <c r="AD1373" i="9"/>
  <c r="AD1374" i="9"/>
  <c r="AD1375" i="9"/>
  <c r="AD1376" i="9"/>
  <c r="AD1377" i="9"/>
  <c r="AD1378" i="9"/>
  <c r="AD1379" i="9"/>
  <c r="AD1380" i="9"/>
  <c r="AD1381" i="9"/>
  <c r="AD1382" i="9"/>
  <c r="AD1383" i="9"/>
  <c r="AD1384" i="9"/>
  <c r="AD1385" i="9"/>
  <c r="AD1386" i="9"/>
  <c r="AD1387" i="9"/>
  <c r="AD1388" i="9"/>
  <c r="AD1389" i="9"/>
  <c r="AD1390" i="9"/>
  <c r="AD1391" i="9"/>
  <c r="AD1392" i="9"/>
  <c r="AD1393" i="9"/>
  <c r="AD1394" i="9"/>
  <c r="AD1395" i="9"/>
  <c r="AD1396" i="9"/>
  <c r="AD1397" i="9"/>
  <c r="AD1398" i="9"/>
  <c r="AD1399" i="9"/>
  <c r="AD1400" i="9"/>
  <c r="AD1401" i="9"/>
  <c r="AD1402" i="9"/>
  <c r="AD1403" i="9"/>
  <c r="AD1404" i="9"/>
  <c r="AD1405" i="9"/>
  <c r="AD1406" i="9"/>
  <c r="AD1407" i="9"/>
  <c r="AD1408" i="9"/>
  <c r="AD1409" i="9"/>
  <c r="AD1410" i="9"/>
  <c r="AD1411" i="9"/>
  <c r="AD1412" i="9"/>
  <c r="AD1413" i="9"/>
  <c r="AD1414" i="9"/>
  <c r="AD1415" i="9"/>
  <c r="AD1416" i="9"/>
  <c r="AD1417" i="9"/>
  <c r="AD1418" i="9"/>
  <c r="AD1419" i="9"/>
  <c r="AD1420" i="9"/>
  <c r="AD1421" i="9"/>
  <c r="AD1422" i="9"/>
  <c r="AD1423" i="9"/>
  <c r="AD1424" i="9"/>
  <c r="AD1425" i="9"/>
  <c r="AD1426" i="9"/>
  <c r="AD1427" i="9"/>
  <c r="AD1428" i="9"/>
  <c r="AD1429" i="9"/>
  <c r="AD1430" i="9"/>
  <c r="AD1431" i="9"/>
  <c r="AD1432" i="9"/>
  <c r="AD1433" i="9"/>
  <c r="AD1434" i="9"/>
  <c r="AD1435" i="9"/>
  <c r="AD1436" i="9"/>
  <c r="AD1437" i="9"/>
  <c r="AD1438" i="9"/>
  <c r="AD1439" i="9"/>
  <c r="AD1440" i="9"/>
  <c r="AD1441" i="9"/>
  <c r="AD1442" i="9"/>
  <c r="AD1443" i="9"/>
  <c r="AD1444" i="9"/>
  <c r="AD1445" i="9"/>
  <c r="AD1446" i="9"/>
  <c r="AD1447" i="9"/>
  <c r="AD1448" i="9"/>
  <c r="AD1449" i="9"/>
  <c r="AD1450" i="9"/>
  <c r="AD1451" i="9"/>
  <c r="AD1452" i="9"/>
  <c r="AD1453" i="9"/>
  <c r="AD1454" i="9"/>
  <c r="AD1455" i="9"/>
  <c r="AD1456" i="9"/>
  <c r="AD1457" i="9"/>
  <c r="AD1458" i="9"/>
  <c r="AD1459" i="9"/>
  <c r="AD1460" i="9"/>
  <c r="AD1461" i="9"/>
  <c r="AD1462" i="9"/>
  <c r="AD1463" i="9"/>
  <c r="AD1464" i="9"/>
  <c r="AD1465" i="9"/>
  <c r="AD1466" i="9"/>
  <c r="AD1467" i="9"/>
  <c r="AD1468" i="9"/>
  <c r="AD1469" i="9"/>
  <c r="AD1470" i="9"/>
  <c r="AD1471" i="9"/>
  <c r="AD1472" i="9"/>
  <c r="AD1473" i="9"/>
  <c r="AD1474" i="9"/>
  <c r="AD1475" i="9"/>
  <c r="AD1476" i="9"/>
  <c r="AD1477" i="9"/>
  <c r="AD1478" i="9"/>
  <c r="AD1479" i="9"/>
  <c r="AD1480" i="9"/>
  <c r="AD1481" i="9"/>
  <c r="AD1482" i="9"/>
  <c r="AD1483" i="9"/>
  <c r="AD1484" i="9"/>
  <c r="AD1485" i="9"/>
  <c r="AD1486" i="9"/>
  <c r="AD1487" i="9"/>
  <c r="AD1488" i="9"/>
  <c r="AD1489" i="9"/>
  <c r="AD1490" i="9"/>
  <c r="AD1491" i="9"/>
  <c r="AD1492" i="9"/>
  <c r="AD1493" i="9"/>
  <c r="AD1494" i="9"/>
  <c r="AD1495" i="9"/>
  <c r="AD1496" i="9"/>
  <c r="AD1497" i="9"/>
  <c r="AD1498" i="9"/>
  <c r="AD1499" i="9"/>
  <c r="AD1500" i="9"/>
  <c r="AD1501" i="9"/>
  <c r="AD1502" i="9"/>
  <c r="AD1503" i="9"/>
  <c r="AD1504" i="9"/>
  <c r="AD1505" i="9"/>
  <c r="AD1506" i="9"/>
  <c r="AD1507" i="9"/>
  <c r="AD1508" i="9"/>
  <c r="AD1509" i="9"/>
  <c r="AD1510" i="9"/>
  <c r="AD1511" i="9"/>
  <c r="AD1512" i="9"/>
  <c r="AD1513" i="9"/>
  <c r="AD1514" i="9"/>
  <c r="AD1515" i="9"/>
  <c r="AD1516" i="9"/>
  <c r="AD1517" i="9"/>
  <c r="AD1518" i="9"/>
  <c r="AD1519" i="9"/>
  <c r="AD1520" i="9"/>
  <c r="AD1521" i="9"/>
  <c r="AD1522" i="9"/>
  <c r="AD1523" i="9"/>
  <c r="AD1524" i="9"/>
  <c r="AD1525" i="9"/>
  <c r="AD1526" i="9"/>
  <c r="AD1527" i="9"/>
  <c r="AD1528" i="9"/>
  <c r="AD1529" i="9"/>
  <c r="AD1530" i="9"/>
  <c r="AD1531" i="9"/>
  <c r="AD1532" i="9"/>
  <c r="AD1533" i="9"/>
  <c r="AD1534" i="9"/>
  <c r="AD1535" i="9"/>
  <c r="AD1536" i="9"/>
  <c r="AD1537" i="9"/>
  <c r="AD1538" i="9"/>
  <c r="AD1539" i="9"/>
  <c r="AD1540" i="9"/>
  <c r="AD1541" i="9"/>
  <c r="AD1542" i="9"/>
  <c r="AD1543" i="9"/>
  <c r="AD1544" i="9"/>
  <c r="AD1545" i="9"/>
  <c r="AD1546" i="9"/>
  <c r="AD1547" i="9"/>
  <c r="AD1548" i="9"/>
  <c r="AD1549" i="9"/>
  <c r="AD1550" i="9"/>
  <c r="AD1551" i="9"/>
  <c r="AD1552" i="9"/>
  <c r="AD1553" i="9"/>
  <c r="AD1554" i="9"/>
  <c r="AD1555" i="9"/>
  <c r="AD1556" i="9"/>
  <c r="AD1557" i="9"/>
  <c r="AD1558" i="9"/>
  <c r="AD1559" i="9"/>
  <c r="AD1560" i="9"/>
  <c r="AD1561" i="9"/>
  <c r="AD1562" i="9"/>
  <c r="AD1563" i="9"/>
  <c r="AD1564" i="9"/>
  <c r="AD1565" i="9"/>
  <c r="AD1566" i="9"/>
  <c r="AD1567" i="9"/>
  <c r="AD1568" i="9"/>
  <c r="AD1569" i="9"/>
  <c r="AD1570" i="9"/>
  <c r="AD1571" i="9"/>
  <c r="AD1572" i="9"/>
  <c r="AD1573" i="9"/>
  <c r="AD1574" i="9"/>
  <c r="AD1575" i="9"/>
  <c r="AD1576" i="9"/>
  <c r="AD1577" i="9"/>
  <c r="AD1578" i="9"/>
  <c r="AD1579" i="9"/>
  <c r="AD1580" i="9"/>
  <c r="AD1581" i="9"/>
  <c r="AD1582" i="9"/>
  <c r="AD1583" i="9"/>
  <c r="AD1584" i="9"/>
  <c r="AD1585" i="9"/>
  <c r="AD1586" i="9"/>
  <c r="AD1587" i="9"/>
  <c r="AD1588" i="9"/>
  <c r="AD1589" i="9"/>
  <c r="AD1590" i="9"/>
  <c r="AD1591" i="9"/>
  <c r="AD1592" i="9"/>
  <c r="AD1593" i="9"/>
  <c r="AD1594" i="9"/>
  <c r="AD1595" i="9"/>
  <c r="AD1596" i="9"/>
  <c r="AD1597" i="9"/>
  <c r="AD1598" i="9"/>
  <c r="AD1599" i="9"/>
  <c r="AD1600" i="9"/>
  <c r="AD1601" i="9"/>
  <c r="AD1602" i="9"/>
  <c r="AD1603" i="9"/>
  <c r="AD1604" i="9"/>
  <c r="AD1605" i="9"/>
  <c r="AD1606" i="9"/>
  <c r="AD1607" i="9"/>
  <c r="AD1608" i="9"/>
  <c r="AD1609" i="9"/>
  <c r="AD1610" i="9"/>
  <c r="AD1611" i="9"/>
  <c r="AD1612" i="9"/>
  <c r="AD1613" i="9"/>
  <c r="AD1614" i="9"/>
  <c r="AD1615" i="9"/>
  <c r="AD1616" i="9"/>
  <c r="AD1617" i="9"/>
  <c r="AD1618" i="9"/>
  <c r="AD1619" i="9"/>
  <c r="AD1620" i="9"/>
  <c r="AD1621" i="9"/>
  <c r="AD1622" i="9"/>
  <c r="AD1623" i="9"/>
  <c r="AD1624" i="9"/>
  <c r="AD1625" i="9"/>
  <c r="AD1626" i="9"/>
  <c r="AD1627" i="9"/>
  <c r="AD1628" i="9"/>
  <c r="AD1629" i="9"/>
  <c r="AD1630" i="9"/>
  <c r="AD1631" i="9"/>
  <c r="AD1632" i="9"/>
  <c r="AD1633" i="9"/>
  <c r="AD1634" i="9"/>
  <c r="AD1635" i="9"/>
  <c r="AD1636" i="9"/>
  <c r="AD1637" i="9"/>
  <c r="AD1638" i="9"/>
  <c r="AD1639" i="9"/>
  <c r="AD1640" i="9"/>
  <c r="AD1641" i="9"/>
  <c r="AD1642" i="9"/>
  <c r="AD1643" i="9"/>
  <c r="AD1644" i="9"/>
  <c r="AD1645" i="9"/>
  <c r="AD1646" i="9"/>
  <c r="AD1647" i="9"/>
  <c r="AD1648" i="9"/>
  <c r="AD1649" i="9"/>
  <c r="AD1650" i="9"/>
  <c r="AD1651" i="9"/>
  <c r="AD1652" i="9"/>
  <c r="AD1653" i="9"/>
  <c r="AD1654" i="9"/>
  <c r="AD1655" i="9"/>
  <c r="AD1656" i="9"/>
  <c r="AD1657" i="9"/>
  <c r="AD1658" i="9"/>
  <c r="AD1659" i="9"/>
  <c r="AD1660" i="9"/>
  <c r="AD1661" i="9"/>
  <c r="AD1662" i="9"/>
  <c r="AD1663" i="9"/>
  <c r="AD1664" i="9"/>
  <c r="AD1665" i="9"/>
  <c r="AD1666" i="9"/>
  <c r="AD1667" i="9"/>
  <c r="AD1668" i="9"/>
  <c r="AD1669" i="9"/>
  <c r="AD1670" i="9"/>
  <c r="AD1671" i="9"/>
  <c r="AD1672" i="9"/>
  <c r="AD1673" i="9"/>
  <c r="AD1674" i="9"/>
  <c r="AD1675" i="9"/>
  <c r="AD1676" i="9"/>
  <c r="AD1677" i="9"/>
  <c r="AD1678" i="9"/>
  <c r="AD1679" i="9"/>
  <c r="AD1680" i="9"/>
  <c r="AD1681" i="9"/>
  <c r="AD1682" i="9"/>
  <c r="AD1683" i="9"/>
  <c r="AD1684" i="9"/>
  <c r="AD1685" i="9"/>
  <c r="AD1686" i="9"/>
  <c r="AD1687" i="9"/>
  <c r="AD1688" i="9"/>
  <c r="AD1689" i="9"/>
  <c r="AD1690" i="9"/>
  <c r="AD1691" i="9"/>
  <c r="AD1692" i="9"/>
  <c r="AD1693" i="9"/>
  <c r="AD1694" i="9"/>
  <c r="AD1695" i="9"/>
  <c r="AD1696" i="9"/>
  <c r="AD1697" i="9"/>
  <c r="AD1698" i="9"/>
  <c r="AD1699" i="9"/>
  <c r="AD1700" i="9"/>
  <c r="AD1701" i="9"/>
  <c r="AD1702" i="9"/>
  <c r="AD1703" i="9"/>
  <c r="AD1704" i="9"/>
  <c r="AD1705" i="9"/>
  <c r="AD1706" i="9"/>
  <c r="AD1707" i="9"/>
  <c r="AD1708" i="9"/>
  <c r="AD1709" i="9"/>
  <c r="AD1710" i="9"/>
  <c r="AD1711" i="9"/>
  <c r="AD1712" i="9"/>
  <c r="AD1713" i="9"/>
  <c r="AD1714" i="9"/>
  <c r="AD1715" i="9"/>
  <c r="AD1716" i="9"/>
  <c r="AD1717" i="9"/>
  <c r="AD1718" i="9"/>
  <c r="AD1719" i="9"/>
  <c r="AD1720" i="9"/>
  <c r="AD1721" i="9"/>
  <c r="AD1722" i="9"/>
  <c r="AD1723" i="9"/>
  <c r="AD1724" i="9"/>
  <c r="AD1725" i="9"/>
  <c r="AD1726" i="9"/>
  <c r="AD1727" i="9"/>
  <c r="AD1728" i="9"/>
  <c r="AD1729" i="9"/>
  <c r="AD1730" i="9"/>
  <c r="AD1731" i="9"/>
  <c r="AD1732" i="9"/>
  <c r="AD1733" i="9"/>
  <c r="AD1734" i="9"/>
  <c r="AD1735" i="9"/>
  <c r="AD1736" i="9"/>
  <c r="AD1737" i="9"/>
  <c r="AD1738" i="9"/>
  <c r="AD1739" i="9"/>
  <c r="AD1740" i="9"/>
  <c r="AD1741" i="9"/>
  <c r="AD1742" i="9"/>
  <c r="AD1743" i="9"/>
  <c r="AD1744" i="9"/>
  <c r="AD1745" i="9"/>
  <c r="AD1746" i="9"/>
  <c r="AD1747" i="9"/>
  <c r="AD1748" i="9"/>
  <c r="AD1749" i="9"/>
  <c r="AD1750" i="9"/>
  <c r="AD1751" i="9"/>
  <c r="AD1752" i="9"/>
  <c r="AD1753" i="9"/>
  <c r="AD1754" i="9"/>
  <c r="AD1755" i="9"/>
  <c r="AD1756" i="9"/>
  <c r="AD1757" i="9"/>
  <c r="AD1758" i="9"/>
  <c r="AD1759" i="9"/>
  <c r="AD1760" i="9"/>
  <c r="AD1761" i="9"/>
  <c r="AD1762" i="9"/>
  <c r="AD1763" i="9"/>
  <c r="AD1764" i="9"/>
  <c r="AD1765" i="9"/>
  <c r="AD1766" i="9"/>
  <c r="AD1767" i="9"/>
  <c r="AD1768" i="9"/>
  <c r="AD1769" i="9"/>
  <c r="AD1770" i="9"/>
  <c r="AD1771" i="9"/>
  <c r="AD1772" i="9"/>
  <c r="AD1773" i="9"/>
  <c r="AD1774" i="9"/>
  <c r="AD1775" i="9"/>
  <c r="AD1776" i="9"/>
  <c r="AD1777" i="9"/>
  <c r="AD1778" i="9"/>
  <c r="AD1779" i="9"/>
  <c r="AD1780" i="9"/>
  <c r="AD1781" i="9"/>
  <c r="AD1782" i="9"/>
  <c r="AD1783" i="9"/>
  <c r="AD1784" i="9"/>
  <c r="AD1785" i="9"/>
  <c r="AD1786" i="9"/>
  <c r="AD1787" i="9"/>
  <c r="AD1788" i="9"/>
  <c r="AD1789" i="9"/>
  <c r="AD1790" i="9"/>
  <c r="AD1791" i="9"/>
  <c r="AD1792" i="9"/>
  <c r="AD1793" i="9"/>
  <c r="AD1794" i="9"/>
  <c r="AD1795" i="9"/>
  <c r="AD1796" i="9"/>
  <c r="AD1797" i="9"/>
  <c r="AD1798" i="9"/>
  <c r="AD1799" i="9"/>
  <c r="AD1800" i="9"/>
  <c r="AD1801" i="9"/>
  <c r="AD1802" i="9"/>
  <c r="AD1803" i="9"/>
  <c r="AD1804" i="9"/>
  <c r="AD1805" i="9"/>
  <c r="AD1806" i="9"/>
  <c r="AD1807" i="9"/>
  <c r="AD1808" i="9"/>
  <c r="AD1809" i="9"/>
  <c r="AD1810" i="9"/>
  <c r="AD1811" i="9"/>
  <c r="AD1812" i="9"/>
  <c r="AD1813" i="9"/>
  <c r="AD1814" i="9"/>
  <c r="AD1815" i="9"/>
  <c r="AD1816" i="9"/>
  <c r="AD1817" i="9"/>
  <c r="AD1818" i="9"/>
  <c r="AD1819" i="9"/>
  <c r="AD1820" i="9"/>
  <c r="AD1821" i="9"/>
  <c r="AD1822" i="9"/>
  <c r="AD1823" i="9"/>
  <c r="AD1824" i="9"/>
  <c r="AD1825" i="9"/>
  <c r="AD1826" i="9"/>
  <c r="AD1827" i="9"/>
  <c r="AD1828" i="9"/>
  <c r="AD1829" i="9"/>
  <c r="AD1830" i="9"/>
  <c r="AD1831" i="9"/>
  <c r="AD1832" i="9"/>
  <c r="AD1833" i="9"/>
  <c r="AD1834" i="9"/>
  <c r="AD1835" i="9"/>
  <c r="AD1836" i="9"/>
  <c r="AD1837" i="9"/>
  <c r="AD1838" i="9"/>
  <c r="AD1839" i="9"/>
  <c r="AD1840" i="9"/>
  <c r="AD1841" i="9"/>
  <c r="AD1842" i="9"/>
  <c r="AD1843" i="9"/>
  <c r="AD1844" i="9"/>
  <c r="AD1845" i="9"/>
  <c r="AD1846" i="9"/>
  <c r="AD1847" i="9"/>
  <c r="AD1848" i="9"/>
  <c r="AD1849" i="9"/>
  <c r="AD1850" i="9"/>
  <c r="AD1851" i="9"/>
  <c r="AD1852" i="9"/>
  <c r="AD1853" i="9"/>
  <c r="AD1854" i="9"/>
  <c r="AD1855" i="9"/>
  <c r="AD1856" i="9"/>
  <c r="AD1857" i="9"/>
  <c r="AD1858" i="9"/>
  <c r="AD1859" i="9"/>
  <c r="AD1860" i="9"/>
  <c r="AD1861" i="9"/>
  <c r="AD1862" i="9"/>
  <c r="AD1863" i="9"/>
  <c r="AD1864" i="9"/>
  <c r="AD1865" i="9"/>
  <c r="AD1866" i="9"/>
  <c r="AD1867" i="9"/>
  <c r="AD1868" i="9"/>
  <c r="AD1869" i="9"/>
  <c r="AD1870" i="9"/>
  <c r="AD1871" i="9"/>
  <c r="AD1872" i="9"/>
  <c r="AD1873" i="9"/>
  <c r="AD1874" i="9"/>
  <c r="AD1875" i="9"/>
  <c r="AD1876" i="9"/>
  <c r="AD1877" i="9"/>
  <c r="AD1878" i="9"/>
  <c r="AD1879" i="9"/>
  <c r="AD1880" i="9"/>
  <c r="AD1881" i="9"/>
  <c r="AD1882" i="9"/>
  <c r="AD1883" i="9"/>
  <c r="AD1884" i="9"/>
  <c r="AD1885" i="9"/>
  <c r="AD1886" i="9"/>
  <c r="AD1887" i="9"/>
  <c r="AD1888" i="9"/>
  <c r="AD1889" i="9"/>
  <c r="AD1890" i="9"/>
  <c r="AD1891" i="9"/>
  <c r="AD1892" i="9"/>
  <c r="AD1893" i="9"/>
  <c r="AD1894" i="9"/>
  <c r="AD1895" i="9"/>
  <c r="AD1896" i="9"/>
  <c r="AD1897" i="9"/>
  <c r="AD1898" i="9"/>
  <c r="AD1899" i="9"/>
  <c r="AD1900" i="9"/>
  <c r="AD1901" i="9"/>
  <c r="AD1902" i="9"/>
  <c r="AD1903" i="9"/>
  <c r="AD1904" i="9"/>
  <c r="AD1905" i="9"/>
  <c r="AD1906" i="9"/>
  <c r="AD1907" i="9"/>
  <c r="AD1908" i="9"/>
  <c r="AD1909" i="9"/>
  <c r="AD1910" i="9"/>
  <c r="AD1911" i="9"/>
  <c r="AD1912" i="9"/>
  <c r="AD1913" i="9"/>
  <c r="AD1914" i="9"/>
  <c r="AD1915" i="9"/>
  <c r="AD1916" i="9"/>
  <c r="AD1917" i="9"/>
  <c r="AD1918" i="9"/>
  <c r="AD1919" i="9"/>
  <c r="AD1920" i="9"/>
  <c r="AD1921" i="9"/>
  <c r="AD1922" i="9"/>
  <c r="AD1923" i="9"/>
  <c r="AD1924" i="9"/>
  <c r="AD1925" i="9"/>
  <c r="AD1926" i="9"/>
  <c r="AD1927" i="9"/>
  <c r="AD1928" i="9"/>
  <c r="AD1929" i="9"/>
  <c r="AD1930" i="9"/>
  <c r="AD1931" i="9"/>
  <c r="AD1932" i="9"/>
  <c r="AD1933" i="9"/>
  <c r="AD1934" i="9"/>
  <c r="AD1935" i="9"/>
  <c r="AD1936" i="9"/>
  <c r="AD1937" i="9"/>
  <c r="AD1938" i="9"/>
  <c r="AD1939" i="9"/>
  <c r="AD1940" i="9"/>
  <c r="AD1941" i="9"/>
  <c r="AD1942" i="9"/>
  <c r="AD1943" i="9"/>
  <c r="AD1944" i="9"/>
  <c r="AD1945" i="9"/>
  <c r="AD1946" i="9"/>
  <c r="AD1947" i="9"/>
  <c r="AD1948" i="9"/>
  <c r="AD1949" i="9"/>
  <c r="AD1950" i="9"/>
  <c r="AD1951" i="9"/>
  <c r="AD1952" i="9"/>
  <c r="AD1953" i="9"/>
  <c r="AD2" i="9"/>
  <c r="B23" i="19"/>
  <c r="A12" i="18"/>
  <c r="A11" i="17"/>
  <c r="P3" i="9" l="1"/>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2" i="9"/>
  <c r="X3" i="9"/>
  <c r="X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48" i="9"/>
  <c r="X49" i="9"/>
  <c r="X50"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X83" i="9"/>
  <c r="X84" i="9"/>
  <c r="X85" i="9"/>
  <c r="X86" i="9"/>
  <c r="X87" i="9"/>
  <c r="X88" i="9"/>
  <c r="X89" i="9"/>
  <c r="X90" i="9"/>
  <c r="X91" i="9"/>
  <c r="X92" i="9"/>
  <c r="X93" i="9"/>
  <c r="X94" i="9"/>
  <c r="X95" i="9"/>
  <c r="X96" i="9"/>
  <c r="X97" i="9"/>
  <c r="X98" i="9"/>
  <c r="X99" i="9"/>
  <c r="X100" i="9"/>
  <c r="X101" i="9"/>
  <c r="X102" i="9"/>
  <c r="X103" i="9"/>
  <c r="X104" i="9"/>
  <c r="X105" i="9"/>
  <c r="X106" i="9"/>
  <c r="X107" i="9"/>
  <c r="X108" i="9"/>
  <c r="X109" i="9"/>
  <c r="X110" i="9"/>
  <c r="X111" i="9"/>
  <c r="X112" i="9"/>
  <c r="X113" i="9"/>
  <c r="X114" i="9"/>
  <c r="X115" i="9"/>
  <c r="X116" i="9"/>
  <c r="X117" i="9"/>
  <c r="X118" i="9"/>
  <c r="X119" i="9"/>
  <c r="X120" i="9"/>
  <c r="X121" i="9"/>
  <c r="X122" i="9"/>
  <c r="X123" i="9"/>
  <c r="X124" i="9"/>
  <c r="X125" i="9"/>
  <c r="X126" i="9"/>
  <c r="X127" i="9"/>
  <c r="X128" i="9"/>
  <c r="X129" i="9"/>
  <c r="X130" i="9"/>
  <c r="X131" i="9"/>
  <c r="X132" i="9"/>
  <c r="X133" i="9"/>
  <c r="X134" i="9"/>
  <c r="X135" i="9"/>
  <c r="X136" i="9"/>
  <c r="X137" i="9"/>
  <c r="X138" i="9"/>
  <c r="X139" i="9"/>
  <c r="X140" i="9"/>
  <c r="X141" i="9"/>
  <c r="X142" i="9"/>
  <c r="X143" i="9"/>
  <c r="X144" i="9"/>
  <c r="X145" i="9"/>
  <c r="X146" i="9"/>
  <c r="X147" i="9"/>
  <c r="X148" i="9"/>
  <c r="X149" i="9"/>
  <c r="X150" i="9"/>
  <c r="X151" i="9"/>
  <c r="X152" i="9"/>
  <c r="X153" i="9"/>
  <c r="X154" i="9"/>
  <c r="X155" i="9"/>
  <c r="X156" i="9"/>
  <c r="X157" i="9"/>
  <c r="X158" i="9"/>
  <c r="X159" i="9"/>
  <c r="X160" i="9"/>
  <c r="X161" i="9"/>
  <c r="X162" i="9"/>
  <c r="X163" i="9"/>
  <c r="X164" i="9"/>
  <c r="X165" i="9"/>
  <c r="X166" i="9"/>
  <c r="X167" i="9"/>
  <c r="X168" i="9"/>
  <c r="X169" i="9"/>
  <c r="X170" i="9"/>
  <c r="X171" i="9"/>
  <c r="X172" i="9"/>
  <c r="X173" i="9"/>
  <c r="X174" i="9"/>
  <c r="X175" i="9"/>
  <c r="X176" i="9"/>
  <c r="X177" i="9"/>
  <c r="X178" i="9"/>
  <c r="X179" i="9"/>
  <c r="X180" i="9"/>
  <c r="X181" i="9"/>
  <c r="X182" i="9"/>
  <c r="X183" i="9"/>
  <c r="X184" i="9"/>
  <c r="X185" i="9"/>
  <c r="X186" i="9"/>
  <c r="X187" i="9"/>
  <c r="X188" i="9"/>
  <c r="X189" i="9"/>
  <c r="X190" i="9"/>
  <c r="X191" i="9"/>
  <c r="X192" i="9"/>
  <c r="X193" i="9"/>
  <c r="X194" i="9"/>
  <c r="X195" i="9"/>
  <c r="X196" i="9"/>
  <c r="X197" i="9"/>
  <c r="X198" i="9"/>
  <c r="X199" i="9"/>
  <c r="X200" i="9"/>
  <c r="X201" i="9"/>
  <c r="X202" i="9"/>
  <c r="X203" i="9"/>
  <c r="X204" i="9"/>
  <c r="X205" i="9"/>
  <c r="X206" i="9"/>
  <c r="X207" i="9"/>
  <c r="X208" i="9"/>
  <c r="X209" i="9"/>
  <c r="X210" i="9"/>
  <c r="X211" i="9"/>
  <c r="X212" i="9"/>
  <c r="X213" i="9"/>
  <c r="X214" i="9"/>
  <c r="X215" i="9"/>
  <c r="X216" i="9"/>
  <c r="X217" i="9"/>
  <c r="X218" i="9"/>
  <c r="X219" i="9"/>
  <c r="X220" i="9"/>
  <c r="X221" i="9"/>
  <c r="X222" i="9"/>
  <c r="X223" i="9"/>
  <c r="X224" i="9"/>
  <c r="X225" i="9"/>
  <c r="X226" i="9"/>
  <c r="X227" i="9"/>
  <c r="X228" i="9"/>
  <c r="X229" i="9"/>
  <c r="X230" i="9"/>
  <c r="X231" i="9"/>
  <c r="X232" i="9"/>
  <c r="X233" i="9"/>
  <c r="X234" i="9"/>
  <c r="X235" i="9"/>
  <c r="X236" i="9"/>
  <c r="X237" i="9"/>
  <c r="X238" i="9"/>
  <c r="X239" i="9"/>
  <c r="X240" i="9"/>
  <c r="X241" i="9"/>
  <c r="X242" i="9"/>
  <c r="X243" i="9"/>
  <c r="X244" i="9"/>
  <c r="X245" i="9"/>
  <c r="X246" i="9"/>
  <c r="X247" i="9"/>
  <c r="X248" i="9"/>
  <c r="X249" i="9"/>
  <c r="X250" i="9"/>
  <c r="X251" i="9"/>
  <c r="X252" i="9"/>
  <c r="X253" i="9"/>
  <c r="X254" i="9"/>
  <c r="X255" i="9"/>
  <c r="X256" i="9"/>
  <c r="X257" i="9"/>
  <c r="X258" i="9"/>
  <c r="X259" i="9"/>
  <c r="X260" i="9"/>
  <c r="X261" i="9"/>
  <c r="X262" i="9"/>
  <c r="X263" i="9"/>
  <c r="X264" i="9"/>
  <c r="X265" i="9"/>
  <c r="X266" i="9"/>
  <c r="X267" i="9"/>
  <c r="X268" i="9"/>
  <c r="X269" i="9"/>
  <c r="X270" i="9"/>
  <c r="X271" i="9"/>
  <c r="X272" i="9"/>
  <c r="X273" i="9"/>
  <c r="X274" i="9"/>
  <c r="X275" i="9"/>
  <c r="X276" i="9"/>
  <c r="X277" i="9"/>
  <c r="X278" i="9"/>
  <c r="X279" i="9"/>
  <c r="X280" i="9"/>
  <c r="X281" i="9"/>
  <c r="X282" i="9"/>
  <c r="X283" i="9"/>
  <c r="X284" i="9"/>
  <c r="X285" i="9"/>
  <c r="X286" i="9"/>
  <c r="X287" i="9"/>
  <c r="X288" i="9"/>
  <c r="X289" i="9"/>
  <c r="X290" i="9"/>
  <c r="X291" i="9"/>
  <c r="X292" i="9"/>
  <c r="X293" i="9"/>
  <c r="X294" i="9"/>
  <c r="X295" i="9"/>
  <c r="X296" i="9"/>
  <c r="X297" i="9"/>
  <c r="X298" i="9"/>
  <c r="X299" i="9"/>
  <c r="X300" i="9"/>
  <c r="X301" i="9"/>
  <c r="X302" i="9"/>
  <c r="X303" i="9"/>
  <c r="X304" i="9"/>
  <c r="X305" i="9"/>
  <c r="X306" i="9"/>
  <c r="X307" i="9"/>
  <c r="X308" i="9"/>
  <c r="X309" i="9"/>
  <c r="X310" i="9"/>
  <c r="X311" i="9"/>
  <c r="X312" i="9"/>
  <c r="X313" i="9"/>
  <c r="X314" i="9"/>
  <c r="X315" i="9"/>
  <c r="X316" i="9"/>
  <c r="X317" i="9"/>
  <c r="X318" i="9"/>
  <c r="X319" i="9"/>
  <c r="X320" i="9"/>
  <c r="X321" i="9"/>
  <c r="X322" i="9"/>
  <c r="X323" i="9"/>
  <c r="X324" i="9"/>
  <c r="X325" i="9"/>
  <c r="X326" i="9"/>
  <c r="X327" i="9"/>
  <c r="X328" i="9"/>
  <c r="X329" i="9"/>
  <c r="X330" i="9"/>
  <c r="X331" i="9"/>
  <c r="X332" i="9"/>
  <c r="X333" i="9"/>
  <c r="X334" i="9"/>
  <c r="X335" i="9"/>
  <c r="X336" i="9"/>
  <c r="X337" i="9"/>
  <c r="X338" i="9"/>
  <c r="X339" i="9"/>
  <c r="X340" i="9"/>
  <c r="X341" i="9"/>
  <c r="X342" i="9"/>
  <c r="X343" i="9"/>
  <c r="X344" i="9"/>
  <c r="X345" i="9"/>
  <c r="X346" i="9"/>
  <c r="X347" i="9"/>
  <c r="X348" i="9"/>
  <c r="X349" i="9"/>
  <c r="X350" i="9"/>
  <c r="X351" i="9"/>
  <c r="X352" i="9"/>
  <c r="X353" i="9"/>
  <c r="X354" i="9"/>
  <c r="X355" i="9"/>
  <c r="X356" i="9"/>
  <c r="X357" i="9"/>
  <c r="X358" i="9"/>
  <c r="X359" i="9"/>
  <c r="X360" i="9"/>
  <c r="X361" i="9"/>
  <c r="X362" i="9"/>
  <c r="X363" i="9"/>
  <c r="X364" i="9"/>
  <c r="X365" i="9"/>
  <c r="X366" i="9"/>
  <c r="X367" i="9"/>
  <c r="X368" i="9"/>
  <c r="X369" i="9"/>
  <c r="X370" i="9"/>
  <c r="X371" i="9"/>
  <c r="X372" i="9"/>
  <c r="X373" i="9"/>
  <c r="X374" i="9"/>
  <c r="X375" i="9"/>
  <c r="X376" i="9"/>
  <c r="X377" i="9"/>
  <c r="X378" i="9"/>
  <c r="X379" i="9"/>
  <c r="X380" i="9"/>
  <c r="X381" i="9"/>
  <c r="X382" i="9"/>
  <c r="X383" i="9"/>
  <c r="X384" i="9"/>
  <c r="X385" i="9"/>
  <c r="X386" i="9"/>
  <c r="X387" i="9"/>
  <c r="X388" i="9"/>
  <c r="X389" i="9"/>
  <c r="X390" i="9"/>
  <c r="X391" i="9"/>
  <c r="X392" i="9"/>
  <c r="X393" i="9"/>
  <c r="X394" i="9"/>
  <c r="X395" i="9"/>
  <c r="X396" i="9"/>
  <c r="X397" i="9"/>
  <c r="X398" i="9"/>
  <c r="X399" i="9"/>
  <c r="X400" i="9"/>
  <c r="X401" i="9"/>
  <c r="X402" i="9"/>
  <c r="X403" i="9"/>
  <c r="X404" i="9"/>
  <c r="X405" i="9"/>
  <c r="X406" i="9"/>
  <c r="X407" i="9"/>
  <c r="X408" i="9"/>
  <c r="X409" i="9"/>
  <c r="X410" i="9"/>
  <c r="X411" i="9"/>
  <c r="X412" i="9"/>
  <c r="X413" i="9"/>
  <c r="X414" i="9"/>
  <c r="X415" i="9"/>
  <c r="X416" i="9"/>
  <c r="X417" i="9"/>
  <c r="X418" i="9"/>
  <c r="X419" i="9"/>
  <c r="X420" i="9"/>
  <c r="X421" i="9"/>
  <c r="X422" i="9"/>
  <c r="X423" i="9"/>
  <c r="X424" i="9"/>
  <c r="X425" i="9"/>
  <c r="X426" i="9"/>
  <c r="X427" i="9"/>
  <c r="X428" i="9"/>
  <c r="X429" i="9"/>
  <c r="X430" i="9"/>
  <c r="X431" i="9"/>
  <c r="X432" i="9"/>
  <c r="X433" i="9"/>
  <c r="X434" i="9"/>
  <c r="X435" i="9"/>
  <c r="X436" i="9"/>
  <c r="X437" i="9"/>
  <c r="X438" i="9"/>
  <c r="X439" i="9"/>
  <c r="X440" i="9"/>
  <c r="X441" i="9"/>
  <c r="X442" i="9"/>
  <c r="X443" i="9"/>
  <c r="X444" i="9"/>
  <c r="X445" i="9"/>
  <c r="X446" i="9"/>
  <c r="X447" i="9"/>
  <c r="X448" i="9"/>
  <c r="X449" i="9"/>
  <c r="X450" i="9"/>
  <c r="X451" i="9"/>
  <c r="X452" i="9"/>
  <c r="X453" i="9"/>
  <c r="X454" i="9"/>
  <c r="X455" i="9"/>
  <c r="X456" i="9"/>
  <c r="X457" i="9"/>
  <c r="X458" i="9"/>
  <c r="X459" i="9"/>
  <c r="X460" i="9"/>
  <c r="X461" i="9"/>
  <c r="X462" i="9"/>
  <c r="X463" i="9"/>
  <c r="X464" i="9"/>
  <c r="X465" i="9"/>
  <c r="X466" i="9"/>
  <c r="X467" i="9"/>
  <c r="X468" i="9"/>
  <c r="X469" i="9"/>
  <c r="X470" i="9"/>
  <c r="X471" i="9"/>
  <c r="X472" i="9"/>
  <c r="X473" i="9"/>
  <c r="X474" i="9"/>
  <c r="X475" i="9"/>
  <c r="X476" i="9"/>
  <c r="X477" i="9"/>
  <c r="X478" i="9"/>
  <c r="X479" i="9"/>
  <c r="X480" i="9"/>
  <c r="X481" i="9"/>
  <c r="X482" i="9"/>
  <c r="X483" i="9"/>
  <c r="X484" i="9"/>
  <c r="X485" i="9"/>
  <c r="X486" i="9"/>
  <c r="X487" i="9"/>
  <c r="X488" i="9"/>
  <c r="X489" i="9"/>
  <c r="X490" i="9"/>
  <c r="X491" i="9"/>
  <c r="X492" i="9"/>
  <c r="X493" i="9"/>
  <c r="X494" i="9"/>
  <c r="X495" i="9"/>
  <c r="X496" i="9"/>
  <c r="X497" i="9"/>
  <c r="X498" i="9"/>
  <c r="X499" i="9"/>
  <c r="X500" i="9"/>
  <c r="X501" i="9"/>
  <c r="X502" i="9"/>
  <c r="X503" i="9"/>
  <c r="X504" i="9"/>
  <c r="X505" i="9"/>
  <c r="X506" i="9"/>
  <c r="X507" i="9"/>
  <c r="X508" i="9"/>
  <c r="X509" i="9"/>
  <c r="X510" i="9"/>
  <c r="X511" i="9"/>
  <c r="X512" i="9"/>
  <c r="X513" i="9"/>
  <c r="X514" i="9"/>
  <c r="X515" i="9"/>
  <c r="X516" i="9"/>
  <c r="X517" i="9"/>
  <c r="X518" i="9"/>
  <c r="X519" i="9"/>
  <c r="X520" i="9"/>
  <c r="X521" i="9"/>
  <c r="X522" i="9"/>
  <c r="X523" i="9"/>
  <c r="X524" i="9"/>
  <c r="X525" i="9"/>
  <c r="X526" i="9"/>
  <c r="X527" i="9"/>
  <c r="X528" i="9"/>
  <c r="X529" i="9"/>
  <c r="X530" i="9"/>
  <c r="X531" i="9"/>
  <c r="X532" i="9"/>
  <c r="X533" i="9"/>
  <c r="X534" i="9"/>
  <c r="X535" i="9"/>
  <c r="X536" i="9"/>
  <c r="X537" i="9"/>
  <c r="X538" i="9"/>
  <c r="X539" i="9"/>
  <c r="X540" i="9"/>
  <c r="X541" i="9"/>
  <c r="X542" i="9"/>
  <c r="X543" i="9"/>
  <c r="X544" i="9"/>
  <c r="X545" i="9"/>
  <c r="X546" i="9"/>
  <c r="X547" i="9"/>
  <c r="X548" i="9"/>
  <c r="X549" i="9"/>
  <c r="X550" i="9"/>
  <c r="X551" i="9"/>
  <c r="X552" i="9"/>
  <c r="X553" i="9"/>
  <c r="X554" i="9"/>
  <c r="X555" i="9"/>
  <c r="X556" i="9"/>
  <c r="X557" i="9"/>
  <c r="X558" i="9"/>
  <c r="X559" i="9"/>
  <c r="X560" i="9"/>
  <c r="X561" i="9"/>
  <c r="X562" i="9"/>
  <c r="X563" i="9"/>
  <c r="X564" i="9"/>
  <c r="X565" i="9"/>
  <c r="X566" i="9"/>
  <c r="X567" i="9"/>
  <c r="X568" i="9"/>
  <c r="X569" i="9"/>
  <c r="X570" i="9"/>
  <c r="X571" i="9"/>
  <c r="X572" i="9"/>
  <c r="X573" i="9"/>
  <c r="X574" i="9"/>
  <c r="X575" i="9"/>
  <c r="X576" i="9"/>
  <c r="X577" i="9"/>
  <c r="X578" i="9"/>
  <c r="X579" i="9"/>
  <c r="X580" i="9"/>
  <c r="X581" i="9"/>
  <c r="X582" i="9"/>
  <c r="X583" i="9"/>
  <c r="X584" i="9"/>
  <c r="X585" i="9"/>
  <c r="X586" i="9"/>
  <c r="X587" i="9"/>
  <c r="X588" i="9"/>
  <c r="X589" i="9"/>
  <c r="X590" i="9"/>
  <c r="X591" i="9"/>
  <c r="X592" i="9"/>
  <c r="X593" i="9"/>
  <c r="X594" i="9"/>
  <c r="X595" i="9"/>
  <c r="X596" i="9"/>
  <c r="X597" i="9"/>
  <c r="X598" i="9"/>
  <c r="X599" i="9"/>
  <c r="X600" i="9"/>
  <c r="X601" i="9"/>
  <c r="X602" i="9"/>
  <c r="X603" i="9"/>
  <c r="X604" i="9"/>
  <c r="X605" i="9"/>
  <c r="X606" i="9"/>
  <c r="X607" i="9"/>
  <c r="X608" i="9"/>
  <c r="X609" i="9"/>
  <c r="X610" i="9"/>
  <c r="X611" i="9"/>
  <c r="X612" i="9"/>
  <c r="X613" i="9"/>
  <c r="X614" i="9"/>
  <c r="X615" i="9"/>
  <c r="X616" i="9"/>
  <c r="X617" i="9"/>
  <c r="X618" i="9"/>
  <c r="X619" i="9"/>
  <c r="X620" i="9"/>
  <c r="X621" i="9"/>
  <c r="X622" i="9"/>
  <c r="X623" i="9"/>
  <c r="X624" i="9"/>
  <c r="X625" i="9"/>
  <c r="X626" i="9"/>
  <c r="X627" i="9"/>
  <c r="X628" i="9"/>
  <c r="X629" i="9"/>
  <c r="X630" i="9"/>
  <c r="X631" i="9"/>
  <c r="X632" i="9"/>
  <c r="X633" i="9"/>
  <c r="X634" i="9"/>
  <c r="X635" i="9"/>
  <c r="X636" i="9"/>
  <c r="X637" i="9"/>
  <c r="X638" i="9"/>
  <c r="X639" i="9"/>
  <c r="X640" i="9"/>
  <c r="X641" i="9"/>
  <c r="X642" i="9"/>
  <c r="X643" i="9"/>
  <c r="X644" i="9"/>
  <c r="X645" i="9"/>
  <c r="X646" i="9"/>
  <c r="X647" i="9"/>
  <c r="X648" i="9"/>
  <c r="X649" i="9"/>
  <c r="X650" i="9"/>
  <c r="X651" i="9"/>
  <c r="X652" i="9"/>
  <c r="X653" i="9"/>
  <c r="X654" i="9"/>
  <c r="X655" i="9"/>
  <c r="X656" i="9"/>
  <c r="X657" i="9"/>
  <c r="X658" i="9"/>
  <c r="X659" i="9"/>
  <c r="X660" i="9"/>
  <c r="X661" i="9"/>
  <c r="X662" i="9"/>
  <c r="X663" i="9"/>
  <c r="X664" i="9"/>
  <c r="X665" i="9"/>
  <c r="X666" i="9"/>
  <c r="X667" i="9"/>
  <c r="X668" i="9"/>
  <c r="X669" i="9"/>
  <c r="X670" i="9"/>
  <c r="X671" i="9"/>
  <c r="X672" i="9"/>
  <c r="X673" i="9"/>
  <c r="X674" i="9"/>
  <c r="X675" i="9"/>
  <c r="X676" i="9"/>
  <c r="X677" i="9"/>
  <c r="X678" i="9"/>
  <c r="X679" i="9"/>
  <c r="X680" i="9"/>
  <c r="X681" i="9"/>
  <c r="X682" i="9"/>
  <c r="X683" i="9"/>
  <c r="X684" i="9"/>
  <c r="X685" i="9"/>
  <c r="X686" i="9"/>
  <c r="X687" i="9"/>
  <c r="X688" i="9"/>
  <c r="X689" i="9"/>
  <c r="X690" i="9"/>
  <c r="X691" i="9"/>
  <c r="X692" i="9"/>
  <c r="X693" i="9"/>
  <c r="X694" i="9"/>
  <c r="X695" i="9"/>
  <c r="X696" i="9"/>
  <c r="X697" i="9"/>
  <c r="X698" i="9"/>
  <c r="X699" i="9"/>
  <c r="X700" i="9"/>
  <c r="X701" i="9"/>
  <c r="X702" i="9"/>
  <c r="X703" i="9"/>
  <c r="X704" i="9"/>
  <c r="X705" i="9"/>
  <c r="X706" i="9"/>
  <c r="X707" i="9"/>
  <c r="X708" i="9"/>
  <c r="X709" i="9"/>
  <c r="X710" i="9"/>
  <c r="X711" i="9"/>
  <c r="X712" i="9"/>
  <c r="X713" i="9"/>
  <c r="X714" i="9"/>
  <c r="X715" i="9"/>
  <c r="X716" i="9"/>
  <c r="X717" i="9"/>
  <c r="X718" i="9"/>
  <c r="X719" i="9"/>
  <c r="X720" i="9"/>
  <c r="X721" i="9"/>
  <c r="X722" i="9"/>
  <c r="X723" i="9"/>
  <c r="X724" i="9"/>
  <c r="X725" i="9"/>
  <c r="X726" i="9"/>
  <c r="X727" i="9"/>
  <c r="X728" i="9"/>
  <c r="X729" i="9"/>
  <c r="X730" i="9"/>
  <c r="X731" i="9"/>
  <c r="X732" i="9"/>
  <c r="X733" i="9"/>
  <c r="X734" i="9"/>
  <c r="X735" i="9"/>
  <c r="X736" i="9"/>
  <c r="X737" i="9"/>
  <c r="X738" i="9"/>
  <c r="X739" i="9"/>
  <c r="X740" i="9"/>
  <c r="X741" i="9"/>
  <c r="X742" i="9"/>
  <c r="X743" i="9"/>
  <c r="X744" i="9"/>
  <c r="X745" i="9"/>
  <c r="X746" i="9"/>
  <c r="X747" i="9"/>
  <c r="X748" i="9"/>
  <c r="X749" i="9"/>
  <c r="X750" i="9"/>
  <c r="X751" i="9"/>
  <c r="X752" i="9"/>
  <c r="X753" i="9"/>
  <c r="X754" i="9"/>
  <c r="X755" i="9"/>
  <c r="X756" i="9"/>
  <c r="X757" i="9"/>
  <c r="X758" i="9"/>
  <c r="X759" i="9"/>
  <c r="X760" i="9"/>
  <c r="X761" i="9"/>
  <c r="X762" i="9"/>
  <c r="X763" i="9"/>
  <c r="X764" i="9"/>
  <c r="X765" i="9"/>
  <c r="X766" i="9"/>
  <c r="X767" i="9"/>
  <c r="X768" i="9"/>
  <c r="X769" i="9"/>
  <c r="X770" i="9"/>
  <c r="X771" i="9"/>
  <c r="X772" i="9"/>
  <c r="X773" i="9"/>
  <c r="X774" i="9"/>
  <c r="X775" i="9"/>
  <c r="X776" i="9"/>
  <c r="X777" i="9"/>
  <c r="X778" i="9"/>
  <c r="X779" i="9"/>
  <c r="X780" i="9"/>
  <c r="X781" i="9"/>
  <c r="X782" i="9"/>
  <c r="X783" i="9"/>
  <c r="X784" i="9"/>
  <c r="X785" i="9"/>
  <c r="X786" i="9"/>
  <c r="X787" i="9"/>
  <c r="X788" i="9"/>
  <c r="X789" i="9"/>
  <c r="X790" i="9"/>
  <c r="X791" i="9"/>
  <c r="X792" i="9"/>
  <c r="X793" i="9"/>
  <c r="X794" i="9"/>
  <c r="X795" i="9"/>
  <c r="X796" i="9"/>
  <c r="X797" i="9"/>
  <c r="X798" i="9"/>
  <c r="X799" i="9"/>
  <c r="X800" i="9"/>
  <c r="X801" i="9"/>
  <c r="X802" i="9"/>
  <c r="X803" i="9"/>
  <c r="X804" i="9"/>
  <c r="X805" i="9"/>
  <c r="X806" i="9"/>
  <c r="X807" i="9"/>
  <c r="X808" i="9"/>
  <c r="X809" i="9"/>
  <c r="X810" i="9"/>
  <c r="X811" i="9"/>
  <c r="X812" i="9"/>
  <c r="X813" i="9"/>
  <c r="X814" i="9"/>
  <c r="X815" i="9"/>
  <c r="X816" i="9"/>
  <c r="X817" i="9"/>
  <c r="X818" i="9"/>
  <c r="X819" i="9"/>
  <c r="X820" i="9"/>
  <c r="X821" i="9"/>
  <c r="X822" i="9"/>
  <c r="X823" i="9"/>
  <c r="X824" i="9"/>
  <c r="X825" i="9"/>
  <c r="X826" i="9"/>
  <c r="X827" i="9"/>
  <c r="X828" i="9"/>
  <c r="X829" i="9"/>
  <c r="X830" i="9"/>
  <c r="X831" i="9"/>
  <c r="X832" i="9"/>
  <c r="X833" i="9"/>
  <c r="X834" i="9"/>
  <c r="X835" i="9"/>
  <c r="X836" i="9"/>
  <c r="X837" i="9"/>
  <c r="X838" i="9"/>
  <c r="X839" i="9"/>
  <c r="X840" i="9"/>
  <c r="X841" i="9"/>
  <c r="X842" i="9"/>
  <c r="X843" i="9"/>
  <c r="X844" i="9"/>
  <c r="X845" i="9"/>
  <c r="X846" i="9"/>
  <c r="X847" i="9"/>
  <c r="X848" i="9"/>
  <c r="X849" i="9"/>
  <c r="X850" i="9"/>
  <c r="X851" i="9"/>
  <c r="X852" i="9"/>
  <c r="X853" i="9"/>
  <c r="X854" i="9"/>
  <c r="X855" i="9"/>
  <c r="X856" i="9"/>
  <c r="X857" i="9"/>
  <c r="X858" i="9"/>
  <c r="X859" i="9"/>
  <c r="X860" i="9"/>
  <c r="X861" i="9"/>
  <c r="X862" i="9"/>
  <c r="X863" i="9"/>
  <c r="X864" i="9"/>
  <c r="X865" i="9"/>
  <c r="X866" i="9"/>
  <c r="X867" i="9"/>
  <c r="X868" i="9"/>
  <c r="X869" i="9"/>
  <c r="X870" i="9"/>
  <c r="X871" i="9"/>
  <c r="X872" i="9"/>
  <c r="X873" i="9"/>
  <c r="X874" i="9"/>
  <c r="X875" i="9"/>
  <c r="X876" i="9"/>
  <c r="X877" i="9"/>
  <c r="X878" i="9"/>
  <c r="X879" i="9"/>
  <c r="X880" i="9"/>
  <c r="X881" i="9"/>
  <c r="X882" i="9"/>
  <c r="X883" i="9"/>
  <c r="X884" i="9"/>
  <c r="X885" i="9"/>
  <c r="X886" i="9"/>
  <c r="X887" i="9"/>
  <c r="X888" i="9"/>
  <c r="X889" i="9"/>
  <c r="X890" i="9"/>
  <c r="X891" i="9"/>
  <c r="X892" i="9"/>
  <c r="X893" i="9"/>
  <c r="X894" i="9"/>
  <c r="X895" i="9"/>
  <c r="X896" i="9"/>
  <c r="X897" i="9"/>
  <c r="X898" i="9"/>
  <c r="X899" i="9"/>
  <c r="X900" i="9"/>
  <c r="X901" i="9"/>
  <c r="X902" i="9"/>
  <c r="X903" i="9"/>
  <c r="X904" i="9"/>
  <c r="X905" i="9"/>
  <c r="X906" i="9"/>
  <c r="X907" i="9"/>
  <c r="X908" i="9"/>
  <c r="X909" i="9"/>
  <c r="X910" i="9"/>
  <c r="X911" i="9"/>
  <c r="X912" i="9"/>
  <c r="X913" i="9"/>
  <c r="X914" i="9"/>
  <c r="X915" i="9"/>
  <c r="X916" i="9"/>
  <c r="X917" i="9"/>
  <c r="X918" i="9"/>
  <c r="X919" i="9"/>
  <c r="X920" i="9"/>
  <c r="X921" i="9"/>
  <c r="X922" i="9"/>
  <c r="X923" i="9"/>
  <c r="X924" i="9"/>
  <c r="X925" i="9"/>
  <c r="X926" i="9"/>
  <c r="X927" i="9"/>
  <c r="X928" i="9"/>
  <c r="X929" i="9"/>
  <c r="X930" i="9"/>
  <c r="X931" i="9"/>
  <c r="X932" i="9"/>
  <c r="X933" i="9"/>
  <c r="X934" i="9"/>
  <c r="X935" i="9"/>
  <c r="X936" i="9"/>
  <c r="X937" i="9"/>
  <c r="X938" i="9"/>
  <c r="X939" i="9"/>
  <c r="X940" i="9"/>
  <c r="X941" i="9"/>
  <c r="X942" i="9"/>
  <c r="X943" i="9"/>
  <c r="X944" i="9"/>
  <c r="X945" i="9"/>
  <c r="X946" i="9"/>
  <c r="X947" i="9"/>
  <c r="X948" i="9"/>
  <c r="X949" i="9"/>
  <c r="X950" i="9"/>
  <c r="X951" i="9"/>
  <c r="X952" i="9"/>
  <c r="X953" i="9"/>
  <c r="X954" i="9"/>
  <c r="X955" i="9"/>
  <c r="X956" i="9"/>
  <c r="X957" i="9"/>
  <c r="X958" i="9"/>
  <c r="X959" i="9"/>
  <c r="X960" i="9"/>
  <c r="X961" i="9"/>
  <c r="X962" i="9"/>
  <c r="X963" i="9"/>
  <c r="X964" i="9"/>
  <c r="X965" i="9"/>
  <c r="X966" i="9"/>
  <c r="X967" i="9"/>
  <c r="X968" i="9"/>
  <c r="X969" i="9"/>
  <c r="X970" i="9"/>
  <c r="X971" i="9"/>
  <c r="X972" i="9"/>
  <c r="X973" i="9"/>
  <c r="X974" i="9"/>
  <c r="X975" i="9"/>
  <c r="X976" i="9"/>
  <c r="X977" i="9"/>
  <c r="X978" i="9"/>
  <c r="X979" i="9"/>
  <c r="X980" i="9"/>
  <c r="X981" i="9"/>
  <c r="X982" i="9"/>
  <c r="X983" i="9"/>
  <c r="X984" i="9"/>
  <c r="X985" i="9"/>
  <c r="X986" i="9"/>
  <c r="X987" i="9"/>
  <c r="X988" i="9"/>
  <c r="X989" i="9"/>
  <c r="X990" i="9"/>
  <c r="X991" i="9"/>
  <c r="X992" i="9"/>
  <c r="X993" i="9"/>
  <c r="X994" i="9"/>
  <c r="X995" i="9"/>
  <c r="X996" i="9"/>
  <c r="X997" i="9"/>
  <c r="X998" i="9"/>
  <c r="X999" i="9"/>
  <c r="X1000" i="9"/>
  <c r="X1001" i="9"/>
  <c r="X1002" i="9"/>
  <c r="X1003" i="9"/>
  <c r="X1004" i="9"/>
  <c r="X1005" i="9"/>
  <c r="X1006" i="9"/>
  <c r="X1007" i="9"/>
  <c r="X1008" i="9"/>
  <c r="X1009" i="9"/>
  <c r="X1010" i="9"/>
  <c r="X1011" i="9"/>
  <c r="X1012" i="9"/>
  <c r="X1013" i="9"/>
  <c r="X1014" i="9"/>
  <c r="X1015" i="9"/>
  <c r="X1016" i="9"/>
  <c r="X1017" i="9"/>
  <c r="X1018" i="9"/>
  <c r="X1019" i="9"/>
  <c r="X1020" i="9"/>
  <c r="X1021" i="9"/>
  <c r="X1022" i="9"/>
  <c r="X1023" i="9"/>
  <c r="X1024" i="9"/>
  <c r="X1025" i="9"/>
  <c r="X1026" i="9"/>
  <c r="X1027" i="9"/>
  <c r="X1028" i="9"/>
  <c r="X1029" i="9"/>
  <c r="X1030" i="9"/>
  <c r="X1031" i="9"/>
  <c r="X1032" i="9"/>
  <c r="X1033" i="9"/>
  <c r="X1034" i="9"/>
  <c r="X1035" i="9"/>
  <c r="X1036" i="9"/>
  <c r="X1037" i="9"/>
  <c r="X1038" i="9"/>
  <c r="X1039" i="9"/>
  <c r="X1040" i="9"/>
  <c r="X1041" i="9"/>
  <c r="X1042" i="9"/>
  <c r="X1043" i="9"/>
  <c r="X1044" i="9"/>
  <c r="X1045" i="9"/>
  <c r="X1046" i="9"/>
  <c r="X1047" i="9"/>
  <c r="X1048" i="9"/>
  <c r="X1049" i="9"/>
  <c r="X1050" i="9"/>
  <c r="X1051" i="9"/>
  <c r="X1052" i="9"/>
  <c r="X1053" i="9"/>
  <c r="X1054" i="9"/>
  <c r="X1055" i="9"/>
  <c r="X1056" i="9"/>
  <c r="X1057" i="9"/>
  <c r="X1058" i="9"/>
  <c r="X1059" i="9"/>
  <c r="X1060" i="9"/>
  <c r="X1061" i="9"/>
  <c r="X1062" i="9"/>
  <c r="X1063" i="9"/>
  <c r="X1064" i="9"/>
  <c r="X1065" i="9"/>
  <c r="X1066" i="9"/>
  <c r="X1067" i="9"/>
  <c r="X1068" i="9"/>
  <c r="X1069" i="9"/>
  <c r="X1070" i="9"/>
  <c r="X1071" i="9"/>
  <c r="X1072" i="9"/>
  <c r="X1073" i="9"/>
  <c r="X1074" i="9"/>
  <c r="X1075" i="9"/>
  <c r="X1076" i="9"/>
  <c r="X1077" i="9"/>
  <c r="X1078" i="9"/>
  <c r="X1079" i="9"/>
  <c r="X1080" i="9"/>
  <c r="X1081" i="9"/>
  <c r="X1082" i="9"/>
  <c r="X1083" i="9"/>
  <c r="X1084" i="9"/>
  <c r="X1085" i="9"/>
  <c r="X1086" i="9"/>
  <c r="X1087" i="9"/>
  <c r="X1088" i="9"/>
  <c r="X1089" i="9"/>
  <c r="X1090" i="9"/>
  <c r="X1091" i="9"/>
  <c r="X1092" i="9"/>
  <c r="X1093" i="9"/>
  <c r="X1094" i="9"/>
  <c r="X1095" i="9"/>
  <c r="X1096" i="9"/>
  <c r="X1097" i="9"/>
  <c r="X1098" i="9"/>
  <c r="X1099" i="9"/>
  <c r="X1100" i="9"/>
  <c r="X1101" i="9"/>
  <c r="X1102" i="9"/>
  <c r="X1103" i="9"/>
  <c r="X1104" i="9"/>
  <c r="X1105" i="9"/>
  <c r="X1106" i="9"/>
  <c r="X1107" i="9"/>
  <c r="X1108" i="9"/>
  <c r="X1109" i="9"/>
  <c r="X1110" i="9"/>
  <c r="X1111" i="9"/>
  <c r="X1112" i="9"/>
  <c r="X1113" i="9"/>
  <c r="X1114" i="9"/>
  <c r="X1115" i="9"/>
  <c r="X1116" i="9"/>
  <c r="X1117" i="9"/>
  <c r="X1118" i="9"/>
  <c r="X1119" i="9"/>
  <c r="X1120" i="9"/>
  <c r="X1121" i="9"/>
  <c r="X1122" i="9"/>
  <c r="X1123" i="9"/>
  <c r="X1124" i="9"/>
  <c r="X1125" i="9"/>
  <c r="X1126" i="9"/>
  <c r="X1127" i="9"/>
  <c r="X1128" i="9"/>
  <c r="X1129" i="9"/>
  <c r="X1130" i="9"/>
  <c r="X1131" i="9"/>
  <c r="X1132" i="9"/>
  <c r="X1133" i="9"/>
  <c r="X1134" i="9"/>
  <c r="X1135" i="9"/>
  <c r="X1136" i="9"/>
  <c r="X1137" i="9"/>
  <c r="X1138" i="9"/>
  <c r="X1139" i="9"/>
  <c r="X1140" i="9"/>
  <c r="X1141" i="9"/>
  <c r="X1142" i="9"/>
  <c r="X1143" i="9"/>
  <c r="X1144" i="9"/>
  <c r="X1145" i="9"/>
  <c r="X1146" i="9"/>
  <c r="X1147" i="9"/>
  <c r="X1148" i="9"/>
  <c r="X1149" i="9"/>
  <c r="X1150" i="9"/>
  <c r="X1151" i="9"/>
  <c r="X1152" i="9"/>
  <c r="X1153" i="9"/>
  <c r="X1154" i="9"/>
  <c r="X1155" i="9"/>
  <c r="X1156" i="9"/>
  <c r="X1157" i="9"/>
  <c r="X1158" i="9"/>
  <c r="X1159" i="9"/>
  <c r="X1160" i="9"/>
  <c r="X1161" i="9"/>
  <c r="X1162" i="9"/>
  <c r="X1163" i="9"/>
  <c r="X1164" i="9"/>
  <c r="X1165" i="9"/>
  <c r="X1166" i="9"/>
  <c r="X1167" i="9"/>
  <c r="X1168" i="9"/>
  <c r="X1169" i="9"/>
  <c r="X1170" i="9"/>
  <c r="X1171" i="9"/>
  <c r="X1172" i="9"/>
  <c r="X1173" i="9"/>
  <c r="X1174" i="9"/>
  <c r="X1175" i="9"/>
  <c r="X1176" i="9"/>
  <c r="X1177" i="9"/>
  <c r="X1178" i="9"/>
  <c r="X1179" i="9"/>
  <c r="X1180" i="9"/>
  <c r="X1181" i="9"/>
  <c r="X1182" i="9"/>
  <c r="X1183" i="9"/>
  <c r="X1184" i="9"/>
  <c r="X1185" i="9"/>
  <c r="X1186" i="9"/>
  <c r="X1187" i="9"/>
  <c r="X1188" i="9"/>
  <c r="X1189" i="9"/>
  <c r="X1190" i="9"/>
  <c r="X1191" i="9"/>
  <c r="X1192" i="9"/>
  <c r="X1193" i="9"/>
  <c r="X1194" i="9"/>
  <c r="X1195" i="9"/>
  <c r="X1196" i="9"/>
  <c r="X1197" i="9"/>
  <c r="X1198" i="9"/>
  <c r="X1199" i="9"/>
  <c r="X1200" i="9"/>
  <c r="X1201" i="9"/>
  <c r="X1202" i="9"/>
  <c r="X1203" i="9"/>
  <c r="X1204" i="9"/>
  <c r="X1205" i="9"/>
  <c r="X1206" i="9"/>
  <c r="X1207" i="9"/>
  <c r="X1208" i="9"/>
  <c r="X1209" i="9"/>
  <c r="X1210" i="9"/>
  <c r="X1211" i="9"/>
  <c r="X1212" i="9"/>
  <c r="X1213" i="9"/>
  <c r="X1214" i="9"/>
  <c r="X1215" i="9"/>
  <c r="X1216" i="9"/>
  <c r="X1217" i="9"/>
  <c r="X1218" i="9"/>
  <c r="X1219" i="9"/>
  <c r="X1220" i="9"/>
  <c r="X1221" i="9"/>
  <c r="X1222" i="9"/>
  <c r="X1223" i="9"/>
  <c r="X1224" i="9"/>
  <c r="X1225" i="9"/>
  <c r="X1226" i="9"/>
  <c r="X1227" i="9"/>
  <c r="X1228" i="9"/>
  <c r="X1229" i="9"/>
  <c r="X1230" i="9"/>
  <c r="X1231" i="9"/>
  <c r="X1232" i="9"/>
  <c r="X1233" i="9"/>
  <c r="X1234" i="9"/>
  <c r="X1235" i="9"/>
  <c r="X1236" i="9"/>
  <c r="X1237" i="9"/>
  <c r="X1238" i="9"/>
  <c r="X1239" i="9"/>
  <c r="X1240" i="9"/>
  <c r="X1241" i="9"/>
  <c r="X1242" i="9"/>
  <c r="X1243" i="9"/>
  <c r="X1244" i="9"/>
  <c r="X1245" i="9"/>
  <c r="X1246" i="9"/>
  <c r="X1247" i="9"/>
  <c r="X1248" i="9"/>
  <c r="X1249" i="9"/>
  <c r="X1250" i="9"/>
  <c r="X1251" i="9"/>
  <c r="X1252" i="9"/>
  <c r="X1253" i="9"/>
  <c r="X1254" i="9"/>
  <c r="X1255" i="9"/>
  <c r="X1256" i="9"/>
  <c r="X1257" i="9"/>
  <c r="X1258" i="9"/>
  <c r="X1259" i="9"/>
  <c r="X1260" i="9"/>
  <c r="X1261" i="9"/>
  <c r="X1262" i="9"/>
  <c r="X1263" i="9"/>
  <c r="X1264" i="9"/>
  <c r="X1265" i="9"/>
  <c r="X1266" i="9"/>
  <c r="X1267" i="9"/>
  <c r="X1268" i="9"/>
  <c r="X1269" i="9"/>
  <c r="X1270" i="9"/>
  <c r="X1271" i="9"/>
  <c r="X1272" i="9"/>
  <c r="X1273" i="9"/>
  <c r="X1274" i="9"/>
  <c r="X1275" i="9"/>
  <c r="X1276" i="9"/>
  <c r="X1277" i="9"/>
  <c r="X1278" i="9"/>
  <c r="X1279" i="9"/>
  <c r="X1280" i="9"/>
  <c r="X1281" i="9"/>
  <c r="X1282" i="9"/>
  <c r="X1283" i="9"/>
  <c r="X1284" i="9"/>
  <c r="X1285" i="9"/>
  <c r="X1286" i="9"/>
  <c r="X1287" i="9"/>
  <c r="X1288" i="9"/>
  <c r="X1289" i="9"/>
  <c r="X1290" i="9"/>
  <c r="X1291" i="9"/>
  <c r="X1292" i="9"/>
  <c r="X1293" i="9"/>
  <c r="X1294" i="9"/>
  <c r="X1295" i="9"/>
  <c r="X1296" i="9"/>
  <c r="X1297" i="9"/>
  <c r="X1298" i="9"/>
  <c r="X1299" i="9"/>
  <c r="X1300" i="9"/>
  <c r="X1301" i="9"/>
  <c r="X1302" i="9"/>
  <c r="X1303" i="9"/>
  <c r="X1304" i="9"/>
  <c r="X1305" i="9"/>
  <c r="X1306" i="9"/>
  <c r="X1307" i="9"/>
  <c r="X1308" i="9"/>
  <c r="X1309" i="9"/>
  <c r="X1310" i="9"/>
  <c r="X1311" i="9"/>
  <c r="X1312" i="9"/>
  <c r="X1313" i="9"/>
  <c r="X1314" i="9"/>
  <c r="X1315" i="9"/>
  <c r="X1316" i="9"/>
  <c r="X1317" i="9"/>
  <c r="X1318" i="9"/>
  <c r="X1319" i="9"/>
  <c r="X1320" i="9"/>
  <c r="X1321" i="9"/>
  <c r="X1322" i="9"/>
  <c r="X1323" i="9"/>
  <c r="X1324" i="9"/>
  <c r="X1325" i="9"/>
  <c r="X1326" i="9"/>
  <c r="X1327" i="9"/>
  <c r="X1328" i="9"/>
  <c r="X1329" i="9"/>
  <c r="X1330" i="9"/>
  <c r="X1331" i="9"/>
  <c r="X1332" i="9"/>
  <c r="X1333" i="9"/>
  <c r="X1334" i="9"/>
  <c r="X1335" i="9"/>
  <c r="X1336" i="9"/>
  <c r="X1337" i="9"/>
  <c r="X1338" i="9"/>
  <c r="X1339" i="9"/>
  <c r="X1340" i="9"/>
  <c r="X1341" i="9"/>
  <c r="X1342" i="9"/>
  <c r="X1343" i="9"/>
  <c r="X1344" i="9"/>
  <c r="X1345" i="9"/>
  <c r="X1346" i="9"/>
  <c r="X1347" i="9"/>
  <c r="X1348" i="9"/>
  <c r="X1349" i="9"/>
  <c r="X1350" i="9"/>
  <c r="X1351" i="9"/>
  <c r="X1352" i="9"/>
  <c r="X1353" i="9"/>
  <c r="X1354" i="9"/>
  <c r="X1355" i="9"/>
  <c r="X1356" i="9"/>
  <c r="X1357" i="9"/>
  <c r="X1358" i="9"/>
  <c r="X1359" i="9"/>
  <c r="X1360" i="9"/>
  <c r="X1361" i="9"/>
  <c r="X1362" i="9"/>
  <c r="X1363" i="9"/>
  <c r="X1364" i="9"/>
  <c r="X1365" i="9"/>
  <c r="X1366" i="9"/>
  <c r="X1367" i="9"/>
  <c r="X1368" i="9"/>
  <c r="X1369" i="9"/>
  <c r="X1370" i="9"/>
  <c r="X1371" i="9"/>
  <c r="X1372" i="9"/>
  <c r="X1373" i="9"/>
  <c r="X1374" i="9"/>
  <c r="X1375" i="9"/>
  <c r="X1376" i="9"/>
  <c r="X1377" i="9"/>
  <c r="X1378" i="9"/>
  <c r="X1379" i="9"/>
  <c r="X1380" i="9"/>
  <c r="X1381" i="9"/>
  <c r="X1382" i="9"/>
  <c r="X1383" i="9"/>
  <c r="X1384" i="9"/>
  <c r="X1385" i="9"/>
  <c r="X1386" i="9"/>
  <c r="X1387" i="9"/>
  <c r="X1388" i="9"/>
  <c r="X1389" i="9"/>
  <c r="X1390" i="9"/>
  <c r="X1391" i="9"/>
  <c r="X1392" i="9"/>
  <c r="X1393" i="9"/>
  <c r="X1394" i="9"/>
  <c r="X1395" i="9"/>
  <c r="X1396" i="9"/>
  <c r="X1397" i="9"/>
  <c r="X1398" i="9"/>
  <c r="X1399" i="9"/>
  <c r="X1400" i="9"/>
  <c r="X1401" i="9"/>
  <c r="X1402" i="9"/>
  <c r="X1403" i="9"/>
  <c r="X1404" i="9"/>
  <c r="X1405" i="9"/>
  <c r="X1406" i="9"/>
  <c r="X1407" i="9"/>
  <c r="X1408" i="9"/>
  <c r="X1409" i="9"/>
  <c r="X1410" i="9"/>
  <c r="X1411" i="9"/>
  <c r="X1412" i="9"/>
  <c r="X1413" i="9"/>
  <c r="X1414" i="9"/>
  <c r="X1415" i="9"/>
  <c r="X1416" i="9"/>
  <c r="X1417" i="9"/>
  <c r="X1418" i="9"/>
  <c r="X1419" i="9"/>
  <c r="X1420" i="9"/>
  <c r="X1421" i="9"/>
  <c r="X1422" i="9"/>
  <c r="X1423" i="9"/>
  <c r="X1424" i="9"/>
  <c r="X1425" i="9"/>
  <c r="X1426" i="9"/>
  <c r="X1427" i="9"/>
  <c r="X1428" i="9"/>
  <c r="X1429" i="9"/>
  <c r="X1430" i="9"/>
  <c r="X1431" i="9"/>
  <c r="X1432" i="9"/>
  <c r="X1433" i="9"/>
  <c r="X1434" i="9"/>
  <c r="X1435" i="9"/>
  <c r="X1436" i="9"/>
  <c r="X1437" i="9"/>
  <c r="X1438" i="9"/>
  <c r="X1439" i="9"/>
  <c r="X1440" i="9"/>
  <c r="X1441" i="9"/>
  <c r="X1442" i="9"/>
  <c r="X1443" i="9"/>
  <c r="X1444" i="9"/>
  <c r="X1445" i="9"/>
  <c r="X1446" i="9"/>
  <c r="X1447" i="9"/>
  <c r="X1448" i="9"/>
  <c r="X1449" i="9"/>
  <c r="X1450" i="9"/>
  <c r="X1451" i="9"/>
  <c r="X1452" i="9"/>
  <c r="X1453" i="9"/>
  <c r="X1454" i="9"/>
  <c r="X1455" i="9"/>
  <c r="X1456" i="9"/>
  <c r="X1457" i="9"/>
  <c r="X1458" i="9"/>
  <c r="X1459" i="9"/>
  <c r="X1460" i="9"/>
  <c r="X1461" i="9"/>
  <c r="X1462" i="9"/>
  <c r="X1463" i="9"/>
  <c r="X1464" i="9"/>
  <c r="X1465" i="9"/>
  <c r="X1466" i="9"/>
  <c r="X1467" i="9"/>
  <c r="X1468" i="9"/>
  <c r="X1469" i="9"/>
  <c r="X1470" i="9"/>
  <c r="X1471" i="9"/>
  <c r="X1472" i="9"/>
  <c r="X1473" i="9"/>
  <c r="X1474" i="9"/>
  <c r="X1475" i="9"/>
  <c r="X1476" i="9"/>
  <c r="X1477" i="9"/>
  <c r="X1478" i="9"/>
  <c r="X1479" i="9"/>
  <c r="X1480" i="9"/>
  <c r="X1481" i="9"/>
  <c r="X1482" i="9"/>
  <c r="X1483" i="9"/>
  <c r="X1484" i="9"/>
  <c r="X1485" i="9"/>
  <c r="X1486" i="9"/>
  <c r="X1487" i="9"/>
  <c r="X1488" i="9"/>
  <c r="X1489" i="9"/>
  <c r="X1490" i="9"/>
  <c r="X1491" i="9"/>
  <c r="X1492" i="9"/>
  <c r="X1493" i="9"/>
  <c r="X1494" i="9"/>
  <c r="X1495" i="9"/>
  <c r="X1496" i="9"/>
  <c r="X1497" i="9"/>
  <c r="X1498" i="9"/>
  <c r="X1499" i="9"/>
  <c r="X1500" i="9"/>
  <c r="X1501" i="9"/>
  <c r="X1502" i="9"/>
  <c r="X1503" i="9"/>
  <c r="X1504" i="9"/>
  <c r="X1505" i="9"/>
  <c r="X1506" i="9"/>
  <c r="X1507" i="9"/>
  <c r="X1508" i="9"/>
  <c r="X1509" i="9"/>
  <c r="X1510" i="9"/>
  <c r="X1511" i="9"/>
  <c r="X1512" i="9"/>
  <c r="X1513" i="9"/>
  <c r="X1514" i="9"/>
  <c r="X1515" i="9"/>
  <c r="X1516" i="9"/>
  <c r="X1517" i="9"/>
  <c r="X1518" i="9"/>
  <c r="X1519" i="9"/>
  <c r="X1520" i="9"/>
  <c r="X1521" i="9"/>
  <c r="X1522" i="9"/>
  <c r="X1523" i="9"/>
  <c r="X1524" i="9"/>
  <c r="X1525" i="9"/>
  <c r="X1526" i="9"/>
  <c r="X1527" i="9"/>
  <c r="X1528" i="9"/>
  <c r="X1529" i="9"/>
  <c r="X1530" i="9"/>
  <c r="X1531" i="9"/>
  <c r="X1532" i="9"/>
  <c r="X1533" i="9"/>
  <c r="X1534" i="9"/>
  <c r="X1535" i="9"/>
  <c r="X1536" i="9"/>
  <c r="X1537" i="9"/>
  <c r="X1538" i="9"/>
  <c r="X1539" i="9"/>
  <c r="X1540" i="9"/>
  <c r="X1541" i="9"/>
  <c r="X1542" i="9"/>
  <c r="X1543" i="9"/>
  <c r="X1544" i="9"/>
  <c r="X1545" i="9"/>
  <c r="X1546" i="9"/>
  <c r="X1547" i="9"/>
  <c r="X1548" i="9"/>
  <c r="X1549" i="9"/>
  <c r="X1550" i="9"/>
  <c r="X1551" i="9"/>
  <c r="X1552" i="9"/>
  <c r="X1553" i="9"/>
  <c r="X1554" i="9"/>
  <c r="X1555" i="9"/>
  <c r="X1556" i="9"/>
  <c r="X1557" i="9"/>
  <c r="X1558" i="9"/>
  <c r="X1559" i="9"/>
  <c r="X1560" i="9"/>
  <c r="X1561" i="9"/>
  <c r="X1562" i="9"/>
  <c r="X1563" i="9"/>
  <c r="X1564" i="9"/>
  <c r="X1565" i="9"/>
  <c r="X1566" i="9"/>
  <c r="X1567" i="9"/>
  <c r="X1568" i="9"/>
  <c r="X1569" i="9"/>
  <c r="X1570" i="9"/>
  <c r="X1571" i="9"/>
  <c r="X1572" i="9"/>
  <c r="X1573" i="9"/>
  <c r="X1574" i="9"/>
  <c r="X1575" i="9"/>
  <c r="X1576" i="9"/>
  <c r="X1577" i="9"/>
  <c r="X1578" i="9"/>
  <c r="X1579" i="9"/>
  <c r="X1580" i="9"/>
  <c r="X1581" i="9"/>
  <c r="X1582" i="9"/>
  <c r="X1583" i="9"/>
  <c r="X1584" i="9"/>
  <c r="X1585" i="9"/>
  <c r="X1586" i="9"/>
  <c r="X1587" i="9"/>
  <c r="X1588" i="9"/>
  <c r="X1589" i="9"/>
  <c r="X1590" i="9"/>
  <c r="X1591" i="9"/>
  <c r="X1592" i="9"/>
  <c r="X1593" i="9"/>
  <c r="X1594" i="9"/>
  <c r="X1595" i="9"/>
  <c r="X1596" i="9"/>
  <c r="X1597" i="9"/>
  <c r="X1598" i="9"/>
  <c r="X1599" i="9"/>
  <c r="X1600" i="9"/>
  <c r="X1601" i="9"/>
  <c r="X1602" i="9"/>
  <c r="X1603" i="9"/>
  <c r="X1604" i="9"/>
  <c r="X1605" i="9"/>
  <c r="X1606" i="9"/>
  <c r="X1607" i="9"/>
  <c r="X1608" i="9"/>
  <c r="X1609" i="9"/>
  <c r="X1610" i="9"/>
  <c r="X1611" i="9"/>
  <c r="X1612" i="9"/>
  <c r="X1613" i="9"/>
  <c r="X1614" i="9"/>
  <c r="X1615" i="9"/>
  <c r="X1616" i="9"/>
  <c r="X1617" i="9"/>
  <c r="X1618" i="9"/>
  <c r="X1619" i="9"/>
  <c r="X1620" i="9"/>
  <c r="X1621" i="9"/>
  <c r="X1622" i="9"/>
  <c r="X1623" i="9"/>
  <c r="X1624" i="9"/>
  <c r="X1625" i="9"/>
  <c r="X1626" i="9"/>
  <c r="X1627" i="9"/>
  <c r="X1628" i="9"/>
  <c r="X1629" i="9"/>
  <c r="X1630" i="9"/>
  <c r="X1631" i="9"/>
  <c r="X1632" i="9"/>
  <c r="X1633" i="9"/>
  <c r="X1634" i="9"/>
  <c r="X1635" i="9"/>
  <c r="X1636" i="9"/>
  <c r="X1637" i="9"/>
  <c r="X1638" i="9"/>
  <c r="X1639" i="9"/>
  <c r="X1640" i="9"/>
  <c r="X1641" i="9"/>
  <c r="X1642" i="9"/>
  <c r="X1643" i="9"/>
  <c r="X1644" i="9"/>
  <c r="X1645" i="9"/>
  <c r="X1646" i="9"/>
  <c r="X1647" i="9"/>
  <c r="X1648" i="9"/>
  <c r="X1649" i="9"/>
  <c r="X1650" i="9"/>
  <c r="X1651" i="9"/>
  <c r="X1652" i="9"/>
  <c r="X1653" i="9"/>
  <c r="X1654" i="9"/>
  <c r="X1655" i="9"/>
  <c r="X1656" i="9"/>
  <c r="X1657" i="9"/>
  <c r="X1658" i="9"/>
  <c r="X1659" i="9"/>
  <c r="X1660" i="9"/>
  <c r="X1661" i="9"/>
  <c r="X1662" i="9"/>
  <c r="X1663" i="9"/>
  <c r="X1664" i="9"/>
  <c r="X1665" i="9"/>
  <c r="X1666" i="9"/>
  <c r="X1667" i="9"/>
  <c r="X1668" i="9"/>
  <c r="X1669" i="9"/>
  <c r="X1670" i="9"/>
  <c r="X1671" i="9"/>
  <c r="X1672" i="9"/>
  <c r="X1673" i="9"/>
  <c r="X1674" i="9"/>
  <c r="X1675" i="9"/>
  <c r="X1676" i="9"/>
  <c r="X1677" i="9"/>
  <c r="X1678" i="9"/>
  <c r="X1679" i="9"/>
  <c r="X1680" i="9"/>
  <c r="X1681" i="9"/>
  <c r="X1682" i="9"/>
  <c r="X1683" i="9"/>
  <c r="X1684" i="9"/>
  <c r="X1685" i="9"/>
  <c r="X1686" i="9"/>
  <c r="X1687" i="9"/>
  <c r="X1688" i="9"/>
  <c r="X1689" i="9"/>
  <c r="X1690" i="9"/>
  <c r="X1691" i="9"/>
  <c r="X1692" i="9"/>
  <c r="X1693" i="9"/>
  <c r="X1694" i="9"/>
  <c r="X1695" i="9"/>
  <c r="X1696" i="9"/>
  <c r="X1697" i="9"/>
  <c r="X1698" i="9"/>
  <c r="X1699" i="9"/>
  <c r="X1700" i="9"/>
  <c r="X1701" i="9"/>
  <c r="X1702" i="9"/>
  <c r="X1703" i="9"/>
  <c r="X1704" i="9"/>
  <c r="X1705" i="9"/>
  <c r="X1706" i="9"/>
  <c r="X1707" i="9"/>
  <c r="X1708" i="9"/>
  <c r="X1709" i="9"/>
  <c r="X1710" i="9"/>
  <c r="X1711" i="9"/>
  <c r="X1712" i="9"/>
  <c r="X1713" i="9"/>
  <c r="X1714" i="9"/>
  <c r="X1715" i="9"/>
  <c r="X1716" i="9"/>
  <c r="X1717" i="9"/>
  <c r="X1718" i="9"/>
  <c r="X1719" i="9"/>
  <c r="X1720" i="9"/>
  <c r="X1721" i="9"/>
  <c r="X1722" i="9"/>
  <c r="X1723" i="9"/>
  <c r="X1724" i="9"/>
  <c r="X1725" i="9"/>
  <c r="X1726" i="9"/>
  <c r="X1727" i="9"/>
  <c r="X1728" i="9"/>
  <c r="X1729" i="9"/>
  <c r="X1730" i="9"/>
  <c r="X1731" i="9"/>
  <c r="X1732" i="9"/>
  <c r="X1733" i="9"/>
  <c r="X1734" i="9"/>
  <c r="X1735" i="9"/>
  <c r="X1736" i="9"/>
  <c r="X1737" i="9"/>
  <c r="X1738" i="9"/>
  <c r="X1739" i="9"/>
  <c r="X1740" i="9"/>
  <c r="X1741" i="9"/>
  <c r="X1742" i="9"/>
  <c r="X1743" i="9"/>
  <c r="X1744" i="9"/>
  <c r="X1745" i="9"/>
  <c r="X1746" i="9"/>
  <c r="X1747" i="9"/>
  <c r="X1748" i="9"/>
  <c r="X1749" i="9"/>
  <c r="X1750" i="9"/>
  <c r="X1751" i="9"/>
  <c r="X1752" i="9"/>
  <c r="X1753" i="9"/>
  <c r="X1754" i="9"/>
  <c r="X1755" i="9"/>
  <c r="X1756" i="9"/>
  <c r="X1757" i="9"/>
  <c r="X1758" i="9"/>
  <c r="X1759" i="9"/>
  <c r="X1760" i="9"/>
  <c r="X1761" i="9"/>
  <c r="X1762" i="9"/>
  <c r="X1763" i="9"/>
  <c r="X1764" i="9"/>
  <c r="X1765" i="9"/>
  <c r="X1766" i="9"/>
  <c r="X1767" i="9"/>
  <c r="X1768" i="9"/>
  <c r="X1769" i="9"/>
  <c r="X1770" i="9"/>
  <c r="X1771" i="9"/>
  <c r="X1772" i="9"/>
  <c r="X1773" i="9"/>
  <c r="X1774" i="9"/>
  <c r="X1775" i="9"/>
  <c r="X1776" i="9"/>
  <c r="X1777" i="9"/>
  <c r="X1778" i="9"/>
  <c r="X1779" i="9"/>
  <c r="X1780" i="9"/>
  <c r="X1781" i="9"/>
  <c r="X1782" i="9"/>
  <c r="X1783" i="9"/>
  <c r="X1784" i="9"/>
  <c r="X1785" i="9"/>
  <c r="X1786" i="9"/>
  <c r="X1787" i="9"/>
  <c r="X1788" i="9"/>
  <c r="X1789" i="9"/>
  <c r="X1790" i="9"/>
  <c r="X1791" i="9"/>
  <c r="X1792" i="9"/>
  <c r="X1793" i="9"/>
  <c r="X1794" i="9"/>
  <c r="X1795" i="9"/>
  <c r="X1796" i="9"/>
  <c r="X1797" i="9"/>
  <c r="X1798" i="9"/>
  <c r="X1799" i="9"/>
  <c r="X1800" i="9"/>
  <c r="X1801" i="9"/>
  <c r="X1802" i="9"/>
  <c r="X1803" i="9"/>
  <c r="X1804" i="9"/>
  <c r="X1805" i="9"/>
  <c r="X1806" i="9"/>
  <c r="X1807" i="9"/>
  <c r="X1808" i="9"/>
  <c r="X1809" i="9"/>
  <c r="X1810" i="9"/>
  <c r="X1811" i="9"/>
  <c r="X1812" i="9"/>
  <c r="X1813" i="9"/>
  <c r="X1814" i="9"/>
  <c r="X1815" i="9"/>
  <c r="X1816" i="9"/>
  <c r="X1817" i="9"/>
  <c r="X1818" i="9"/>
  <c r="X1819" i="9"/>
  <c r="X1820" i="9"/>
  <c r="X1821" i="9"/>
  <c r="X1822" i="9"/>
  <c r="X1823" i="9"/>
  <c r="X1824" i="9"/>
  <c r="X1825" i="9"/>
  <c r="X1826" i="9"/>
  <c r="X1827" i="9"/>
  <c r="X1828" i="9"/>
  <c r="X1829" i="9"/>
  <c r="X1830" i="9"/>
  <c r="X1831" i="9"/>
  <c r="X1832" i="9"/>
  <c r="X1833" i="9"/>
  <c r="X1834" i="9"/>
  <c r="X1835" i="9"/>
  <c r="X1836" i="9"/>
  <c r="X1837" i="9"/>
  <c r="X1838" i="9"/>
  <c r="X1839" i="9"/>
  <c r="X1840" i="9"/>
  <c r="X1841" i="9"/>
  <c r="X1842" i="9"/>
  <c r="X1843" i="9"/>
  <c r="X1844" i="9"/>
  <c r="X1845" i="9"/>
  <c r="X1846" i="9"/>
  <c r="X1847" i="9"/>
  <c r="X1848" i="9"/>
  <c r="X1849" i="9"/>
  <c r="X1850" i="9"/>
  <c r="X1851" i="9"/>
  <c r="X1852" i="9"/>
  <c r="X1853" i="9"/>
  <c r="X1854" i="9"/>
  <c r="X1855" i="9"/>
  <c r="X1856" i="9"/>
  <c r="X1857" i="9"/>
  <c r="X1858" i="9"/>
  <c r="X1859" i="9"/>
  <c r="X1860" i="9"/>
  <c r="X1861" i="9"/>
  <c r="X1862" i="9"/>
  <c r="X1863" i="9"/>
  <c r="X1864" i="9"/>
  <c r="X1865" i="9"/>
  <c r="X1866" i="9"/>
  <c r="X1867" i="9"/>
  <c r="X1868" i="9"/>
  <c r="X1869" i="9"/>
  <c r="X1870" i="9"/>
  <c r="X1871" i="9"/>
  <c r="X1872" i="9"/>
  <c r="X1873" i="9"/>
  <c r="X1874" i="9"/>
  <c r="X1875" i="9"/>
  <c r="X1876" i="9"/>
  <c r="X1877" i="9"/>
  <c r="X1878" i="9"/>
  <c r="X1879" i="9"/>
  <c r="X1880" i="9"/>
  <c r="X1881" i="9"/>
  <c r="X1882" i="9"/>
  <c r="X1883" i="9"/>
  <c r="X1884" i="9"/>
  <c r="X1885" i="9"/>
  <c r="X1886" i="9"/>
  <c r="X1887" i="9"/>
  <c r="X1888" i="9"/>
  <c r="X1889" i="9"/>
  <c r="X1890" i="9"/>
  <c r="X1891" i="9"/>
  <c r="X1892" i="9"/>
  <c r="X1893" i="9"/>
  <c r="X1894" i="9"/>
  <c r="X1895" i="9"/>
  <c r="X1896" i="9"/>
  <c r="X1897" i="9"/>
  <c r="X1898" i="9"/>
  <c r="X1899" i="9"/>
  <c r="X1900" i="9"/>
  <c r="X1901" i="9"/>
  <c r="X1902" i="9"/>
  <c r="X1903" i="9"/>
  <c r="X1904" i="9"/>
  <c r="X1905" i="9"/>
  <c r="X1906" i="9"/>
  <c r="X1907" i="9"/>
  <c r="X1908" i="9"/>
  <c r="X1909" i="9"/>
  <c r="X1910" i="9"/>
  <c r="X1911" i="9"/>
  <c r="X1912" i="9"/>
  <c r="X1913" i="9"/>
  <c r="X1914" i="9"/>
  <c r="X1915" i="9"/>
  <c r="X1916" i="9"/>
  <c r="X1917" i="9"/>
  <c r="X1918" i="9"/>
  <c r="X1919" i="9"/>
  <c r="X1920" i="9"/>
  <c r="X1921" i="9"/>
  <c r="X1922" i="9"/>
  <c r="X1923" i="9"/>
  <c r="X1924" i="9"/>
  <c r="X1925" i="9"/>
  <c r="X1926" i="9"/>
  <c r="X1927" i="9"/>
  <c r="X1928" i="9"/>
  <c r="X1929" i="9"/>
  <c r="X1930" i="9"/>
  <c r="X1931" i="9"/>
  <c r="X1932" i="9"/>
  <c r="X1933" i="9"/>
  <c r="X1934" i="9"/>
  <c r="X1935" i="9"/>
  <c r="X1936" i="9"/>
  <c r="X1937" i="9"/>
  <c r="X1938" i="9"/>
  <c r="X1939" i="9"/>
  <c r="X1940" i="9"/>
  <c r="X1941" i="9"/>
  <c r="X1942" i="9"/>
  <c r="X1943" i="9"/>
  <c r="X1944" i="9"/>
  <c r="X1945" i="9"/>
  <c r="X1946" i="9"/>
  <c r="X1947" i="9"/>
  <c r="X1948" i="9"/>
  <c r="X1949" i="9"/>
  <c r="X1950" i="9"/>
  <c r="X1951" i="9"/>
  <c r="X1952" i="9"/>
  <c r="X1953" i="9"/>
  <c r="X2" i="9"/>
  <c r="W3" i="9"/>
  <c r="W4" i="9"/>
  <c r="W5" i="9"/>
  <c r="W6" i="9"/>
  <c r="W7"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8" i="9"/>
  <c r="W149" i="9"/>
  <c r="W150" i="9"/>
  <c r="W151" i="9"/>
  <c r="W152" i="9"/>
  <c r="W153" i="9"/>
  <c r="W154" i="9"/>
  <c r="W155" i="9"/>
  <c r="W156" i="9"/>
  <c r="W157" i="9"/>
  <c r="W158" i="9"/>
  <c r="W159" i="9"/>
  <c r="W160" i="9"/>
  <c r="W161" i="9"/>
  <c r="W162" i="9"/>
  <c r="W163" i="9"/>
  <c r="W164" i="9"/>
  <c r="W165" i="9"/>
  <c r="W166" i="9"/>
  <c r="W167" i="9"/>
  <c r="W168" i="9"/>
  <c r="W169" i="9"/>
  <c r="W170" i="9"/>
  <c r="W171" i="9"/>
  <c r="W172" i="9"/>
  <c r="W173" i="9"/>
  <c r="W174" i="9"/>
  <c r="W175" i="9"/>
  <c r="W176" i="9"/>
  <c r="W177" i="9"/>
  <c r="W178" i="9"/>
  <c r="W179" i="9"/>
  <c r="W180" i="9"/>
  <c r="W181" i="9"/>
  <c r="W182" i="9"/>
  <c r="W183" i="9"/>
  <c r="W184" i="9"/>
  <c r="W185" i="9"/>
  <c r="W186" i="9"/>
  <c r="W187" i="9"/>
  <c r="W188" i="9"/>
  <c r="W189" i="9"/>
  <c r="W190" i="9"/>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W247" i="9"/>
  <c r="W248" i="9"/>
  <c r="W249" i="9"/>
  <c r="W250" i="9"/>
  <c r="W251"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284" i="9"/>
  <c r="W285" i="9"/>
  <c r="W286" i="9"/>
  <c r="W287" i="9"/>
  <c r="W288" i="9"/>
  <c r="W289" i="9"/>
  <c r="W290" i="9"/>
  <c r="W291" i="9"/>
  <c r="W292" i="9"/>
  <c r="W293" i="9"/>
  <c r="W294" i="9"/>
  <c r="W295" i="9"/>
  <c r="W296" i="9"/>
  <c r="W297" i="9"/>
  <c r="W298" i="9"/>
  <c r="W299" i="9"/>
  <c r="W300" i="9"/>
  <c r="W301" i="9"/>
  <c r="W302" i="9"/>
  <c r="W303" i="9"/>
  <c r="W304" i="9"/>
  <c r="W305" i="9"/>
  <c r="W306" i="9"/>
  <c r="W307" i="9"/>
  <c r="W308" i="9"/>
  <c r="W309" i="9"/>
  <c r="W310" i="9"/>
  <c r="W311" i="9"/>
  <c r="W312" i="9"/>
  <c r="W313" i="9"/>
  <c r="W314" i="9"/>
  <c r="W315" i="9"/>
  <c r="W316" i="9"/>
  <c r="W317" i="9"/>
  <c r="W318" i="9"/>
  <c r="W319" i="9"/>
  <c r="W320" i="9"/>
  <c r="W321" i="9"/>
  <c r="W322" i="9"/>
  <c r="W323" i="9"/>
  <c r="W324" i="9"/>
  <c r="W325" i="9"/>
  <c r="W326" i="9"/>
  <c r="W327" i="9"/>
  <c r="W328" i="9"/>
  <c r="W329" i="9"/>
  <c r="W330" i="9"/>
  <c r="W331" i="9"/>
  <c r="W332" i="9"/>
  <c r="W333" i="9"/>
  <c r="W334" i="9"/>
  <c r="W335" i="9"/>
  <c r="W336" i="9"/>
  <c r="W337" i="9"/>
  <c r="W338" i="9"/>
  <c r="W339" i="9"/>
  <c r="W340" i="9"/>
  <c r="W341" i="9"/>
  <c r="W342" i="9"/>
  <c r="W343" i="9"/>
  <c r="W344" i="9"/>
  <c r="W345" i="9"/>
  <c r="W346" i="9"/>
  <c r="W347" i="9"/>
  <c r="W348" i="9"/>
  <c r="W349" i="9"/>
  <c r="W350" i="9"/>
  <c r="W351" i="9"/>
  <c r="W352" i="9"/>
  <c r="W353" i="9"/>
  <c r="W354" i="9"/>
  <c r="W355" i="9"/>
  <c r="W356" i="9"/>
  <c r="W357" i="9"/>
  <c r="W358" i="9"/>
  <c r="W359" i="9"/>
  <c r="W360" i="9"/>
  <c r="W361" i="9"/>
  <c r="W362" i="9"/>
  <c r="W363" i="9"/>
  <c r="W364" i="9"/>
  <c r="W365" i="9"/>
  <c r="W366" i="9"/>
  <c r="W367" i="9"/>
  <c r="W368" i="9"/>
  <c r="W369" i="9"/>
  <c r="W370" i="9"/>
  <c r="W371" i="9"/>
  <c r="W372" i="9"/>
  <c r="W373" i="9"/>
  <c r="W374" i="9"/>
  <c r="W375" i="9"/>
  <c r="W376"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W413" i="9"/>
  <c r="W414" i="9"/>
  <c r="W415" i="9"/>
  <c r="W416" i="9"/>
  <c r="W417" i="9"/>
  <c r="W418" i="9"/>
  <c r="W419" i="9"/>
  <c r="W420" i="9"/>
  <c r="W421" i="9"/>
  <c r="W422" i="9"/>
  <c r="W423" i="9"/>
  <c r="W424" i="9"/>
  <c r="W425" i="9"/>
  <c r="W426" i="9"/>
  <c r="W427" i="9"/>
  <c r="W428" i="9"/>
  <c r="W429" i="9"/>
  <c r="W430" i="9"/>
  <c r="W431" i="9"/>
  <c r="W432" i="9"/>
  <c r="W433" i="9"/>
  <c r="W434" i="9"/>
  <c r="W435" i="9"/>
  <c r="W436" i="9"/>
  <c r="W437" i="9"/>
  <c r="W438" i="9"/>
  <c r="W439" i="9"/>
  <c r="W440" i="9"/>
  <c r="W441"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467" i="9"/>
  <c r="W468" i="9"/>
  <c r="W469" i="9"/>
  <c r="W470" i="9"/>
  <c r="W471"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502" i="9"/>
  <c r="W503" i="9"/>
  <c r="W504" i="9"/>
  <c r="W505" i="9"/>
  <c r="W506" i="9"/>
  <c r="W507" i="9"/>
  <c r="W508" i="9"/>
  <c r="W509" i="9"/>
  <c r="W510" i="9"/>
  <c r="W511" i="9"/>
  <c r="W512" i="9"/>
  <c r="W513" i="9"/>
  <c r="W514" i="9"/>
  <c r="W515" i="9"/>
  <c r="W516" i="9"/>
  <c r="W517" i="9"/>
  <c r="W518" i="9"/>
  <c r="W519" i="9"/>
  <c r="W520" i="9"/>
  <c r="W521" i="9"/>
  <c r="W522" i="9"/>
  <c r="W523" i="9"/>
  <c r="W524" i="9"/>
  <c r="W525" i="9"/>
  <c r="W526" i="9"/>
  <c r="W527" i="9"/>
  <c r="W528" i="9"/>
  <c r="W529" i="9"/>
  <c r="W530" i="9"/>
  <c r="W531" i="9"/>
  <c r="W532" i="9"/>
  <c r="W533" i="9"/>
  <c r="W534" i="9"/>
  <c r="W535" i="9"/>
  <c r="W536" i="9"/>
  <c r="W537" i="9"/>
  <c r="W538" i="9"/>
  <c r="W539" i="9"/>
  <c r="W540" i="9"/>
  <c r="W541" i="9"/>
  <c r="W542" i="9"/>
  <c r="W543" i="9"/>
  <c r="W544" i="9"/>
  <c r="W545" i="9"/>
  <c r="W546" i="9"/>
  <c r="W547" i="9"/>
  <c r="W548" i="9"/>
  <c r="W549" i="9"/>
  <c r="W550" i="9"/>
  <c r="W551" i="9"/>
  <c r="W552" i="9"/>
  <c r="W553" i="9"/>
  <c r="W554" i="9"/>
  <c r="W555" i="9"/>
  <c r="W556" i="9"/>
  <c r="W557" i="9"/>
  <c r="W558" i="9"/>
  <c r="W559" i="9"/>
  <c r="W560" i="9"/>
  <c r="W561" i="9"/>
  <c r="W562" i="9"/>
  <c r="W563" i="9"/>
  <c r="W564" i="9"/>
  <c r="W565" i="9"/>
  <c r="W566" i="9"/>
  <c r="W567" i="9"/>
  <c r="W568" i="9"/>
  <c r="W569" i="9"/>
  <c r="W570" i="9"/>
  <c r="W571" i="9"/>
  <c r="W572" i="9"/>
  <c r="W573" i="9"/>
  <c r="W574" i="9"/>
  <c r="W575" i="9"/>
  <c r="W576" i="9"/>
  <c r="W577" i="9"/>
  <c r="W578" i="9"/>
  <c r="W579" i="9"/>
  <c r="W580" i="9"/>
  <c r="W581" i="9"/>
  <c r="W582" i="9"/>
  <c r="W583" i="9"/>
  <c r="W584" i="9"/>
  <c r="W585" i="9"/>
  <c r="W586" i="9"/>
  <c r="W587" i="9"/>
  <c r="W588" i="9"/>
  <c r="W589" i="9"/>
  <c r="W590" i="9"/>
  <c r="W591" i="9"/>
  <c r="W592" i="9"/>
  <c r="W593" i="9"/>
  <c r="W594" i="9"/>
  <c r="W595" i="9"/>
  <c r="W596" i="9"/>
  <c r="W597" i="9"/>
  <c r="W598" i="9"/>
  <c r="W599" i="9"/>
  <c r="W600" i="9"/>
  <c r="W601" i="9"/>
  <c r="W602" i="9"/>
  <c r="W603" i="9"/>
  <c r="W604" i="9"/>
  <c r="W605" i="9"/>
  <c r="W606" i="9"/>
  <c r="W607" i="9"/>
  <c r="W608" i="9"/>
  <c r="W609" i="9"/>
  <c r="W610" i="9"/>
  <c r="W611" i="9"/>
  <c r="W612" i="9"/>
  <c r="W613" i="9"/>
  <c r="W614" i="9"/>
  <c r="W615" i="9"/>
  <c r="W616" i="9"/>
  <c r="W617" i="9"/>
  <c r="W618" i="9"/>
  <c r="W619" i="9"/>
  <c r="W620" i="9"/>
  <c r="W621" i="9"/>
  <c r="W622" i="9"/>
  <c r="W623" i="9"/>
  <c r="W624" i="9"/>
  <c r="W625" i="9"/>
  <c r="W626" i="9"/>
  <c r="W627" i="9"/>
  <c r="W628" i="9"/>
  <c r="W629" i="9"/>
  <c r="W630" i="9"/>
  <c r="W631" i="9"/>
  <c r="W632" i="9"/>
  <c r="W633" i="9"/>
  <c r="W634" i="9"/>
  <c r="W635" i="9"/>
  <c r="W636" i="9"/>
  <c r="W637" i="9"/>
  <c r="W638" i="9"/>
  <c r="W639" i="9"/>
  <c r="W640" i="9"/>
  <c r="W641" i="9"/>
  <c r="W642" i="9"/>
  <c r="W643" i="9"/>
  <c r="W644" i="9"/>
  <c r="W645" i="9"/>
  <c r="W646" i="9"/>
  <c r="W647" i="9"/>
  <c r="W648" i="9"/>
  <c r="W649" i="9"/>
  <c r="W650" i="9"/>
  <c r="W651" i="9"/>
  <c r="W652" i="9"/>
  <c r="W653" i="9"/>
  <c r="W654" i="9"/>
  <c r="W655" i="9"/>
  <c r="W656" i="9"/>
  <c r="W657" i="9"/>
  <c r="W658" i="9"/>
  <c r="W659" i="9"/>
  <c r="W660" i="9"/>
  <c r="W661" i="9"/>
  <c r="W662" i="9"/>
  <c r="W663" i="9"/>
  <c r="W664" i="9"/>
  <c r="W665" i="9"/>
  <c r="W666" i="9"/>
  <c r="W667" i="9"/>
  <c r="W668" i="9"/>
  <c r="W669" i="9"/>
  <c r="W670" i="9"/>
  <c r="W671" i="9"/>
  <c r="W672" i="9"/>
  <c r="W673" i="9"/>
  <c r="W674" i="9"/>
  <c r="W675" i="9"/>
  <c r="W676" i="9"/>
  <c r="W677" i="9"/>
  <c r="W678" i="9"/>
  <c r="W679" i="9"/>
  <c r="W680" i="9"/>
  <c r="W681" i="9"/>
  <c r="W682" i="9"/>
  <c r="W683" i="9"/>
  <c r="W684" i="9"/>
  <c r="W685" i="9"/>
  <c r="W686" i="9"/>
  <c r="W687" i="9"/>
  <c r="W688" i="9"/>
  <c r="W689" i="9"/>
  <c r="W690" i="9"/>
  <c r="W691" i="9"/>
  <c r="W692" i="9"/>
  <c r="W693" i="9"/>
  <c r="W694" i="9"/>
  <c r="W695" i="9"/>
  <c r="W696" i="9"/>
  <c r="W697" i="9"/>
  <c r="W698" i="9"/>
  <c r="W699" i="9"/>
  <c r="W700" i="9"/>
  <c r="W701" i="9"/>
  <c r="W702" i="9"/>
  <c r="W703" i="9"/>
  <c r="W704" i="9"/>
  <c r="W705" i="9"/>
  <c r="W706" i="9"/>
  <c r="W707" i="9"/>
  <c r="W708" i="9"/>
  <c r="W709" i="9"/>
  <c r="W710" i="9"/>
  <c r="W711" i="9"/>
  <c r="W712" i="9"/>
  <c r="W713" i="9"/>
  <c r="W714" i="9"/>
  <c r="W715" i="9"/>
  <c r="W716" i="9"/>
  <c r="W717" i="9"/>
  <c r="W718" i="9"/>
  <c r="W719" i="9"/>
  <c r="W720" i="9"/>
  <c r="W721" i="9"/>
  <c r="W722" i="9"/>
  <c r="W723" i="9"/>
  <c r="W724" i="9"/>
  <c r="W725" i="9"/>
  <c r="W726" i="9"/>
  <c r="W727" i="9"/>
  <c r="W728" i="9"/>
  <c r="W729" i="9"/>
  <c r="W730" i="9"/>
  <c r="W731" i="9"/>
  <c r="W732" i="9"/>
  <c r="W733" i="9"/>
  <c r="W734" i="9"/>
  <c r="W735" i="9"/>
  <c r="W736" i="9"/>
  <c r="W737" i="9"/>
  <c r="W738" i="9"/>
  <c r="W739" i="9"/>
  <c r="W740" i="9"/>
  <c r="W741" i="9"/>
  <c r="W742" i="9"/>
  <c r="W743" i="9"/>
  <c r="W744" i="9"/>
  <c r="W745" i="9"/>
  <c r="W746" i="9"/>
  <c r="W747" i="9"/>
  <c r="W748" i="9"/>
  <c r="W749" i="9"/>
  <c r="W750" i="9"/>
  <c r="W751" i="9"/>
  <c r="W752" i="9"/>
  <c r="W753" i="9"/>
  <c r="W754" i="9"/>
  <c r="W755" i="9"/>
  <c r="W756" i="9"/>
  <c r="W757" i="9"/>
  <c r="W758" i="9"/>
  <c r="W759" i="9"/>
  <c r="W760" i="9"/>
  <c r="W761" i="9"/>
  <c r="W762" i="9"/>
  <c r="W763" i="9"/>
  <c r="W764" i="9"/>
  <c r="W765" i="9"/>
  <c r="W766" i="9"/>
  <c r="W767" i="9"/>
  <c r="W768" i="9"/>
  <c r="W769" i="9"/>
  <c r="W770" i="9"/>
  <c r="W771" i="9"/>
  <c r="W772" i="9"/>
  <c r="W773" i="9"/>
  <c r="W774" i="9"/>
  <c r="W775" i="9"/>
  <c r="W776" i="9"/>
  <c r="W777" i="9"/>
  <c r="W778" i="9"/>
  <c r="W779" i="9"/>
  <c r="W780" i="9"/>
  <c r="W781" i="9"/>
  <c r="W782" i="9"/>
  <c r="W783" i="9"/>
  <c r="W784" i="9"/>
  <c r="W785" i="9"/>
  <c r="W786" i="9"/>
  <c r="W787" i="9"/>
  <c r="W788" i="9"/>
  <c r="W789" i="9"/>
  <c r="W790" i="9"/>
  <c r="W791" i="9"/>
  <c r="W792" i="9"/>
  <c r="W793" i="9"/>
  <c r="W794" i="9"/>
  <c r="W795" i="9"/>
  <c r="W796" i="9"/>
  <c r="W797" i="9"/>
  <c r="W798" i="9"/>
  <c r="W799" i="9"/>
  <c r="W800" i="9"/>
  <c r="W801" i="9"/>
  <c r="W802" i="9"/>
  <c r="W803" i="9"/>
  <c r="W804" i="9"/>
  <c r="W805" i="9"/>
  <c r="W806" i="9"/>
  <c r="W807" i="9"/>
  <c r="W808" i="9"/>
  <c r="W809" i="9"/>
  <c r="W810" i="9"/>
  <c r="W811" i="9"/>
  <c r="W812" i="9"/>
  <c r="W813" i="9"/>
  <c r="W814" i="9"/>
  <c r="W815" i="9"/>
  <c r="W816" i="9"/>
  <c r="W817" i="9"/>
  <c r="W818" i="9"/>
  <c r="W819" i="9"/>
  <c r="W820" i="9"/>
  <c r="W821" i="9"/>
  <c r="W822" i="9"/>
  <c r="W823" i="9"/>
  <c r="W824" i="9"/>
  <c r="W825" i="9"/>
  <c r="W826" i="9"/>
  <c r="W827" i="9"/>
  <c r="W828" i="9"/>
  <c r="W829" i="9"/>
  <c r="W830" i="9"/>
  <c r="W831" i="9"/>
  <c r="W832" i="9"/>
  <c r="W833" i="9"/>
  <c r="W834" i="9"/>
  <c r="W835" i="9"/>
  <c r="W836" i="9"/>
  <c r="W837" i="9"/>
  <c r="W838" i="9"/>
  <c r="W839" i="9"/>
  <c r="W840" i="9"/>
  <c r="W841" i="9"/>
  <c r="W842" i="9"/>
  <c r="W843" i="9"/>
  <c r="W844" i="9"/>
  <c r="W845" i="9"/>
  <c r="W846" i="9"/>
  <c r="W847" i="9"/>
  <c r="W848" i="9"/>
  <c r="W849" i="9"/>
  <c r="W850" i="9"/>
  <c r="W851" i="9"/>
  <c r="W852" i="9"/>
  <c r="W853" i="9"/>
  <c r="W854" i="9"/>
  <c r="W855" i="9"/>
  <c r="W856" i="9"/>
  <c r="W857" i="9"/>
  <c r="W858" i="9"/>
  <c r="W859" i="9"/>
  <c r="W860" i="9"/>
  <c r="W861" i="9"/>
  <c r="W862" i="9"/>
  <c r="W863" i="9"/>
  <c r="W864" i="9"/>
  <c r="W865" i="9"/>
  <c r="W866" i="9"/>
  <c r="W867" i="9"/>
  <c r="W868" i="9"/>
  <c r="W869" i="9"/>
  <c r="W870" i="9"/>
  <c r="W871" i="9"/>
  <c r="W872" i="9"/>
  <c r="W873" i="9"/>
  <c r="W874" i="9"/>
  <c r="W875" i="9"/>
  <c r="W876" i="9"/>
  <c r="W877" i="9"/>
  <c r="W878" i="9"/>
  <c r="W879" i="9"/>
  <c r="W880" i="9"/>
  <c r="W881" i="9"/>
  <c r="W882" i="9"/>
  <c r="W883" i="9"/>
  <c r="W884" i="9"/>
  <c r="W885" i="9"/>
  <c r="W886" i="9"/>
  <c r="W887" i="9"/>
  <c r="W888" i="9"/>
  <c r="W889" i="9"/>
  <c r="W890" i="9"/>
  <c r="W891" i="9"/>
  <c r="W892" i="9"/>
  <c r="W893" i="9"/>
  <c r="W894" i="9"/>
  <c r="W895" i="9"/>
  <c r="W896" i="9"/>
  <c r="W897" i="9"/>
  <c r="W898" i="9"/>
  <c r="W899" i="9"/>
  <c r="W900" i="9"/>
  <c r="W901" i="9"/>
  <c r="W902" i="9"/>
  <c r="W903" i="9"/>
  <c r="W904" i="9"/>
  <c r="W905" i="9"/>
  <c r="W906" i="9"/>
  <c r="W907" i="9"/>
  <c r="W908" i="9"/>
  <c r="W909" i="9"/>
  <c r="W910" i="9"/>
  <c r="W911" i="9"/>
  <c r="W912" i="9"/>
  <c r="W913" i="9"/>
  <c r="W914" i="9"/>
  <c r="W915" i="9"/>
  <c r="W916" i="9"/>
  <c r="W917" i="9"/>
  <c r="W918" i="9"/>
  <c r="W919" i="9"/>
  <c r="W920" i="9"/>
  <c r="W921" i="9"/>
  <c r="W922" i="9"/>
  <c r="W923" i="9"/>
  <c r="W924" i="9"/>
  <c r="W925" i="9"/>
  <c r="W926" i="9"/>
  <c r="W927" i="9"/>
  <c r="W928" i="9"/>
  <c r="W929" i="9"/>
  <c r="W930" i="9"/>
  <c r="W931" i="9"/>
  <c r="W932" i="9"/>
  <c r="W933" i="9"/>
  <c r="W934" i="9"/>
  <c r="W935" i="9"/>
  <c r="W936" i="9"/>
  <c r="W937" i="9"/>
  <c r="W938" i="9"/>
  <c r="W939" i="9"/>
  <c r="W940" i="9"/>
  <c r="W941" i="9"/>
  <c r="W942" i="9"/>
  <c r="W943" i="9"/>
  <c r="W944" i="9"/>
  <c r="W945" i="9"/>
  <c r="W946" i="9"/>
  <c r="W947" i="9"/>
  <c r="W948" i="9"/>
  <c r="W949" i="9"/>
  <c r="W950" i="9"/>
  <c r="W951" i="9"/>
  <c r="W952" i="9"/>
  <c r="W953" i="9"/>
  <c r="W954" i="9"/>
  <c r="W955" i="9"/>
  <c r="W956" i="9"/>
  <c r="W957" i="9"/>
  <c r="W958" i="9"/>
  <c r="W959" i="9"/>
  <c r="W960" i="9"/>
  <c r="W961" i="9"/>
  <c r="W962" i="9"/>
  <c r="W963" i="9"/>
  <c r="W964" i="9"/>
  <c r="W965" i="9"/>
  <c r="W966" i="9"/>
  <c r="W967" i="9"/>
  <c r="W968" i="9"/>
  <c r="W969" i="9"/>
  <c r="W970" i="9"/>
  <c r="W971" i="9"/>
  <c r="W972" i="9"/>
  <c r="W973" i="9"/>
  <c r="W974" i="9"/>
  <c r="W975" i="9"/>
  <c r="W976" i="9"/>
  <c r="W977" i="9"/>
  <c r="W978" i="9"/>
  <c r="W979" i="9"/>
  <c r="W980" i="9"/>
  <c r="W981" i="9"/>
  <c r="W982" i="9"/>
  <c r="W983" i="9"/>
  <c r="W984" i="9"/>
  <c r="W985" i="9"/>
  <c r="W986" i="9"/>
  <c r="W987" i="9"/>
  <c r="W988" i="9"/>
  <c r="W989" i="9"/>
  <c r="W990" i="9"/>
  <c r="W991" i="9"/>
  <c r="W992" i="9"/>
  <c r="W993" i="9"/>
  <c r="W994" i="9"/>
  <c r="W995" i="9"/>
  <c r="W996" i="9"/>
  <c r="W997" i="9"/>
  <c r="W998" i="9"/>
  <c r="W999" i="9"/>
  <c r="W1000" i="9"/>
  <c r="W1001" i="9"/>
  <c r="W1002" i="9"/>
  <c r="W1003" i="9"/>
  <c r="W1004" i="9"/>
  <c r="W1005" i="9"/>
  <c r="W1006" i="9"/>
  <c r="W1007" i="9"/>
  <c r="W1008" i="9"/>
  <c r="W1009" i="9"/>
  <c r="W1010" i="9"/>
  <c r="W1011" i="9"/>
  <c r="W1012" i="9"/>
  <c r="W1013" i="9"/>
  <c r="W1014" i="9"/>
  <c r="W1015" i="9"/>
  <c r="W1016" i="9"/>
  <c r="W1017" i="9"/>
  <c r="W1018" i="9"/>
  <c r="W1019" i="9"/>
  <c r="W1020" i="9"/>
  <c r="W1021" i="9"/>
  <c r="W1022" i="9"/>
  <c r="W1023" i="9"/>
  <c r="W1024" i="9"/>
  <c r="W1025" i="9"/>
  <c r="W1026" i="9"/>
  <c r="W1027" i="9"/>
  <c r="W1028" i="9"/>
  <c r="W1029" i="9"/>
  <c r="W1030" i="9"/>
  <c r="W1031" i="9"/>
  <c r="W1032" i="9"/>
  <c r="W1033" i="9"/>
  <c r="W1034" i="9"/>
  <c r="W1035" i="9"/>
  <c r="W1036" i="9"/>
  <c r="W1037" i="9"/>
  <c r="W1038" i="9"/>
  <c r="W1039" i="9"/>
  <c r="W1040" i="9"/>
  <c r="W1041" i="9"/>
  <c r="W1042" i="9"/>
  <c r="W1043" i="9"/>
  <c r="W1044" i="9"/>
  <c r="W1045" i="9"/>
  <c r="W1046" i="9"/>
  <c r="W1047" i="9"/>
  <c r="W1048" i="9"/>
  <c r="W1049" i="9"/>
  <c r="W1050" i="9"/>
  <c r="W1051" i="9"/>
  <c r="W1052" i="9"/>
  <c r="W1053" i="9"/>
  <c r="W1054" i="9"/>
  <c r="W1055" i="9"/>
  <c r="W1056" i="9"/>
  <c r="W1057" i="9"/>
  <c r="W1058" i="9"/>
  <c r="W1059" i="9"/>
  <c r="W1060" i="9"/>
  <c r="W1061" i="9"/>
  <c r="W1062" i="9"/>
  <c r="W1063" i="9"/>
  <c r="W1064" i="9"/>
  <c r="W1065" i="9"/>
  <c r="W1066" i="9"/>
  <c r="W1067" i="9"/>
  <c r="W1068" i="9"/>
  <c r="W1069" i="9"/>
  <c r="W1070" i="9"/>
  <c r="W1071" i="9"/>
  <c r="W1072" i="9"/>
  <c r="W1073" i="9"/>
  <c r="W1074" i="9"/>
  <c r="W1075" i="9"/>
  <c r="W1076" i="9"/>
  <c r="W1077" i="9"/>
  <c r="W1078" i="9"/>
  <c r="W1079" i="9"/>
  <c r="W1080" i="9"/>
  <c r="W1081" i="9"/>
  <c r="W1082" i="9"/>
  <c r="W1083" i="9"/>
  <c r="W1084" i="9"/>
  <c r="W1085" i="9"/>
  <c r="W1086" i="9"/>
  <c r="W1087" i="9"/>
  <c r="W1088" i="9"/>
  <c r="W1089" i="9"/>
  <c r="W1090" i="9"/>
  <c r="W1091" i="9"/>
  <c r="W1092" i="9"/>
  <c r="W1093" i="9"/>
  <c r="W1094" i="9"/>
  <c r="W1095" i="9"/>
  <c r="W1096" i="9"/>
  <c r="W1097" i="9"/>
  <c r="W1098" i="9"/>
  <c r="W1099" i="9"/>
  <c r="W1100" i="9"/>
  <c r="W1101" i="9"/>
  <c r="W1102" i="9"/>
  <c r="W1103" i="9"/>
  <c r="W1104" i="9"/>
  <c r="W1105" i="9"/>
  <c r="W1106" i="9"/>
  <c r="W1107" i="9"/>
  <c r="W1108" i="9"/>
  <c r="W1109" i="9"/>
  <c r="W1110" i="9"/>
  <c r="W1111" i="9"/>
  <c r="W1112" i="9"/>
  <c r="W1113" i="9"/>
  <c r="W1114" i="9"/>
  <c r="W1115" i="9"/>
  <c r="W1116" i="9"/>
  <c r="W1117" i="9"/>
  <c r="W1118" i="9"/>
  <c r="W1119" i="9"/>
  <c r="W1120" i="9"/>
  <c r="W1121" i="9"/>
  <c r="W1122" i="9"/>
  <c r="W1123" i="9"/>
  <c r="W1124" i="9"/>
  <c r="W1125" i="9"/>
  <c r="W1126" i="9"/>
  <c r="W1127" i="9"/>
  <c r="W1128" i="9"/>
  <c r="W1129" i="9"/>
  <c r="W1130" i="9"/>
  <c r="W1131" i="9"/>
  <c r="W1132" i="9"/>
  <c r="W1133" i="9"/>
  <c r="W1134" i="9"/>
  <c r="W1135" i="9"/>
  <c r="W1136" i="9"/>
  <c r="W1137" i="9"/>
  <c r="W1138" i="9"/>
  <c r="W1139" i="9"/>
  <c r="W1140" i="9"/>
  <c r="W1141" i="9"/>
  <c r="W1142" i="9"/>
  <c r="W1143" i="9"/>
  <c r="W1144" i="9"/>
  <c r="W1145" i="9"/>
  <c r="W1146" i="9"/>
  <c r="W1147" i="9"/>
  <c r="W1148" i="9"/>
  <c r="W1149" i="9"/>
  <c r="W1150" i="9"/>
  <c r="W1151" i="9"/>
  <c r="W1152" i="9"/>
  <c r="W1153" i="9"/>
  <c r="W1154" i="9"/>
  <c r="W1155" i="9"/>
  <c r="W1156" i="9"/>
  <c r="W1157" i="9"/>
  <c r="W1158" i="9"/>
  <c r="W1159" i="9"/>
  <c r="W1160" i="9"/>
  <c r="W1161" i="9"/>
  <c r="W1162" i="9"/>
  <c r="W1163" i="9"/>
  <c r="W1164" i="9"/>
  <c r="W1165" i="9"/>
  <c r="W1166" i="9"/>
  <c r="W1167" i="9"/>
  <c r="W1168" i="9"/>
  <c r="W1169" i="9"/>
  <c r="W1170" i="9"/>
  <c r="W1171" i="9"/>
  <c r="W1172" i="9"/>
  <c r="W1173" i="9"/>
  <c r="W1174" i="9"/>
  <c r="W1175" i="9"/>
  <c r="W1176" i="9"/>
  <c r="W1177" i="9"/>
  <c r="W1178" i="9"/>
  <c r="W1179" i="9"/>
  <c r="W1180" i="9"/>
  <c r="W1181" i="9"/>
  <c r="W1182" i="9"/>
  <c r="W1183" i="9"/>
  <c r="W1184" i="9"/>
  <c r="W1185" i="9"/>
  <c r="W1186" i="9"/>
  <c r="W1187" i="9"/>
  <c r="W1188" i="9"/>
  <c r="W1189" i="9"/>
  <c r="W1190" i="9"/>
  <c r="W1191" i="9"/>
  <c r="W1192" i="9"/>
  <c r="W1193" i="9"/>
  <c r="W1194" i="9"/>
  <c r="W1195" i="9"/>
  <c r="W1196" i="9"/>
  <c r="W1197" i="9"/>
  <c r="W1198" i="9"/>
  <c r="W1199" i="9"/>
  <c r="W1200" i="9"/>
  <c r="W1201" i="9"/>
  <c r="W1202" i="9"/>
  <c r="W1203" i="9"/>
  <c r="W1204" i="9"/>
  <c r="W1205" i="9"/>
  <c r="W1206" i="9"/>
  <c r="W1207" i="9"/>
  <c r="W1208" i="9"/>
  <c r="W1209" i="9"/>
  <c r="W1210" i="9"/>
  <c r="W1211" i="9"/>
  <c r="W1212" i="9"/>
  <c r="W1213" i="9"/>
  <c r="W1214" i="9"/>
  <c r="W1215" i="9"/>
  <c r="W1216" i="9"/>
  <c r="W1217" i="9"/>
  <c r="W1218" i="9"/>
  <c r="W1219" i="9"/>
  <c r="W1220" i="9"/>
  <c r="W1221" i="9"/>
  <c r="W1222" i="9"/>
  <c r="W1223" i="9"/>
  <c r="W1224" i="9"/>
  <c r="W1225" i="9"/>
  <c r="W1226" i="9"/>
  <c r="W1227" i="9"/>
  <c r="W1228" i="9"/>
  <c r="W1229" i="9"/>
  <c r="W1230" i="9"/>
  <c r="W1231" i="9"/>
  <c r="W1232" i="9"/>
  <c r="W1233" i="9"/>
  <c r="W1234" i="9"/>
  <c r="W1235" i="9"/>
  <c r="W1236" i="9"/>
  <c r="W1237" i="9"/>
  <c r="W1238" i="9"/>
  <c r="W1239" i="9"/>
  <c r="W1240" i="9"/>
  <c r="W1241" i="9"/>
  <c r="W1242" i="9"/>
  <c r="W1243" i="9"/>
  <c r="W1244" i="9"/>
  <c r="W1245" i="9"/>
  <c r="W1246" i="9"/>
  <c r="W1247" i="9"/>
  <c r="W1248" i="9"/>
  <c r="W1249" i="9"/>
  <c r="W1250" i="9"/>
  <c r="W1251" i="9"/>
  <c r="W1252" i="9"/>
  <c r="W1253" i="9"/>
  <c r="W1254" i="9"/>
  <c r="W1255" i="9"/>
  <c r="W1256" i="9"/>
  <c r="W1257" i="9"/>
  <c r="W1258" i="9"/>
  <c r="W1259" i="9"/>
  <c r="W1260" i="9"/>
  <c r="W1261" i="9"/>
  <c r="W1262" i="9"/>
  <c r="W1263" i="9"/>
  <c r="W1264" i="9"/>
  <c r="W1265" i="9"/>
  <c r="W1266" i="9"/>
  <c r="W1267" i="9"/>
  <c r="W1268" i="9"/>
  <c r="W1269" i="9"/>
  <c r="W1270" i="9"/>
  <c r="W1271" i="9"/>
  <c r="W1272" i="9"/>
  <c r="W1273" i="9"/>
  <c r="W1274" i="9"/>
  <c r="W1275" i="9"/>
  <c r="W1276" i="9"/>
  <c r="W1277" i="9"/>
  <c r="W1278" i="9"/>
  <c r="W1279" i="9"/>
  <c r="W1280" i="9"/>
  <c r="W1281" i="9"/>
  <c r="W1282" i="9"/>
  <c r="W1283" i="9"/>
  <c r="W1284" i="9"/>
  <c r="W1285" i="9"/>
  <c r="W1286" i="9"/>
  <c r="W1287" i="9"/>
  <c r="W1288" i="9"/>
  <c r="W1289" i="9"/>
  <c r="W1290" i="9"/>
  <c r="W1291" i="9"/>
  <c r="W1292" i="9"/>
  <c r="W1293" i="9"/>
  <c r="W1294" i="9"/>
  <c r="W1295" i="9"/>
  <c r="W1296" i="9"/>
  <c r="W1297" i="9"/>
  <c r="W1298" i="9"/>
  <c r="W1299" i="9"/>
  <c r="W1300" i="9"/>
  <c r="W1301" i="9"/>
  <c r="W1302" i="9"/>
  <c r="W1303" i="9"/>
  <c r="W1304" i="9"/>
  <c r="W1305" i="9"/>
  <c r="W1306" i="9"/>
  <c r="W1307" i="9"/>
  <c r="W1308" i="9"/>
  <c r="W1309" i="9"/>
  <c r="W1310" i="9"/>
  <c r="W1311" i="9"/>
  <c r="W1312" i="9"/>
  <c r="W1313" i="9"/>
  <c r="W1314" i="9"/>
  <c r="W1315" i="9"/>
  <c r="W1316" i="9"/>
  <c r="W1317" i="9"/>
  <c r="W1318" i="9"/>
  <c r="W1319" i="9"/>
  <c r="W1320" i="9"/>
  <c r="W1321" i="9"/>
  <c r="W1322" i="9"/>
  <c r="W1323" i="9"/>
  <c r="W1324" i="9"/>
  <c r="W1325" i="9"/>
  <c r="W1326" i="9"/>
  <c r="W1327" i="9"/>
  <c r="W1328" i="9"/>
  <c r="W1329" i="9"/>
  <c r="W1330" i="9"/>
  <c r="W1331" i="9"/>
  <c r="W1332" i="9"/>
  <c r="W1333" i="9"/>
  <c r="W1334" i="9"/>
  <c r="W1335" i="9"/>
  <c r="W1336" i="9"/>
  <c r="W1337" i="9"/>
  <c r="W1338" i="9"/>
  <c r="W1339" i="9"/>
  <c r="W1340" i="9"/>
  <c r="W1341" i="9"/>
  <c r="W1342" i="9"/>
  <c r="W1343" i="9"/>
  <c r="W1344" i="9"/>
  <c r="W1345" i="9"/>
  <c r="W1346" i="9"/>
  <c r="W1347" i="9"/>
  <c r="W1348" i="9"/>
  <c r="W1349" i="9"/>
  <c r="W1350" i="9"/>
  <c r="W1351" i="9"/>
  <c r="W1352" i="9"/>
  <c r="W1353" i="9"/>
  <c r="W1354" i="9"/>
  <c r="W1355" i="9"/>
  <c r="W1356" i="9"/>
  <c r="W1357" i="9"/>
  <c r="W1358" i="9"/>
  <c r="W1359" i="9"/>
  <c r="W1360" i="9"/>
  <c r="W1361" i="9"/>
  <c r="W1362" i="9"/>
  <c r="W1363" i="9"/>
  <c r="W1364" i="9"/>
  <c r="W1365" i="9"/>
  <c r="W1366" i="9"/>
  <c r="W1367" i="9"/>
  <c r="W1368" i="9"/>
  <c r="W1369" i="9"/>
  <c r="W1370" i="9"/>
  <c r="W1371" i="9"/>
  <c r="W1372" i="9"/>
  <c r="W1373" i="9"/>
  <c r="W1374" i="9"/>
  <c r="W1375" i="9"/>
  <c r="W1376" i="9"/>
  <c r="W1377" i="9"/>
  <c r="W1378" i="9"/>
  <c r="W1379" i="9"/>
  <c r="W1380" i="9"/>
  <c r="W1381" i="9"/>
  <c r="W1382" i="9"/>
  <c r="W1383" i="9"/>
  <c r="W1384" i="9"/>
  <c r="W1385" i="9"/>
  <c r="W1386" i="9"/>
  <c r="W1387" i="9"/>
  <c r="W1388" i="9"/>
  <c r="W1389" i="9"/>
  <c r="W1390" i="9"/>
  <c r="W1391" i="9"/>
  <c r="W1392" i="9"/>
  <c r="W1393" i="9"/>
  <c r="W1394" i="9"/>
  <c r="W1395" i="9"/>
  <c r="W1396" i="9"/>
  <c r="W1397" i="9"/>
  <c r="W1398" i="9"/>
  <c r="W1399" i="9"/>
  <c r="W1400" i="9"/>
  <c r="W1401" i="9"/>
  <c r="W1402" i="9"/>
  <c r="W1403" i="9"/>
  <c r="W1404" i="9"/>
  <c r="W1405" i="9"/>
  <c r="W1406" i="9"/>
  <c r="W1407" i="9"/>
  <c r="W1408" i="9"/>
  <c r="W1409" i="9"/>
  <c r="W1410" i="9"/>
  <c r="W1411" i="9"/>
  <c r="W1412" i="9"/>
  <c r="W1413" i="9"/>
  <c r="W1414" i="9"/>
  <c r="W1415" i="9"/>
  <c r="W1416" i="9"/>
  <c r="W1417" i="9"/>
  <c r="W1418" i="9"/>
  <c r="W1419" i="9"/>
  <c r="W1420" i="9"/>
  <c r="W1421" i="9"/>
  <c r="W1422" i="9"/>
  <c r="W1423" i="9"/>
  <c r="W1424" i="9"/>
  <c r="W1425" i="9"/>
  <c r="W1426" i="9"/>
  <c r="W1427" i="9"/>
  <c r="W1428" i="9"/>
  <c r="W1429" i="9"/>
  <c r="W1430" i="9"/>
  <c r="W1431" i="9"/>
  <c r="W1432" i="9"/>
  <c r="W1433" i="9"/>
  <c r="W1434" i="9"/>
  <c r="W1435" i="9"/>
  <c r="W1436" i="9"/>
  <c r="W1437" i="9"/>
  <c r="W1438" i="9"/>
  <c r="W1439" i="9"/>
  <c r="W1440" i="9"/>
  <c r="W1441" i="9"/>
  <c r="W1442" i="9"/>
  <c r="W1443" i="9"/>
  <c r="W1444" i="9"/>
  <c r="W1445" i="9"/>
  <c r="W1446" i="9"/>
  <c r="W1447" i="9"/>
  <c r="W1448" i="9"/>
  <c r="W1449" i="9"/>
  <c r="W1450" i="9"/>
  <c r="W1451" i="9"/>
  <c r="W1452" i="9"/>
  <c r="W1453" i="9"/>
  <c r="W1454" i="9"/>
  <c r="W1455" i="9"/>
  <c r="W1456" i="9"/>
  <c r="W1457" i="9"/>
  <c r="W1458" i="9"/>
  <c r="W1459" i="9"/>
  <c r="W1460" i="9"/>
  <c r="W1461" i="9"/>
  <c r="W1462" i="9"/>
  <c r="W1463" i="9"/>
  <c r="W1464" i="9"/>
  <c r="W1465" i="9"/>
  <c r="W1466" i="9"/>
  <c r="W1467" i="9"/>
  <c r="W1468" i="9"/>
  <c r="W1469" i="9"/>
  <c r="W1470" i="9"/>
  <c r="W1471" i="9"/>
  <c r="W1472" i="9"/>
  <c r="W1473" i="9"/>
  <c r="W1474" i="9"/>
  <c r="W1475" i="9"/>
  <c r="W1476" i="9"/>
  <c r="W1477" i="9"/>
  <c r="W1478" i="9"/>
  <c r="W1479" i="9"/>
  <c r="W1480" i="9"/>
  <c r="W1481" i="9"/>
  <c r="W1482" i="9"/>
  <c r="W1483" i="9"/>
  <c r="W1484" i="9"/>
  <c r="W1485" i="9"/>
  <c r="W1486" i="9"/>
  <c r="W1487" i="9"/>
  <c r="W1488" i="9"/>
  <c r="W1489" i="9"/>
  <c r="W1490" i="9"/>
  <c r="W1491" i="9"/>
  <c r="W1492" i="9"/>
  <c r="W1493" i="9"/>
  <c r="W1494" i="9"/>
  <c r="W1495" i="9"/>
  <c r="W1496" i="9"/>
  <c r="W1497" i="9"/>
  <c r="W1498" i="9"/>
  <c r="W1499" i="9"/>
  <c r="W1500" i="9"/>
  <c r="W1501" i="9"/>
  <c r="W1502" i="9"/>
  <c r="W1503" i="9"/>
  <c r="W1504" i="9"/>
  <c r="W1505" i="9"/>
  <c r="W1506" i="9"/>
  <c r="W1507" i="9"/>
  <c r="W1508" i="9"/>
  <c r="W1509" i="9"/>
  <c r="W1510" i="9"/>
  <c r="W1511" i="9"/>
  <c r="W1512" i="9"/>
  <c r="W1513" i="9"/>
  <c r="W1514" i="9"/>
  <c r="W1515" i="9"/>
  <c r="W1516" i="9"/>
  <c r="W1517" i="9"/>
  <c r="W1518" i="9"/>
  <c r="W1519" i="9"/>
  <c r="W1520" i="9"/>
  <c r="W1521" i="9"/>
  <c r="W1522" i="9"/>
  <c r="W1523" i="9"/>
  <c r="W1524" i="9"/>
  <c r="W1525" i="9"/>
  <c r="W1526" i="9"/>
  <c r="W1527" i="9"/>
  <c r="W1528" i="9"/>
  <c r="W1529" i="9"/>
  <c r="W1530" i="9"/>
  <c r="W1531" i="9"/>
  <c r="W1532" i="9"/>
  <c r="W1533" i="9"/>
  <c r="W1534" i="9"/>
  <c r="W1535" i="9"/>
  <c r="W1536" i="9"/>
  <c r="W1537" i="9"/>
  <c r="W1538" i="9"/>
  <c r="W1539" i="9"/>
  <c r="W1540" i="9"/>
  <c r="W1541" i="9"/>
  <c r="W1542" i="9"/>
  <c r="W1543" i="9"/>
  <c r="W1544" i="9"/>
  <c r="W1545" i="9"/>
  <c r="W1546" i="9"/>
  <c r="W1547" i="9"/>
  <c r="W1548" i="9"/>
  <c r="W1549" i="9"/>
  <c r="W1550" i="9"/>
  <c r="W1551" i="9"/>
  <c r="W1552" i="9"/>
  <c r="W1553" i="9"/>
  <c r="W1554" i="9"/>
  <c r="W1555" i="9"/>
  <c r="W1556" i="9"/>
  <c r="W1557" i="9"/>
  <c r="W1558" i="9"/>
  <c r="W1559" i="9"/>
  <c r="W1560" i="9"/>
  <c r="W1561" i="9"/>
  <c r="W1562" i="9"/>
  <c r="W1563" i="9"/>
  <c r="W1564" i="9"/>
  <c r="W1565" i="9"/>
  <c r="W1566" i="9"/>
  <c r="W1567" i="9"/>
  <c r="W1568" i="9"/>
  <c r="W1569" i="9"/>
  <c r="W1570" i="9"/>
  <c r="W1571" i="9"/>
  <c r="W1572" i="9"/>
  <c r="W1573" i="9"/>
  <c r="W1574" i="9"/>
  <c r="W1575" i="9"/>
  <c r="W1576" i="9"/>
  <c r="W1577" i="9"/>
  <c r="W1578" i="9"/>
  <c r="W1579" i="9"/>
  <c r="W1580" i="9"/>
  <c r="W1581" i="9"/>
  <c r="W1582" i="9"/>
  <c r="W1583" i="9"/>
  <c r="W1584" i="9"/>
  <c r="W1585" i="9"/>
  <c r="W1586" i="9"/>
  <c r="W1587" i="9"/>
  <c r="W1588" i="9"/>
  <c r="W1589" i="9"/>
  <c r="W1590" i="9"/>
  <c r="W1591" i="9"/>
  <c r="W1592" i="9"/>
  <c r="W1593" i="9"/>
  <c r="W1594" i="9"/>
  <c r="W1595" i="9"/>
  <c r="W1596" i="9"/>
  <c r="W1597" i="9"/>
  <c r="W1598" i="9"/>
  <c r="W1599" i="9"/>
  <c r="W1600" i="9"/>
  <c r="W1601" i="9"/>
  <c r="W1602" i="9"/>
  <c r="W1603" i="9"/>
  <c r="W1604" i="9"/>
  <c r="W1605" i="9"/>
  <c r="W1606" i="9"/>
  <c r="W1607" i="9"/>
  <c r="W1608" i="9"/>
  <c r="W1609" i="9"/>
  <c r="W1610" i="9"/>
  <c r="W1611" i="9"/>
  <c r="W1612" i="9"/>
  <c r="W1613" i="9"/>
  <c r="W1614" i="9"/>
  <c r="W1615" i="9"/>
  <c r="W1616" i="9"/>
  <c r="W1617" i="9"/>
  <c r="W1618" i="9"/>
  <c r="W1619" i="9"/>
  <c r="W1620" i="9"/>
  <c r="W1621" i="9"/>
  <c r="W1622" i="9"/>
  <c r="W1623" i="9"/>
  <c r="W1624" i="9"/>
  <c r="W1625" i="9"/>
  <c r="W1626" i="9"/>
  <c r="W1627" i="9"/>
  <c r="W1628" i="9"/>
  <c r="W1629" i="9"/>
  <c r="W1630" i="9"/>
  <c r="W1631" i="9"/>
  <c r="W1632" i="9"/>
  <c r="W1633" i="9"/>
  <c r="W1634" i="9"/>
  <c r="W1635" i="9"/>
  <c r="W1636" i="9"/>
  <c r="W1637" i="9"/>
  <c r="W1638" i="9"/>
  <c r="W1639" i="9"/>
  <c r="W1640" i="9"/>
  <c r="W1641" i="9"/>
  <c r="W1642" i="9"/>
  <c r="W1643" i="9"/>
  <c r="W1644" i="9"/>
  <c r="W1645" i="9"/>
  <c r="W1646" i="9"/>
  <c r="W1647" i="9"/>
  <c r="W1648" i="9"/>
  <c r="W1649" i="9"/>
  <c r="W1650" i="9"/>
  <c r="W1651" i="9"/>
  <c r="W1652" i="9"/>
  <c r="W1653" i="9"/>
  <c r="W1654" i="9"/>
  <c r="W1655" i="9"/>
  <c r="W1656" i="9"/>
  <c r="W1657" i="9"/>
  <c r="W1658" i="9"/>
  <c r="W1659" i="9"/>
  <c r="W1660" i="9"/>
  <c r="W1661" i="9"/>
  <c r="W1662" i="9"/>
  <c r="W1663" i="9"/>
  <c r="W1664" i="9"/>
  <c r="W1665" i="9"/>
  <c r="W1666" i="9"/>
  <c r="W1667" i="9"/>
  <c r="W1668" i="9"/>
  <c r="W1669" i="9"/>
  <c r="W1670" i="9"/>
  <c r="W1671" i="9"/>
  <c r="W1672" i="9"/>
  <c r="W1673" i="9"/>
  <c r="W1674" i="9"/>
  <c r="W1675" i="9"/>
  <c r="W1676" i="9"/>
  <c r="W1677" i="9"/>
  <c r="W1678" i="9"/>
  <c r="W1679" i="9"/>
  <c r="W1680" i="9"/>
  <c r="W1681" i="9"/>
  <c r="W1682" i="9"/>
  <c r="W1683" i="9"/>
  <c r="W1684" i="9"/>
  <c r="W1685" i="9"/>
  <c r="W1686" i="9"/>
  <c r="W1687" i="9"/>
  <c r="W1688" i="9"/>
  <c r="W1689" i="9"/>
  <c r="W1690" i="9"/>
  <c r="W1691" i="9"/>
  <c r="W1692" i="9"/>
  <c r="W1693" i="9"/>
  <c r="W1694" i="9"/>
  <c r="W1695" i="9"/>
  <c r="W1696" i="9"/>
  <c r="W1697" i="9"/>
  <c r="W1698" i="9"/>
  <c r="W1699" i="9"/>
  <c r="W1700" i="9"/>
  <c r="W1701" i="9"/>
  <c r="W1702" i="9"/>
  <c r="W1703" i="9"/>
  <c r="W1704" i="9"/>
  <c r="W1705" i="9"/>
  <c r="W1706" i="9"/>
  <c r="W1707" i="9"/>
  <c r="W1708" i="9"/>
  <c r="W1709" i="9"/>
  <c r="W1710" i="9"/>
  <c r="W1711" i="9"/>
  <c r="W1712" i="9"/>
  <c r="W1713" i="9"/>
  <c r="W1714" i="9"/>
  <c r="W1715" i="9"/>
  <c r="W1716" i="9"/>
  <c r="W1717" i="9"/>
  <c r="W1718" i="9"/>
  <c r="W1719" i="9"/>
  <c r="W1720" i="9"/>
  <c r="W1721" i="9"/>
  <c r="W1722" i="9"/>
  <c r="W1723" i="9"/>
  <c r="W1724" i="9"/>
  <c r="W1725" i="9"/>
  <c r="W1726" i="9"/>
  <c r="W1727" i="9"/>
  <c r="W1728" i="9"/>
  <c r="W1729" i="9"/>
  <c r="W1730" i="9"/>
  <c r="W1731" i="9"/>
  <c r="W1732" i="9"/>
  <c r="W1733" i="9"/>
  <c r="W1734" i="9"/>
  <c r="W1735" i="9"/>
  <c r="W1736" i="9"/>
  <c r="W1737" i="9"/>
  <c r="W1738" i="9"/>
  <c r="W1739" i="9"/>
  <c r="W1740" i="9"/>
  <c r="W1741" i="9"/>
  <c r="W1742" i="9"/>
  <c r="W1743" i="9"/>
  <c r="W1744" i="9"/>
  <c r="W1745" i="9"/>
  <c r="W1746" i="9"/>
  <c r="W1747" i="9"/>
  <c r="W1748" i="9"/>
  <c r="W1749" i="9"/>
  <c r="W1750" i="9"/>
  <c r="W1751" i="9"/>
  <c r="W1752" i="9"/>
  <c r="W1753" i="9"/>
  <c r="W1754" i="9"/>
  <c r="W1755" i="9"/>
  <c r="W1756" i="9"/>
  <c r="W1757" i="9"/>
  <c r="W1758" i="9"/>
  <c r="W1759" i="9"/>
  <c r="W1760" i="9"/>
  <c r="W1761" i="9"/>
  <c r="W1762" i="9"/>
  <c r="W1763" i="9"/>
  <c r="W1764" i="9"/>
  <c r="W1765" i="9"/>
  <c r="W1766" i="9"/>
  <c r="W1767" i="9"/>
  <c r="W1768" i="9"/>
  <c r="W1769" i="9"/>
  <c r="W1770" i="9"/>
  <c r="W1771" i="9"/>
  <c r="W1772" i="9"/>
  <c r="W1773" i="9"/>
  <c r="W1774" i="9"/>
  <c r="W1775" i="9"/>
  <c r="W1776" i="9"/>
  <c r="W1777" i="9"/>
  <c r="W1778" i="9"/>
  <c r="W1779" i="9"/>
  <c r="W1780" i="9"/>
  <c r="W1781" i="9"/>
  <c r="W1782" i="9"/>
  <c r="W1783" i="9"/>
  <c r="W1784" i="9"/>
  <c r="W1785" i="9"/>
  <c r="W1786" i="9"/>
  <c r="W1787" i="9"/>
  <c r="W1788" i="9"/>
  <c r="W1789" i="9"/>
  <c r="W1790" i="9"/>
  <c r="W1791" i="9"/>
  <c r="W1792" i="9"/>
  <c r="W1793" i="9"/>
  <c r="W1794" i="9"/>
  <c r="W1795" i="9"/>
  <c r="W1796" i="9"/>
  <c r="W1797" i="9"/>
  <c r="W1798" i="9"/>
  <c r="W1799" i="9"/>
  <c r="W1800" i="9"/>
  <c r="W1801" i="9"/>
  <c r="W1802" i="9"/>
  <c r="W1803" i="9"/>
  <c r="W1804" i="9"/>
  <c r="W1805" i="9"/>
  <c r="W1806" i="9"/>
  <c r="W1807" i="9"/>
  <c r="W1808" i="9"/>
  <c r="W1809" i="9"/>
  <c r="W1810" i="9"/>
  <c r="W1811" i="9"/>
  <c r="W1812" i="9"/>
  <c r="W1813" i="9"/>
  <c r="W1814" i="9"/>
  <c r="W1815" i="9"/>
  <c r="W1816" i="9"/>
  <c r="W1817" i="9"/>
  <c r="W1818" i="9"/>
  <c r="W1819" i="9"/>
  <c r="W1820" i="9"/>
  <c r="W1821" i="9"/>
  <c r="W1822" i="9"/>
  <c r="W1823" i="9"/>
  <c r="W1824" i="9"/>
  <c r="W1825" i="9"/>
  <c r="W1826" i="9"/>
  <c r="W1827" i="9"/>
  <c r="W1828" i="9"/>
  <c r="W1829" i="9"/>
  <c r="W1830" i="9"/>
  <c r="W1831" i="9"/>
  <c r="W1832" i="9"/>
  <c r="W1833" i="9"/>
  <c r="W1834" i="9"/>
  <c r="W1835" i="9"/>
  <c r="W1836" i="9"/>
  <c r="W1837" i="9"/>
  <c r="W1838" i="9"/>
  <c r="W1839" i="9"/>
  <c r="W1840" i="9"/>
  <c r="W1841" i="9"/>
  <c r="W1842" i="9"/>
  <c r="W1843" i="9"/>
  <c r="W1844" i="9"/>
  <c r="W1845" i="9"/>
  <c r="W1846" i="9"/>
  <c r="W1847" i="9"/>
  <c r="W1848" i="9"/>
  <c r="W1849" i="9"/>
  <c r="W1850" i="9"/>
  <c r="W1851" i="9"/>
  <c r="W1852" i="9"/>
  <c r="W1853" i="9"/>
  <c r="W1854" i="9"/>
  <c r="W1855" i="9"/>
  <c r="W1856" i="9"/>
  <c r="W1857" i="9"/>
  <c r="W1858" i="9"/>
  <c r="W1859" i="9"/>
  <c r="W1860" i="9"/>
  <c r="W1861" i="9"/>
  <c r="W1862" i="9"/>
  <c r="W1863" i="9"/>
  <c r="W1864" i="9"/>
  <c r="W1865" i="9"/>
  <c r="W1866" i="9"/>
  <c r="W1867" i="9"/>
  <c r="W1868" i="9"/>
  <c r="W1869" i="9"/>
  <c r="W1870" i="9"/>
  <c r="W1871" i="9"/>
  <c r="W1872" i="9"/>
  <c r="W1873" i="9"/>
  <c r="W1874" i="9"/>
  <c r="W1875" i="9"/>
  <c r="W1876" i="9"/>
  <c r="W1877" i="9"/>
  <c r="W1878" i="9"/>
  <c r="W1879" i="9"/>
  <c r="W1880" i="9"/>
  <c r="W1881" i="9"/>
  <c r="W1882" i="9"/>
  <c r="W1883" i="9"/>
  <c r="W1884" i="9"/>
  <c r="W1885" i="9"/>
  <c r="W1886" i="9"/>
  <c r="W1887" i="9"/>
  <c r="W1888" i="9"/>
  <c r="W1889" i="9"/>
  <c r="W1890" i="9"/>
  <c r="W1891" i="9"/>
  <c r="W1892" i="9"/>
  <c r="W1893" i="9"/>
  <c r="W1894" i="9"/>
  <c r="W1895" i="9"/>
  <c r="W1896" i="9"/>
  <c r="W1897" i="9"/>
  <c r="W1898" i="9"/>
  <c r="W1899" i="9"/>
  <c r="W1900" i="9"/>
  <c r="W1901" i="9"/>
  <c r="W1902" i="9"/>
  <c r="W1903" i="9"/>
  <c r="W1904" i="9"/>
  <c r="W1905" i="9"/>
  <c r="W1906" i="9"/>
  <c r="W1907" i="9"/>
  <c r="W1908" i="9"/>
  <c r="W1909" i="9"/>
  <c r="W1910" i="9"/>
  <c r="W1911" i="9"/>
  <c r="W1912" i="9"/>
  <c r="W1913" i="9"/>
  <c r="W1914" i="9"/>
  <c r="W1915" i="9"/>
  <c r="W1916" i="9"/>
  <c r="W1917" i="9"/>
  <c r="W1918" i="9"/>
  <c r="W1919" i="9"/>
  <c r="W1920" i="9"/>
  <c r="W1921" i="9"/>
  <c r="W1922" i="9"/>
  <c r="W1923" i="9"/>
  <c r="W1924" i="9"/>
  <c r="W1925" i="9"/>
  <c r="W1926" i="9"/>
  <c r="W1927" i="9"/>
  <c r="W1928" i="9"/>
  <c r="W1929" i="9"/>
  <c r="W1930" i="9"/>
  <c r="W1931" i="9"/>
  <c r="W1932" i="9"/>
  <c r="W1933" i="9"/>
  <c r="W1934" i="9"/>
  <c r="W1935" i="9"/>
  <c r="W1936" i="9"/>
  <c r="W1937" i="9"/>
  <c r="W1938" i="9"/>
  <c r="W1939" i="9"/>
  <c r="W1940" i="9"/>
  <c r="W1941" i="9"/>
  <c r="W1942" i="9"/>
  <c r="W1943" i="9"/>
  <c r="W1944" i="9"/>
  <c r="W1945" i="9"/>
  <c r="W1946" i="9"/>
  <c r="W1947" i="9"/>
  <c r="W1948" i="9"/>
  <c r="W1949" i="9"/>
  <c r="W1950" i="9"/>
  <c r="W1951" i="9"/>
  <c r="W1952" i="9"/>
  <c r="W1953" i="9"/>
  <c r="W2" i="9"/>
</calcChain>
</file>

<file path=xl/sharedStrings.xml><?xml version="1.0" encoding="utf-8"?>
<sst xmlns="http://schemas.openxmlformats.org/spreadsheetml/2006/main" count="26265" uniqueCount="3045">
  <si>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</si>
  <si>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</si>
  <si>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</si>
  <si>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</si>
  <si>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</si>
  <si>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</si>
  <si>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</si>
  <si>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</si>
  <si>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</si>
  <si>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</si>
  <si>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</si>
  <si>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</si>
  <si>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</si>
  <si>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</si>
  <si>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</si>
  <si>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</si>
  <si>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</si>
  <si>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</si>
  <si>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</si>
  <si>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</si>
  <si>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</si>
  <si>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</si>
  <si>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</si>
  <si>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</si>
  <si>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</si>
  <si>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</si>
  <si>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</si>
  <si>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</si>
  <si>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</si>
  <si>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</si>
  <si>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</si>
  <si>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</si>
  <si>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</si>
  <si>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</si>
  <si>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</si>
  <si>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</si>
  <si>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</si>
  <si>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</si>
  <si>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</si>
  <si>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</si>
  <si>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</si>
  <si>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</si>
  <si>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</si>
  <si>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</si>
  <si>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</si>
  <si>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</si>
  <si>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</si>
  <si>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</si>
  <si>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</si>
  <si>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</si>
  <si>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</si>
  <si>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</si>
  <si>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</si>
  <si>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</si>
  <si>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</si>
  <si>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</si>
  <si>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</si>
  <si>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</si>
  <si>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</si>
  <si>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</si>
  <si>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</si>
  <si>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</si>
  <si>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</si>
  <si>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</si>
  <si>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</si>
  <si>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</si>
  <si>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</si>
  <si>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</si>
  <si>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</si>
  <si>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</si>
  <si>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</si>
  <si>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</si>
  <si>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</si>
  <si>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</si>
  <si>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</si>
  <si>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</si>
  <si>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</si>
  <si>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</si>
  <si>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</si>
  <si>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</si>
  <si>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</si>
  <si>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</si>
  <si>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</si>
  <si>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</si>
  <si>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</si>
  <si>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</si>
  <si>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</si>
  <si>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</si>
  <si>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</si>
  <si>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</si>
  <si>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</si>
  <si>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</si>
  <si>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</si>
  <si>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</si>
  <si>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</si>
  <si>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</si>
  <si>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</si>
  <si>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</si>
  <si>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</si>
  <si>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</si>
  <si>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</si>
  <si>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</si>
  <si>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</si>
  <si>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</si>
  <si>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</si>
  <si>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</si>
  <si>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</si>
  <si>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</si>
  <si>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</si>
  <si>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</si>
  <si>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</si>
  <si>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</si>
  <si>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</si>
  <si>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</si>
  <si>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</si>
  <si>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</si>
  <si>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</si>
  <si>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</si>
  <si>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</si>
  <si>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</si>
  <si>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</si>
  <si>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</si>
  <si>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</si>
  <si>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</si>
  <si>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</si>
  <si>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</si>
  <si>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</si>
  <si>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</si>
  <si>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</si>
  <si>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</si>
  <si>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</si>
  <si>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</si>
  <si>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</si>
  <si>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</si>
  <si>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</si>
  <si>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</si>
  <si>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</si>
  <si>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</si>
  <si>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</si>
  <si>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</si>
  <si>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</si>
  <si>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</si>
  <si>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</si>
  <si>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</si>
  <si>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</si>
  <si>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</si>
  <si>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</si>
  <si>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</si>
  <si>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</si>
  <si>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</si>
  <si>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</si>
  <si>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</si>
  <si>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</si>
  <si>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</si>
  <si>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</si>
  <si>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</si>
  <si>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</si>
  <si>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</si>
  <si>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</si>
  <si>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</si>
  <si>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</si>
  <si>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</si>
  <si>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</si>
  <si>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</si>
  <si>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</si>
  <si>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</si>
  <si>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</si>
  <si>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</si>
  <si>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</si>
  <si>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</si>
  <si>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</si>
  <si>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</si>
  <si>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</si>
  <si>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</si>
  <si>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</si>
  <si>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</si>
  <si>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</si>
  <si>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</si>
  <si>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</si>
  <si>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</si>
  <si>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</si>
  <si>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</si>
  <si>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</si>
  <si>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</si>
  <si>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</si>
  <si>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</si>
  <si>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</si>
  <si>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</si>
  <si>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</si>
  <si>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</si>
  <si>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</si>
  <si>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</si>
  <si>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</si>
  <si>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</si>
  <si>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</si>
  <si>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</si>
  <si>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</si>
  <si>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</si>
  <si>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</si>
  <si>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</si>
  <si>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</si>
  <si>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</si>
  <si>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</si>
  <si>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</si>
  <si>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</si>
  <si>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</si>
  <si>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</si>
  <si>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</si>
  <si>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</si>
  <si>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</si>
  <si>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</si>
  <si>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</si>
  <si>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</si>
  <si>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</si>
  <si>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</si>
  <si>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</si>
  <si>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</si>
  <si>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</si>
  <si>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</si>
  <si>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</si>
  <si>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</si>
  <si>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</si>
  <si>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</si>
  <si>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</si>
  <si>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</si>
  <si>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</si>
  <si>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</si>
  <si>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</si>
  <si>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</si>
  <si>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</si>
  <si>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</si>
  <si>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</si>
  <si>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</si>
  <si>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</si>
  <si>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</si>
  <si>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</si>
  <si>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</si>
  <si>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</si>
  <si>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</si>
  <si>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</si>
  <si>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</si>
  <si>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</si>
  <si>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</si>
  <si>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</si>
  <si>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</si>
  <si>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</si>
  <si>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</si>
  <si>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</si>
  <si>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</si>
  <si>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</si>
  <si>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</si>
  <si>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</si>
  <si>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</si>
  <si>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</si>
  <si>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</si>
  <si>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</si>
  <si>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</si>
  <si>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</si>
  <si>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</si>
  <si>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</si>
  <si>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</si>
  <si>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</si>
  <si>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</si>
  <si>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</si>
  <si>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</si>
  <si>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</si>
  <si>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</si>
  <si>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</si>
  <si>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</si>
  <si>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</si>
  <si>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</si>
  <si>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</si>
  <si>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</si>
  <si>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</si>
  <si>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</si>
  <si>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</si>
  <si>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</si>
  <si>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</si>
  <si>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</si>
  <si>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</si>
  <si>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</si>
  <si>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</si>
  <si>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</si>
  <si>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</si>
  <si>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</si>
  <si>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</si>
  <si>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</si>
  <si>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</si>
  <si>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</si>
  <si>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</si>
  <si>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</si>
  <si>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</si>
  <si>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</si>
  <si>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</si>
  <si>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</si>
  <si>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</si>
  <si>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</si>
  <si>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</si>
  <si>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</si>
  <si>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</si>
  <si>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</si>
  <si>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</si>
  <si>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</si>
  <si>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</si>
  <si>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</si>
  <si>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</si>
  <si>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</si>
  <si>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</si>
  <si>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</si>
  <si>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</si>
  <si>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</si>
  <si>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</si>
  <si>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</si>
  <si>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</si>
  <si>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</si>
  <si>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</si>
  <si>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</si>
  <si>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</si>
  <si>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</si>
  <si>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</si>
  <si>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</si>
  <si>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</si>
  <si>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</si>
  <si>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</si>
  <si>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</si>
  <si>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</si>
  <si>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</si>
  <si>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</si>
  <si>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</si>
  <si>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</si>
  <si>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</si>
  <si>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</si>
  <si>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</si>
  <si>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</si>
  <si>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</si>
  <si>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</si>
  <si>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</si>
  <si>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</si>
  <si>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</si>
  <si>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</si>
  <si>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</si>
  <si>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</si>
  <si>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</si>
  <si>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</si>
  <si>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</si>
  <si>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</si>
  <si>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</si>
  <si>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</si>
  <si>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</si>
  <si>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</si>
  <si>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</si>
  <si>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</si>
  <si>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</si>
  <si>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</si>
  <si>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</si>
  <si>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</si>
  <si>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</si>
  <si>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</si>
  <si>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</si>
  <si>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</si>
  <si>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</si>
  <si>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</si>
  <si>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</si>
  <si>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</si>
  <si>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</si>
  <si>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</si>
  <si>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</si>
  <si>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</si>
  <si>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</si>
  <si>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</si>
  <si>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</si>
  <si>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</si>
  <si>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</si>
  <si>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</si>
  <si>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</si>
  <si>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</si>
  <si>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</si>
  <si>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</si>
  <si>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</si>
  <si>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</si>
  <si>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</si>
  <si>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</si>
  <si>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</si>
  <si>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</si>
  <si>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</si>
  <si>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</si>
  <si>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</si>
  <si>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</si>
  <si>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</si>
  <si>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</si>
  <si>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</si>
  <si>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</si>
  <si>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</si>
  <si>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</si>
  <si>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</si>
  <si>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</si>
  <si>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</si>
  <si>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</si>
  <si>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</si>
  <si>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</si>
  <si>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</si>
  <si>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</si>
  <si>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</si>
  <si>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</si>
  <si>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</si>
  <si>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</si>
  <si>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</si>
  <si>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</si>
  <si>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</si>
  <si>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</si>
  <si>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</si>
  <si>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</si>
  <si>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</si>
  <si>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</si>
  <si>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</si>
  <si>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</si>
  <si>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</si>
  <si>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</si>
  <si>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</si>
  <si>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</si>
  <si>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</si>
  <si>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</si>
  <si>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</si>
  <si>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</si>
  <si>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</si>
  <si>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</si>
  <si>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</si>
  <si>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</si>
  <si>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</si>
  <si>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</si>
  <si>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</si>
  <si>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</si>
  <si>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</si>
  <si>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</si>
  <si>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</si>
  <si>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</si>
  <si>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</si>
  <si>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</si>
  <si>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</si>
  <si>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</si>
  <si>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</si>
  <si>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</si>
  <si>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</si>
  <si>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</si>
  <si>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</si>
  <si>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</si>
  <si>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</si>
  <si>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</si>
  <si>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</si>
  <si>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</si>
  <si>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</si>
  <si>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</si>
  <si>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</si>
  <si>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</si>
  <si>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</si>
  <si>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</si>
  <si>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</si>
  <si>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</si>
  <si>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</si>
  <si>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</si>
  <si>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</si>
  <si>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</si>
  <si>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</si>
  <si>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</si>
  <si>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</si>
  <si>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</si>
  <si>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</si>
  <si>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</si>
  <si>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</si>
  <si>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</si>
  <si>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</si>
  <si>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</si>
  <si>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</si>
  <si>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</si>
  <si>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</si>
  <si>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</si>
  <si>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</si>
  <si>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</si>
  <si>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</si>
  <si>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</si>
  <si>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</si>
  <si>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</si>
  <si>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</si>
  <si>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</si>
  <si>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</si>
  <si>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</si>
  <si>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</si>
  <si>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</si>
  <si>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</si>
  <si>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</si>
  <si>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</si>
  <si>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</si>
  <si>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</si>
  <si>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</si>
  <si>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</si>
  <si>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</si>
  <si>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</si>
  <si>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</si>
  <si>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</si>
  <si>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</si>
  <si>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</si>
  <si>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</si>
  <si>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</si>
  <si>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</si>
  <si>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</si>
  <si>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</si>
  <si>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</si>
  <si>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</si>
  <si>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</si>
  <si>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</si>
  <si>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</si>
  <si>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</si>
  <si>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</si>
  <si>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</si>
  <si>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</si>
  <si>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</si>
  <si>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</si>
  <si>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</si>
  <si>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</si>
  <si>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</si>
  <si>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</si>
  <si>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</si>
  <si>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</si>
  <si>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</si>
  <si>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</si>
  <si>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</si>
  <si>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</si>
  <si>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</si>
  <si>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</si>
  <si>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</si>
  <si>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</si>
  <si>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</si>
  <si>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</si>
  <si>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</si>
  <si>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</si>
  <si>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</si>
  <si>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</si>
  <si>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</si>
  <si>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</si>
  <si>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</si>
  <si>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</si>
  <si>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</si>
  <si>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</si>
  <si>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</si>
  <si>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</si>
  <si>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</si>
  <si>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</si>
  <si>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</si>
  <si>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</si>
  <si>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</si>
  <si>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</si>
  <si>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</si>
  <si>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</si>
  <si>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</si>
  <si>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</si>
  <si>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</si>
  <si>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</si>
  <si>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</si>
  <si>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</si>
  <si>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</si>
  <si>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</si>
  <si>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</si>
  <si>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</si>
  <si>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</si>
  <si>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</si>
  <si>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</si>
  <si>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</si>
  <si>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</si>
  <si>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</si>
  <si>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</si>
  <si>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</si>
  <si>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</si>
  <si>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</si>
  <si>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</si>
  <si>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</si>
  <si>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</si>
  <si>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</si>
  <si>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</si>
  <si>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</si>
  <si>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</si>
  <si>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</si>
  <si>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</si>
  <si>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</si>
  <si>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</si>
  <si>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</si>
  <si>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</si>
  <si>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</si>
  <si>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</si>
  <si>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</si>
  <si>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</si>
  <si>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</si>
  <si>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</si>
  <si>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</si>
  <si>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</si>
  <si>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</si>
  <si>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</si>
  <si>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</si>
  <si>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</si>
  <si>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</si>
  <si>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</si>
  <si>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</si>
  <si>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</si>
  <si>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</si>
  <si>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</si>
  <si>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</si>
  <si>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</si>
  <si>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</si>
  <si>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</si>
  <si>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</si>
  <si>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</si>
  <si>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</si>
  <si>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</si>
  <si>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</si>
  <si>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</si>
  <si>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</si>
  <si>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</si>
  <si>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</si>
  <si>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</si>
  <si>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</si>
  <si>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</si>
  <si>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</si>
  <si>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</si>
  <si>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</si>
  <si>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</si>
  <si>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</si>
  <si>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</si>
  <si>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</si>
  <si>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</si>
  <si>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</si>
  <si>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</si>
  <si>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</si>
  <si>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</si>
  <si>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</si>
  <si>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</si>
  <si>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</si>
  <si>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</si>
  <si>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</si>
  <si>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</si>
  <si>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</si>
  <si>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</si>
  <si>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</si>
  <si>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</si>
  <si>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</si>
  <si>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</si>
  <si>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</si>
  <si>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</si>
  <si>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</si>
  <si>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</si>
  <si>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</si>
  <si>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</si>
  <si>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</si>
  <si>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</si>
  <si>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</si>
  <si>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</si>
  <si>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</si>
  <si>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</si>
  <si>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</si>
  <si>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</si>
  <si>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</si>
  <si>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</si>
  <si>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</si>
  <si>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</si>
  <si>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</si>
  <si>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</si>
  <si>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</si>
  <si>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</si>
  <si>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</si>
  <si>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</si>
  <si>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</si>
  <si>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</si>
  <si>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</si>
  <si>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</si>
  <si>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</si>
  <si>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</si>
  <si>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</si>
  <si>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</si>
  <si>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</si>
  <si>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</si>
  <si>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</si>
  <si>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</si>
  <si>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</si>
  <si>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</si>
  <si>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</si>
  <si>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</si>
  <si>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</si>
  <si>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</si>
  <si>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</si>
  <si>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</si>
  <si>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</si>
  <si>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</si>
  <si>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</si>
  <si>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</si>
  <si>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</si>
  <si>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</si>
  <si>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</si>
  <si>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</si>
  <si>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</si>
  <si>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</si>
  <si>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</si>
  <si>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</si>
  <si>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</si>
  <si>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</si>
  <si>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</si>
  <si>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</si>
  <si>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</si>
  <si>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</si>
  <si>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</si>
  <si>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</si>
  <si>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</si>
  <si>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</si>
  <si>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</si>
  <si>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</si>
  <si>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</si>
  <si>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</si>
  <si>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</si>
  <si>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</si>
  <si>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</si>
  <si>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</si>
  <si>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</si>
  <si>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</si>
  <si>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</si>
  <si>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</si>
  <si>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</si>
  <si>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</si>
  <si>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</si>
  <si>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</si>
  <si>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</si>
  <si>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</si>
  <si>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</si>
  <si>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</si>
  <si>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</si>
  <si>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</si>
  <si>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</si>
  <si>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</si>
  <si>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</si>
  <si>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</si>
  <si>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</si>
  <si>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</si>
  <si>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</si>
  <si>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</si>
  <si>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</si>
  <si>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</si>
  <si>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</si>
  <si>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</si>
  <si>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</si>
  <si>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</si>
  <si>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</si>
  <si>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</si>
  <si>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</si>
  <si>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</si>
  <si>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</si>
  <si>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</si>
  <si>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</si>
  <si>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</si>
  <si>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</si>
  <si>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</si>
  <si>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</si>
  <si>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</si>
  <si>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</si>
  <si>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</si>
  <si>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</si>
  <si>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</si>
  <si>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</si>
  <si>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</si>
  <si>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</si>
  <si>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</si>
  <si>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</si>
  <si>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</si>
  <si>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</si>
  <si>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</si>
  <si>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</si>
  <si>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</si>
  <si>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</si>
  <si>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</si>
  <si>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</si>
  <si>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</si>
  <si>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</si>
  <si>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</si>
  <si>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</si>
  <si>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</si>
  <si>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</si>
  <si>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</si>
  <si>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</si>
  <si>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</si>
  <si>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</si>
  <si>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</si>
  <si>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</si>
  <si>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</si>
  <si>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</si>
  <si>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</si>
  <si>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</si>
  <si>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</si>
  <si>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</si>
  <si>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</si>
  <si>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</si>
  <si>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</si>
  <si>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</si>
  <si>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</si>
  <si>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</si>
  <si>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</si>
  <si>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</si>
  <si>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</si>
  <si>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</si>
  <si>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</si>
  <si>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</si>
  <si>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</si>
  <si>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</si>
  <si>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</si>
  <si>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</si>
  <si>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</si>
  <si>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</si>
  <si>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</si>
  <si>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</si>
  <si>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</si>
  <si>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</si>
  <si>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</si>
  <si>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</si>
  <si>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</si>
  <si>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</si>
  <si>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</si>
  <si>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</si>
  <si>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</si>
  <si>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</si>
  <si>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</si>
  <si>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</si>
  <si>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</si>
  <si>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</si>
  <si>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</si>
  <si>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</si>
  <si>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</si>
  <si>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</si>
  <si>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</si>
  <si>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</si>
  <si>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</si>
  <si>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</si>
  <si>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</si>
  <si>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</si>
  <si>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</si>
  <si>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</si>
  <si>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</si>
  <si>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</si>
  <si>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</si>
  <si>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</si>
  <si>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</si>
  <si>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</si>
  <si>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</si>
  <si>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</si>
  <si>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</si>
  <si>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</si>
  <si>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</si>
  <si>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</si>
  <si>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</si>
  <si>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</si>
  <si>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</si>
  <si>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</si>
  <si>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</si>
  <si>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</si>
  <si>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</si>
  <si>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</si>
  <si>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</si>
  <si>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</si>
  <si>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</si>
  <si>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</si>
  <si>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</si>
  <si>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</si>
  <si>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</si>
  <si>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</si>
  <si>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</si>
  <si>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</si>
  <si>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</si>
  <si>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</si>
  <si>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</si>
  <si>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</si>
  <si>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</si>
  <si>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</si>
  <si>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</si>
  <si>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</si>
  <si>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</si>
  <si>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</si>
  <si>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</si>
  <si>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</si>
  <si>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</si>
  <si>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</si>
  <si>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</si>
  <si>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</si>
  <si>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</si>
  <si>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</si>
  <si>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</si>
  <si>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</si>
  <si>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</si>
  <si>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</si>
  <si>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</si>
  <si>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</si>
  <si>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</si>
  <si>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</si>
  <si>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</si>
  <si>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</si>
  <si>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</si>
  <si>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</si>
  <si>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</si>
  <si>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</si>
  <si>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</si>
  <si>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</si>
  <si>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</si>
  <si>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</si>
  <si>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</si>
  <si>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</si>
  <si>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</si>
  <si>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</si>
  <si>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</si>
  <si>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</si>
  <si>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</si>
  <si>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</si>
  <si>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</si>
  <si>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</si>
  <si>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</si>
  <si>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</si>
  <si>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</si>
  <si>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</si>
  <si>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</si>
  <si>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</si>
  <si>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</si>
  <si>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</si>
  <si>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</si>
  <si>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</si>
  <si>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</si>
  <si>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</si>
  <si>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</si>
  <si>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</si>
  <si>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</si>
  <si>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</si>
  <si>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</si>
  <si>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</si>
  <si>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</si>
  <si>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</si>
  <si>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</si>
  <si>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</si>
  <si>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</si>
  <si>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</si>
  <si>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</si>
  <si>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</si>
  <si>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</si>
  <si>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</si>
  <si>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</si>
  <si>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</si>
  <si>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</si>
  <si>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</si>
  <si>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</si>
  <si>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</si>
  <si>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</si>
  <si>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</si>
  <si>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</si>
  <si>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</si>
  <si>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</si>
  <si>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</si>
  <si>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</si>
  <si>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</si>
  <si>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</si>
  <si>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</si>
  <si>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</si>
  <si>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</si>
  <si>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</si>
  <si>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</si>
  <si>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</si>
  <si>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</si>
  <si>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</si>
  <si>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</si>
  <si>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</si>
  <si>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</si>
  <si>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</si>
  <si>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</si>
  <si>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</si>
  <si>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</si>
  <si>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</si>
  <si>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</si>
  <si>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</si>
  <si>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</si>
  <si>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</si>
  <si>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</si>
  <si>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</si>
  <si>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</si>
  <si>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</si>
  <si>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</si>
  <si>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</si>
  <si>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</si>
  <si>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</si>
  <si>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</si>
  <si>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</si>
  <si>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</si>
  <si>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</si>
  <si>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</si>
  <si>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</si>
  <si>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</si>
  <si>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</si>
  <si>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</si>
  <si>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</si>
  <si>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</si>
  <si>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</si>
  <si>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</si>
  <si>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</si>
  <si>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</si>
  <si>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</si>
  <si>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</si>
  <si>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</si>
  <si>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</si>
  <si>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</si>
  <si>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</si>
  <si>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</si>
  <si>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</si>
  <si>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</si>
  <si>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</si>
  <si>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</si>
  <si>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</si>
  <si>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</si>
  <si>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</si>
  <si>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</si>
  <si>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</si>
  <si>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</si>
  <si>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</si>
  <si>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</si>
  <si>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</si>
  <si>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</si>
  <si>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</si>
  <si>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</si>
  <si>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</si>
  <si>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</si>
  <si>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</si>
  <si>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</si>
  <si>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</si>
  <si>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</si>
  <si>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</si>
  <si>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</si>
  <si>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</si>
  <si>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</si>
  <si>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</si>
  <si>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</si>
  <si>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</si>
  <si>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</si>
  <si>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</si>
  <si>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</si>
  <si>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</si>
  <si>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</si>
  <si>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</si>
  <si>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</si>
  <si>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</si>
  <si>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</si>
  <si>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</si>
  <si>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</si>
  <si>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</si>
  <si>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</si>
  <si>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</si>
  <si>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</si>
  <si>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</si>
  <si>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</si>
  <si>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</si>
  <si>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</si>
  <si>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</si>
  <si>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</si>
  <si>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</si>
  <si>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</si>
  <si>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</si>
  <si>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</si>
  <si>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</si>
  <si>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</si>
  <si>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</si>
  <si>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</si>
  <si>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</si>
  <si>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</si>
  <si>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</si>
  <si>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</si>
  <si>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</si>
  <si>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</si>
  <si>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</si>
  <si>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</si>
  <si>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</si>
  <si>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</si>
  <si>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</si>
  <si>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</si>
  <si>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</si>
  <si>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</si>
  <si>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</si>
  <si>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</si>
  <si>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</si>
  <si>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</si>
  <si>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</si>
  <si>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</si>
  <si>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</si>
  <si>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</si>
  <si>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</si>
  <si>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</si>
  <si>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</si>
  <si>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</si>
  <si>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</si>
  <si>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</si>
  <si>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</si>
  <si>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</si>
  <si>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</si>
  <si>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</si>
  <si>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</si>
  <si>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</si>
  <si>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</si>
  <si>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</si>
  <si>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</si>
  <si>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</si>
  <si>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</si>
  <si>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</si>
  <si>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</si>
  <si>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</si>
  <si>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</si>
  <si>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</si>
  <si>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</si>
  <si>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</si>
  <si>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</si>
  <si>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</si>
  <si>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</si>
  <si>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</si>
  <si>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</si>
  <si>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</si>
  <si>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</si>
  <si>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</si>
  <si>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</si>
  <si>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</si>
  <si>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</si>
  <si>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</si>
  <si>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</si>
  <si>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</si>
  <si>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</si>
  <si>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</si>
  <si>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</si>
  <si>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</si>
  <si>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</si>
  <si>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</si>
  <si>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</si>
  <si>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</si>
  <si>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</si>
  <si>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</si>
  <si>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</si>
  <si>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</si>
  <si>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</si>
  <si>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</si>
  <si>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</si>
  <si>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</si>
  <si>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</si>
  <si>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</si>
  <si>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</si>
  <si>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</si>
  <si>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</si>
  <si>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</si>
  <si>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</si>
  <si>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</si>
  <si>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</si>
  <si>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</si>
  <si>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</si>
  <si>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</si>
  <si>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</si>
  <si>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</si>
  <si>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</si>
  <si>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</si>
  <si>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</si>
  <si>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</si>
  <si>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</si>
  <si>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</si>
  <si>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</si>
  <si>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</si>
  <si>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</si>
  <si>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</si>
  <si>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</si>
  <si>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</si>
  <si>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</si>
  <si>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</si>
  <si>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</si>
  <si>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</si>
  <si>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</si>
  <si>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</si>
  <si>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</si>
  <si>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</si>
  <si>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</si>
  <si>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</si>
  <si>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</si>
  <si>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</si>
  <si>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</si>
  <si>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</si>
  <si>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</si>
  <si>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</si>
  <si>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</si>
  <si>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</si>
  <si>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</si>
  <si>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</si>
  <si>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</si>
  <si>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</si>
  <si>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</si>
  <si>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</si>
  <si>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</si>
  <si>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</si>
  <si>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</si>
  <si>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</si>
  <si>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</si>
  <si>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</si>
  <si>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</si>
  <si>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</si>
  <si>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</si>
  <si>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</si>
  <si>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</si>
  <si>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</si>
  <si>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</si>
  <si>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</si>
  <si>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</si>
  <si>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</si>
  <si>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</si>
  <si>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</si>
  <si>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</si>
  <si>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</si>
  <si>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</si>
  <si>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</si>
  <si>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</si>
  <si>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</si>
  <si>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</si>
  <si>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</si>
  <si>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</si>
  <si>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</si>
  <si>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</si>
  <si>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</si>
  <si>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</si>
  <si>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</si>
  <si>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</si>
  <si>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</si>
  <si>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</si>
  <si>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</si>
  <si>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</si>
  <si>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</si>
  <si>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</si>
  <si>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</si>
  <si>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</si>
  <si>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</si>
  <si>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</si>
  <si>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</si>
  <si>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</si>
  <si>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</si>
  <si>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</si>
  <si>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</si>
  <si>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</si>
  <si>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</si>
  <si>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</si>
  <si>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</si>
  <si>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</si>
  <si>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</si>
  <si>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</si>
  <si>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</si>
  <si>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</si>
  <si>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</si>
  <si>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</si>
  <si>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</si>
  <si>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</si>
  <si>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</si>
  <si>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</si>
  <si>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</si>
  <si>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</si>
  <si>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</si>
  <si>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</si>
  <si>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</si>
  <si>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</si>
  <si>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</si>
  <si>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</si>
  <si>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</si>
  <si>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</si>
  <si>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</si>
  <si>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</si>
  <si>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</si>
  <si>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</si>
  <si>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</si>
  <si>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</si>
  <si>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</si>
  <si>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</si>
  <si>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</si>
  <si>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</si>
  <si>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</si>
  <si>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</si>
  <si>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</si>
  <si>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</si>
  <si>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</si>
  <si>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</si>
  <si>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</si>
  <si>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</si>
  <si>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</si>
  <si>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</si>
  <si>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</si>
  <si>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</si>
  <si>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</si>
  <si>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</si>
  <si>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</si>
  <si>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</si>
  <si>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</si>
  <si>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</si>
  <si>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</si>
  <si>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</si>
  <si>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</si>
  <si>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</si>
  <si>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</si>
  <si>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</si>
  <si>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</si>
  <si>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</si>
  <si>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</si>
  <si>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</si>
  <si>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</si>
  <si>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</si>
  <si>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</si>
  <si>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</si>
  <si>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</si>
  <si>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</si>
  <si>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</si>
  <si>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</si>
  <si>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</si>
  <si>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</si>
  <si>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</si>
  <si>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</si>
  <si>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</si>
  <si>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</si>
  <si>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</si>
  <si>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</si>
  <si>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</si>
  <si>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</si>
  <si>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</si>
  <si>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</si>
  <si>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</si>
  <si>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</si>
  <si>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</si>
  <si>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</si>
  <si>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</si>
  <si>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</si>
  <si>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</si>
  <si>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</si>
  <si>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</si>
  <si>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</si>
  <si>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</si>
  <si>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</si>
  <si>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</si>
  <si>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</si>
  <si>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</si>
  <si>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</si>
  <si>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</si>
  <si>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</si>
  <si>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</si>
  <si>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</si>
  <si>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</si>
  <si>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</si>
  <si>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</si>
  <si>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</si>
  <si>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</si>
  <si>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</si>
  <si>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</si>
  <si>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</si>
  <si>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</si>
  <si>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</si>
  <si>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</si>
  <si>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</si>
  <si>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</si>
  <si>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</si>
  <si>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</si>
  <si>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</si>
  <si>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</si>
  <si>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</si>
  <si>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</si>
  <si>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</si>
  <si>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</si>
  <si>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</si>
  <si>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</si>
  <si>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</si>
  <si>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</si>
  <si>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</si>
  <si>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</si>
  <si>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</si>
  <si>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</si>
  <si>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</si>
  <si>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</si>
  <si>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</si>
  <si>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</si>
  <si>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</si>
  <si>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</si>
  <si>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</si>
  <si>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</si>
  <si>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</si>
  <si>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</si>
  <si>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</si>
  <si>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</si>
  <si>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</si>
  <si>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</si>
  <si>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</si>
  <si>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</si>
  <si>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</si>
  <si>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</si>
  <si>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</si>
  <si>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</si>
  <si>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</si>
  <si>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</si>
  <si>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</si>
  <si>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</si>
  <si>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</si>
  <si>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</si>
  <si>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</si>
  <si>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</si>
  <si>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</si>
  <si>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</si>
  <si>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</si>
  <si>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</si>
  <si>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</si>
  <si>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</si>
  <si>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</si>
  <si>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</si>
  <si>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</si>
  <si>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</si>
  <si>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</si>
  <si>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</si>
  <si>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</si>
  <si>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</si>
  <si>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</si>
  <si>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</si>
  <si>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</si>
  <si>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</si>
  <si>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</si>
  <si>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</si>
  <si>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</si>
  <si>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</si>
  <si>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</si>
  <si>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</si>
  <si>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</si>
  <si>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</si>
  <si>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</si>
  <si>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</si>
  <si>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</si>
  <si>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</si>
  <si>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</si>
  <si>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</si>
  <si>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</si>
  <si>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</si>
  <si>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</si>
  <si>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</si>
  <si>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</si>
  <si>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</si>
  <si>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</si>
  <si>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</si>
  <si>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</si>
  <si>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</si>
  <si>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</si>
  <si>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</si>
  <si>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</si>
  <si>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</si>
  <si>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</si>
  <si>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</si>
  <si>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</si>
  <si>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</si>
  <si>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</si>
  <si>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</si>
  <si>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</si>
  <si>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</si>
  <si>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</si>
  <si>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</si>
  <si>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</si>
  <si>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</si>
  <si>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</si>
  <si>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</si>
  <si>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</si>
  <si>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</si>
  <si>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</si>
  <si>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</si>
  <si>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</si>
  <si>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</si>
  <si>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</si>
  <si>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</si>
  <si>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</si>
  <si>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</si>
  <si>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</si>
  <si>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</si>
  <si>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</si>
  <si>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</si>
  <si>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</si>
  <si>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</si>
  <si>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</si>
  <si>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</si>
  <si>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</si>
  <si>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</si>
  <si>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</si>
  <si>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</si>
  <si>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</si>
  <si>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</si>
  <si>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</si>
  <si>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</si>
  <si>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</si>
  <si>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</si>
  <si>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</si>
  <si>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</si>
  <si>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</si>
  <si>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</si>
  <si>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</si>
  <si>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</si>
  <si>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</si>
  <si>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</si>
  <si>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</si>
  <si>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</si>
  <si>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</si>
  <si>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</si>
  <si>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</si>
  <si>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</si>
  <si>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</si>
  <si>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</si>
  <si>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</si>
  <si>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</si>
  <si>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</si>
  <si>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</si>
  <si>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</si>
  <si>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</si>
  <si>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</si>
  <si>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</si>
  <si>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</si>
  <si>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</si>
  <si>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</si>
  <si>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</si>
  <si>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</si>
  <si>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</si>
  <si>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</si>
  <si>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</si>
  <si>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</si>
  <si>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</si>
  <si>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</si>
  <si>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</si>
  <si>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</si>
  <si>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</si>
  <si>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</si>
  <si>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</si>
  <si>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</si>
  <si>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</si>
  <si>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</si>
  <si>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</si>
  <si>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</si>
  <si>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</si>
  <si>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</si>
  <si>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</si>
  <si>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</si>
  <si>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</si>
  <si>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</si>
  <si>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</si>
  <si>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</si>
  <si>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</si>
  <si>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</si>
  <si>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</si>
  <si>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</si>
  <si>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</si>
  <si>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</si>
  <si>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</si>
  <si>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</si>
  <si>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</si>
  <si>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</si>
  <si>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</si>
  <si>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</si>
  <si>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</si>
  <si>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</si>
  <si>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</si>
  <si>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</si>
  <si>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</si>
  <si>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</si>
  <si>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</si>
  <si>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</si>
  <si>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</si>
  <si>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</si>
  <si>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</si>
  <si>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</si>
  <si>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</si>
  <si>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</si>
  <si>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</si>
  <si>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</si>
  <si>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</si>
  <si>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</si>
  <si>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</si>
  <si>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</si>
  <si>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</si>
  <si>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</si>
  <si>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</si>
  <si>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</si>
  <si>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</si>
  <si>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</si>
  <si>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</si>
  <si>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</si>
  <si>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</si>
  <si>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</si>
  <si>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</si>
  <si>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</si>
  <si>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</si>
  <si>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</si>
  <si>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</si>
  <si>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</si>
  <si>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</si>
  <si>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</si>
  <si>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</si>
  <si>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</si>
  <si>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</si>
  <si>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</si>
  <si>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</si>
  <si>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</si>
  <si>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</si>
  <si>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</si>
  <si>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</si>
  <si>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</si>
  <si>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</si>
  <si>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</si>
  <si>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</si>
  <si>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</si>
  <si>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</si>
  <si>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</si>
  <si>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</si>
  <si>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</si>
  <si>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</si>
  <si>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</si>
  <si>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</si>
  <si>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</si>
  <si>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</si>
  <si>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</si>
  <si>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</si>
  <si>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</si>
  <si>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</si>
  <si>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</si>
  <si>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</si>
  <si>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</si>
  <si>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</si>
  <si>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</si>
  <si>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</si>
  <si>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</si>
  <si>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</si>
  <si>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</si>
  <si>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</si>
  <si>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</si>
  <si>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</si>
  <si>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</si>
  <si>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</si>
  <si>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</si>
  <si>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</si>
  <si>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</si>
  <si>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</si>
  <si>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</si>
  <si>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</si>
  <si>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</si>
  <si>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</si>
  <si>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</si>
  <si>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</si>
  <si>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</si>
  <si>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</si>
  <si>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</si>
  <si>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</si>
  <si>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</si>
  <si>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</si>
  <si>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</si>
  <si>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</si>
  <si>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</si>
  <si>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</si>
  <si>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</si>
  <si>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</si>
  <si>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</si>
  <si>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</si>
  <si>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</si>
  <si>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</si>
  <si>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</si>
  <si>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</si>
  <si>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</si>
  <si>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</si>
  <si>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</si>
  <si>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</si>
  <si>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</si>
  <si>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</si>
  <si>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</si>
  <si>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</si>
  <si>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</si>
  <si>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</si>
  <si>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</si>
  <si>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</si>
  <si>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</si>
  <si>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</si>
  <si>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</si>
  <si>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</si>
  <si>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</si>
  <si>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</si>
  <si>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</si>
  <si>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</si>
  <si>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</si>
  <si>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</si>
  <si>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</si>
  <si>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</si>
  <si>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</si>
  <si>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</si>
  <si>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</si>
  <si>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</si>
  <si>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</si>
  <si>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</si>
  <si>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</si>
  <si>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</si>
  <si>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</si>
  <si>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</si>
  <si>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</si>
  <si>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</si>
  <si>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</si>
  <si>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</si>
  <si>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</si>
  <si>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</si>
  <si>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</si>
  <si>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</si>
  <si>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</si>
  <si>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</si>
  <si>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</si>
  <si>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</si>
  <si>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</si>
  <si>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</si>
  <si>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</si>
  <si>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</si>
  <si>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</si>
  <si>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</si>
  <si>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</si>
  <si>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</si>
  <si>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</si>
  <si>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</si>
  <si>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</si>
  <si>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</si>
  <si>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</si>
  <si>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</si>
  <si>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</si>
  <si>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</si>
  <si>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</si>
  <si>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</si>
  <si>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</si>
  <si>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</si>
  <si>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</si>
  <si>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</si>
  <si>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</si>
  <si>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</si>
  <si>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</si>
  <si>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</si>
  <si>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</si>
  <si>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</si>
  <si>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</si>
  <si>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</si>
  <si>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</si>
  <si>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</si>
  <si>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</si>
  <si>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</si>
  <si>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</si>
  <si>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</si>
  <si>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</si>
  <si>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</si>
  <si>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</si>
  <si>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</si>
  <si>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</si>
  <si>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</si>
  <si>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</si>
  <si>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</si>
  <si>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</si>
  <si>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</si>
  <si>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</si>
  <si>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</si>
  <si>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</si>
  <si>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</si>
  <si>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</si>
  <si>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</si>
  <si>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</si>
  <si>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</si>
  <si>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</si>
  <si>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</si>
  <si>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</si>
  <si>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</si>
  <si>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</si>
  <si>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</si>
  <si>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</si>
  <si>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</si>
  <si>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</si>
  <si>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</si>
  <si>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</si>
  <si>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</si>
  <si>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</si>
  <si>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</si>
  <si>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</si>
  <si>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</si>
  <si>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</si>
  <si>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</si>
  <si>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</si>
  <si>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</si>
  <si>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</si>
  <si>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</si>
  <si>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</si>
  <si>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</si>
  <si>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</si>
  <si>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</si>
  <si>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</si>
  <si>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</si>
  <si>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</si>
  <si>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</si>
  <si>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</si>
  <si>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</si>
  <si>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</si>
  <si>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</si>
  <si>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</si>
  <si>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</si>
  <si>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</si>
  <si>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</si>
  <si>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</si>
  <si>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</si>
  <si>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</si>
  <si>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</si>
  <si>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</si>
  <si>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</si>
  <si>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</si>
  <si>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</si>
  <si>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</si>
  <si>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</si>
  <si>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</si>
  <si>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</si>
  <si>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</si>
  <si>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</si>
  <si>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</si>
  <si>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</si>
  <si>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</si>
  <si>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</si>
  <si>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</si>
  <si>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</si>
  <si>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</si>
  <si>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</si>
  <si>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</si>
  <si>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</si>
  <si>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</si>
  <si>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</si>
  <si>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</si>
  <si>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</si>
  <si>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</si>
  <si>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</si>
  <si>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</si>
  <si>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</si>
  <si>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</si>
  <si>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</si>
  <si>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</si>
  <si>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</si>
  <si>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</si>
  <si>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</si>
  <si>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</si>
  <si>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</si>
  <si>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</si>
  <si>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</si>
  <si>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</si>
  <si>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</si>
  <si>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</si>
  <si>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</si>
  <si>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</si>
  <si>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</si>
  <si>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</si>
  <si>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</si>
  <si>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</si>
  <si>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</si>
  <si>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</si>
  <si>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</si>
  <si>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</si>
  <si>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</si>
  <si>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</si>
  <si>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</si>
  <si>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</si>
  <si>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</si>
  <si>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</si>
  <si>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</si>
  <si>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</si>
  <si>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</si>
  <si>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</si>
  <si>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</si>
  <si>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</si>
  <si>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</si>
  <si>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</si>
  <si>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</si>
  <si>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</si>
  <si>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</si>
  <si>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</si>
  <si>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</si>
  <si>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</si>
  <si>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</si>
  <si>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</si>
  <si>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</si>
  <si>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</si>
  <si>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</si>
  <si>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</si>
  <si>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</si>
  <si>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</si>
  <si>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</si>
  <si>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</si>
  <si>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</si>
  <si>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</si>
  <si>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</si>
  <si>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</si>
  <si>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</si>
  <si>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</si>
  <si>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</si>
  <si>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</si>
  <si>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</si>
  <si>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</si>
  <si>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</si>
  <si>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</si>
  <si>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</si>
  <si>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</si>
  <si>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</si>
  <si>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</si>
  <si>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</si>
  <si>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</si>
  <si>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</si>
  <si>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</si>
  <si>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</si>
  <si>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</si>
  <si>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</si>
  <si>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</si>
  <si>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</si>
  <si>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</si>
  <si>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</si>
  <si>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</si>
  <si>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</si>
  <si>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</si>
  <si>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</si>
  <si>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</si>
  <si>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</si>
  <si>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</si>
  <si>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</si>
  <si>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</si>
  <si>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</si>
  <si>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</si>
  <si>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</si>
  <si>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</si>
  <si>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</si>
  <si>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</si>
  <si>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</si>
  <si>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</si>
  <si>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</si>
  <si>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</si>
  <si>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</si>
  <si>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</si>
  <si>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</si>
  <si>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</si>
  <si>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</si>
  <si>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</si>
  <si>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</si>
  <si>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</si>
  <si>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</si>
  <si>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</si>
  <si>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</si>
  <si>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</si>
  <si>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</si>
  <si>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</si>
  <si>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</si>
  <si>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</si>
  <si>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</si>
  <si>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</si>
  <si>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</si>
  <si>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</si>
  <si>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</si>
  <si>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</si>
  <si>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</si>
  <si>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</si>
  <si>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</si>
  <si>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</si>
  <si>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</si>
  <si>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</si>
  <si>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</si>
  <si>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</si>
  <si>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</si>
  <si>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</si>
  <si>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</si>
  <si>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</si>
  <si>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</si>
  <si>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</si>
  <si>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</si>
  <si>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</si>
  <si>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</si>
  <si>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</si>
  <si>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</si>
  <si>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</si>
  <si>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</si>
  <si>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</si>
  <si>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</si>
  <si>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</si>
  <si>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</si>
  <si>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</si>
  <si>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</si>
  <si>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</si>
  <si>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</si>
  <si>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</si>
  <si>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</si>
  <si>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</si>
  <si>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</si>
  <si>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</si>
  <si>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</si>
  <si>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</si>
  <si>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</si>
  <si>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</si>
  <si>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</si>
  <si>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</si>
  <si>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</si>
  <si>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</si>
  <si>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</si>
  <si>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</si>
  <si>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</si>
  <si>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</si>
  <si>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</si>
  <si>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</si>
  <si>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</si>
  <si>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</si>
  <si>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</si>
  <si>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</si>
  <si>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</si>
  <si>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</si>
  <si>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</si>
  <si>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</si>
  <si>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</si>
  <si>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</si>
  <si>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</si>
  <si>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</si>
  <si>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</si>
  <si>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</si>
  <si>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</si>
  <si>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</si>
  <si>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</si>
  <si>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</si>
  <si>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</si>
  <si>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</si>
  <si>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</si>
  <si>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</si>
  <si>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</si>
  <si>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</si>
  <si>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</si>
  <si>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</si>
  <si>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</si>
  <si>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</si>
  <si>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</si>
  <si>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</si>
  <si>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</si>
  <si>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</si>
  <si>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</si>
  <si>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</si>
  <si>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</si>
  <si>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</si>
  <si>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</si>
  <si>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</si>
  <si>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</si>
  <si>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</si>
  <si>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</si>
  <si>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</si>
  <si>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</si>
  <si>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</si>
  <si>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</si>
  <si>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</si>
  <si>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</si>
  <si>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</si>
  <si>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</si>
  <si>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</si>
  <si>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</si>
  <si>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</si>
  <si>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</si>
  <si>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</si>
  <si>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</si>
  <si>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</si>
  <si>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</si>
  <si>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</si>
  <si>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</si>
  <si>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</si>
  <si>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</si>
  <si>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</si>
  <si>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</si>
  <si>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</si>
  <si>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</si>
  <si>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</si>
  <si>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</si>
  <si>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</si>
  <si>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</si>
  <si>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</si>
  <si>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</si>
  <si>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</si>
  <si>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</si>
  <si>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</si>
  <si>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</si>
  <si>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</si>
  <si>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</si>
  <si>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</si>
  <si>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</si>
  <si>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</si>
  <si>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</si>
  <si>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</si>
  <si>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</si>
  <si>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</si>
  <si>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</si>
  <si>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</si>
  <si>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</si>
  <si>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</si>
  <si>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</si>
  <si>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</si>
  <si>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</si>
  <si>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</si>
  <si>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</si>
  <si>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</si>
  <si>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</si>
  <si>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</si>
  <si>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</si>
  <si>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</si>
  <si>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</si>
  <si>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</si>
  <si>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</si>
  <si>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</si>
  <si>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</si>
  <si>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</si>
  <si>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</si>
  <si>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</si>
  <si>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</si>
  <si>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</si>
  <si>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</si>
  <si>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</si>
  <si>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</si>
  <si>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</si>
  <si>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</si>
  <si>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</si>
  <si>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</si>
  <si>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</si>
  <si>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</si>
  <si>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</si>
  <si>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</si>
  <si>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</si>
  <si>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</si>
  <si>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</si>
  <si>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</si>
  <si>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</si>
  <si>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</si>
  <si>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</si>
  <si>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</si>
  <si>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</si>
  <si>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</si>
  <si>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</si>
  <si>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</si>
  <si>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</si>
  <si>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</si>
  <si>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</si>
  <si>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</si>
  <si>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</si>
  <si>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</si>
  <si>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</si>
  <si>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</si>
  <si>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</si>
  <si>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</si>
  <si>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</si>
  <si>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</si>
  <si>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</si>
  <si>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</si>
  <si>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</si>
  <si>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</si>
  <si>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</si>
  <si>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</si>
  <si>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</si>
  <si>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</si>
  <si>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</si>
  <si>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</si>
  <si>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</si>
  <si>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</si>
  <si>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</si>
  <si>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</si>
  <si>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</si>
  <si>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</si>
  <si>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</si>
  <si>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</si>
  <si>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</si>
  <si>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</si>
  <si>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</si>
  <si>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</si>
  <si>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</si>
  <si>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</si>
  <si>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</si>
  <si>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</si>
  <si>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</si>
  <si>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</si>
  <si>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</si>
  <si>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</si>
  <si>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</si>
  <si>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</si>
  <si>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</si>
  <si>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</si>
  <si>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</si>
  <si>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</si>
  <si>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</si>
  <si>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</si>
  <si>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</si>
  <si>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</si>
  <si>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</si>
  <si>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</si>
  <si>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</si>
  <si>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</si>
  <si>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</si>
  <si>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</si>
  <si>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</si>
  <si>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</si>
  <si>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</si>
  <si>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</si>
  <si>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</si>
  <si>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</si>
  <si>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</si>
  <si>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</si>
  <si>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</si>
  <si>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</si>
  <si>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</si>
  <si>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</si>
  <si>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</si>
  <si>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</si>
  <si>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</si>
  <si>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</si>
  <si>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</si>
  <si>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</si>
  <si>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</si>
  <si>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</si>
  <si>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</si>
  <si>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</si>
  <si>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</si>
  <si>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</si>
  <si>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</si>
  <si>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</si>
  <si>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</si>
  <si>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</si>
  <si>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</si>
  <si>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</si>
  <si>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</si>
  <si>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</si>
  <si>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</si>
  <si>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</si>
  <si>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</si>
  <si>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</si>
  <si>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</si>
  <si>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</si>
  <si>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</si>
  <si>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</si>
  <si>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</si>
  <si>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</si>
  <si>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</si>
  <si>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</si>
  <si>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</si>
  <si>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</si>
  <si>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</si>
  <si>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</si>
  <si>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</si>
  <si>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</si>
  <si>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</si>
  <si>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</si>
  <si>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</si>
  <si>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</si>
  <si>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</si>
  <si>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</si>
  <si>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</si>
  <si>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</si>
  <si>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</si>
  <si>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</si>
  <si>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</si>
  <si>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</si>
  <si>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</si>
  <si>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</si>
  <si>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</si>
  <si>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</si>
  <si>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</si>
  <si>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</si>
  <si>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</si>
  <si>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</si>
  <si>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</si>
  <si>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</si>
  <si>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</si>
  <si>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</si>
  <si>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</si>
  <si>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</si>
  <si>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</si>
  <si>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</si>
  <si>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</si>
  <si>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</si>
  <si>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</si>
  <si>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</si>
  <si>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</si>
  <si>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</si>
  <si>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</si>
  <si>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</si>
  <si>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</si>
  <si>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</si>
  <si>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</si>
  <si>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</si>
  <si>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</si>
  <si>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</si>
  <si>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</si>
  <si>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</si>
  <si>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</si>
  <si>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</si>
  <si>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</si>
  <si>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</si>
  <si>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</si>
  <si>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</si>
  <si>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</si>
  <si>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</si>
  <si>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</si>
  <si>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</si>
  <si>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</si>
  <si>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</si>
  <si>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</si>
  <si>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</si>
  <si>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</si>
  <si>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</si>
  <si>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</si>
  <si>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</si>
  <si>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</si>
  <si>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</si>
  <si>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</si>
  <si>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</si>
  <si>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</si>
  <si>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</si>
  <si>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</si>
  <si>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</si>
  <si>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</si>
  <si>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</si>
  <si>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</si>
  <si>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</si>
  <si>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</si>
  <si>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</si>
  <si>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</si>
  <si>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</si>
  <si>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</si>
  <si>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</si>
  <si>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</si>
  <si>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</si>
  <si>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</si>
  <si>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</si>
  <si>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</si>
  <si>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</si>
  <si>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</si>
  <si>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</si>
  <si>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</si>
  <si>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</si>
  <si>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</si>
  <si>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</si>
  <si>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</si>
  <si>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</si>
  <si>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</si>
  <si>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</si>
  <si>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</si>
  <si>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</si>
  <si>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</si>
  <si>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</si>
  <si>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</si>
  <si>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</si>
  <si>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</si>
  <si>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</si>
  <si>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</si>
  <si>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</si>
  <si>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</si>
  <si>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</si>
  <si>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</si>
  <si>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</si>
  <si>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</si>
  <si>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</si>
  <si>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</si>
  <si>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</si>
  <si>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</si>
  <si>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</si>
  <si>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</si>
  <si>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</si>
  <si>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</si>
  <si>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</si>
  <si>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</si>
  <si>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</si>
  <si>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</si>
  <si>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</si>
  <si>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</si>
  <si>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</si>
  <si>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</si>
  <si>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</si>
  <si>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</si>
  <si>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</si>
  <si>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</si>
  <si>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</si>
  <si>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</si>
  <si>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</si>
  <si>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</si>
  <si>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</si>
  <si>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</si>
  <si>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</si>
  <si>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</si>
  <si>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</si>
  <si>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</si>
  <si>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</si>
  <si>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</si>
  <si>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</si>
  <si>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</si>
  <si>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</si>
  <si>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</si>
  <si>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</si>
  <si>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</si>
  <si>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</si>
  <si>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</si>
  <si>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</si>
  <si>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</si>
  <si>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</si>
  <si>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</si>
  <si>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</si>
  <si>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</si>
  <si>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</si>
  <si>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</si>
  <si>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</si>
  <si>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</si>
  <si>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</si>
  <si>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</si>
  <si>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</si>
  <si>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</si>
  <si>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</si>
  <si>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</si>
  <si>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</si>
  <si>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</si>
  <si>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</si>
  <si>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</si>
  <si>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</si>
  <si>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</si>
  <si>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</si>
  <si>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</si>
  <si>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</si>
  <si>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</si>
  <si>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</si>
  <si>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</si>
  <si>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</si>
  <si>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</si>
  <si>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</si>
  <si>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</si>
  <si>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</si>
  <si>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</si>
  <si>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</si>
  <si>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</si>
  <si>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</si>
  <si>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</si>
  <si>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</si>
  <si>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</si>
  <si>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</si>
  <si>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</si>
  <si>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</si>
  <si>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</si>
  <si>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</si>
  <si>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</si>
  <si>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</si>
  <si>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</si>
  <si>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</si>
  <si>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</si>
  <si>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</si>
  <si>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</si>
  <si>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</si>
  <si>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</si>
  <si>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</si>
  <si>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</si>
  <si>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</si>
  <si>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</si>
  <si>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</si>
  <si>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</si>
  <si>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</si>
  <si>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</si>
  <si>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</si>
  <si>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</si>
  <si>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</si>
  <si>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</si>
  <si>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</si>
  <si>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</si>
  <si>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</si>
  <si>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</si>
  <si>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</si>
  <si>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</si>
  <si>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</si>
  <si>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</si>
  <si>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</si>
  <si>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</si>
  <si>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</si>
  <si>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</si>
  <si>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</si>
  <si>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</si>
  <si>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</si>
  <si>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</si>
  <si>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</si>
  <si>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</si>
  <si>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</si>
  <si>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</si>
  <si>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</si>
  <si>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</si>
  <si>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</si>
  <si>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</si>
  <si>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</si>
  <si>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</si>
  <si>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</si>
  <si>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</si>
  <si>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</si>
  <si>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</si>
  <si>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</si>
  <si>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</si>
  <si>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</si>
  <si>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</si>
  <si>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</si>
  <si>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</si>
  <si>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</si>
  <si>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</si>
  <si>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</si>
  <si>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</si>
  <si>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</si>
  <si>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</si>
  <si>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</si>
  <si>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</si>
  <si>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</si>
  <si>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</si>
  <si>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</si>
  <si>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</si>
  <si>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</si>
  <si>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</si>
  <si>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</si>
  <si>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</si>
  <si>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</si>
  <si>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</si>
  <si>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</si>
  <si>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</si>
  <si>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</si>
  <si>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</si>
  <si>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</si>
  <si>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</si>
  <si>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</si>
  <si>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</si>
  <si>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</si>
  <si>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</si>
  <si>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</si>
  <si>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</si>
  <si>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</si>
  <si>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</si>
  <si>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</si>
  <si>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</si>
  <si>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</si>
  <si>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</si>
  <si>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</si>
  <si>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</si>
  <si>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</si>
  <si>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</si>
  <si>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</si>
  <si>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</si>
  <si>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</si>
  <si>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</si>
  <si>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</si>
  <si>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</si>
  <si>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</si>
  <si>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</si>
  <si>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</si>
  <si>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</si>
  <si>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</si>
  <si>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</si>
  <si>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</si>
  <si>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</si>
  <si>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</si>
  <si>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</si>
  <si>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</si>
  <si>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</si>
  <si>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</si>
  <si>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</si>
  <si>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</si>
  <si>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</si>
  <si>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</si>
  <si>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</si>
  <si>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</si>
  <si>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</si>
  <si>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</si>
  <si>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</si>
  <si>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</si>
  <si>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</si>
  <si>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</si>
  <si>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</si>
  <si>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</si>
  <si>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</si>
  <si>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</si>
  <si>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</si>
  <si>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</si>
  <si>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</si>
  <si>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</si>
  <si>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</si>
  <si>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</si>
  <si>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</si>
  <si>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</si>
  <si>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</si>
  <si>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</si>
  <si>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</si>
  <si>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</si>
  <si>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</si>
  <si>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</si>
  <si>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</si>
  <si>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</si>
  <si>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</si>
  <si>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</si>
  <si>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</si>
  <si>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</si>
  <si>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</si>
  <si>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</si>
  <si>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</si>
  <si>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</si>
  <si>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</si>
  <si>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</si>
  <si>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</si>
  <si>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</si>
  <si>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</si>
  <si>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</si>
  <si>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</si>
  <si>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</si>
  <si>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</si>
  <si>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</si>
  <si>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</si>
  <si>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</si>
  <si>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</si>
  <si>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</si>
  <si>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</si>
  <si>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</si>
  <si>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</si>
  <si>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</si>
  <si>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</si>
  <si>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</si>
  <si>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</si>
  <si>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</si>
  <si>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</si>
  <si>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</si>
  <si>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</si>
  <si>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</si>
  <si>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</si>
  <si>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</si>
  <si>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</si>
  <si>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</si>
  <si>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</si>
  <si>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</si>
  <si>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</si>
  <si>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</si>
  <si>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</si>
  <si>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</si>
  <si>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</si>
  <si>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</si>
  <si>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</si>
  <si>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</si>
  <si>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</si>
  <si>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</si>
  <si>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</si>
  <si>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</si>
  <si>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</si>
  <si>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</si>
  <si>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</si>
  <si>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</si>
  <si>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</si>
  <si>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</si>
  <si>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</si>
  <si>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</si>
  <si>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</si>
  <si>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</si>
  <si>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</si>
  <si>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</si>
  <si>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</si>
  <si>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</si>
  <si>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</si>
  <si>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</si>
  <si>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</si>
  <si>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</si>
  <si>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</si>
  <si>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</si>
  <si>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</si>
  <si>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</si>
  <si>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</si>
  <si>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</si>
  <si>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</si>
  <si>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</si>
  <si>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</si>
  <si>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</si>
  <si>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</si>
  <si>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</si>
  <si>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</si>
  <si>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</si>
  <si>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</si>
  <si>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</si>
  <si>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</si>
  <si>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</si>
  <si>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</si>
  <si>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</si>
  <si>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</si>
  <si>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</si>
  <si>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</si>
  <si>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</si>
  <si>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</si>
  <si>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</si>
  <si>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</si>
  <si>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</si>
  <si>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</si>
  <si>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</si>
  <si>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</si>
  <si>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</si>
  <si>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</si>
  <si>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</si>
  <si>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</si>
  <si>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</si>
  <si>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</si>
  <si>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</si>
  <si>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</si>
  <si>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</si>
  <si>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</si>
  <si>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</si>
  <si>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</si>
  <si>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</si>
  <si>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</si>
  <si>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</si>
  <si>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</si>
  <si>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</si>
  <si>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</si>
  <si>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</si>
  <si>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</si>
  <si>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</si>
  <si>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</si>
  <si>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</si>
  <si>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</si>
  <si>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</si>
  <si>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</si>
  <si>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</si>
  <si>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</si>
  <si>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</si>
  <si>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</si>
  <si>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</si>
  <si>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</si>
  <si>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</si>
  <si>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</si>
  <si>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</si>
  <si>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</si>
  <si>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</si>
  <si>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</si>
  <si>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</si>
  <si>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</si>
  <si>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</si>
  <si>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</si>
  <si>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</si>
  <si>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</si>
  <si>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</si>
  <si>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</si>
  <si>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</si>
  <si>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</si>
  <si>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</si>
  <si>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</si>
  <si>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</si>
  <si>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</si>
  <si>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</si>
  <si>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</si>
  <si>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</si>
  <si>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</si>
  <si>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</si>
  <si>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</si>
  <si>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</si>
  <si>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</si>
  <si>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</si>
  <si>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</si>
  <si>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</si>
  <si>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</si>
  <si>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</si>
  <si>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</si>
  <si>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</si>
  <si>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</si>
  <si>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</si>
  <si>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</si>
  <si>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</si>
  <si>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</si>
  <si>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</si>
  <si>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</si>
  <si>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</si>
  <si>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</si>
  <si>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</si>
  <si>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</si>
  <si>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</si>
  <si>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</si>
  <si>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</si>
  <si>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</si>
  <si>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</si>
  <si>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</si>
  <si>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</si>
  <si>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</si>
  <si>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</si>
  <si>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</si>
  <si>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</si>
  <si>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</si>
  <si>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</si>
  <si>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</si>
  <si>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</si>
  <si>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</si>
  <si>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</si>
  <si>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</si>
  <si>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</si>
  <si>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</si>
  <si>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</si>
  <si>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</si>
  <si>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</si>
  <si>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</si>
  <si>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</si>
  <si>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</si>
  <si>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</si>
  <si>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</si>
  <si>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</si>
  <si>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</si>
  <si>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</si>
  <si>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</si>
  <si>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</si>
  <si>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</si>
  <si>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</si>
  <si>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</si>
  <si>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</si>
  <si>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</si>
  <si>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</si>
  <si>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</si>
  <si>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</si>
  <si>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</si>
  <si>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</si>
  <si>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</si>
  <si>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</si>
  <si>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</si>
  <si>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</si>
  <si>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</si>
  <si>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</si>
  <si>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</si>
  <si>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</si>
  <si>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</si>
  <si>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</si>
  <si>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</si>
  <si>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</si>
  <si>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</si>
  <si>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</si>
  <si>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</si>
  <si>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</si>
  <si>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</si>
  <si>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</si>
  <si>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</si>
  <si>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</si>
  <si>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</si>
  <si>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</si>
  <si>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</si>
  <si>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</si>
  <si>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</si>
  <si>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</si>
  <si>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</si>
  <si>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</si>
  <si>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</si>
  <si>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</si>
  <si>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</si>
  <si>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</si>
  <si>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</si>
  <si>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</si>
  <si>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</si>
  <si>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</si>
  <si>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</si>
  <si>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</si>
  <si>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</si>
  <si>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</si>
  <si>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</si>
  <si>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</si>
  <si>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</si>
  <si>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</si>
  <si>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</si>
  <si>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</si>
  <si>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</si>
  <si>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</si>
  <si>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</si>
  <si>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</si>
  <si>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</si>
  <si>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</si>
  <si>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</si>
  <si>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</si>
  <si>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</si>
  <si>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</si>
  <si>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</si>
  <si>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</si>
  <si>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</si>
  <si>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</si>
  <si>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</si>
  <si>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</si>
  <si>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</si>
  <si>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</si>
  <si>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</si>
  <si>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</si>
  <si>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</si>
  <si>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</si>
  <si>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</si>
  <si>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</si>
  <si>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</si>
  <si>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</si>
  <si>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</si>
  <si>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</si>
  <si>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</si>
  <si>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</si>
  <si>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</si>
  <si>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</si>
  <si>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</si>
  <si>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</si>
  <si>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</si>
  <si>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</si>
  <si>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</si>
  <si>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</si>
  <si>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</si>
  <si>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</si>
  <si>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</si>
  <si>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</si>
  <si>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</si>
  <si>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</si>
  <si>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</si>
  <si>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</si>
  <si>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</si>
  <si>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</si>
  <si>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</si>
  <si>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</si>
  <si>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</si>
  <si>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</si>
  <si>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</si>
  <si>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</si>
  <si>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</si>
  <si>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</si>
  <si>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</si>
  <si>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</si>
  <si>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</si>
  <si>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</si>
  <si>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</si>
  <si>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</si>
  <si>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</si>
  <si>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</si>
  <si>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</si>
  <si>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</si>
  <si>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</si>
  <si>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</si>
  <si>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</si>
  <si>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</si>
  <si>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</si>
  <si>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</si>
  <si>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</si>
  <si>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</si>
  <si>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</si>
  <si>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</si>
  <si>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</si>
  <si>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</si>
  <si>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</si>
  <si>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</si>
  <si>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</si>
  <si>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</si>
  <si>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</si>
  <si>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</si>
  <si>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</si>
  <si>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</si>
  <si>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</si>
  <si>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</si>
  <si>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</si>
  <si>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</si>
  <si>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</si>
  <si>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</si>
  <si>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</si>
  <si>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</si>
  <si>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</si>
  <si>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</si>
  <si>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</si>
  <si>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</si>
  <si>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</si>
  <si>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</si>
  <si>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</si>
  <si>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</si>
  <si>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</si>
  <si>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</si>
  <si>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</si>
  <si>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</si>
  <si>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</si>
  <si>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</si>
  <si>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</si>
  <si>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</si>
  <si>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</si>
  <si>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</si>
  <si>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</si>
  <si>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</si>
  <si>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</si>
  <si>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</si>
  <si>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</si>
  <si>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</si>
  <si>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</si>
  <si>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</si>
  <si>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</si>
  <si>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</si>
  <si>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</si>
  <si>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</si>
  <si>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</si>
  <si>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</si>
  <si>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</si>
  <si>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</si>
  <si>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</si>
  <si>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</si>
  <si>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</si>
  <si>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</si>
  <si>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</si>
  <si>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</si>
  <si>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</si>
  <si>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</si>
  <si>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</si>
  <si>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</si>
  <si>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</si>
  <si>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</si>
  <si>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</si>
  <si>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</si>
  <si>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</si>
  <si>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</si>
  <si>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</si>
  <si>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</si>
  <si>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</si>
  <si>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</si>
  <si>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</si>
  <si>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</si>
  <si>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</si>
  <si>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</si>
  <si>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</si>
  <si>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</si>
  <si>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</si>
  <si>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</si>
  <si>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</si>
  <si>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</si>
  <si>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</si>
  <si>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</si>
  <si>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</si>
  <si>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</si>
  <si>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</si>
  <si>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</si>
  <si>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</si>
  <si>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</si>
  <si>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</si>
  <si>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</si>
  <si>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</si>
  <si>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</si>
  <si>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</si>
  <si>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</si>
  <si>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</si>
  <si>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</si>
  <si>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</si>
  <si>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</si>
  <si>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</si>
  <si>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</si>
  <si>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</si>
  <si>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</si>
  <si>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</si>
  <si>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Return Status</t>
  </si>
  <si>
    <t>Order Year</t>
  </si>
  <si>
    <t>Order Month</t>
  </si>
  <si>
    <t>Profit Margin</t>
  </si>
  <si>
    <t>Repeat Customers</t>
  </si>
  <si>
    <t>Sum of Sales</t>
  </si>
  <si>
    <t>Row Labels</t>
  </si>
  <si>
    <t>January</t>
  </si>
  <si>
    <t>February</t>
  </si>
  <si>
    <t>March</t>
  </si>
  <si>
    <t>April</t>
  </si>
  <si>
    <t>May</t>
  </si>
  <si>
    <t>June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</si>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</sst>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mmmm"/>
    <numFmt numFmtId="172" formatCode="&quot;₹&quot;\ #,##0"/>
  </numFmts>
  <fonts count="6" x14ac:knownFonts="1">
    <font>
      <sz val="10"/>
      <name val="MS Sans Serif"/>
    </font>
    <font>
      <sz val="11"/>
      <color theme="1"/>
      <name val="Calibri"/>
      <family val="2"/>
      <scheme val="minor"/>
    </font>
    <font>
      <sz val="10"/>
      <color theme="1"/>
      <name val="MS Sans Serif"/>
    </font>
    <font>
      <b/>
      <sz val="10"/>
      <color theme="0"/>
      <name val="MS Sans Serif"/>
    </font>
    <font>
      <b/>
      <sz val="10"/>
      <color theme="0"/>
      <name val="MS Sans Serif"/>
      <family val="2"/>
    </font>
    <font>
      <b/>
      <sz val="10"/>
      <color theme="1"/>
      <name val="MS Sans Serif"/>
    </font>
  </fonts>
  <fills count="7">
    <fill>
      <patternFill patternType="none"/>
    </fill>
    <fill>
      <patternFill patternType="gray125"/>
    </fill>
    <fill>
      <patternFill patternType="solid">
        <fgColor theme="0" tint="-0.34998626667073579"/>
        <bgColor theme="0" tint="-0.34998626667073579"/>
      </patternFill>
    </fill>
    <fill>
      <patternFill patternType="solid">
        <fgColor theme="0" tint="-0.14999847407452621"/>
        <bgColor theme="0" tint="-0.14999847407452621"/>
      </patternFill>
    </fill>
    <fill>
      <patternFill patternType="solid">
        <fgColor theme="1"/>
        <bgColor theme="1"/>
      </patternFill>
    </fill>
    <fill>
      <patternFill patternType="solid">
        <fgColor theme="3" tint="-0.499984740745262"/>
        <bgColor indexed="64"/>
      </patternFill>
    </fill>
    <fill>
      <patternFill patternType="solid">
        <fgColor theme="4" tint="0.79998168889431442"/>
        <bgColor theme="4" tint="0.79998168889431442"/>
      </patternFill>
    </fill>
  </fills>
  <borders count="7">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style="thin">
        <color theme="4" tint="0.39997558519241921"/>
      </top>
      <bottom/>
      <diagonal/>
    </border>
  </borders>
  <cellStyleXfs count="2">
    <xf numFmtId="0" fontId="0" fillId="0" borderId="0"/>
    <xf numFmtId="0" fontId="1" fillId="0" borderId="0"/>
  </cellStyleXfs>
  <cellXfs count="22">
    <xf numFmtId="0" fontId="0" fillId="0" borderId="0" xfId="0"/>
    <xf numFmtId="0" fontId="2" fillId="3" borderId="1" xfId="0" applyFont="1" applyFill="1" applyBorder="1"/>
    <xf numFmtId="0" fontId="3" fillId="4" borderId="0" xfId="0" applyFont="1" applyFill="1"/>
    <xf numFmtId="0" fontId="3" fillId="4" borderId="2" xfId="0" applyFont="1" applyFill="1" applyBorder="1"/>
    <xf numFmtId="0" fontId="4" fillId="4" borderId="2" xfId="0" applyFont="1" applyFill="1" applyBorder="1"/>
    <xf numFmtId="0" fontId="2" fillId="2" borderId="3" xfId="0" applyFont="1" applyFill="1" applyBorder="1"/>
    <xf numFmtId="0" fontId="2" fillId="2" borderId="4" xfId="0" applyFont="1" applyFill="1" applyBorder="1"/>
    <xf numFmtId="14" fontId="2" fillId="2" borderId="4" xfId="0" applyNumberFormat="1" applyFont="1" applyFill="1" applyBorder="1"/>
    <xf numFmtId="0" fontId="2" fillId="3" borderId="5" xfId="0" applyFont="1" applyFill="1" applyBorder="1"/>
    <xf numFmtId="14" fontId="2" fillId="3" borderId="1" xfId="0" applyNumberFormat="1" applyFont="1" applyFill="1" applyBorder="1"/>
    <xf numFmtId="0" fontId="2" fillId="2" borderId="5" xfId="0" applyFont="1" applyFill="1" applyBorder="1"/>
    <xf numFmtId="0" fontId="2" fillId="2" borderId="1" xfId="0" applyFont="1" applyFill="1" applyBorder="1"/>
    <xf numFmtId="14" fontId="2" fillId="2" borderId="1" xfId="0" applyNumberFormat="1" applyFont="1" applyFill="1" applyBorder="1"/>
    <xf numFmtId="165" fontId="2" fillId="2" borderId="4" xfId="0" applyNumberFormat="1" applyFont="1" applyFill="1" applyBorder="1"/>
    <xf numFmtId="0" fontId="0" fillId="5" borderId="0" xfId="0" applyFill="1"/>
    <xf numFmtId="0" fontId="0" fillId="0" borderId="0" xfId="0" pivotButton="1"/>
    <xf numFmtId="0" fontId="0" fillId="0" borderId="0" xfId="0" applyAlignment="1">
      <alignment horizontal="left"/>
    </xf>
    <xf numFmtId="0" fontId="0" fillId="0" borderId="0" xfId="0" applyNumberFormat="1"/>
    <xf numFmtId="0" fontId="5" fillId="6" borderId="6" xfId="0" applyFont="1" applyFill="1" applyBorder="1" applyAlignment="1">
      <alignment horizontal="left"/>
    </xf>
    <xf numFmtId="0" fontId="5" fillId="6" borderId="6" xfId="0" applyNumberFormat="1" applyFont="1" applyFill="1" applyBorder="1"/>
    <xf numFmtId="172" fontId="0" fillId="0" borderId="0" xfId="0" applyNumberFormat="1" applyAlignment="1">
      <alignment horizontal="left" indent="2"/>
    </xf>
    <xf numFmtId="172" fontId="0" fillId="0" borderId="0" xfId="0" applyNumberFormat="1"/>
  </cellXfs>
  <cellStyles count="2">
    <cellStyle name="Normal" xfId="0" builtinId="0"/>
    <cellStyle name="Normal 2" xfId="1" xr:uid="{00000000-0005-0000-0000-000001000000}"/>
  </cellStyles>
  <dxfs count="32">
    <dxf>
      <font>
        <b val="0"/>
        <i val="0"/>
        <strike val="0"/>
        <condense val="0"/>
        <extend val="0"/>
        <outline val="0"/>
        <shadow val="0"/>
        <u val="none"/>
        <vertAlign val="baseline"/>
        <sz val="10"/>
        <color theme="1"/>
        <name val="MS Sans Serif"/>
        <scheme val="none"/>
      </font>
      <fill>
        <patternFill patternType="solid">
          <fgColor theme="0" tint="-0.34998626667073579"/>
          <bgColor theme="0" tint="-0.34998626667073579"/>
        </patternFill>
      </fill>
      <border diagonalUp="0" diagonalDown="0">
        <left style="thin">
          <color theme="0"/>
        </left>
        <right/>
        <top style="thick">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numFmt numFmtId="19" formatCode="dd/mm/yyyy"/>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numFmt numFmtId="19" formatCode="dd/mm/yyyy"/>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numFmt numFmtId="0" formatCode="General"/>
      <fill>
        <patternFill patternType="solid">
          <fgColor theme="0" tint="-0.14999847407452621"/>
          <bgColor theme="0" tint="-0.14999847407452621"/>
        </patternFill>
      </fill>
      <border diagonalUp="0" diagonalDown="0" outline="0">
        <left style="thin">
          <color theme="0"/>
        </left>
        <right/>
        <top style="thin">
          <color theme="0"/>
        </top>
        <bottom/>
      </border>
    </dxf>
    <dxf>
      <font>
        <b val="0"/>
        <i val="0"/>
        <strike val="0"/>
        <condense val="0"/>
        <extend val="0"/>
        <outline val="0"/>
        <shadow val="0"/>
        <u val="none"/>
        <vertAlign val="baseline"/>
        <sz val="10"/>
        <color theme="1"/>
        <name val="MS Sans Serif"/>
        <scheme val="none"/>
      </font>
      <numFmt numFmtId="19" formatCode="dd/mm/yyyy"/>
      <fill>
        <patternFill patternType="solid">
          <fgColor theme="0" tint="-0.14999847407452621"/>
          <bgColor theme="0" tint="-0.14999847407452621"/>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34998626667073579"/>
          <bgColor theme="0" tint="-0.34998626667073579"/>
        </patternFill>
      </fill>
      <border diagonalUp="0" diagonalDown="0">
        <left style="thin">
          <color theme="0"/>
        </left>
        <right/>
        <top style="thick">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border diagonalUp="0" diagonalDown="0">
        <left/>
        <right/>
        <top style="thin">
          <color theme="0"/>
        </top>
        <bottom/>
        <vertical/>
        <horizontal/>
      </border>
    </dxf>
    <dxf>
      <font>
        <b val="0"/>
        <i val="0"/>
        <strike val="0"/>
        <condense val="0"/>
        <extend val="0"/>
        <outline val="0"/>
        <shadow val="0"/>
        <u val="none"/>
        <vertAlign val="baseline"/>
        <sz val="10"/>
        <color theme="1"/>
        <name val="MS Sans Serif"/>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0"/>
        <name val="MS Sans Serif"/>
        <scheme val="none"/>
      </font>
      <fill>
        <patternFill patternType="solid">
          <fgColor theme="1"/>
          <bgColor theme="1"/>
        </patternFill>
      </fill>
      <border diagonalUp="0" diagonalDown="0" outline="0">
        <left style="thin">
          <color theme="0"/>
        </left>
        <right style="thin">
          <color theme="0"/>
        </right>
        <top/>
        <bottom/>
      </border>
    </dxf>
  </dxfs>
  <tableStyles count="0" defaultTableStyle="TableStyleMedium9" defaultPivotStyle="PivotStyleLight16"/>
  <colors>
    <mruColors>
      <color rgb="FF85C5ED"/>
      <color rgb="FF2E4057"/>
      <color rgb="FFAD70A4"/>
      <color rgb="FF008854"/>
      <color rgb="FF154734"/>
      <color rgb="FF006F46"/>
      <color rgb="FF0F233E"/>
      <color rgb="FF0B1A2E"/>
      <color rgb="FFC1E7F2"/>
      <color rgb="FFE0A9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50000"/>
                </a:schemeClr>
              </a:gs>
              <a:gs pos="74000">
                <a:srgbClr val="AD70A4"/>
              </a:gs>
              <a:gs pos="100000">
                <a:schemeClr val="accent1">
                  <a:lumMod val="40000"/>
                  <a:lumOff val="6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dLblPos val="inEnd"/>
          <c:showLegendKey val="0"/>
          <c:showVal val="1"/>
          <c:showCatName val="0"/>
          <c:showSerName val="0"/>
          <c:showPercent val="0"/>
          <c:showBubbleSize val="0"/>
        </c:dLbls>
        <c:gapWidth val="36"/>
        <c:overlap val="-6"/>
        <c:axId val="495068464"/>
        <c:axId val="495068848"/>
      </c:barChart>
      <c:catAx>
        <c:axId val="4950684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KE"/>
          </a:p>
        </c:txPr>
        <c:crossAx val="495068848"/>
        <c:crosses val="autoZero"/>
        <c:auto val="1"/>
        <c:lblAlgn val="ctr"/>
        <c:lblOffset val="100"/>
        <c:noMultiLvlLbl val="0"/>
      </c:catAx>
      <c:valAx>
        <c:axId val="495068848"/>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4950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67000"/>
                </a:schemeClr>
              </a:gs>
              <a:gs pos="61000">
                <a:srgbClr val="AD70A4"/>
              </a:gs>
              <a:gs pos="92000">
                <a:schemeClr val="accent1">
                  <a:lumMod val="40000"/>
                  <a:lumOff val="6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56"/>
        <c:axId val="502284416"/>
        <c:axId val="502307840"/>
      </c:barChart>
      <c:catAx>
        <c:axId val="5022844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KE"/>
          </a:p>
        </c:txPr>
        <c:crossAx val="502307840"/>
        <c:crosses val="autoZero"/>
        <c:auto val="1"/>
        <c:lblAlgn val="ctr"/>
        <c:lblOffset val="100"/>
        <c:noMultiLvlLbl val="0"/>
      </c:catAx>
      <c:valAx>
        <c:axId val="502307840"/>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0228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a:gradFill flip="none" rotWithShape="1">
              <a:gsLst>
                <a:gs pos="0">
                  <a:schemeClr val="accent4">
                    <a:lumMod val="40000"/>
                    <a:lumOff val="60000"/>
                  </a:schemeClr>
                </a:gs>
                <a:gs pos="46000">
                  <a:schemeClr val="accent4">
                    <a:lumMod val="95000"/>
                    <a:lumOff val="5000"/>
                  </a:schemeClr>
                </a:gs>
                <a:gs pos="100000">
                  <a:schemeClr val="accent4">
                    <a:lumMod val="60000"/>
                    <a:lumOff val="40000"/>
                  </a:schemeClr>
                </a:gs>
              </a:gsLst>
              <a:path path="circle">
                <a:fillToRect l="50000" t="130000" r="50000" b="-30000"/>
              </a:path>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32244604084957E-2"/>
          <c:y val="6.9694192952038492E-2"/>
          <c:w val="0.84691470661247492"/>
          <c:h val="0.76763882692484076"/>
        </c:manualLayout>
      </c:layout>
      <c:lineChart>
        <c:grouping val="standard"/>
        <c:varyColors val="0"/>
        <c:dLbls>
          <c:showLegendKey val="0"/>
          <c:showVal val="0"/>
          <c:showCatName val="0"/>
          <c:showSerName val="0"/>
          <c:showPercent val="0"/>
          <c:showBubbleSize val="0"/>
        </c:dLbls>
        <c:marker val="1"/>
        <c:smooth val="0"/>
        <c:axId val="2084290128"/>
        <c:axId val="2027822256"/>
      </c:lineChart>
      <c:catAx>
        <c:axId val="20842901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KE"/>
          </a:p>
        </c:txPr>
        <c:crossAx val="2027822256"/>
        <c:crosses val="autoZero"/>
        <c:auto val="1"/>
        <c:lblAlgn val="ctr"/>
        <c:lblOffset val="100"/>
        <c:noMultiLvlLbl val="0"/>
      </c:catAx>
      <c:valAx>
        <c:axId val="2027822256"/>
        <c:scaling>
          <c:orientation val="minMax"/>
        </c:scaling>
        <c:delete val="0"/>
        <c:axPos val="l"/>
        <c:majorGridlines>
          <c:spPr>
            <a:ln w="9525" cap="flat" cmpd="sng" algn="ctr">
              <a:solidFill>
                <a:sysClr val="windowText" lastClr="000000">
                  <a:lumMod val="25000"/>
                  <a:lumOff val="75000"/>
                  <a:alpha val="24000"/>
                </a:sys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KE"/>
          </a:p>
        </c:txPr>
        <c:crossAx val="20842901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1"/>
          <c:showCatName val="0"/>
          <c:showSerName val="0"/>
          <c:showPercent val="0"/>
          <c:showBubbleSize val="0"/>
        </c:dLbls>
        <c:gapWidth val="75"/>
        <c:axId val="2056981344"/>
        <c:axId val="1980922384"/>
      </c:barChart>
      <c:catAx>
        <c:axId val="2056981344"/>
        <c:scaling>
          <c:orientation val="minMax"/>
        </c:scaling>
        <c:delete val="1"/>
        <c:axPos val="b"/>
        <c:numFmt formatCode="General" sourceLinked="1"/>
        <c:majorTickMark val="none"/>
        <c:minorTickMark val="none"/>
        <c:tickLblPos val="nextTo"/>
        <c:crossAx val="1980922384"/>
        <c:crosses val="autoZero"/>
        <c:auto val="1"/>
        <c:lblAlgn val="ctr"/>
        <c:lblOffset val="100"/>
        <c:noMultiLvlLbl val="0"/>
      </c:catAx>
      <c:valAx>
        <c:axId val="1980922384"/>
        <c:scaling>
          <c:orientation val="minMax"/>
        </c:scaling>
        <c:delete val="1"/>
        <c:axPos val="l"/>
        <c:numFmt formatCode="General" sourceLinked="1"/>
        <c:majorTickMark val="none"/>
        <c:minorTickMark val="none"/>
        <c:tickLblPos val="nextTo"/>
        <c:crossAx val="2056981344"/>
        <c:crosses val="autoZero"/>
        <c:crossBetween val="between"/>
      </c:valAx>
      <c:spPr>
        <a:noFill/>
        <a:ln w="25400">
          <a:noFill/>
        </a:ln>
        <a:effectLst/>
      </c:spPr>
    </c:plotArea>
    <c:legend>
      <c:legendPos val="r"/>
      <c:layout>
        <c:manualLayout>
          <c:xMode val="edge"/>
          <c:yMode val="edge"/>
          <c:x val="0.64670011922386572"/>
          <c:y val="3.4415871013809642E-2"/>
          <c:w val="0.33333315864635055"/>
          <c:h val="0.9351351992950713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bg1"/>
          </a:solidFill>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Dashboard_Final_Exam.xlsx]Region vs Salse!PivotTable8</c:name>
    <c:fmtId val="8"/>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55715985868012"/>
          <c:y val="0.23166957201268068"/>
          <c:w val="0.70776639638964456"/>
          <c:h val="0.65183596312814562"/>
        </c:manualLayout>
      </c:layout>
      <c:bar3DChart>
        <c:barDir val="col"/>
        <c:grouping val="clustered"/>
        <c:varyColors val="0"/>
        <c:ser>
          <c:idx val="0"/>
          <c:order val="0"/>
          <c:tx>
            <c:strRef>
              <c:f>'Region vs Salse'!$B$3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vs Salse'!$A$4:$A$8</c:f>
              <c:strCache>
                <c:ptCount val="4"/>
                <c:pt idx="0">
                  <c:v>Central</c:v>
                </c:pt>
                <c:pt idx="1">
                  <c:v>East</c:v>
                </c:pt>
                <c:pt idx="2">
                  <c:v>South</c:v>
                </c:pt>
                <c:pt idx="3">
                  <c:v>West</c:v>
                </c:pt>
              </c:strCache>
            </c:strRef>
          </c:cat>
          <c:val>
            <c:numRef>
              <c:f>'Region vs Salse'!$B$4:$B$8</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0-B06E-4C62-BE9B-431BAE6ACD48}"/>
            </c:ext>
          </c:extLst>
        </c:ser>
        <c:dLbls>
          <c:showLegendKey val="0"/>
          <c:showVal val="1"/>
          <c:showCatName val="0"/>
          <c:showSerName val="0"/>
          <c:showPercent val="0"/>
          <c:showBubbleSize val="0"/>
        </c:dLbls>
        <c:gapWidth val="65"/>
        <c:shape val="box"/>
        <c:axId val="786686528"/>
        <c:axId val="786690848"/>
        <c:axId val="0"/>
      </c:bar3DChart>
      <c:catAx>
        <c:axId val="786686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layout>
            <c:manualLayout>
              <c:xMode val="edge"/>
              <c:yMode val="edge"/>
              <c:x val="0.43040332458442698"/>
              <c:y val="0.864151720618256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6690848"/>
        <c:crosses val="autoZero"/>
        <c:auto val="1"/>
        <c:lblAlgn val="ctr"/>
        <c:lblOffset val="100"/>
        <c:noMultiLvlLbl val="0"/>
      </c:catAx>
      <c:valAx>
        <c:axId val="78669084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a:t>
                </a:r>
              </a:p>
            </c:rich>
          </c:tx>
          <c:layout>
            <c:manualLayout>
              <c:xMode val="edge"/>
              <c:yMode val="edge"/>
              <c:x val="4.7549212598425206E-2"/>
              <c:y val="0.4396365558471857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6686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Dashboard_Final_Exam.xlsx]Ship Mode Vs Salse!PivotTable9</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556969066028119"/>
          <c:y val="0.18814102850205755"/>
          <c:w val="0.47675726616360298"/>
          <c:h val="0.7899889647138636"/>
        </c:manualLayout>
      </c:layout>
      <c:doughnutChart>
        <c:varyColors val="1"/>
        <c:ser>
          <c:idx val="0"/>
          <c:order val="0"/>
          <c:tx>
            <c:strRef>
              <c:f>'Ship Mode Vs Salse'!$B$3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A5-46DF-ACC4-3236D0FB47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A5-46DF-ACC4-3236D0FB47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0A5-46DF-ACC4-3236D0FB47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'Ship Mode Vs Salse'!$A$4:$A$7</c:f>
              <c:strCache>
                <c:ptCount val="3"/>
                <c:pt idx="0">
                  <c:v>Delivery Truck</c:v>
                </c:pt>
                <c:pt idx="1">
                  <c:v>Express Air</c:v>
                </c:pt>
                <c:pt idx="2">
                  <c:v>Regular Air</c:v>
                </c:pt>
              </c:strCache>
            </c:strRef>
          </c:cat>
          <c:val>
            <c:numRef>
              <c:f>'Ship Mode Vs Salse'!$B$4:$B$7</c:f>
              <c:numCache>
                <c:formatCode>General</c:formatCode>
                <c:ptCount val="3"/>
                <c:pt idx="0">
                  <c:v>789235.4600000002</c:v>
                </c:pt>
                <c:pt idx="1">
                  <c:v>145050.22000000009</c:v>
                </c:pt>
                <c:pt idx="2">
                  <c:v>990052.19999999902</c:v>
                </c:pt>
              </c:numCache>
            </c:numRef>
          </c:val>
          <c:extLst>
            <c:ext xmlns:c16="http://schemas.microsoft.com/office/drawing/2014/chart" uri="{C3380CC4-5D6E-409C-BE32-E72D297353CC}">
              <c16:uniqueId val="{00000006-40A5-46DF-ACC4-3236D0FB47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27316950318983"/>
          <c:y val="0.28987459496371415"/>
          <c:w val="0.16030037022721366"/>
          <c:h val="0.4556775375579101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Dashboard_Final_Exam.xlsx]Product!PivotTable10</c:name>
    <c:fmtId val="6"/>
  </c:pivotSource>
  <c:chart>
    <c:autoTitleDeleted val="1"/>
    <c:pivotFmts>
      <c:pivotFmt>
        <c:idx val="0"/>
      </c:pivotFmt>
      <c:pivotFmt>
        <c:idx val="1"/>
      </c:pivotFmt>
      <c:pivotFmt>
        <c:idx val="2"/>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Product!$B$3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Product!$A$4:$A$21</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Product!$B$4:$B$21</c:f>
              <c:numCache>
                <c:formatCode>General</c:formatCode>
                <c:ptCount val="17"/>
                <c:pt idx="0">
                  <c:v>82201.149999999965</c:v>
                </c:pt>
                <c:pt idx="1">
                  <c:v>185928.13999999987</c:v>
                </c:pt>
                <c:pt idx="2">
                  <c:v>107796.09</c:v>
                </c:pt>
                <c:pt idx="3">
                  <c:v>261072.73</c:v>
                </c:pt>
                <c:pt idx="4">
                  <c:v>96261.300000000032</c:v>
                </c:pt>
                <c:pt idx="5">
                  <c:v>99069.479999999981</c:v>
                </c:pt>
                <c:pt idx="6">
                  <c:v>10479.769999999999</c:v>
                </c:pt>
                <c:pt idx="7">
                  <c:v>4914.8199999999988</c:v>
                </c:pt>
                <c:pt idx="8">
                  <c:v>98070.91</c:v>
                </c:pt>
                <c:pt idx="9">
                  <c:v>318169.67999999993</c:v>
                </c:pt>
                <c:pt idx="10">
                  <c:v>55813.920000000042</c:v>
                </c:pt>
                <c:pt idx="11">
                  <c:v>26071.61</c:v>
                </c:pt>
                <c:pt idx="12">
                  <c:v>1789.43</c:v>
                </c:pt>
                <c:pt idx="13">
                  <c:v>6752.1800000000021</c:v>
                </c:pt>
                <c:pt idx="14">
                  <c:v>177417.59999999992</c:v>
                </c:pt>
                <c:pt idx="15">
                  <c:v>193764.58000000005</c:v>
                </c:pt>
                <c:pt idx="16">
                  <c:v>198764.49000000008</c:v>
                </c:pt>
              </c:numCache>
            </c:numRef>
          </c:val>
          <c:extLst>
            <c:ext xmlns:c16="http://schemas.microsoft.com/office/drawing/2014/chart" uri="{C3380CC4-5D6E-409C-BE32-E72D297353CC}">
              <c16:uniqueId val="{00000000-332F-49FF-B6AE-5BE99B2A67B6}"/>
            </c:ext>
          </c:extLst>
        </c:ser>
        <c:dLbls>
          <c:showLegendKey val="0"/>
          <c:showVal val="1"/>
          <c:showCatName val="0"/>
          <c:showSerName val="0"/>
          <c:showPercent val="0"/>
          <c:showBubbleSize val="0"/>
        </c:dLbls>
        <c:gapWidth val="79"/>
        <c:shape val="box"/>
        <c:axId val="786707648"/>
        <c:axId val="786746528"/>
        <c:axId val="0"/>
      </c:bar3DChart>
      <c:catAx>
        <c:axId val="78670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86746528"/>
        <c:crosses val="autoZero"/>
        <c:auto val="1"/>
        <c:lblAlgn val="ctr"/>
        <c:lblOffset val="100"/>
        <c:noMultiLvlLbl val="0"/>
      </c:catAx>
      <c:valAx>
        <c:axId val="786746528"/>
        <c:scaling>
          <c:orientation val="minMax"/>
        </c:scaling>
        <c:delete val="1"/>
        <c:axPos val="b"/>
        <c:numFmt formatCode="General" sourceLinked="1"/>
        <c:majorTickMark val="none"/>
        <c:minorTickMark val="none"/>
        <c:tickLblPos val="nextTo"/>
        <c:crossAx val="7867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Dashboard_Final_Exam.xlsx]Month!PivotTable12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14069047694543E-2"/>
          <c:y val="0.16442453742328367"/>
          <c:w val="0.86773145930718665"/>
          <c:h val="0.75928817381045965"/>
        </c:manualLayout>
      </c:layout>
      <c:barChart>
        <c:barDir val="col"/>
        <c:grouping val="clustered"/>
        <c:varyColors val="0"/>
        <c:ser>
          <c:idx val="0"/>
          <c:order val="0"/>
          <c:tx>
            <c:strRef>
              <c:f>Month!$B$3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Month!$A$4:$A$10</c:f>
              <c:strCache>
                <c:ptCount val="6"/>
                <c:pt idx="0">
                  <c:v>January</c:v>
                </c:pt>
                <c:pt idx="1">
                  <c:v>February</c:v>
                </c:pt>
                <c:pt idx="2">
                  <c:v>March</c:v>
                </c:pt>
                <c:pt idx="3">
                  <c:v>April</c:v>
                </c:pt>
                <c:pt idx="4">
                  <c:v>May</c:v>
                </c:pt>
                <c:pt idx="5">
                  <c:v>June</c:v>
                </c:pt>
              </c:strCache>
            </c:strRef>
          </c:cat>
          <c:val>
            <c:numRef>
              <c:f>Month!$B$4:$B$10</c:f>
              <c:numCache>
                <c:formatCode>General</c:formatCode>
                <c:ptCount val="6"/>
                <c:pt idx="0">
                  <c:v>274766.92000000016</c:v>
                </c:pt>
                <c:pt idx="1">
                  <c:v>326101.46999999997</c:v>
                </c:pt>
                <c:pt idx="2">
                  <c:v>271696.67000000016</c:v>
                </c:pt>
                <c:pt idx="3">
                  <c:v>389831.94999999978</c:v>
                </c:pt>
                <c:pt idx="4">
                  <c:v>306572.06999999977</c:v>
                </c:pt>
                <c:pt idx="5">
                  <c:v>355368.79999999964</c:v>
                </c:pt>
              </c:numCache>
            </c:numRef>
          </c:val>
          <c:extLst>
            <c:ext xmlns:c16="http://schemas.microsoft.com/office/drawing/2014/chart" uri="{C3380CC4-5D6E-409C-BE32-E72D297353CC}">
              <c16:uniqueId val="{00000000-AC68-4CD4-A741-6C13BC7C7073}"/>
            </c:ext>
          </c:extLst>
        </c:ser>
        <c:dLbls>
          <c:dLblPos val="inEnd"/>
          <c:showLegendKey val="0"/>
          <c:showVal val="1"/>
          <c:showCatName val="0"/>
          <c:showSerName val="0"/>
          <c:showPercent val="0"/>
          <c:showBubbleSize val="0"/>
        </c:dLbls>
        <c:gapWidth val="65"/>
        <c:axId val="786759008"/>
        <c:axId val="786760448"/>
      </c:barChart>
      <c:catAx>
        <c:axId val="7867590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6760448"/>
        <c:crosses val="autoZero"/>
        <c:auto val="1"/>
        <c:lblAlgn val="ctr"/>
        <c:lblOffset val="100"/>
        <c:noMultiLvlLbl val="0"/>
      </c:catAx>
      <c:valAx>
        <c:axId val="7867604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867590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Dashboard_Final_Exam.xlsx]Customer name !PivotTable14</c:name>
    <c:fmtId val="6"/>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name '!$B$3</c:f>
              <c:strCache>
                <c:ptCount val="1"/>
                <c:pt idx="0">
                  <c:v>Total</c:v>
                </c:pt>
              </c:strCache>
            </c:strRef>
          </c:tx>
          <c:spPr>
            <a:solidFill>
              <a:schemeClr val="accent1"/>
            </a:solidFill>
            <a:ln>
              <a:noFill/>
            </a:ln>
            <a:effectLst/>
          </c:spPr>
          <c:invertIfNegative val="0"/>
          <c:cat>
            <c:strRef>
              <c:f>'Customer name '!$A$4:$A$1134</c:f>
              <c:strCache>
                <c:ptCount val="1130"/>
                <c:pt idx="0">
                  <c:v>Aaron Day</c:v>
                </c:pt>
                <c:pt idx="1">
                  <c:v>Aaron Dillon</c:v>
                </c:pt>
                <c:pt idx="2">
                  <c:v>Aaron Riggs</c:v>
                </c:pt>
                <c:pt idx="3">
                  <c:v>Aaron Shaffer</c:v>
                </c:pt>
                <c:pt idx="4">
                  <c:v>Adam G Sawyer</c:v>
                </c:pt>
                <c:pt idx="5">
                  <c:v>Adam Saunders Gray</c:v>
                </c:pt>
                <c:pt idx="6">
                  <c:v>Albert Frost</c:v>
                </c:pt>
                <c:pt idx="7">
                  <c:v>Albert Maxwell</c:v>
                </c:pt>
                <c:pt idx="8">
                  <c:v>Albert Tyson</c:v>
                </c:pt>
                <c:pt idx="9">
                  <c:v>Alex Harrell</c:v>
                </c:pt>
                <c:pt idx="10">
                  <c:v>Alex Nicholson</c:v>
                </c:pt>
                <c:pt idx="11">
                  <c:v>Alex Watkins</c:v>
                </c:pt>
                <c:pt idx="12">
                  <c:v>Alexander O'Brien</c:v>
                </c:pt>
                <c:pt idx="13">
                  <c:v>Alexandra Wise</c:v>
                </c:pt>
                <c:pt idx="14">
                  <c:v>Alfred Barber</c:v>
                </c:pt>
                <c:pt idx="15">
                  <c:v>Alfred Harmon</c:v>
                </c:pt>
                <c:pt idx="16">
                  <c:v>Alfred Singh</c:v>
                </c:pt>
                <c:pt idx="17">
                  <c:v>Alice Berger McIntyre</c:v>
                </c:pt>
                <c:pt idx="18">
                  <c:v>Alice Coley</c:v>
                </c:pt>
                <c:pt idx="19">
                  <c:v>Alicia Curtis</c:v>
                </c:pt>
                <c:pt idx="20">
                  <c:v>Alicia Maynard</c:v>
                </c:pt>
                <c:pt idx="21">
                  <c:v>Alicia Wood Shah</c:v>
                </c:pt>
                <c:pt idx="22">
                  <c:v>Alison Jones</c:v>
                </c:pt>
                <c:pt idx="23">
                  <c:v>Alison Peters Wooten</c:v>
                </c:pt>
                <c:pt idx="24">
                  <c:v>Alison Sharp</c:v>
                </c:pt>
                <c:pt idx="25">
                  <c:v>Alison Stewart</c:v>
                </c:pt>
                <c:pt idx="26">
                  <c:v>Allan Dickinson</c:v>
                </c:pt>
                <c:pt idx="27">
                  <c:v>Allan Shields</c:v>
                </c:pt>
                <c:pt idx="28">
                  <c:v>Allen Nash</c:v>
                </c:pt>
                <c:pt idx="29">
                  <c:v>Allison Kirby</c:v>
                </c:pt>
                <c:pt idx="30">
                  <c:v>Alvin Hoover</c:v>
                </c:pt>
                <c:pt idx="31">
                  <c:v>Alvin Mullins</c:v>
                </c:pt>
                <c:pt idx="32">
                  <c:v>Amanda Conner</c:v>
                </c:pt>
                <c:pt idx="33">
                  <c:v>Amy Ellis Holder</c:v>
                </c:pt>
                <c:pt idx="34">
                  <c:v>Amy Hall</c:v>
                </c:pt>
                <c:pt idx="35">
                  <c:v>Amy Hamrick Melvin</c:v>
                </c:pt>
                <c:pt idx="36">
                  <c:v>Amy Shea</c:v>
                </c:pt>
                <c:pt idx="37">
                  <c:v>Amy York</c:v>
                </c:pt>
                <c:pt idx="38">
                  <c:v>Andrea Shaw</c:v>
                </c:pt>
                <c:pt idx="39">
                  <c:v>Andrew Gonzalez</c:v>
                </c:pt>
                <c:pt idx="40">
                  <c:v>Andrew Levine</c:v>
                </c:pt>
                <c:pt idx="41">
                  <c:v>Andrew Pearce</c:v>
                </c:pt>
                <c:pt idx="42">
                  <c:v>Angela Howe</c:v>
                </c:pt>
                <c:pt idx="43">
                  <c:v>Angela Rose</c:v>
                </c:pt>
                <c:pt idx="44">
                  <c:v>Anita Hahn</c:v>
                </c:pt>
                <c:pt idx="45">
                  <c:v>Anita Kang</c:v>
                </c:pt>
                <c:pt idx="46">
                  <c:v>Anita Kent</c:v>
                </c:pt>
                <c:pt idx="47">
                  <c:v>Ann Katz</c:v>
                </c:pt>
                <c:pt idx="48">
                  <c:v>Ann Steele</c:v>
                </c:pt>
                <c:pt idx="49">
                  <c:v>Anna Burgess</c:v>
                </c:pt>
                <c:pt idx="50">
                  <c:v>Anna Ellis</c:v>
                </c:pt>
                <c:pt idx="51">
                  <c:v>Anna Wood</c:v>
                </c:pt>
                <c:pt idx="52">
                  <c:v>Anne Armstrong</c:v>
                </c:pt>
                <c:pt idx="53">
                  <c:v>Anne Bland</c:v>
                </c:pt>
                <c:pt idx="54">
                  <c:v>Anne Schultz</c:v>
                </c:pt>
                <c:pt idx="55">
                  <c:v>Annette Boone</c:v>
                </c:pt>
                <c:pt idx="56">
                  <c:v>Annette McIntyre</c:v>
                </c:pt>
                <c:pt idx="57">
                  <c:v>Annie Horne</c:v>
                </c:pt>
                <c:pt idx="58">
                  <c:v>Annie Livingston</c:v>
                </c:pt>
                <c:pt idx="59">
                  <c:v>Annie Odom</c:v>
                </c:pt>
                <c:pt idx="60">
                  <c:v>Annie Sherrill</c:v>
                </c:pt>
                <c:pt idx="61">
                  <c:v>Anthony Foley</c:v>
                </c:pt>
                <c:pt idx="62">
                  <c:v>Anthony Stanley</c:v>
                </c:pt>
                <c:pt idx="63">
                  <c:v>April Bowers</c:v>
                </c:pt>
                <c:pt idx="64">
                  <c:v>April Henson</c:v>
                </c:pt>
                <c:pt idx="65">
                  <c:v>April Hu</c:v>
                </c:pt>
                <c:pt idx="66">
                  <c:v>Arlene Gibbons</c:v>
                </c:pt>
                <c:pt idx="67">
                  <c:v>Arlene Long</c:v>
                </c:pt>
                <c:pt idx="68">
                  <c:v>Arlene Weeks</c:v>
                </c:pt>
                <c:pt idx="69">
                  <c:v>Arlene Wiggins Dalton</c:v>
                </c:pt>
                <c:pt idx="70">
                  <c:v>Arnold Floyd Blair</c:v>
                </c:pt>
                <c:pt idx="71">
                  <c:v>Arnold Gay</c:v>
                </c:pt>
                <c:pt idx="72">
                  <c:v>Arnold Johnson</c:v>
                </c:pt>
                <c:pt idx="73">
                  <c:v>Arthur Brady</c:v>
                </c:pt>
                <c:pt idx="74">
                  <c:v>Arthur Gold</c:v>
                </c:pt>
                <c:pt idx="75">
                  <c:v>Arthur Lowe Nash</c:v>
                </c:pt>
                <c:pt idx="76">
                  <c:v>Ashley Reese</c:v>
                </c:pt>
                <c:pt idx="77">
                  <c:v>Barbara McNamara</c:v>
                </c:pt>
                <c:pt idx="78">
                  <c:v>Becky Farmer</c:v>
                </c:pt>
                <c:pt idx="79">
                  <c:v>Becky O'Brien</c:v>
                </c:pt>
                <c:pt idx="80">
                  <c:v>Becky Puckett</c:v>
                </c:pt>
                <c:pt idx="81">
                  <c:v>Benjamin Chan</c:v>
                </c:pt>
                <c:pt idx="82">
                  <c:v>Benjamin Gunter</c:v>
                </c:pt>
                <c:pt idx="83">
                  <c:v>Benjamin Kaufman</c:v>
                </c:pt>
                <c:pt idx="84">
                  <c:v>Benjamin Lam</c:v>
                </c:pt>
                <c:pt idx="85">
                  <c:v>Benjamin Porter</c:v>
                </c:pt>
                <c:pt idx="86">
                  <c:v>Benjamin Strauss</c:v>
                </c:pt>
                <c:pt idx="87">
                  <c:v>Bernard Thompson</c:v>
                </c:pt>
                <c:pt idx="88">
                  <c:v>Bernice F Day</c:v>
                </c:pt>
                <c:pt idx="89">
                  <c:v>Beth Dolan</c:v>
                </c:pt>
                <c:pt idx="90">
                  <c:v>Beth English</c:v>
                </c:pt>
                <c:pt idx="91">
                  <c:v>Betsy Gibson</c:v>
                </c:pt>
                <c:pt idx="92">
                  <c:v>Betsy Puckett</c:v>
                </c:pt>
                <c:pt idx="93">
                  <c:v>Betty Giles</c:v>
                </c:pt>
                <c:pt idx="94">
                  <c:v>Beverly Cameron</c:v>
                </c:pt>
                <c:pt idx="95">
                  <c:v>Beverly Cooke Brooks</c:v>
                </c:pt>
                <c:pt idx="96">
                  <c:v>Beverly Roberts</c:v>
                </c:pt>
                <c:pt idx="97">
                  <c:v>Billie Fowler</c:v>
                </c:pt>
                <c:pt idx="98">
                  <c:v>Billie Stern</c:v>
                </c:pt>
                <c:pt idx="99">
                  <c:v>Billy Hale</c:v>
                </c:pt>
                <c:pt idx="100">
                  <c:v>Billy Perry Browning</c:v>
                </c:pt>
                <c:pt idx="101">
                  <c:v>Bob Berg</c:v>
                </c:pt>
                <c:pt idx="102">
                  <c:v>Bob Gibson</c:v>
                </c:pt>
                <c:pt idx="103">
                  <c:v>Bobby Clements</c:v>
                </c:pt>
                <c:pt idx="104">
                  <c:v>Bobby Powell</c:v>
                </c:pt>
                <c:pt idx="105">
                  <c:v>Bonnie Chambers</c:v>
                </c:pt>
                <c:pt idx="106">
                  <c:v>Bonnie Matthews Rowland</c:v>
                </c:pt>
                <c:pt idx="107">
                  <c:v>Bonnie Potter</c:v>
                </c:pt>
                <c:pt idx="108">
                  <c:v>Brad H Blake</c:v>
                </c:pt>
                <c:pt idx="109">
                  <c:v>Brad Stark</c:v>
                </c:pt>
                <c:pt idx="110">
                  <c:v>Bradley Pollock</c:v>
                </c:pt>
                <c:pt idx="111">
                  <c:v>Bradley Schroeder</c:v>
                </c:pt>
                <c:pt idx="112">
                  <c:v>Brandon Beach</c:v>
                </c:pt>
                <c:pt idx="113">
                  <c:v>Brandon E Shepherd</c:v>
                </c:pt>
                <c:pt idx="114">
                  <c:v>Brenda Jain</c:v>
                </c:pt>
                <c:pt idx="115">
                  <c:v>Brenda May</c:v>
                </c:pt>
                <c:pt idx="116">
                  <c:v>Brenda Nelson Blanchard</c:v>
                </c:pt>
                <c:pt idx="117">
                  <c:v>Brenda Ross</c:v>
                </c:pt>
                <c:pt idx="118">
                  <c:v>Brett Hawkins</c:v>
                </c:pt>
                <c:pt idx="119">
                  <c:v>Brett Ingram</c:v>
                </c:pt>
                <c:pt idx="120">
                  <c:v>Brett Schultz</c:v>
                </c:pt>
                <c:pt idx="121">
                  <c:v>Brian Bennett</c:v>
                </c:pt>
                <c:pt idx="122">
                  <c:v>Brian Grady</c:v>
                </c:pt>
                <c:pt idx="123">
                  <c:v>Brian Leach</c:v>
                </c:pt>
                <c:pt idx="124">
                  <c:v>Brooke Lancaster</c:v>
                </c:pt>
                <c:pt idx="125">
                  <c:v>Brooke Shepherd</c:v>
                </c:pt>
                <c:pt idx="126">
                  <c:v>Brooke Weeks Taylor</c:v>
                </c:pt>
                <c:pt idx="127">
                  <c:v>Bruce Stark</c:v>
                </c:pt>
                <c:pt idx="128">
                  <c:v>Calvin Boyette</c:v>
                </c:pt>
                <c:pt idx="129">
                  <c:v>Calvin Conway</c:v>
                </c:pt>
                <c:pt idx="130">
                  <c:v>Calvin Parsons Walter</c:v>
                </c:pt>
                <c:pt idx="131">
                  <c:v>Cameron Kendall</c:v>
                </c:pt>
                <c:pt idx="132">
                  <c:v>Cameron Owens</c:v>
                </c:pt>
                <c:pt idx="133">
                  <c:v>Carla Hauser</c:v>
                </c:pt>
                <c:pt idx="134">
                  <c:v>Carlos Adkins</c:v>
                </c:pt>
                <c:pt idx="135">
                  <c:v>Carlos Byrd</c:v>
                </c:pt>
                <c:pt idx="136">
                  <c:v>Carlos Hanson</c:v>
                </c:pt>
                <c:pt idx="137">
                  <c:v>Carlos Hess</c:v>
                </c:pt>
                <c:pt idx="138">
                  <c:v>Carmen Elmore</c:v>
                </c:pt>
                <c:pt idx="139">
                  <c:v>Carmen McPherson</c:v>
                </c:pt>
                <c:pt idx="140">
                  <c:v>Carol Saunders</c:v>
                </c:pt>
                <c:pt idx="141">
                  <c:v>Carol Sherrill</c:v>
                </c:pt>
                <c:pt idx="142">
                  <c:v>Carol Wood</c:v>
                </c:pt>
                <c:pt idx="143">
                  <c:v>Carole Creech</c:v>
                </c:pt>
                <c:pt idx="144">
                  <c:v>Carole Miller</c:v>
                </c:pt>
                <c:pt idx="145">
                  <c:v>Carole Rosen</c:v>
                </c:pt>
                <c:pt idx="146">
                  <c:v>Caroline Johnston</c:v>
                </c:pt>
                <c:pt idx="147">
                  <c:v>Caroline Stone</c:v>
                </c:pt>
                <c:pt idx="148">
                  <c:v>Carolyn Bowling</c:v>
                </c:pt>
                <c:pt idx="149">
                  <c:v>Carolyn Fisher</c:v>
                </c:pt>
                <c:pt idx="150">
                  <c:v>Carolyn Greer</c:v>
                </c:pt>
                <c:pt idx="151">
                  <c:v>Carolyn Hoffman</c:v>
                </c:pt>
                <c:pt idx="152">
                  <c:v>Carolyn Proctor</c:v>
                </c:pt>
                <c:pt idx="153">
                  <c:v>Carrie Duke</c:v>
                </c:pt>
                <c:pt idx="154">
                  <c:v>Carrie High</c:v>
                </c:pt>
                <c:pt idx="155">
                  <c:v>Carrie Lewis</c:v>
                </c:pt>
                <c:pt idx="156">
                  <c:v>Carrie McIntosh</c:v>
                </c:pt>
                <c:pt idx="157">
                  <c:v>Catherine Dorsey Burnett</c:v>
                </c:pt>
                <c:pt idx="158">
                  <c:v>Catherine Mullins</c:v>
                </c:pt>
                <c:pt idx="159">
                  <c:v>Cathy Burgess</c:v>
                </c:pt>
                <c:pt idx="160">
                  <c:v>Cathy Simon</c:v>
                </c:pt>
                <c:pt idx="161">
                  <c:v>Chad Henson</c:v>
                </c:pt>
                <c:pt idx="162">
                  <c:v>Charles Cline</c:v>
                </c:pt>
                <c:pt idx="163">
                  <c:v>Charles Ward</c:v>
                </c:pt>
                <c:pt idx="164">
                  <c:v>Charlie Moore</c:v>
                </c:pt>
                <c:pt idx="165">
                  <c:v>Charlotte L Doyle</c:v>
                </c:pt>
                <c:pt idx="166">
                  <c:v>Charlotte Patterson</c:v>
                </c:pt>
                <c:pt idx="167">
                  <c:v>Cheryl Guthrie</c:v>
                </c:pt>
                <c:pt idx="168">
                  <c:v>Chris F Brandt</c:v>
                </c:pt>
                <c:pt idx="169">
                  <c:v>Chris Ford</c:v>
                </c:pt>
                <c:pt idx="170">
                  <c:v>Chris Pritchard</c:v>
                </c:pt>
                <c:pt idx="171">
                  <c:v>Christian Albright</c:v>
                </c:pt>
                <c:pt idx="172">
                  <c:v>Christina Hanna</c:v>
                </c:pt>
                <c:pt idx="173">
                  <c:v>Christina Matthews</c:v>
                </c:pt>
                <c:pt idx="174">
                  <c:v>Christina Zhu</c:v>
                </c:pt>
                <c:pt idx="175">
                  <c:v>Christopher Bryant</c:v>
                </c:pt>
                <c:pt idx="176">
                  <c:v>Christopher High</c:v>
                </c:pt>
                <c:pt idx="177">
                  <c:v>Christopher Meadows</c:v>
                </c:pt>
                <c:pt idx="178">
                  <c:v>Christopher Norton Patterson</c:v>
                </c:pt>
                <c:pt idx="179">
                  <c:v>Cindy Harvey</c:v>
                </c:pt>
                <c:pt idx="180">
                  <c:v>Cindy McLeod</c:v>
                </c:pt>
                <c:pt idx="181">
                  <c:v>Claire Warren</c:v>
                </c:pt>
                <c:pt idx="182">
                  <c:v>Clara Kaplan</c:v>
                </c:pt>
                <c:pt idx="183">
                  <c:v>Clarence Crowder</c:v>
                </c:pt>
                <c:pt idx="184">
                  <c:v>Claudia Boyle</c:v>
                </c:pt>
                <c:pt idx="185">
                  <c:v>Claudia Webb</c:v>
                </c:pt>
                <c:pt idx="186">
                  <c:v>Claudia White</c:v>
                </c:pt>
                <c:pt idx="187">
                  <c:v>Clifford Webb</c:v>
                </c:pt>
                <c:pt idx="188">
                  <c:v>Clyde Burnett</c:v>
                </c:pt>
                <c:pt idx="189">
                  <c:v>Colleen Andrews</c:v>
                </c:pt>
                <c:pt idx="190">
                  <c:v>Colleen Fletcher</c:v>
                </c:pt>
                <c:pt idx="191">
                  <c:v>Colleen Marsh</c:v>
                </c:pt>
                <c:pt idx="192">
                  <c:v>Connie Bunn</c:v>
                </c:pt>
                <c:pt idx="193">
                  <c:v>Constance Flowers</c:v>
                </c:pt>
                <c:pt idx="194">
                  <c:v>Constance Robertson</c:v>
                </c:pt>
                <c:pt idx="195">
                  <c:v>Courtney Boyd</c:v>
                </c:pt>
                <c:pt idx="196">
                  <c:v>Courtney Nelson</c:v>
                </c:pt>
                <c:pt idx="197">
                  <c:v>Craig Bennett</c:v>
                </c:pt>
                <c:pt idx="198">
                  <c:v>Craig Liu</c:v>
                </c:pt>
                <c:pt idx="199">
                  <c:v>Crystal Crabtree</c:v>
                </c:pt>
                <c:pt idx="200">
                  <c:v>Crystal Floyd</c:v>
                </c:pt>
                <c:pt idx="201">
                  <c:v>Curtis O'Connell</c:v>
                </c:pt>
                <c:pt idx="202">
                  <c:v>Cynthia Khan</c:v>
                </c:pt>
                <c:pt idx="203">
                  <c:v>Dale Gillespie</c:v>
                </c:pt>
                <c:pt idx="204">
                  <c:v>Dan Lamm</c:v>
                </c:pt>
                <c:pt idx="205">
                  <c:v>Dana Boyle</c:v>
                </c:pt>
                <c:pt idx="206">
                  <c:v>Dana Burgess</c:v>
                </c:pt>
                <c:pt idx="207">
                  <c:v>Dana Rankin</c:v>
                </c:pt>
                <c:pt idx="208">
                  <c:v>Dana Sharpe</c:v>
                </c:pt>
                <c:pt idx="209">
                  <c:v>Dana Teague</c:v>
                </c:pt>
                <c:pt idx="210">
                  <c:v>Dana Waller</c:v>
                </c:pt>
                <c:pt idx="211">
                  <c:v>Daniel Christian</c:v>
                </c:pt>
                <c:pt idx="212">
                  <c:v>Daniel Huff</c:v>
                </c:pt>
                <c:pt idx="213">
                  <c:v>Daniel Richmond</c:v>
                </c:pt>
                <c:pt idx="214">
                  <c:v>Danielle Baird</c:v>
                </c:pt>
                <c:pt idx="215">
                  <c:v>Danielle Daniel</c:v>
                </c:pt>
                <c:pt idx="216">
                  <c:v>Danielle Kramer</c:v>
                </c:pt>
                <c:pt idx="217">
                  <c:v>Danielle Myers</c:v>
                </c:pt>
                <c:pt idx="218">
                  <c:v>Danielle P Rao</c:v>
                </c:pt>
                <c:pt idx="219">
                  <c:v>Danielle Schneider</c:v>
                </c:pt>
                <c:pt idx="220">
                  <c:v>Danielle Watts</c:v>
                </c:pt>
                <c:pt idx="221">
                  <c:v>Danny Hong</c:v>
                </c:pt>
                <c:pt idx="222">
                  <c:v>Danny Richmond</c:v>
                </c:pt>
                <c:pt idx="223">
                  <c:v>Danny Vaughn</c:v>
                </c:pt>
                <c:pt idx="224">
                  <c:v>David Hoyle</c:v>
                </c:pt>
                <c:pt idx="225">
                  <c:v>David Powell</c:v>
                </c:pt>
                <c:pt idx="226">
                  <c:v>David Weaver</c:v>
                </c:pt>
                <c:pt idx="227">
                  <c:v>David Wrenn</c:v>
                </c:pt>
                <c:pt idx="228">
                  <c:v>Dawn Larson</c:v>
                </c:pt>
                <c:pt idx="229">
                  <c:v>Dean Solomon</c:v>
                </c:pt>
                <c:pt idx="230">
                  <c:v>Debbie Dillon</c:v>
                </c:pt>
                <c:pt idx="231">
                  <c:v>Debbie Hsu</c:v>
                </c:pt>
                <c:pt idx="232">
                  <c:v>Debbie Stevenson</c:v>
                </c:pt>
                <c:pt idx="233">
                  <c:v>Deborah Paul</c:v>
                </c:pt>
                <c:pt idx="234">
                  <c:v>Debra Batchelor</c:v>
                </c:pt>
                <c:pt idx="235">
                  <c:v>Debra Block</c:v>
                </c:pt>
                <c:pt idx="236">
                  <c:v>Debra P May</c:v>
                </c:pt>
                <c:pt idx="237">
                  <c:v>Debra Proctor</c:v>
                </c:pt>
                <c:pt idx="238">
                  <c:v>Denise Carver</c:v>
                </c:pt>
                <c:pt idx="239">
                  <c:v>Denise McIntosh</c:v>
                </c:pt>
                <c:pt idx="240">
                  <c:v>Denise Parks</c:v>
                </c:pt>
                <c:pt idx="241">
                  <c:v>Dennis Block Richardson</c:v>
                </c:pt>
                <c:pt idx="242">
                  <c:v>Dennis Bowen</c:v>
                </c:pt>
                <c:pt idx="243">
                  <c:v>Dennis Boykin Townsend</c:v>
                </c:pt>
                <c:pt idx="244">
                  <c:v>Dennis Welch</c:v>
                </c:pt>
                <c:pt idx="245">
                  <c:v>Derek Jernigan</c:v>
                </c:pt>
                <c:pt idx="246">
                  <c:v>Derek McCormick</c:v>
                </c:pt>
                <c:pt idx="247">
                  <c:v>Derek Sweeney</c:v>
                </c:pt>
                <c:pt idx="248">
                  <c:v>Diana Coble Hubbard</c:v>
                </c:pt>
                <c:pt idx="249">
                  <c:v>Diana Xu</c:v>
                </c:pt>
                <c:pt idx="250">
                  <c:v>Diane Barr</c:v>
                </c:pt>
                <c:pt idx="251">
                  <c:v>Diane Lu</c:v>
                </c:pt>
                <c:pt idx="252">
                  <c:v>Dolores Abrams</c:v>
                </c:pt>
                <c:pt idx="253">
                  <c:v>Don Beard</c:v>
                </c:pt>
                <c:pt idx="254">
                  <c:v>Don Cameron</c:v>
                </c:pt>
                <c:pt idx="255">
                  <c:v>Don Rogers</c:v>
                </c:pt>
                <c:pt idx="256">
                  <c:v>Donald Melton</c:v>
                </c:pt>
                <c:pt idx="257">
                  <c:v>Donna Block</c:v>
                </c:pt>
                <c:pt idx="258">
                  <c:v>Donna Braun</c:v>
                </c:pt>
                <c:pt idx="259">
                  <c:v>Donna Craven</c:v>
                </c:pt>
                <c:pt idx="260">
                  <c:v>Doris Fitzpatrick</c:v>
                </c:pt>
                <c:pt idx="261">
                  <c:v>Dorothy Buchanan</c:v>
                </c:pt>
                <c:pt idx="262">
                  <c:v>Dorothy Holt</c:v>
                </c:pt>
                <c:pt idx="263">
                  <c:v>Douglas Buck</c:v>
                </c:pt>
                <c:pt idx="264">
                  <c:v>Douglas Sutton</c:v>
                </c:pt>
                <c:pt idx="265">
                  <c:v>Dwight Albright Huffman</c:v>
                </c:pt>
                <c:pt idx="266">
                  <c:v>Dwight Bishop</c:v>
                </c:pt>
                <c:pt idx="267">
                  <c:v>Dwight M Carr</c:v>
                </c:pt>
                <c:pt idx="268">
                  <c:v>Dwight Robinson</c:v>
                </c:pt>
                <c:pt idx="269">
                  <c:v>Dwight Stephenson</c:v>
                </c:pt>
                <c:pt idx="270">
                  <c:v>Earl Alston</c:v>
                </c:pt>
                <c:pt idx="271">
                  <c:v>Earl Buck</c:v>
                </c:pt>
                <c:pt idx="272">
                  <c:v>Earl Donnelly</c:v>
                </c:pt>
                <c:pt idx="273">
                  <c:v>Earl Roy</c:v>
                </c:pt>
                <c:pt idx="274">
                  <c:v>Earl Watts</c:v>
                </c:pt>
                <c:pt idx="275">
                  <c:v>Eddie House Mueller</c:v>
                </c:pt>
                <c:pt idx="276">
                  <c:v>Eddie Walker</c:v>
                </c:pt>
                <c:pt idx="277">
                  <c:v>Edgar Kumar</c:v>
                </c:pt>
                <c:pt idx="278">
                  <c:v>Edgar McKenzie</c:v>
                </c:pt>
                <c:pt idx="279">
                  <c:v>Edgar Stone</c:v>
                </c:pt>
                <c:pt idx="280">
                  <c:v>Edith Forbes</c:v>
                </c:pt>
                <c:pt idx="281">
                  <c:v>Edith Reynolds</c:v>
                </c:pt>
                <c:pt idx="282">
                  <c:v>Edna Freeman</c:v>
                </c:pt>
                <c:pt idx="283">
                  <c:v>Edna Huang</c:v>
                </c:pt>
                <c:pt idx="284">
                  <c:v>Edna Michael</c:v>
                </c:pt>
                <c:pt idx="285">
                  <c:v>Edna Monroe Talley</c:v>
                </c:pt>
                <c:pt idx="286">
                  <c:v>Edna Pierce</c:v>
                </c:pt>
                <c:pt idx="287">
                  <c:v>Edna Thomas</c:v>
                </c:pt>
                <c:pt idx="288">
                  <c:v>Edward Bynum</c:v>
                </c:pt>
                <c:pt idx="289">
                  <c:v>Edward Lamm</c:v>
                </c:pt>
                <c:pt idx="290">
                  <c:v>Edward Leonard</c:v>
                </c:pt>
                <c:pt idx="291">
                  <c:v>Edward McKenzie</c:v>
                </c:pt>
                <c:pt idx="292">
                  <c:v>Edward Pugh</c:v>
                </c:pt>
                <c:pt idx="293">
                  <c:v>Edwin Blackburn</c:v>
                </c:pt>
                <c:pt idx="294">
                  <c:v>Edwin Chung</c:v>
                </c:pt>
                <c:pt idx="295">
                  <c:v>Edwin Coley</c:v>
                </c:pt>
                <c:pt idx="296">
                  <c:v>Eileen Cheek</c:v>
                </c:pt>
                <c:pt idx="297">
                  <c:v>Eileen Dalton</c:v>
                </c:pt>
                <c:pt idx="298">
                  <c:v>Eileen Fletcher</c:v>
                </c:pt>
                <c:pt idx="299">
                  <c:v>Eileen McDonald</c:v>
                </c:pt>
                <c:pt idx="300">
                  <c:v>Eileen Riddle</c:v>
                </c:pt>
                <c:pt idx="301">
                  <c:v>Eileen Schwartz</c:v>
                </c:pt>
                <c:pt idx="302">
                  <c:v>Eleanor Swain</c:v>
                </c:pt>
                <c:pt idx="303">
                  <c:v>Elisabeth Massey</c:v>
                </c:pt>
                <c:pt idx="304">
                  <c:v>Elisabeth Shaw</c:v>
                </c:pt>
                <c:pt idx="305">
                  <c:v>Ellen Beck</c:v>
                </c:pt>
                <c:pt idx="306">
                  <c:v>Ellen McCormick</c:v>
                </c:pt>
                <c:pt idx="307">
                  <c:v>Ellen Sparks</c:v>
                </c:pt>
                <c:pt idx="308">
                  <c:v>Elsie Boykin</c:v>
                </c:pt>
                <c:pt idx="309">
                  <c:v>Elsie Floyd</c:v>
                </c:pt>
                <c:pt idx="310">
                  <c:v>Elsie Hwang</c:v>
                </c:pt>
                <c:pt idx="311">
                  <c:v>Elsie Lane</c:v>
                </c:pt>
                <c:pt idx="312">
                  <c:v>Elsie Pridgen</c:v>
                </c:pt>
                <c:pt idx="313">
                  <c:v>Emily Sims</c:v>
                </c:pt>
                <c:pt idx="314">
                  <c:v>Emma Bloom</c:v>
                </c:pt>
                <c:pt idx="315">
                  <c:v>Emma Buckley</c:v>
                </c:pt>
                <c:pt idx="316">
                  <c:v>Eric West</c:v>
                </c:pt>
                <c:pt idx="317">
                  <c:v>Erica R Fuller</c:v>
                </c:pt>
                <c:pt idx="318">
                  <c:v>Erik Barr</c:v>
                </c:pt>
                <c:pt idx="319">
                  <c:v>Erika Clapp</c:v>
                </c:pt>
                <c:pt idx="320">
                  <c:v>Erika Fink</c:v>
                </c:pt>
                <c:pt idx="321">
                  <c:v>Erika Jordan</c:v>
                </c:pt>
                <c:pt idx="322">
                  <c:v>Erika Morgan</c:v>
                </c:pt>
                <c:pt idx="323">
                  <c:v>Erin Ballard</c:v>
                </c:pt>
                <c:pt idx="324">
                  <c:v>Ernest Barber</c:v>
                </c:pt>
                <c:pt idx="325">
                  <c:v>Ernest Oh</c:v>
                </c:pt>
                <c:pt idx="326">
                  <c:v>Ernest Peele</c:v>
                </c:pt>
                <c:pt idx="327">
                  <c:v>Esther Whitaker</c:v>
                </c:pt>
                <c:pt idx="328">
                  <c:v>Eugene Brewer Knox</c:v>
                </c:pt>
                <c:pt idx="329">
                  <c:v>Eugene Clayton</c:v>
                </c:pt>
                <c:pt idx="330">
                  <c:v>Eugene H Walsh</c:v>
                </c:pt>
                <c:pt idx="331">
                  <c:v>Eugene Kerr</c:v>
                </c:pt>
                <c:pt idx="332">
                  <c:v>Eva Decker</c:v>
                </c:pt>
                <c:pt idx="333">
                  <c:v>Eva Silverman</c:v>
                </c:pt>
                <c:pt idx="334">
                  <c:v>Eva Simpson</c:v>
                </c:pt>
                <c:pt idx="335">
                  <c:v>Evan Adkins</c:v>
                </c:pt>
                <c:pt idx="336">
                  <c:v>Evan K Bullard</c:v>
                </c:pt>
                <c:pt idx="337">
                  <c:v>Evan Kelley</c:v>
                </c:pt>
                <c:pt idx="338">
                  <c:v>Faye Dyer</c:v>
                </c:pt>
                <c:pt idx="339">
                  <c:v>Faye Hanna</c:v>
                </c:pt>
                <c:pt idx="340">
                  <c:v>Faye Manning</c:v>
                </c:pt>
                <c:pt idx="341">
                  <c:v>Faye Silver</c:v>
                </c:pt>
                <c:pt idx="342">
                  <c:v>Faye Wolf</c:v>
                </c:pt>
                <c:pt idx="343">
                  <c:v>Florence Gold</c:v>
                </c:pt>
                <c:pt idx="344">
                  <c:v>Floyd Dale</c:v>
                </c:pt>
                <c:pt idx="345">
                  <c:v>Frances Holt</c:v>
                </c:pt>
                <c:pt idx="346">
                  <c:v>Frances Jackson</c:v>
                </c:pt>
                <c:pt idx="347">
                  <c:v>Frances Johnson</c:v>
                </c:pt>
                <c:pt idx="348">
                  <c:v>Frances Powers</c:v>
                </c:pt>
                <c:pt idx="349">
                  <c:v>Frances Saunders</c:v>
                </c:pt>
                <c:pt idx="350">
                  <c:v>Francis Evans</c:v>
                </c:pt>
                <c:pt idx="351">
                  <c:v>Francis I Davis</c:v>
                </c:pt>
                <c:pt idx="352">
                  <c:v>Francis Kendall</c:v>
                </c:pt>
                <c:pt idx="353">
                  <c:v>Francis Sherrill</c:v>
                </c:pt>
                <c:pt idx="354">
                  <c:v>Francis Spivey</c:v>
                </c:pt>
                <c:pt idx="355">
                  <c:v>Frank Cross</c:v>
                </c:pt>
                <c:pt idx="356">
                  <c:v>Frank Hess</c:v>
                </c:pt>
                <c:pt idx="357">
                  <c:v>Franklin Spencer</c:v>
                </c:pt>
                <c:pt idx="358">
                  <c:v>Fred Barber</c:v>
                </c:pt>
                <c:pt idx="359">
                  <c:v>Gail Currin</c:v>
                </c:pt>
                <c:pt idx="360">
                  <c:v>Gail Rankin Cole</c:v>
                </c:pt>
                <c:pt idx="361">
                  <c:v>Gary Frazier</c:v>
                </c:pt>
                <c:pt idx="362">
                  <c:v>Gary Hester</c:v>
                </c:pt>
                <c:pt idx="363">
                  <c:v>Gary Koch</c:v>
                </c:pt>
                <c:pt idx="364">
                  <c:v>Gayle Pearson</c:v>
                </c:pt>
                <c:pt idx="365">
                  <c:v>Gene Gilliam</c:v>
                </c:pt>
                <c:pt idx="366">
                  <c:v>Gene Heath Cross</c:v>
                </c:pt>
                <c:pt idx="367">
                  <c:v>Geoffrey H Wong</c:v>
                </c:pt>
                <c:pt idx="368">
                  <c:v>Geoffrey Koch</c:v>
                </c:pt>
                <c:pt idx="369">
                  <c:v>Geoffrey Rivera</c:v>
                </c:pt>
                <c:pt idx="370">
                  <c:v>Geoffrey Saunders</c:v>
                </c:pt>
                <c:pt idx="371">
                  <c:v>Geoffrey Zhu</c:v>
                </c:pt>
                <c:pt idx="372">
                  <c:v>George McLamb</c:v>
                </c:pt>
                <c:pt idx="373">
                  <c:v>George Terry</c:v>
                </c:pt>
                <c:pt idx="374">
                  <c:v>Gerald Crabtree</c:v>
                </c:pt>
                <c:pt idx="375">
                  <c:v>Gerald Kearney</c:v>
                </c:pt>
                <c:pt idx="376">
                  <c:v>Gerald Love</c:v>
                </c:pt>
                <c:pt idx="377">
                  <c:v>Gerald Petty</c:v>
                </c:pt>
                <c:pt idx="378">
                  <c:v>Gerald Raynor</c:v>
                </c:pt>
                <c:pt idx="379">
                  <c:v>Geraldine Puckett</c:v>
                </c:pt>
                <c:pt idx="380">
                  <c:v>Gilbert Godfrey</c:v>
                </c:pt>
                <c:pt idx="381">
                  <c:v>Gilbert Scarborough</c:v>
                </c:pt>
                <c:pt idx="382">
                  <c:v>Gina B Hess</c:v>
                </c:pt>
                <c:pt idx="383">
                  <c:v>Gina Curry</c:v>
                </c:pt>
                <c:pt idx="384">
                  <c:v>Gina McKnight</c:v>
                </c:pt>
                <c:pt idx="385">
                  <c:v>Gladys Holloway</c:v>
                </c:pt>
                <c:pt idx="386">
                  <c:v>Glen Caldwell</c:v>
                </c:pt>
                <c:pt idx="387">
                  <c:v>Glen Newman</c:v>
                </c:pt>
                <c:pt idx="388">
                  <c:v>Glen Robertson</c:v>
                </c:pt>
                <c:pt idx="389">
                  <c:v>Glenda Herbert</c:v>
                </c:pt>
                <c:pt idx="390">
                  <c:v>Glenda Hunter</c:v>
                </c:pt>
                <c:pt idx="391">
                  <c:v>Glenda Simon</c:v>
                </c:pt>
                <c:pt idx="392">
                  <c:v>Gloria Jacobs</c:v>
                </c:pt>
                <c:pt idx="393">
                  <c:v>Gordon Boswell</c:v>
                </c:pt>
                <c:pt idx="394">
                  <c:v>Gordon Brandt</c:v>
                </c:pt>
                <c:pt idx="395">
                  <c:v>Gordon Lyon</c:v>
                </c:pt>
                <c:pt idx="396">
                  <c:v>Gordon Walker</c:v>
                </c:pt>
                <c:pt idx="397">
                  <c:v>Grace Black</c:v>
                </c:pt>
                <c:pt idx="398">
                  <c:v>Grace McNeill Hunt</c:v>
                </c:pt>
                <c:pt idx="399">
                  <c:v>Gregory Crane</c:v>
                </c:pt>
                <c:pt idx="400">
                  <c:v>Gregory Holden</c:v>
                </c:pt>
                <c:pt idx="401">
                  <c:v>Gregory R Snow</c:v>
                </c:pt>
                <c:pt idx="402">
                  <c:v>Gregory Rao</c:v>
                </c:pt>
                <c:pt idx="403">
                  <c:v>Gretchen Ball</c:v>
                </c:pt>
                <c:pt idx="404">
                  <c:v>Gretchen Best Wilkins</c:v>
                </c:pt>
                <c:pt idx="405">
                  <c:v>Gretchen Levine</c:v>
                </c:pt>
                <c:pt idx="406">
                  <c:v>Gretchen McKinney</c:v>
                </c:pt>
                <c:pt idx="407">
                  <c:v>Gretchen Orr</c:v>
                </c:pt>
                <c:pt idx="408">
                  <c:v>Guy Gallagher</c:v>
                </c:pt>
                <c:pt idx="409">
                  <c:v>Guy McDonald</c:v>
                </c:pt>
                <c:pt idx="410">
                  <c:v>Gwendolyn F Tyson</c:v>
                </c:pt>
                <c:pt idx="411">
                  <c:v>Hannah Carver</c:v>
                </c:pt>
                <c:pt idx="412">
                  <c:v>Hannah Tyson</c:v>
                </c:pt>
                <c:pt idx="413">
                  <c:v>Harold Albright</c:v>
                </c:pt>
                <c:pt idx="414">
                  <c:v>Harriet Bowman</c:v>
                </c:pt>
                <c:pt idx="415">
                  <c:v>Harriet Hodges</c:v>
                </c:pt>
                <c:pt idx="416">
                  <c:v>Harriet Moore</c:v>
                </c:pt>
                <c:pt idx="417">
                  <c:v>Harriet Wooten</c:v>
                </c:pt>
                <c:pt idx="418">
                  <c:v>Harry Burns</c:v>
                </c:pt>
                <c:pt idx="419">
                  <c:v>Harry Sellers</c:v>
                </c:pt>
                <c:pt idx="420">
                  <c:v>Hazel Dale</c:v>
                </c:pt>
                <c:pt idx="421">
                  <c:v>Hazel Jennings</c:v>
                </c:pt>
                <c:pt idx="422">
                  <c:v>Hazel Jones</c:v>
                </c:pt>
                <c:pt idx="423">
                  <c:v>Hazel Khan</c:v>
                </c:pt>
                <c:pt idx="424">
                  <c:v>Heather Stern</c:v>
                </c:pt>
                <c:pt idx="425">
                  <c:v>Helen Dickerson</c:v>
                </c:pt>
                <c:pt idx="426">
                  <c:v>Helen Ferguson</c:v>
                </c:pt>
                <c:pt idx="427">
                  <c:v>Helen H Heller</c:v>
                </c:pt>
                <c:pt idx="428">
                  <c:v>Helen H Murphy</c:v>
                </c:pt>
                <c:pt idx="429">
                  <c:v>Helen Lyons</c:v>
                </c:pt>
                <c:pt idx="430">
                  <c:v>Helen Simpson</c:v>
                </c:pt>
                <c:pt idx="431">
                  <c:v>Helen Stein</c:v>
                </c:pt>
                <c:pt idx="432">
                  <c:v>Henry Ball</c:v>
                </c:pt>
                <c:pt idx="433">
                  <c:v>Henry O'Connell</c:v>
                </c:pt>
                <c:pt idx="434">
                  <c:v>Herbert Beard</c:v>
                </c:pt>
                <c:pt idx="435">
                  <c:v>Herbert Donnelly Swanson</c:v>
                </c:pt>
                <c:pt idx="436">
                  <c:v>Herbert Holden</c:v>
                </c:pt>
                <c:pt idx="437">
                  <c:v>Herbert Williamson</c:v>
                </c:pt>
                <c:pt idx="438">
                  <c:v>Hilda Bennett</c:v>
                </c:pt>
                <c:pt idx="439">
                  <c:v>Holly Osborne</c:v>
                </c:pt>
                <c:pt idx="440">
                  <c:v>Holly Pate</c:v>
                </c:pt>
                <c:pt idx="441">
                  <c:v>Howard Burnett</c:v>
                </c:pt>
                <c:pt idx="442">
                  <c:v>Howard Rogers</c:v>
                </c:pt>
                <c:pt idx="443">
                  <c:v>Ian Hall</c:v>
                </c:pt>
                <c:pt idx="444">
                  <c:v>Irene Li</c:v>
                </c:pt>
                <c:pt idx="445">
                  <c:v>Irene Murphy</c:v>
                </c:pt>
                <c:pt idx="446">
                  <c:v>Jack Hatcher</c:v>
                </c:pt>
                <c:pt idx="447">
                  <c:v>Jack Horn</c:v>
                </c:pt>
                <c:pt idx="448">
                  <c:v>Jack Morse</c:v>
                </c:pt>
                <c:pt idx="449">
                  <c:v>Jackie Burke</c:v>
                </c:pt>
                <c:pt idx="450">
                  <c:v>Jackie Capps</c:v>
                </c:pt>
                <c:pt idx="451">
                  <c:v>Jackie Flynn</c:v>
                </c:pt>
                <c:pt idx="452">
                  <c:v>Jackie McCullough</c:v>
                </c:pt>
                <c:pt idx="453">
                  <c:v>Jacob Burgess</c:v>
                </c:pt>
                <c:pt idx="454">
                  <c:v>Jacob Hirsch</c:v>
                </c:pt>
                <c:pt idx="455">
                  <c:v>Jacob Lanier</c:v>
                </c:pt>
                <c:pt idx="456">
                  <c:v>Jacob McNeill</c:v>
                </c:pt>
                <c:pt idx="457">
                  <c:v>Jacob Murray</c:v>
                </c:pt>
                <c:pt idx="458">
                  <c:v>Jacqueline Noble</c:v>
                </c:pt>
                <c:pt idx="459">
                  <c:v>James Beck</c:v>
                </c:pt>
                <c:pt idx="460">
                  <c:v>James Davenport</c:v>
                </c:pt>
                <c:pt idx="461">
                  <c:v>James Dickinson Ball</c:v>
                </c:pt>
                <c:pt idx="462">
                  <c:v>James Hunter</c:v>
                </c:pt>
                <c:pt idx="463">
                  <c:v>James Nicholson</c:v>
                </c:pt>
                <c:pt idx="464">
                  <c:v>Jamie Manning</c:v>
                </c:pt>
                <c:pt idx="465">
                  <c:v>Jamie Ward</c:v>
                </c:pt>
                <c:pt idx="466">
                  <c:v>Jane Shah</c:v>
                </c:pt>
                <c:pt idx="467">
                  <c:v>Janet McCullough</c:v>
                </c:pt>
                <c:pt idx="468">
                  <c:v>Janet Zhang</c:v>
                </c:pt>
                <c:pt idx="469">
                  <c:v>Janice Boswell</c:v>
                </c:pt>
                <c:pt idx="470">
                  <c:v>Janice Cole</c:v>
                </c:pt>
                <c:pt idx="471">
                  <c:v>Janice Frye</c:v>
                </c:pt>
                <c:pt idx="472">
                  <c:v>Jason Bray</c:v>
                </c:pt>
                <c:pt idx="473">
                  <c:v>Jay Hubbard</c:v>
                </c:pt>
                <c:pt idx="474">
                  <c:v>Jay Simon</c:v>
                </c:pt>
                <c:pt idx="475">
                  <c:v>Jean Khan</c:v>
                </c:pt>
                <c:pt idx="476">
                  <c:v>Jean Webster</c:v>
                </c:pt>
                <c:pt idx="477">
                  <c:v>Jean Weiss Diaz</c:v>
                </c:pt>
                <c:pt idx="478">
                  <c:v>Jeanette Davies</c:v>
                </c:pt>
                <c:pt idx="479">
                  <c:v>Jeanne Nguyen</c:v>
                </c:pt>
                <c:pt idx="480">
                  <c:v>Jeanne Walker</c:v>
                </c:pt>
                <c:pt idx="481">
                  <c:v>Jeanne Werner</c:v>
                </c:pt>
                <c:pt idx="482">
                  <c:v>Jeff Meadows</c:v>
                </c:pt>
                <c:pt idx="483">
                  <c:v>Jeff Spivey</c:v>
                </c:pt>
                <c:pt idx="484">
                  <c:v>Jeffrey Cheng</c:v>
                </c:pt>
                <c:pt idx="485">
                  <c:v>Jeffrey Lloyd</c:v>
                </c:pt>
                <c:pt idx="486">
                  <c:v>Jeffrey Mueller</c:v>
                </c:pt>
                <c:pt idx="487">
                  <c:v>Jeffrey Page</c:v>
                </c:pt>
                <c:pt idx="488">
                  <c:v>Jennifer Siegel</c:v>
                </c:pt>
                <c:pt idx="489">
                  <c:v>Jennifer Stanton</c:v>
                </c:pt>
                <c:pt idx="490">
                  <c:v>Jennifer Zimmerman</c:v>
                </c:pt>
                <c:pt idx="491">
                  <c:v>Jenny Gold</c:v>
                </c:pt>
                <c:pt idx="492">
                  <c:v>Jenny Hawkins</c:v>
                </c:pt>
                <c:pt idx="493">
                  <c:v>Jenny Petty</c:v>
                </c:pt>
                <c:pt idx="494">
                  <c:v>Jeremy Pratt</c:v>
                </c:pt>
                <c:pt idx="495">
                  <c:v>Jerome Burch</c:v>
                </c:pt>
                <c:pt idx="496">
                  <c:v>Jerome McIntosh</c:v>
                </c:pt>
                <c:pt idx="497">
                  <c:v>Jerry Ennis</c:v>
                </c:pt>
                <c:pt idx="498">
                  <c:v>Jerry Webster</c:v>
                </c:pt>
                <c:pt idx="499">
                  <c:v>Jesse Hutchinson</c:v>
                </c:pt>
                <c:pt idx="500">
                  <c:v>Jesse Williamson</c:v>
                </c:pt>
                <c:pt idx="501">
                  <c:v>Jessica Huffman</c:v>
                </c:pt>
                <c:pt idx="502">
                  <c:v>Jessie Houston</c:v>
                </c:pt>
                <c:pt idx="503">
                  <c:v>Jessie Kelly</c:v>
                </c:pt>
                <c:pt idx="504">
                  <c:v>Jill Clements</c:v>
                </c:pt>
                <c:pt idx="505">
                  <c:v>Jim Hinson</c:v>
                </c:pt>
                <c:pt idx="506">
                  <c:v>Jim Rodgers</c:v>
                </c:pt>
                <c:pt idx="507">
                  <c:v>Jimmy Alston Holder</c:v>
                </c:pt>
                <c:pt idx="508">
                  <c:v>Jimmy Wang</c:v>
                </c:pt>
                <c:pt idx="509">
                  <c:v>Jimmy Waters</c:v>
                </c:pt>
                <c:pt idx="510">
                  <c:v>Joan Beach</c:v>
                </c:pt>
                <c:pt idx="511">
                  <c:v>Joan Bowers</c:v>
                </c:pt>
                <c:pt idx="512">
                  <c:v>Joan Floyd</c:v>
                </c:pt>
                <c:pt idx="513">
                  <c:v>Joann Moser</c:v>
                </c:pt>
                <c:pt idx="514">
                  <c:v>Joanna Keith</c:v>
                </c:pt>
                <c:pt idx="515">
                  <c:v>Joanna Kenney</c:v>
                </c:pt>
                <c:pt idx="516">
                  <c:v>Joanne Chu</c:v>
                </c:pt>
                <c:pt idx="517">
                  <c:v>Joanne Church</c:v>
                </c:pt>
                <c:pt idx="518">
                  <c:v>Joanne Spivey</c:v>
                </c:pt>
                <c:pt idx="519">
                  <c:v>Joe Baldwin</c:v>
                </c:pt>
                <c:pt idx="520">
                  <c:v>Joe D Dean</c:v>
                </c:pt>
                <c:pt idx="521">
                  <c:v>Joe George</c:v>
                </c:pt>
                <c:pt idx="522">
                  <c:v>Joel Buckley</c:v>
                </c:pt>
                <c:pt idx="523">
                  <c:v>Joel Burnette</c:v>
                </c:pt>
                <c:pt idx="524">
                  <c:v>Joel Huffman</c:v>
                </c:pt>
                <c:pt idx="525">
                  <c:v>John Bray</c:v>
                </c:pt>
                <c:pt idx="526">
                  <c:v>John Merritt</c:v>
                </c:pt>
                <c:pt idx="527">
                  <c:v>John Morse</c:v>
                </c:pt>
                <c:pt idx="528">
                  <c:v>Johnny Reid</c:v>
                </c:pt>
                <c:pt idx="529">
                  <c:v>Jon Ayers</c:v>
                </c:pt>
                <c:pt idx="530">
                  <c:v>Jon Hale</c:v>
                </c:pt>
                <c:pt idx="531">
                  <c:v>Jon Kendall</c:v>
                </c:pt>
                <c:pt idx="532">
                  <c:v>Jon Ward</c:v>
                </c:pt>
                <c:pt idx="533">
                  <c:v>Jonathan Crabtree</c:v>
                </c:pt>
                <c:pt idx="534">
                  <c:v>Jordan Beard</c:v>
                </c:pt>
                <c:pt idx="535">
                  <c:v>Jordan Berry</c:v>
                </c:pt>
                <c:pt idx="536">
                  <c:v>Jordan Wilkinson</c:v>
                </c:pt>
                <c:pt idx="537">
                  <c:v>Jordan Womble</c:v>
                </c:pt>
                <c:pt idx="538">
                  <c:v>Joseph Dawson</c:v>
                </c:pt>
                <c:pt idx="539">
                  <c:v>Joseph Grossman</c:v>
                </c:pt>
                <c:pt idx="540">
                  <c:v>Joseph Hurst</c:v>
                </c:pt>
                <c:pt idx="541">
                  <c:v>Josephine Dalton</c:v>
                </c:pt>
                <c:pt idx="542">
                  <c:v>Josephine Rao</c:v>
                </c:pt>
                <c:pt idx="543">
                  <c:v>Joy Kaplan McNeill</c:v>
                </c:pt>
                <c:pt idx="544">
                  <c:v>Joy Maxwell</c:v>
                </c:pt>
                <c:pt idx="545">
                  <c:v>Joyce Kern</c:v>
                </c:pt>
                <c:pt idx="546">
                  <c:v>Joyce Knox</c:v>
                </c:pt>
                <c:pt idx="547">
                  <c:v>Joyce Murray</c:v>
                </c:pt>
                <c:pt idx="548">
                  <c:v>Juan Gold</c:v>
                </c:pt>
                <c:pt idx="549">
                  <c:v>Juan Justice</c:v>
                </c:pt>
                <c:pt idx="550">
                  <c:v>Juanita Ballard</c:v>
                </c:pt>
                <c:pt idx="551">
                  <c:v>Juanita Coley Knox</c:v>
                </c:pt>
                <c:pt idx="552">
                  <c:v>Judith Shepherd</c:v>
                </c:pt>
                <c:pt idx="553">
                  <c:v>Judy Barrett</c:v>
                </c:pt>
                <c:pt idx="554">
                  <c:v>Judy Frazier</c:v>
                </c:pt>
                <c:pt idx="555">
                  <c:v>Judy Hall</c:v>
                </c:pt>
                <c:pt idx="556">
                  <c:v>Judy Merritt</c:v>
                </c:pt>
                <c:pt idx="557">
                  <c:v>Judy Singer</c:v>
                </c:pt>
                <c:pt idx="558">
                  <c:v>Julia Reynolds</c:v>
                </c:pt>
                <c:pt idx="559">
                  <c:v>Julian F Wolfe</c:v>
                </c:pt>
                <c:pt idx="560">
                  <c:v>Julian Keith Mayer</c:v>
                </c:pt>
                <c:pt idx="561">
                  <c:v>Julie Edwards</c:v>
                </c:pt>
                <c:pt idx="562">
                  <c:v>Julie Porter</c:v>
                </c:pt>
                <c:pt idx="563">
                  <c:v>June Frank Hammond</c:v>
                </c:pt>
                <c:pt idx="564">
                  <c:v>June Herbert</c:v>
                </c:pt>
                <c:pt idx="565">
                  <c:v>June Roberts</c:v>
                </c:pt>
                <c:pt idx="566">
                  <c:v>Justin Frank</c:v>
                </c:pt>
                <c:pt idx="567">
                  <c:v>Kara Allison</c:v>
                </c:pt>
                <c:pt idx="568">
                  <c:v>Kara Foster</c:v>
                </c:pt>
                <c:pt idx="569">
                  <c:v>Kara Patton</c:v>
                </c:pt>
                <c:pt idx="570">
                  <c:v>Karen Hendricks</c:v>
                </c:pt>
                <c:pt idx="571">
                  <c:v>Karen O'Donnell</c:v>
                </c:pt>
                <c:pt idx="572">
                  <c:v>Karen Warren</c:v>
                </c:pt>
                <c:pt idx="573">
                  <c:v>Karl Knowles</c:v>
                </c:pt>
                <c:pt idx="574">
                  <c:v>Kate Lehman</c:v>
                </c:pt>
                <c:pt idx="575">
                  <c:v>Kate McKenna</c:v>
                </c:pt>
                <c:pt idx="576">
                  <c:v>Kate Peck</c:v>
                </c:pt>
                <c:pt idx="577">
                  <c:v>Katharine Bass</c:v>
                </c:pt>
                <c:pt idx="578">
                  <c:v>Katharine Hudson</c:v>
                </c:pt>
                <c:pt idx="579">
                  <c:v>Katherine Kearney</c:v>
                </c:pt>
                <c:pt idx="580">
                  <c:v>Katherine W Epstein</c:v>
                </c:pt>
                <c:pt idx="581">
                  <c:v>Kathleen Huang Hall</c:v>
                </c:pt>
                <c:pt idx="582">
                  <c:v>Kathleen P Bloom</c:v>
                </c:pt>
                <c:pt idx="583">
                  <c:v>Kathryn Patrick</c:v>
                </c:pt>
                <c:pt idx="584">
                  <c:v>Kathryn Tate</c:v>
                </c:pt>
                <c:pt idx="585">
                  <c:v>Kathryn Wolfe</c:v>
                </c:pt>
                <c:pt idx="586">
                  <c:v>Kathy Hinton</c:v>
                </c:pt>
                <c:pt idx="587">
                  <c:v>Kathy Shah</c:v>
                </c:pt>
                <c:pt idx="588">
                  <c:v>Kathy Turner</c:v>
                </c:pt>
                <c:pt idx="589">
                  <c:v>Katie Dougherty</c:v>
                </c:pt>
                <c:pt idx="590">
                  <c:v>Kay Schultz</c:v>
                </c:pt>
                <c:pt idx="591">
                  <c:v>Keith Hobbs</c:v>
                </c:pt>
                <c:pt idx="592">
                  <c:v>Keith Marsh</c:v>
                </c:pt>
                <c:pt idx="593">
                  <c:v>Keith R Atkinson</c:v>
                </c:pt>
                <c:pt idx="594">
                  <c:v>Kelly Byers</c:v>
                </c:pt>
                <c:pt idx="595">
                  <c:v>Kelly Collins</c:v>
                </c:pt>
                <c:pt idx="596">
                  <c:v>Kelly O'Connor</c:v>
                </c:pt>
                <c:pt idx="597">
                  <c:v>Kelly Sawyer</c:v>
                </c:pt>
                <c:pt idx="598">
                  <c:v>Kelly Shaw</c:v>
                </c:pt>
                <c:pt idx="599">
                  <c:v>Ken Cash</c:v>
                </c:pt>
                <c:pt idx="600">
                  <c:v>Ken H Frazier</c:v>
                </c:pt>
                <c:pt idx="601">
                  <c:v>Kenneth Capps</c:v>
                </c:pt>
                <c:pt idx="602">
                  <c:v>Kenneth Pollock</c:v>
                </c:pt>
                <c:pt idx="603">
                  <c:v>Kent Burton</c:v>
                </c:pt>
                <c:pt idx="604">
                  <c:v>Kent Gill</c:v>
                </c:pt>
                <c:pt idx="605">
                  <c:v>Kent Kerr</c:v>
                </c:pt>
                <c:pt idx="606">
                  <c:v>Kerry Beach</c:v>
                </c:pt>
                <c:pt idx="607">
                  <c:v>Kerry Green</c:v>
                </c:pt>
                <c:pt idx="608">
                  <c:v>Kerry Hardy</c:v>
                </c:pt>
                <c:pt idx="609">
                  <c:v>Kerry Jernigan</c:v>
                </c:pt>
                <c:pt idx="610">
                  <c:v>Kerry Wilkerson</c:v>
                </c:pt>
                <c:pt idx="611">
                  <c:v>Kevin Smith</c:v>
                </c:pt>
                <c:pt idx="612">
                  <c:v>Kevin Wolfe</c:v>
                </c:pt>
                <c:pt idx="613">
                  <c:v>Kim McCarthy</c:v>
                </c:pt>
                <c:pt idx="614">
                  <c:v>Kim Weiss</c:v>
                </c:pt>
                <c:pt idx="615">
                  <c:v>Kimberly McCarthy</c:v>
                </c:pt>
                <c:pt idx="616">
                  <c:v>Kimberly Reilly</c:v>
                </c:pt>
                <c:pt idx="617">
                  <c:v>Kristin George</c:v>
                </c:pt>
                <c:pt idx="618">
                  <c:v>Kristina Collier</c:v>
                </c:pt>
                <c:pt idx="619">
                  <c:v>Kristina Sanders</c:v>
                </c:pt>
                <c:pt idx="620">
                  <c:v>Kristine Connolly</c:v>
                </c:pt>
                <c:pt idx="621">
                  <c:v>Kristine Holden</c:v>
                </c:pt>
                <c:pt idx="622">
                  <c:v>Kristine Singleton</c:v>
                </c:pt>
                <c:pt idx="623">
                  <c:v>Kurt O'Connor</c:v>
                </c:pt>
                <c:pt idx="624">
                  <c:v>Kyle Fink</c:v>
                </c:pt>
                <c:pt idx="625">
                  <c:v>Kyle Kaufman</c:v>
                </c:pt>
                <c:pt idx="626">
                  <c:v>Larry Church</c:v>
                </c:pt>
                <c:pt idx="627">
                  <c:v>Larry Hall</c:v>
                </c:pt>
                <c:pt idx="628">
                  <c:v>Larry Langston</c:v>
                </c:pt>
                <c:pt idx="629">
                  <c:v>Laurence Cummings</c:v>
                </c:pt>
                <c:pt idx="630">
                  <c:v>Laurence Flowers</c:v>
                </c:pt>
                <c:pt idx="631">
                  <c:v>Laurence Hull</c:v>
                </c:pt>
                <c:pt idx="632">
                  <c:v>Laurence Poe</c:v>
                </c:pt>
                <c:pt idx="633">
                  <c:v>Laurence Simon</c:v>
                </c:pt>
                <c:pt idx="634">
                  <c:v>Laurie Case Daniel</c:v>
                </c:pt>
                <c:pt idx="635">
                  <c:v>Laurie Hanna</c:v>
                </c:pt>
                <c:pt idx="636">
                  <c:v>Laurie Howe</c:v>
                </c:pt>
                <c:pt idx="637">
                  <c:v>Laurie Moon</c:v>
                </c:pt>
                <c:pt idx="638">
                  <c:v>Laurie Petty</c:v>
                </c:pt>
                <c:pt idx="639">
                  <c:v>Lawrence Dennis</c:v>
                </c:pt>
                <c:pt idx="640">
                  <c:v>Lawrence Haas</c:v>
                </c:pt>
                <c:pt idx="641">
                  <c:v>Lawrence Hester</c:v>
                </c:pt>
                <c:pt idx="642">
                  <c:v>Leah Clapp</c:v>
                </c:pt>
                <c:pt idx="643">
                  <c:v>Leah Davenport</c:v>
                </c:pt>
                <c:pt idx="644">
                  <c:v>Leah Pollock</c:v>
                </c:pt>
                <c:pt idx="645">
                  <c:v>Lee Hancock</c:v>
                </c:pt>
                <c:pt idx="646">
                  <c:v>Lee McKenna Gregory</c:v>
                </c:pt>
                <c:pt idx="647">
                  <c:v>Lee Xu</c:v>
                </c:pt>
                <c:pt idx="648">
                  <c:v>Leigh Burnette Hurley</c:v>
                </c:pt>
                <c:pt idx="649">
                  <c:v>Leo E Underwood</c:v>
                </c:pt>
                <c:pt idx="650">
                  <c:v>Leo J Olson</c:v>
                </c:pt>
                <c:pt idx="651">
                  <c:v>Leo Kane</c:v>
                </c:pt>
                <c:pt idx="652">
                  <c:v>Leon Peele</c:v>
                </c:pt>
                <c:pt idx="653">
                  <c:v>Leonard Strauss</c:v>
                </c:pt>
                <c:pt idx="654">
                  <c:v>Leroy Blanchard</c:v>
                </c:pt>
                <c:pt idx="655">
                  <c:v>Leroy Field</c:v>
                </c:pt>
                <c:pt idx="656">
                  <c:v>Leslie Hawley</c:v>
                </c:pt>
                <c:pt idx="657">
                  <c:v>Leslie Jacobson</c:v>
                </c:pt>
                <c:pt idx="658">
                  <c:v>Leslie Rowland</c:v>
                </c:pt>
                <c:pt idx="659">
                  <c:v>Leslie Shannon</c:v>
                </c:pt>
                <c:pt idx="660">
                  <c:v>Leslie Woodard</c:v>
                </c:pt>
                <c:pt idx="661">
                  <c:v>Lester Copeland</c:v>
                </c:pt>
                <c:pt idx="662">
                  <c:v>Lester Sawyer</c:v>
                </c:pt>
                <c:pt idx="663">
                  <c:v>Lester Woodward Maynard</c:v>
                </c:pt>
                <c:pt idx="664">
                  <c:v>Lewis Baldwin</c:v>
                </c:pt>
                <c:pt idx="665">
                  <c:v>Lillian Day</c:v>
                </c:pt>
                <c:pt idx="666">
                  <c:v>Lillian Fischer</c:v>
                </c:pt>
                <c:pt idx="667">
                  <c:v>Linda Blake</c:v>
                </c:pt>
                <c:pt idx="668">
                  <c:v>Linda Weiss</c:v>
                </c:pt>
                <c:pt idx="669">
                  <c:v>Lindsay Link</c:v>
                </c:pt>
                <c:pt idx="670">
                  <c:v>Lindsay O'Connell</c:v>
                </c:pt>
                <c:pt idx="671">
                  <c:v>Lindsay P Ashley</c:v>
                </c:pt>
                <c:pt idx="672">
                  <c:v>Lindsay Tate</c:v>
                </c:pt>
                <c:pt idx="673">
                  <c:v>Lindsay Webb</c:v>
                </c:pt>
                <c:pt idx="674">
                  <c:v>Lisa Branch</c:v>
                </c:pt>
                <c:pt idx="675">
                  <c:v>Lisa Kim</c:v>
                </c:pt>
                <c:pt idx="676">
                  <c:v>Lloyd Cannon</c:v>
                </c:pt>
                <c:pt idx="677">
                  <c:v>Lloyd Dickson</c:v>
                </c:pt>
                <c:pt idx="678">
                  <c:v>Lloyd Dolan</c:v>
                </c:pt>
                <c:pt idx="679">
                  <c:v>Lloyd Fuller</c:v>
                </c:pt>
                <c:pt idx="680">
                  <c:v>Lloyd Levin</c:v>
                </c:pt>
                <c:pt idx="681">
                  <c:v>Lloyd Norris</c:v>
                </c:pt>
                <c:pt idx="682">
                  <c:v>Lloyd Spencer</c:v>
                </c:pt>
                <c:pt idx="683">
                  <c:v>Lois Hamilton</c:v>
                </c:pt>
                <c:pt idx="684">
                  <c:v>Lois Hansen</c:v>
                </c:pt>
                <c:pt idx="685">
                  <c:v>Lois Rowland</c:v>
                </c:pt>
                <c:pt idx="686">
                  <c:v>Lori Wolfe</c:v>
                </c:pt>
                <c:pt idx="687">
                  <c:v>Lorraine Boykin</c:v>
                </c:pt>
                <c:pt idx="688">
                  <c:v>Lorraine Kelly</c:v>
                </c:pt>
                <c:pt idx="689">
                  <c:v>Louis Parrish</c:v>
                </c:pt>
                <c:pt idx="690">
                  <c:v>Louise Webster Sharma</c:v>
                </c:pt>
                <c:pt idx="691">
                  <c:v>Lucille Buchanan</c:v>
                </c:pt>
                <c:pt idx="692">
                  <c:v>Lucille Gibbons</c:v>
                </c:pt>
                <c:pt idx="693">
                  <c:v>Lucille McGee</c:v>
                </c:pt>
                <c:pt idx="694">
                  <c:v>Lucille Rankin</c:v>
                </c:pt>
                <c:pt idx="695">
                  <c:v>Luis Kerr</c:v>
                </c:pt>
                <c:pt idx="696">
                  <c:v>Lynda Banks</c:v>
                </c:pt>
                <c:pt idx="697">
                  <c:v>Lynda Herman</c:v>
                </c:pt>
                <c:pt idx="698">
                  <c:v>Lynda Rosenthal</c:v>
                </c:pt>
                <c:pt idx="699">
                  <c:v>Lynn Bell</c:v>
                </c:pt>
                <c:pt idx="700">
                  <c:v>Lynn Epstein</c:v>
                </c:pt>
                <c:pt idx="701">
                  <c:v>Lynn Hines</c:v>
                </c:pt>
                <c:pt idx="702">
                  <c:v>Lynn Morrow</c:v>
                </c:pt>
                <c:pt idx="703">
                  <c:v>Lynn O'Donnell</c:v>
                </c:pt>
                <c:pt idx="704">
                  <c:v>Lynn Payne</c:v>
                </c:pt>
                <c:pt idx="705">
                  <c:v>Lynne Griffith</c:v>
                </c:pt>
                <c:pt idx="706">
                  <c:v>Lynne Reid</c:v>
                </c:pt>
                <c:pt idx="707">
                  <c:v>Lynne Wilcox</c:v>
                </c:pt>
                <c:pt idx="708">
                  <c:v>Malcolm Floyd</c:v>
                </c:pt>
                <c:pt idx="709">
                  <c:v>Malcolm French</c:v>
                </c:pt>
                <c:pt idx="710">
                  <c:v>Malcolm Robertson</c:v>
                </c:pt>
                <c:pt idx="711">
                  <c:v>Malcolm S Lanier</c:v>
                </c:pt>
                <c:pt idx="712">
                  <c:v>Marc Nash</c:v>
                </c:pt>
                <c:pt idx="713">
                  <c:v>Marc Ray</c:v>
                </c:pt>
                <c:pt idx="714">
                  <c:v>Marcia Feldman</c:v>
                </c:pt>
                <c:pt idx="715">
                  <c:v>Marcia Greenberg</c:v>
                </c:pt>
                <c:pt idx="716">
                  <c:v>Marcus Dunlap</c:v>
                </c:pt>
                <c:pt idx="717">
                  <c:v>Marguerite Moss</c:v>
                </c:pt>
                <c:pt idx="718">
                  <c:v>Marguerite Rodgers</c:v>
                </c:pt>
                <c:pt idx="719">
                  <c:v>Marguerite Yu</c:v>
                </c:pt>
                <c:pt idx="720">
                  <c:v>Maria Block</c:v>
                </c:pt>
                <c:pt idx="721">
                  <c:v>Maria Thomas</c:v>
                </c:pt>
                <c:pt idx="722">
                  <c:v>Marian Willis</c:v>
                </c:pt>
                <c:pt idx="723">
                  <c:v>Marianne Carey</c:v>
                </c:pt>
                <c:pt idx="724">
                  <c:v>Marianne Connor</c:v>
                </c:pt>
                <c:pt idx="725">
                  <c:v>Marianne Goldstein</c:v>
                </c:pt>
                <c:pt idx="726">
                  <c:v>Marianne Weiner Ennis</c:v>
                </c:pt>
                <c:pt idx="727">
                  <c:v>Marie Bass</c:v>
                </c:pt>
                <c:pt idx="728">
                  <c:v>Marie Pittman</c:v>
                </c:pt>
                <c:pt idx="729">
                  <c:v>Marion Bowling</c:v>
                </c:pt>
                <c:pt idx="730">
                  <c:v>Marion Lindsey</c:v>
                </c:pt>
                <c:pt idx="731">
                  <c:v>Marion Owens</c:v>
                </c:pt>
                <c:pt idx="732">
                  <c:v>Marion Wilcox</c:v>
                </c:pt>
                <c:pt idx="733">
                  <c:v>Marjorie Arthur</c:v>
                </c:pt>
                <c:pt idx="734">
                  <c:v>Marjorie Burnette</c:v>
                </c:pt>
                <c:pt idx="735">
                  <c:v>Marjorie Owens</c:v>
                </c:pt>
                <c:pt idx="736">
                  <c:v>Mark Ritchie</c:v>
                </c:pt>
                <c:pt idx="737">
                  <c:v>Marlene Abrams</c:v>
                </c:pt>
                <c:pt idx="738">
                  <c:v>Marlene Davidson</c:v>
                </c:pt>
                <c:pt idx="739">
                  <c:v>Marlene Gray</c:v>
                </c:pt>
                <c:pt idx="740">
                  <c:v>Marlene Harrison</c:v>
                </c:pt>
                <c:pt idx="741">
                  <c:v>Marlene Kirk</c:v>
                </c:pt>
                <c:pt idx="742">
                  <c:v>Marlene Phillips</c:v>
                </c:pt>
                <c:pt idx="743">
                  <c:v>Marsha P Joyner</c:v>
                </c:pt>
                <c:pt idx="744">
                  <c:v>Marsha Roy</c:v>
                </c:pt>
                <c:pt idx="745">
                  <c:v>Marshall Brandt Briggs</c:v>
                </c:pt>
                <c:pt idx="746">
                  <c:v>Marshall Sutherland</c:v>
                </c:pt>
                <c:pt idx="747">
                  <c:v>Martha Bowers</c:v>
                </c:pt>
                <c:pt idx="748">
                  <c:v>Martin Kirk</c:v>
                </c:pt>
                <c:pt idx="749">
                  <c:v>Marvin Hunt</c:v>
                </c:pt>
                <c:pt idx="750">
                  <c:v>Marvin MacDonald</c:v>
                </c:pt>
                <c:pt idx="751">
                  <c:v>Marvin Parrott</c:v>
                </c:pt>
                <c:pt idx="752">
                  <c:v>Marvin Patrick</c:v>
                </c:pt>
                <c:pt idx="753">
                  <c:v>Marvin Reid</c:v>
                </c:pt>
                <c:pt idx="754">
                  <c:v>Marvin Rollins</c:v>
                </c:pt>
                <c:pt idx="755">
                  <c:v>Marvin Yang</c:v>
                </c:pt>
                <c:pt idx="756">
                  <c:v>Mary Hewitt</c:v>
                </c:pt>
                <c:pt idx="757">
                  <c:v>Mary Norman</c:v>
                </c:pt>
                <c:pt idx="758">
                  <c:v>Mary Page</c:v>
                </c:pt>
                <c:pt idx="759">
                  <c:v>Matthew Berman</c:v>
                </c:pt>
                <c:pt idx="760">
                  <c:v>Matthew Conway</c:v>
                </c:pt>
                <c:pt idx="761">
                  <c:v>Maureen Herbert Hood</c:v>
                </c:pt>
                <c:pt idx="762">
                  <c:v>Maureen Stout</c:v>
                </c:pt>
                <c:pt idx="763">
                  <c:v>Maureen Whitley</c:v>
                </c:pt>
                <c:pt idx="764">
                  <c:v>Maurice Everett</c:v>
                </c:pt>
                <c:pt idx="765">
                  <c:v>Maurice Kelly</c:v>
                </c:pt>
                <c:pt idx="766">
                  <c:v>Max Hubbard</c:v>
                </c:pt>
                <c:pt idx="767">
                  <c:v>Max Hurley</c:v>
                </c:pt>
                <c:pt idx="768">
                  <c:v>Max McKenna</c:v>
                </c:pt>
                <c:pt idx="769">
                  <c:v>Max Small</c:v>
                </c:pt>
                <c:pt idx="770">
                  <c:v>Maxine Collier Grady</c:v>
                </c:pt>
                <c:pt idx="771">
                  <c:v>Megan Woods</c:v>
                </c:pt>
                <c:pt idx="772">
                  <c:v>Megan York</c:v>
                </c:pt>
                <c:pt idx="773">
                  <c:v>Melanie Burgess</c:v>
                </c:pt>
                <c:pt idx="774">
                  <c:v>Melanie Knight</c:v>
                </c:pt>
                <c:pt idx="775">
                  <c:v>Melanie Morrow</c:v>
                </c:pt>
                <c:pt idx="776">
                  <c:v>Melinda Rogers</c:v>
                </c:pt>
                <c:pt idx="777">
                  <c:v>Melinda Thornton</c:v>
                </c:pt>
                <c:pt idx="778">
                  <c:v>Melvin Benton</c:v>
                </c:pt>
                <c:pt idx="779">
                  <c:v>Melvin Duke</c:v>
                </c:pt>
                <c:pt idx="780">
                  <c:v>Melvin Kendall</c:v>
                </c:pt>
                <c:pt idx="781">
                  <c:v>Meredith Humphrey</c:v>
                </c:pt>
                <c:pt idx="782">
                  <c:v>Meredith Walters</c:v>
                </c:pt>
                <c:pt idx="783">
                  <c:v>Michael Robbins</c:v>
                </c:pt>
                <c:pt idx="784">
                  <c:v>Michael Shaffer</c:v>
                </c:pt>
                <c:pt idx="785">
                  <c:v>Michael Tanner</c:v>
                </c:pt>
                <c:pt idx="786">
                  <c:v>Michele Bradshaw</c:v>
                </c:pt>
                <c:pt idx="787">
                  <c:v>Michele Bullard</c:v>
                </c:pt>
                <c:pt idx="788">
                  <c:v>Michelle Bryant Phillips</c:v>
                </c:pt>
                <c:pt idx="789">
                  <c:v>Michelle Steele</c:v>
                </c:pt>
                <c:pt idx="790">
                  <c:v>Mike G Hartman</c:v>
                </c:pt>
                <c:pt idx="791">
                  <c:v>Mike Howard</c:v>
                </c:pt>
                <c:pt idx="792">
                  <c:v>Mildred Briggs</c:v>
                </c:pt>
                <c:pt idx="793">
                  <c:v>Mildred Chase</c:v>
                </c:pt>
                <c:pt idx="794">
                  <c:v>Milton Harrell</c:v>
                </c:pt>
                <c:pt idx="795">
                  <c:v>Milton Lindsay</c:v>
                </c:pt>
                <c:pt idx="796">
                  <c:v>Miriam Bowman</c:v>
                </c:pt>
                <c:pt idx="797">
                  <c:v>Miriam Greenberg</c:v>
                </c:pt>
                <c:pt idx="798">
                  <c:v>Miriam Mueller</c:v>
                </c:pt>
                <c:pt idx="799">
                  <c:v>Mitchell Goldberg</c:v>
                </c:pt>
                <c:pt idx="800">
                  <c:v>Mitchell Ross</c:v>
                </c:pt>
                <c:pt idx="801">
                  <c:v>Molly Browning</c:v>
                </c:pt>
                <c:pt idx="802">
                  <c:v>Molly Vincent</c:v>
                </c:pt>
                <c:pt idx="803">
                  <c:v>Molly Webster</c:v>
                </c:pt>
                <c:pt idx="804">
                  <c:v>Monica Harvey</c:v>
                </c:pt>
                <c:pt idx="805">
                  <c:v>Monica Howard</c:v>
                </c:pt>
                <c:pt idx="806">
                  <c:v>Monica Law Thompson</c:v>
                </c:pt>
                <c:pt idx="807">
                  <c:v>Monica McCormick</c:v>
                </c:pt>
                <c:pt idx="808">
                  <c:v>Monica Stuart</c:v>
                </c:pt>
                <c:pt idx="809">
                  <c:v>Nancy Holden</c:v>
                </c:pt>
                <c:pt idx="810">
                  <c:v>Natalie Aldridge</c:v>
                </c:pt>
                <c:pt idx="811">
                  <c:v>Natalie Watts</c:v>
                </c:pt>
                <c:pt idx="812">
                  <c:v>Nathan Fox</c:v>
                </c:pt>
                <c:pt idx="813">
                  <c:v>Nathan Jenkins</c:v>
                </c:pt>
                <c:pt idx="814">
                  <c:v>Nathan Newton</c:v>
                </c:pt>
                <c:pt idx="815">
                  <c:v>Nathan Wyatt</c:v>
                </c:pt>
                <c:pt idx="816">
                  <c:v>Neal Weber</c:v>
                </c:pt>
                <c:pt idx="817">
                  <c:v>Neal Wolfe</c:v>
                </c:pt>
                <c:pt idx="818">
                  <c:v>Neil Bailey</c:v>
                </c:pt>
                <c:pt idx="819">
                  <c:v>Neil Barbee</c:v>
                </c:pt>
                <c:pt idx="820">
                  <c:v>Neil Hogan</c:v>
                </c:pt>
                <c:pt idx="821">
                  <c:v>Neil Parker</c:v>
                </c:pt>
                <c:pt idx="822">
                  <c:v>Neil Song</c:v>
                </c:pt>
                <c:pt idx="823">
                  <c:v>Nelson Hensley</c:v>
                </c:pt>
                <c:pt idx="824">
                  <c:v>Nelson Hong</c:v>
                </c:pt>
                <c:pt idx="825">
                  <c:v>Nicholas Wallace</c:v>
                </c:pt>
                <c:pt idx="826">
                  <c:v>Nicole Goldstein</c:v>
                </c:pt>
                <c:pt idx="827">
                  <c:v>Nicole Pope</c:v>
                </c:pt>
                <c:pt idx="828">
                  <c:v>Nicole Reid</c:v>
                </c:pt>
                <c:pt idx="829">
                  <c:v>Nina Bowles</c:v>
                </c:pt>
                <c:pt idx="830">
                  <c:v>Nina Horne Kelly</c:v>
                </c:pt>
                <c:pt idx="831">
                  <c:v>Norman Adams</c:v>
                </c:pt>
                <c:pt idx="832">
                  <c:v>Norman Shields</c:v>
                </c:pt>
                <c:pt idx="833">
                  <c:v>Oscar Bowers</c:v>
                </c:pt>
                <c:pt idx="834">
                  <c:v>Oscar Ford</c:v>
                </c:pt>
                <c:pt idx="835">
                  <c:v>Oscar Kenney</c:v>
                </c:pt>
                <c:pt idx="836">
                  <c:v>Paige Jacobs</c:v>
                </c:pt>
                <c:pt idx="837">
                  <c:v>Paige Mason</c:v>
                </c:pt>
                <c:pt idx="838">
                  <c:v>Paige Powers</c:v>
                </c:pt>
                <c:pt idx="839">
                  <c:v>Pam Anthony</c:v>
                </c:pt>
                <c:pt idx="840">
                  <c:v>Pam Bennett</c:v>
                </c:pt>
                <c:pt idx="841">
                  <c:v>Pam Gilbert</c:v>
                </c:pt>
                <c:pt idx="842">
                  <c:v>Pam Patton</c:v>
                </c:pt>
                <c:pt idx="843">
                  <c:v>Pamela Wiley</c:v>
                </c:pt>
                <c:pt idx="844">
                  <c:v>Pat Baker</c:v>
                </c:pt>
                <c:pt idx="845">
                  <c:v>Pat Kinney</c:v>
                </c:pt>
                <c:pt idx="846">
                  <c:v>Patricia Cole Blair</c:v>
                </c:pt>
                <c:pt idx="847">
                  <c:v>Patrick Adcock</c:v>
                </c:pt>
                <c:pt idx="848">
                  <c:v>Patrick Byrne</c:v>
                </c:pt>
                <c:pt idx="849">
                  <c:v>Patrick Lowry</c:v>
                </c:pt>
                <c:pt idx="850">
                  <c:v>Patrick Rosenthal</c:v>
                </c:pt>
                <c:pt idx="851">
                  <c:v>Patsy Harmon</c:v>
                </c:pt>
                <c:pt idx="852">
                  <c:v>Patsy Shea</c:v>
                </c:pt>
                <c:pt idx="853">
                  <c:v>Paul Puckett</c:v>
                </c:pt>
                <c:pt idx="854">
                  <c:v>Paul Tate</c:v>
                </c:pt>
                <c:pt idx="855">
                  <c:v>Paul W French</c:v>
                </c:pt>
                <c:pt idx="856">
                  <c:v>Paula Hubbard</c:v>
                </c:pt>
                <c:pt idx="857">
                  <c:v>Pauline Boyette</c:v>
                </c:pt>
                <c:pt idx="858">
                  <c:v>Pauline Brooks</c:v>
                </c:pt>
                <c:pt idx="859">
                  <c:v>Pauline Denton</c:v>
                </c:pt>
                <c:pt idx="860">
                  <c:v>Pauline Finch</c:v>
                </c:pt>
                <c:pt idx="861">
                  <c:v>Peggy Chan</c:v>
                </c:pt>
                <c:pt idx="862">
                  <c:v>Peggy Lanier</c:v>
                </c:pt>
                <c:pt idx="863">
                  <c:v>Peggy Rowe</c:v>
                </c:pt>
                <c:pt idx="864">
                  <c:v>Penny Leach</c:v>
                </c:pt>
                <c:pt idx="865">
                  <c:v>Penny O Caldwell</c:v>
                </c:pt>
                <c:pt idx="866">
                  <c:v>Penny Rich</c:v>
                </c:pt>
                <c:pt idx="867">
                  <c:v>Penny Tuttle</c:v>
                </c:pt>
                <c:pt idx="868">
                  <c:v>Peter Adams</c:v>
                </c:pt>
                <c:pt idx="869">
                  <c:v>Peter Brooks</c:v>
                </c:pt>
                <c:pt idx="870">
                  <c:v>Peter Hardy</c:v>
                </c:pt>
                <c:pt idx="871">
                  <c:v>Peter McConnell</c:v>
                </c:pt>
                <c:pt idx="872">
                  <c:v>Philip Hawkins</c:v>
                </c:pt>
                <c:pt idx="873">
                  <c:v>Phillip Blum</c:v>
                </c:pt>
                <c:pt idx="874">
                  <c:v>Phillip Chappell</c:v>
                </c:pt>
                <c:pt idx="875">
                  <c:v>Phillip Holmes</c:v>
                </c:pt>
                <c:pt idx="876">
                  <c:v>Phillip Pollard</c:v>
                </c:pt>
                <c:pt idx="877">
                  <c:v>Phyllis Hull</c:v>
                </c:pt>
                <c:pt idx="878">
                  <c:v>Phyllis Little</c:v>
                </c:pt>
                <c:pt idx="879">
                  <c:v>Priscilla Allen</c:v>
                </c:pt>
                <c:pt idx="880">
                  <c:v>Priscilla Brandon</c:v>
                </c:pt>
                <c:pt idx="881">
                  <c:v>Priscilla Frank</c:v>
                </c:pt>
                <c:pt idx="882">
                  <c:v>Rachel Bates</c:v>
                </c:pt>
                <c:pt idx="883">
                  <c:v>Rachel Casey</c:v>
                </c:pt>
                <c:pt idx="884">
                  <c:v>Ralph Woods Scott</c:v>
                </c:pt>
                <c:pt idx="885">
                  <c:v>Randall Boykin</c:v>
                </c:pt>
                <c:pt idx="886">
                  <c:v>Randall Montgomery</c:v>
                </c:pt>
                <c:pt idx="887">
                  <c:v>Randy Jiang</c:v>
                </c:pt>
                <c:pt idx="888">
                  <c:v>Ray Grady</c:v>
                </c:pt>
                <c:pt idx="889">
                  <c:v>Ray Oakley</c:v>
                </c:pt>
                <c:pt idx="890">
                  <c:v>Ray Silverman</c:v>
                </c:pt>
                <c:pt idx="891">
                  <c:v>Rebecca Lindsey</c:v>
                </c:pt>
                <c:pt idx="892">
                  <c:v>Regina Langley</c:v>
                </c:pt>
                <c:pt idx="893">
                  <c:v>Renee Alston</c:v>
                </c:pt>
                <c:pt idx="894">
                  <c:v>Renee Huang</c:v>
                </c:pt>
                <c:pt idx="895">
                  <c:v>Renee McKenzie</c:v>
                </c:pt>
                <c:pt idx="896">
                  <c:v>Rhonda Bryant</c:v>
                </c:pt>
                <c:pt idx="897">
                  <c:v>Rhonda Ivey</c:v>
                </c:pt>
                <c:pt idx="898">
                  <c:v>Rhonda Schroeder</c:v>
                </c:pt>
                <c:pt idx="899">
                  <c:v>Rhonda Stein</c:v>
                </c:pt>
                <c:pt idx="900">
                  <c:v>Richard McClure</c:v>
                </c:pt>
                <c:pt idx="901">
                  <c:v>Richard Tan</c:v>
                </c:pt>
                <c:pt idx="902">
                  <c:v>Rick Ellis</c:v>
                </c:pt>
                <c:pt idx="903">
                  <c:v>Rick Foster Hawkins</c:v>
                </c:pt>
                <c:pt idx="904">
                  <c:v>Rick Houston</c:v>
                </c:pt>
                <c:pt idx="905">
                  <c:v>Ricky Allred</c:v>
                </c:pt>
                <c:pt idx="906">
                  <c:v>Ricky Garner</c:v>
                </c:pt>
                <c:pt idx="907">
                  <c:v>Ricky Hensley</c:v>
                </c:pt>
                <c:pt idx="908">
                  <c:v>Ricky Sanders</c:v>
                </c:pt>
                <c:pt idx="909">
                  <c:v>Ricky W Clements</c:v>
                </c:pt>
                <c:pt idx="910">
                  <c:v>Rita Barton</c:v>
                </c:pt>
                <c:pt idx="911">
                  <c:v>Robert Brantley</c:v>
                </c:pt>
                <c:pt idx="912">
                  <c:v>Robert Cowan</c:v>
                </c:pt>
                <c:pt idx="913">
                  <c:v>Robert Rollins</c:v>
                </c:pt>
                <c:pt idx="914">
                  <c:v>Roberta Daniel</c:v>
                </c:pt>
                <c:pt idx="915">
                  <c:v>Roberta Mitchell</c:v>
                </c:pt>
                <c:pt idx="916">
                  <c:v>Roberta Mullins Peters</c:v>
                </c:pt>
                <c:pt idx="917">
                  <c:v>Robin High</c:v>
                </c:pt>
                <c:pt idx="918">
                  <c:v>Robin Kramer Vaughn</c:v>
                </c:pt>
                <c:pt idx="919">
                  <c:v>Robin Tyler</c:v>
                </c:pt>
                <c:pt idx="920">
                  <c:v>Robyn Crawford</c:v>
                </c:pt>
                <c:pt idx="921">
                  <c:v>Robyn Garner</c:v>
                </c:pt>
                <c:pt idx="922">
                  <c:v>Robyn Hayes</c:v>
                </c:pt>
                <c:pt idx="923">
                  <c:v>Robyn Lyon</c:v>
                </c:pt>
                <c:pt idx="924">
                  <c:v>Robyn Zhou</c:v>
                </c:pt>
                <c:pt idx="925">
                  <c:v>Rodney Field</c:v>
                </c:pt>
                <c:pt idx="926">
                  <c:v>Rodney Kearney</c:v>
                </c:pt>
                <c:pt idx="927">
                  <c:v>Roger Blalock Cassidy</c:v>
                </c:pt>
                <c:pt idx="928">
                  <c:v>Roger Meyer</c:v>
                </c:pt>
                <c:pt idx="929">
                  <c:v>Roger Schwartz</c:v>
                </c:pt>
                <c:pt idx="930">
                  <c:v>Ron Newton</c:v>
                </c:pt>
                <c:pt idx="931">
                  <c:v>Ronald O'Neill</c:v>
                </c:pt>
                <c:pt idx="932">
                  <c:v>Ronnie Creech</c:v>
                </c:pt>
                <c:pt idx="933">
                  <c:v>Ronnie Nolan</c:v>
                </c:pt>
                <c:pt idx="934">
                  <c:v>Ronnie Proctor</c:v>
                </c:pt>
                <c:pt idx="935">
                  <c:v>Rosemary Branch</c:v>
                </c:pt>
                <c:pt idx="936">
                  <c:v>Rosemary English</c:v>
                </c:pt>
                <c:pt idx="937">
                  <c:v>Rosemary O'Brien</c:v>
                </c:pt>
                <c:pt idx="938">
                  <c:v>Rosemary Stark</c:v>
                </c:pt>
                <c:pt idx="939">
                  <c:v>Ross Frederick</c:v>
                </c:pt>
                <c:pt idx="940">
                  <c:v>Ross Simpson</c:v>
                </c:pt>
                <c:pt idx="941">
                  <c:v>Roy Hardison</c:v>
                </c:pt>
                <c:pt idx="942">
                  <c:v>Roy Rouse</c:v>
                </c:pt>
                <c:pt idx="943">
                  <c:v>Ruby Gibbons</c:v>
                </c:pt>
                <c:pt idx="944">
                  <c:v>Russell Chan</c:v>
                </c:pt>
                <c:pt idx="945">
                  <c:v>Russell W Melton</c:v>
                </c:pt>
                <c:pt idx="946">
                  <c:v>Ruth Dudley</c:v>
                </c:pt>
                <c:pt idx="947">
                  <c:v>Ruth Lamm</c:v>
                </c:pt>
                <c:pt idx="948">
                  <c:v>Ryan Foster</c:v>
                </c:pt>
                <c:pt idx="949">
                  <c:v>Ryan Herman</c:v>
                </c:pt>
                <c:pt idx="950">
                  <c:v>Sally Dunn</c:v>
                </c:pt>
                <c:pt idx="951">
                  <c:v>Sally House</c:v>
                </c:pt>
                <c:pt idx="952">
                  <c:v>Sally Liu</c:v>
                </c:pt>
                <c:pt idx="953">
                  <c:v>Sam Oh</c:v>
                </c:pt>
                <c:pt idx="954">
                  <c:v>Sam Rouse</c:v>
                </c:pt>
                <c:pt idx="955">
                  <c:v>Sam Woodward</c:v>
                </c:pt>
                <c:pt idx="956">
                  <c:v>Samantha Koch</c:v>
                </c:pt>
                <c:pt idx="957">
                  <c:v>Samantha Weaver</c:v>
                </c:pt>
                <c:pt idx="958">
                  <c:v>Samuel Newman</c:v>
                </c:pt>
                <c:pt idx="959">
                  <c:v>Sandra Berry</c:v>
                </c:pt>
                <c:pt idx="960">
                  <c:v>Sandra Faulkner</c:v>
                </c:pt>
                <c:pt idx="961">
                  <c:v>Sandra Sharma</c:v>
                </c:pt>
                <c:pt idx="962">
                  <c:v>Sandy Cannon</c:v>
                </c:pt>
                <c:pt idx="963">
                  <c:v>Sandy Ellington</c:v>
                </c:pt>
                <c:pt idx="964">
                  <c:v>Sandy Hunt</c:v>
                </c:pt>
                <c:pt idx="965">
                  <c:v>Sandy Mueller</c:v>
                </c:pt>
                <c:pt idx="966">
                  <c:v>Sara Faulkner</c:v>
                </c:pt>
                <c:pt idx="967">
                  <c:v>Sara O'Connor</c:v>
                </c:pt>
                <c:pt idx="968">
                  <c:v>Sarah N Becker</c:v>
                </c:pt>
                <c:pt idx="969">
                  <c:v>Sarah Ramsey</c:v>
                </c:pt>
                <c:pt idx="970">
                  <c:v>Scott Bunn</c:v>
                </c:pt>
                <c:pt idx="971">
                  <c:v>Scott Feldman</c:v>
                </c:pt>
                <c:pt idx="972">
                  <c:v>Scott McKenna</c:v>
                </c:pt>
                <c:pt idx="973">
                  <c:v>Scott Moore</c:v>
                </c:pt>
                <c:pt idx="974">
                  <c:v>Sean Burton</c:v>
                </c:pt>
                <c:pt idx="975">
                  <c:v>Sean Herbert</c:v>
                </c:pt>
                <c:pt idx="976">
                  <c:v>Sean McKenna</c:v>
                </c:pt>
                <c:pt idx="977">
                  <c:v>Sean N Boyer</c:v>
                </c:pt>
                <c:pt idx="978">
                  <c:v>Sean Pugh</c:v>
                </c:pt>
                <c:pt idx="979">
                  <c:v>Sean Stephenson</c:v>
                </c:pt>
                <c:pt idx="980">
                  <c:v>Seth Matthews</c:v>
                </c:pt>
                <c:pt idx="981">
                  <c:v>Seth Merrill</c:v>
                </c:pt>
                <c:pt idx="982">
                  <c:v>Shannon Aldridge</c:v>
                </c:pt>
                <c:pt idx="983">
                  <c:v>Sharon Ellis</c:v>
                </c:pt>
                <c:pt idx="984">
                  <c:v>Sharon Kessler</c:v>
                </c:pt>
                <c:pt idx="985">
                  <c:v>Sharon Long</c:v>
                </c:pt>
                <c:pt idx="986">
                  <c:v>Sharon Marcus</c:v>
                </c:pt>
                <c:pt idx="987">
                  <c:v>Sharon Thomas</c:v>
                </c:pt>
                <c:pt idx="988">
                  <c:v>Shawn Combs</c:v>
                </c:pt>
                <c:pt idx="989">
                  <c:v>Shawn McIntyre</c:v>
                </c:pt>
                <c:pt idx="990">
                  <c:v>Shawn Meyer</c:v>
                </c:pt>
                <c:pt idx="991">
                  <c:v>Shawn Stern</c:v>
                </c:pt>
                <c:pt idx="992">
                  <c:v>Sherri F Vogel</c:v>
                </c:pt>
                <c:pt idx="993">
                  <c:v>Sherri Kramer</c:v>
                </c:pt>
                <c:pt idx="994">
                  <c:v>Sherri McIntosh</c:v>
                </c:pt>
                <c:pt idx="995">
                  <c:v>Sherri P Stephens</c:v>
                </c:pt>
                <c:pt idx="996">
                  <c:v>Sherry Hurley</c:v>
                </c:pt>
                <c:pt idx="997">
                  <c:v>Sheryl Marsh</c:v>
                </c:pt>
                <c:pt idx="998">
                  <c:v>Sheryl Reese</c:v>
                </c:pt>
                <c:pt idx="999">
                  <c:v>Shirley Riley</c:v>
                </c:pt>
                <c:pt idx="1000">
                  <c:v>Sidney Bowling</c:v>
                </c:pt>
                <c:pt idx="1001">
                  <c:v>Sidney Brewer</c:v>
                </c:pt>
                <c:pt idx="1002">
                  <c:v>Sidney Gilliam</c:v>
                </c:pt>
                <c:pt idx="1003">
                  <c:v>Sidney Greenberg</c:v>
                </c:pt>
                <c:pt idx="1004">
                  <c:v>Sidney Larson</c:v>
                </c:pt>
                <c:pt idx="1005">
                  <c:v>Sidney Russell Austin</c:v>
                </c:pt>
                <c:pt idx="1006">
                  <c:v>Sidney Scarborough</c:v>
                </c:pt>
                <c:pt idx="1007">
                  <c:v>Stacey Hale</c:v>
                </c:pt>
                <c:pt idx="1008">
                  <c:v>Stacey Lucas</c:v>
                </c:pt>
                <c:pt idx="1009">
                  <c:v>Stacy Byrne</c:v>
                </c:pt>
                <c:pt idx="1010">
                  <c:v>Stacy Chang</c:v>
                </c:pt>
                <c:pt idx="1011">
                  <c:v>Stacy Gould</c:v>
                </c:pt>
                <c:pt idx="1012">
                  <c:v>Stanley Steele</c:v>
                </c:pt>
                <c:pt idx="1013">
                  <c:v>Stephanie Hawkins</c:v>
                </c:pt>
                <c:pt idx="1014">
                  <c:v>Stephanie Sun Perry</c:v>
                </c:pt>
                <c:pt idx="1015">
                  <c:v>Stephen Lam</c:v>
                </c:pt>
                <c:pt idx="1016">
                  <c:v>Steve McKee</c:v>
                </c:pt>
                <c:pt idx="1017">
                  <c:v>Steve O'Brien</c:v>
                </c:pt>
                <c:pt idx="1018">
                  <c:v>Steve Raynor</c:v>
                </c:pt>
                <c:pt idx="1019">
                  <c:v>Steven Long</c:v>
                </c:pt>
                <c:pt idx="1020">
                  <c:v>Stuart C Robinson</c:v>
                </c:pt>
                <c:pt idx="1021">
                  <c:v>Stuart Holloway</c:v>
                </c:pt>
                <c:pt idx="1022">
                  <c:v>Stuart Sharma</c:v>
                </c:pt>
                <c:pt idx="1023">
                  <c:v>Sue Drake</c:v>
                </c:pt>
                <c:pt idx="1024">
                  <c:v>Susan Carroll Berman</c:v>
                </c:pt>
                <c:pt idx="1025">
                  <c:v>Suzanne Cochran</c:v>
                </c:pt>
                <c:pt idx="1026">
                  <c:v>Sylvia Bush</c:v>
                </c:pt>
                <c:pt idx="1027">
                  <c:v>Sylvia Kumar</c:v>
                </c:pt>
                <c:pt idx="1028">
                  <c:v>Tamara Dickinson</c:v>
                </c:pt>
                <c:pt idx="1029">
                  <c:v>Tammy Buckley</c:v>
                </c:pt>
                <c:pt idx="1030">
                  <c:v>Tammy Goldman</c:v>
                </c:pt>
                <c:pt idx="1031">
                  <c:v>Tammy Raynor</c:v>
                </c:pt>
                <c:pt idx="1032">
                  <c:v>Tara Gold</c:v>
                </c:pt>
                <c:pt idx="1033">
                  <c:v>Tara Powers Underwood</c:v>
                </c:pt>
                <c:pt idx="1034">
                  <c:v>Ted Crowder</c:v>
                </c:pt>
                <c:pt idx="1035">
                  <c:v>Ted Dunlap</c:v>
                </c:pt>
                <c:pt idx="1036">
                  <c:v>Ted Durham</c:v>
                </c:pt>
                <c:pt idx="1037">
                  <c:v>Teresa Bishop</c:v>
                </c:pt>
                <c:pt idx="1038">
                  <c:v>Teresa Hill</c:v>
                </c:pt>
                <c:pt idx="1039">
                  <c:v>Teresa Wallace</c:v>
                </c:pt>
                <c:pt idx="1040">
                  <c:v>Teresa Watts</c:v>
                </c:pt>
                <c:pt idx="1041">
                  <c:v>Terry Klein</c:v>
                </c:pt>
                <c:pt idx="1042">
                  <c:v>Thelma Abrams</c:v>
                </c:pt>
                <c:pt idx="1043">
                  <c:v>Thelma Murray</c:v>
                </c:pt>
                <c:pt idx="1044">
                  <c:v>Theodore Moran</c:v>
                </c:pt>
                <c:pt idx="1045">
                  <c:v>Theodore Rubin</c:v>
                </c:pt>
                <c:pt idx="1046">
                  <c:v>Theodore Tyson</c:v>
                </c:pt>
                <c:pt idx="1047">
                  <c:v>Theresa Winters</c:v>
                </c:pt>
                <c:pt idx="1048">
                  <c:v>Thomas McAllister</c:v>
                </c:pt>
                <c:pt idx="1049">
                  <c:v>Thomas Spence</c:v>
                </c:pt>
                <c:pt idx="1050">
                  <c:v>Tiffany Grossman Hardin</c:v>
                </c:pt>
                <c:pt idx="1051">
                  <c:v>Tiffany Merrill</c:v>
                </c:pt>
                <c:pt idx="1052">
                  <c:v>Tim Connolly</c:v>
                </c:pt>
                <c:pt idx="1053">
                  <c:v>Timothy Currie</c:v>
                </c:pt>
                <c:pt idx="1054">
                  <c:v>Timothy Reese</c:v>
                </c:pt>
                <c:pt idx="1055">
                  <c:v>Timothy Ross</c:v>
                </c:pt>
                <c:pt idx="1056">
                  <c:v>Tina Evans</c:v>
                </c:pt>
                <c:pt idx="1057">
                  <c:v>Tina Monroe</c:v>
                </c:pt>
                <c:pt idx="1058">
                  <c:v>Todd D Norris</c:v>
                </c:pt>
                <c:pt idx="1059">
                  <c:v>Tom Hoyle Honeycutt</c:v>
                </c:pt>
                <c:pt idx="1060">
                  <c:v>Tom McFarland</c:v>
                </c:pt>
                <c:pt idx="1061">
                  <c:v>Tommy Ellis Ritchie</c:v>
                </c:pt>
                <c:pt idx="1062">
                  <c:v>Tommy Honeycutt</c:v>
                </c:pt>
                <c:pt idx="1063">
                  <c:v>Tommy Lutz</c:v>
                </c:pt>
                <c:pt idx="1064">
                  <c:v>Toni Owens Poe</c:v>
                </c:pt>
                <c:pt idx="1065">
                  <c:v>Toni Swanson</c:v>
                </c:pt>
                <c:pt idx="1066">
                  <c:v>Tony Chandler</c:v>
                </c:pt>
                <c:pt idx="1067">
                  <c:v>Tony Doyle</c:v>
                </c:pt>
                <c:pt idx="1068">
                  <c:v>Tony Wilkins Winters</c:v>
                </c:pt>
                <c:pt idx="1069">
                  <c:v>Tonya Miller</c:v>
                </c:pt>
                <c:pt idx="1070">
                  <c:v>Tonya Proctor</c:v>
                </c:pt>
                <c:pt idx="1071">
                  <c:v>Tracy Buckley</c:v>
                </c:pt>
                <c:pt idx="1072">
                  <c:v>Tracy Dyer</c:v>
                </c:pt>
                <c:pt idx="1073">
                  <c:v>Tracy G Starr</c:v>
                </c:pt>
                <c:pt idx="1074">
                  <c:v>Tracy Livingston</c:v>
                </c:pt>
                <c:pt idx="1075">
                  <c:v>Tracy Schultz</c:v>
                </c:pt>
                <c:pt idx="1076">
                  <c:v>Troy Casey</c:v>
                </c:pt>
                <c:pt idx="1077">
                  <c:v>Troy Cassidy</c:v>
                </c:pt>
                <c:pt idx="1078">
                  <c:v>Troy Moon</c:v>
                </c:pt>
                <c:pt idx="1079">
                  <c:v>Valerie Moon</c:v>
                </c:pt>
                <c:pt idx="1080">
                  <c:v>Valerie Siegel</c:v>
                </c:pt>
                <c:pt idx="1081">
                  <c:v>Vanessa Boyer</c:v>
                </c:pt>
                <c:pt idx="1082">
                  <c:v>Vanessa Day</c:v>
                </c:pt>
                <c:pt idx="1083">
                  <c:v>Vanessa Winstead</c:v>
                </c:pt>
                <c:pt idx="1084">
                  <c:v>Vernon Hirsch Singleton</c:v>
                </c:pt>
                <c:pt idx="1085">
                  <c:v>Veronica Peck</c:v>
                </c:pt>
                <c:pt idx="1086">
                  <c:v>Vicki Bond</c:v>
                </c:pt>
                <c:pt idx="1087">
                  <c:v>Vicki Hauser</c:v>
                </c:pt>
                <c:pt idx="1088">
                  <c:v>Vicki Womble</c:v>
                </c:pt>
                <c:pt idx="1089">
                  <c:v>Vicki Zhu Daniels</c:v>
                </c:pt>
                <c:pt idx="1090">
                  <c:v>Vickie Andrews</c:v>
                </c:pt>
                <c:pt idx="1091">
                  <c:v>Vickie Coates</c:v>
                </c:pt>
                <c:pt idx="1092">
                  <c:v>Vickie Gonzalez</c:v>
                </c:pt>
                <c:pt idx="1093">
                  <c:v>Vickie Martinez</c:v>
                </c:pt>
                <c:pt idx="1094">
                  <c:v>Vickie Morse</c:v>
                </c:pt>
                <c:pt idx="1095">
                  <c:v>Victor Cherry</c:v>
                </c:pt>
                <c:pt idx="1096">
                  <c:v>Victoria Baker Hoover</c:v>
                </c:pt>
                <c:pt idx="1097">
                  <c:v>Vincent Daniel</c:v>
                </c:pt>
                <c:pt idx="1098">
                  <c:v>Vincent Hale</c:v>
                </c:pt>
                <c:pt idx="1099">
                  <c:v>Virginia Gay</c:v>
                </c:pt>
                <c:pt idx="1100">
                  <c:v>Virginia McNeill</c:v>
                </c:pt>
                <c:pt idx="1101">
                  <c:v>Vivian Clarke</c:v>
                </c:pt>
                <c:pt idx="1102">
                  <c:v>Vivian Goldstein</c:v>
                </c:pt>
                <c:pt idx="1103">
                  <c:v>Wallace Pugh</c:v>
                </c:pt>
                <c:pt idx="1104">
                  <c:v>Wallace Werner</c:v>
                </c:pt>
                <c:pt idx="1105">
                  <c:v>Walter Young</c:v>
                </c:pt>
                <c:pt idx="1106">
                  <c:v>Wanda Harris</c:v>
                </c:pt>
                <c:pt idx="1107">
                  <c:v>Wayne Bass</c:v>
                </c:pt>
                <c:pt idx="1108">
                  <c:v>Wayne Bean</c:v>
                </c:pt>
                <c:pt idx="1109">
                  <c:v>Wayne English</c:v>
                </c:pt>
                <c:pt idx="1110">
                  <c:v>Wayne Lutz</c:v>
                </c:pt>
                <c:pt idx="1111">
                  <c:v>Wayne Sutherland</c:v>
                </c:pt>
                <c:pt idx="1112">
                  <c:v>Wendy Pridgen Pearce</c:v>
                </c:pt>
                <c:pt idx="1113">
                  <c:v>Wesley Cho</c:v>
                </c:pt>
                <c:pt idx="1114">
                  <c:v>Wesley Corbett</c:v>
                </c:pt>
                <c:pt idx="1115">
                  <c:v>Wesley Field</c:v>
                </c:pt>
                <c:pt idx="1116">
                  <c:v>Wesley Reid</c:v>
                </c:pt>
                <c:pt idx="1117">
                  <c:v>Wesley Tate</c:v>
                </c:pt>
                <c:pt idx="1118">
                  <c:v>Wesley Waller</c:v>
                </c:pt>
                <c:pt idx="1119">
                  <c:v>William Crawford</c:v>
                </c:pt>
                <c:pt idx="1120">
                  <c:v>William Larson</c:v>
                </c:pt>
                <c:pt idx="1121">
                  <c:v>William Sharma</c:v>
                </c:pt>
                <c:pt idx="1122">
                  <c:v>William Woodard</c:v>
                </c:pt>
                <c:pt idx="1123">
                  <c:v>Willie Robinson</c:v>
                </c:pt>
                <c:pt idx="1124">
                  <c:v>Yvonne Clarke</c:v>
                </c:pt>
                <c:pt idx="1125">
                  <c:v>Yvonne Collier</c:v>
                </c:pt>
                <c:pt idx="1126">
                  <c:v>Yvonne Fox</c:v>
                </c:pt>
                <c:pt idx="1127">
                  <c:v>Yvonne Mann</c:v>
                </c:pt>
                <c:pt idx="1128">
                  <c:v>Yvonne Stephens</c:v>
                </c:pt>
                <c:pt idx="1129">
                  <c:v>Zachary Maynard</c:v>
                </c:pt>
              </c:strCache>
            </c:strRef>
          </c:cat>
          <c:val>
            <c:numRef>
              <c:f>'Customer name '!$B$4:$B$1134</c:f>
              <c:numCache>
                <c:formatCode>General</c:formatCode>
                <c:ptCount val="1130"/>
                <c:pt idx="0">
                  <c:v>710.16</c:v>
                </c:pt>
                <c:pt idx="1">
                  <c:v>18.34</c:v>
                </c:pt>
                <c:pt idx="2">
                  <c:v>3598.26</c:v>
                </c:pt>
                <c:pt idx="3">
                  <c:v>894.64</c:v>
                </c:pt>
                <c:pt idx="4">
                  <c:v>1638.5</c:v>
                </c:pt>
                <c:pt idx="5">
                  <c:v>48.3</c:v>
                </c:pt>
                <c:pt idx="6">
                  <c:v>485.01</c:v>
                </c:pt>
                <c:pt idx="7">
                  <c:v>396.19</c:v>
                </c:pt>
                <c:pt idx="8">
                  <c:v>1338.6</c:v>
                </c:pt>
                <c:pt idx="9">
                  <c:v>267.89</c:v>
                </c:pt>
                <c:pt idx="10">
                  <c:v>191.68</c:v>
                </c:pt>
                <c:pt idx="11">
                  <c:v>205.76</c:v>
                </c:pt>
                <c:pt idx="12">
                  <c:v>5584.7</c:v>
                </c:pt>
                <c:pt idx="13">
                  <c:v>116.8</c:v>
                </c:pt>
                <c:pt idx="14">
                  <c:v>33.65</c:v>
                </c:pt>
                <c:pt idx="15">
                  <c:v>10.72</c:v>
                </c:pt>
                <c:pt idx="16">
                  <c:v>10925.98</c:v>
                </c:pt>
                <c:pt idx="17">
                  <c:v>952.26</c:v>
                </c:pt>
                <c:pt idx="18">
                  <c:v>414.49</c:v>
                </c:pt>
                <c:pt idx="19">
                  <c:v>49.81</c:v>
                </c:pt>
                <c:pt idx="20">
                  <c:v>881.94</c:v>
                </c:pt>
                <c:pt idx="21">
                  <c:v>1277.49</c:v>
                </c:pt>
                <c:pt idx="22">
                  <c:v>2956.6299999999997</c:v>
                </c:pt>
                <c:pt idx="23">
                  <c:v>1494.63</c:v>
                </c:pt>
                <c:pt idx="24">
                  <c:v>2353.5500000000002</c:v>
                </c:pt>
                <c:pt idx="25">
                  <c:v>1455.1499999999999</c:v>
                </c:pt>
                <c:pt idx="26">
                  <c:v>379.72</c:v>
                </c:pt>
                <c:pt idx="27">
                  <c:v>52.47</c:v>
                </c:pt>
                <c:pt idx="28">
                  <c:v>657.61</c:v>
                </c:pt>
                <c:pt idx="29">
                  <c:v>1053.2</c:v>
                </c:pt>
                <c:pt idx="30">
                  <c:v>51.41</c:v>
                </c:pt>
                <c:pt idx="31">
                  <c:v>56.4</c:v>
                </c:pt>
                <c:pt idx="32">
                  <c:v>94.89</c:v>
                </c:pt>
                <c:pt idx="33">
                  <c:v>3762.9799999999996</c:v>
                </c:pt>
                <c:pt idx="34">
                  <c:v>8.34</c:v>
                </c:pt>
                <c:pt idx="35">
                  <c:v>2338.1799999999998</c:v>
                </c:pt>
                <c:pt idx="36">
                  <c:v>159.73000000000002</c:v>
                </c:pt>
                <c:pt idx="37">
                  <c:v>384.22</c:v>
                </c:pt>
                <c:pt idx="38">
                  <c:v>9603.24</c:v>
                </c:pt>
                <c:pt idx="39">
                  <c:v>12417.560000000001</c:v>
                </c:pt>
                <c:pt idx="40">
                  <c:v>16792.21</c:v>
                </c:pt>
                <c:pt idx="41">
                  <c:v>251.06</c:v>
                </c:pt>
                <c:pt idx="42">
                  <c:v>126.9</c:v>
                </c:pt>
                <c:pt idx="43">
                  <c:v>185.58</c:v>
                </c:pt>
                <c:pt idx="44">
                  <c:v>193.88</c:v>
                </c:pt>
                <c:pt idx="45">
                  <c:v>2902.14</c:v>
                </c:pt>
                <c:pt idx="46">
                  <c:v>11.35</c:v>
                </c:pt>
                <c:pt idx="47">
                  <c:v>29.92</c:v>
                </c:pt>
                <c:pt idx="48">
                  <c:v>2779.6</c:v>
                </c:pt>
                <c:pt idx="49">
                  <c:v>65.69</c:v>
                </c:pt>
                <c:pt idx="50">
                  <c:v>7415.64</c:v>
                </c:pt>
                <c:pt idx="51">
                  <c:v>236.80999999999997</c:v>
                </c:pt>
                <c:pt idx="52">
                  <c:v>492.9</c:v>
                </c:pt>
                <c:pt idx="53">
                  <c:v>226.22</c:v>
                </c:pt>
                <c:pt idx="54">
                  <c:v>4500.72</c:v>
                </c:pt>
                <c:pt idx="55">
                  <c:v>1400.53</c:v>
                </c:pt>
                <c:pt idx="56">
                  <c:v>308.28999999999996</c:v>
                </c:pt>
                <c:pt idx="57">
                  <c:v>53.42</c:v>
                </c:pt>
                <c:pt idx="58">
                  <c:v>4597.8900000000003</c:v>
                </c:pt>
                <c:pt idx="59">
                  <c:v>13424.37</c:v>
                </c:pt>
                <c:pt idx="60">
                  <c:v>1042.54</c:v>
                </c:pt>
                <c:pt idx="61">
                  <c:v>117.87</c:v>
                </c:pt>
                <c:pt idx="62">
                  <c:v>68.45</c:v>
                </c:pt>
                <c:pt idx="63">
                  <c:v>1634.67</c:v>
                </c:pt>
                <c:pt idx="64">
                  <c:v>3916.27</c:v>
                </c:pt>
                <c:pt idx="65">
                  <c:v>323.78999999999996</c:v>
                </c:pt>
                <c:pt idx="66">
                  <c:v>119.29</c:v>
                </c:pt>
                <c:pt idx="67">
                  <c:v>12808.029999999999</c:v>
                </c:pt>
                <c:pt idx="68">
                  <c:v>110.75</c:v>
                </c:pt>
                <c:pt idx="69">
                  <c:v>1899.6399999999999</c:v>
                </c:pt>
                <c:pt idx="70">
                  <c:v>374.6</c:v>
                </c:pt>
                <c:pt idx="71">
                  <c:v>2591.09</c:v>
                </c:pt>
                <c:pt idx="72">
                  <c:v>120.81</c:v>
                </c:pt>
                <c:pt idx="73">
                  <c:v>64.89</c:v>
                </c:pt>
                <c:pt idx="74">
                  <c:v>470.06</c:v>
                </c:pt>
                <c:pt idx="75">
                  <c:v>89.76</c:v>
                </c:pt>
                <c:pt idx="76">
                  <c:v>2737.4300000000003</c:v>
                </c:pt>
                <c:pt idx="77">
                  <c:v>1714.93</c:v>
                </c:pt>
                <c:pt idx="78">
                  <c:v>31.96</c:v>
                </c:pt>
                <c:pt idx="79">
                  <c:v>266.95</c:v>
                </c:pt>
                <c:pt idx="80">
                  <c:v>52.09</c:v>
                </c:pt>
                <c:pt idx="81">
                  <c:v>120.12</c:v>
                </c:pt>
                <c:pt idx="82">
                  <c:v>2306.12</c:v>
                </c:pt>
                <c:pt idx="83">
                  <c:v>43.08</c:v>
                </c:pt>
                <c:pt idx="84">
                  <c:v>541.13</c:v>
                </c:pt>
                <c:pt idx="85">
                  <c:v>2125.12</c:v>
                </c:pt>
                <c:pt idx="86">
                  <c:v>101.73</c:v>
                </c:pt>
                <c:pt idx="87">
                  <c:v>91.92</c:v>
                </c:pt>
                <c:pt idx="88">
                  <c:v>92.96</c:v>
                </c:pt>
                <c:pt idx="89">
                  <c:v>2814.94</c:v>
                </c:pt>
                <c:pt idx="90">
                  <c:v>1125.76</c:v>
                </c:pt>
                <c:pt idx="91">
                  <c:v>653.81999999999994</c:v>
                </c:pt>
                <c:pt idx="92">
                  <c:v>4542.16</c:v>
                </c:pt>
                <c:pt idx="93">
                  <c:v>920.56</c:v>
                </c:pt>
                <c:pt idx="94">
                  <c:v>650.70000000000005</c:v>
                </c:pt>
                <c:pt idx="95">
                  <c:v>100.38</c:v>
                </c:pt>
                <c:pt idx="96">
                  <c:v>904.31</c:v>
                </c:pt>
                <c:pt idx="97">
                  <c:v>680</c:v>
                </c:pt>
                <c:pt idx="98">
                  <c:v>765.04</c:v>
                </c:pt>
                <c:pt idx="99">
                  <c:v>498.31</c:v>
                </c:pt>
                <c:pt idx="100">
                  <c:v>5258.94</c:v>
                </c:pt>
                <c:pt idx="101">
                  <c:v>938.44999999999993</c:v>
                </c:pt>
                <c:pt idx="102">
                  <c:v>383.21999999999997</c:v>
                </c:pt>
                <c:pt idx="103">
                  <c:v>152.18</c:v>
                </c:pt>
                <c:pt idx="104">
                  <c:v>606.47</c:v>
                </c:pt>
                <c:pt idx="105">
                  <c:v>189.60000000000002</c:v>
                </c:pt>
                <c:pt idx="106">
                  <c:v>4321.5000000000009</c:v>
                </c:pt>
                <c:pt idx="107">
                  <c:v>13.01</c:v>
                </c:pt>
                <c:pt idx="108">
                  <c:v>3292.02</c:v>
                </c:pt>
                <c:pt idx="109">
                  <c:v>4920.8100000000004</c:v>
                </c:pt>
                <c:pt idx="110">
                  <c:v>243.32</c:v>
                </c:pt>
                <c:pt idx="111">
                  <c:v>10629.55</c:v>
                </c:pt>
                <c:pt idx="112">
                  <c:v>283.56</c:v>
                </c:pt>
                <c:pt idx="113">
                  <c:v>145.22</c:v>
                </c:pt>
                <c:pt idx="114">
                  <c:v>7727.12</c:v>
                </c:pt>
                <c:pt idx="115">
                  <c:v>28.46</c:v>
                </c:pt>
                <c:pt idx="116">
                  <c:v>1653.29</c:v>
                </c:pt>
                <c:pt idx="117">
                  <c:v>94.2</c:v>
                </c:pt>
                <c:pt idx="118">
                  <c:v>1332.82</c:v>
                </c:pt>
                <c:pt idx="119">
                  <c:v>78.08</c:v>
                </c:pt>
                <c:pt idx="120">
                  <c:v>325.51</c:v>
                </c:pt>
                <c:pt idx="121">
                  <c:v>825.46</c:v>
                </c:pt>
                <c:pt idx="122">
                  <c:v>10514.6</c:v>
                </c:pt>
                <c:pt idx="123">
                  <c:v>343.83000000000004</c:v>
                </c:pt>
                <c:pt idx="124">
                  <c:v>2376.12</c:v>
                </c:pt>
                <c:pt idx="125">
                  <c:v>1549.1</c:v>
                </c:pt>
                <c:pt idx="126">
                  <c:v>312.58999999999997</c:v>
                </c:pt>
                <c:pt idx="127">
                  <c:v>1989.32</c:v>
                </c:pt>
                <c:pt idx="128">
                  <c:v>1542.46</c:v>
                </c:pt>
                <c:pt idx="129">
                  <c:v>1719.07</c:v>
                </c:pt>
                <c:pt idx="130">
                  <c:v>400.47</c:v>
                </c:pt>
                <c:pt idx="131">
                  <c:v>87.25</c:v>
                </c:pt>
                <c:pt idx="132">
                  <c:v>677.08</c:v>
                </c:pt>
                <c:pt idx="133">
                  <c:v>85.26</c:v>
                </c:pt>
                <c:pt idx="134">
                  <c:v>4086.5</c:v>
                </c:pt>
                <c:pt idx="135">
                  <c:v>614.99</c:v>
                </c:pt>
                <c:pt idx="136">
                  <c:v>204.79000000000002</c:v>
                </c:pt>
                <c:pt idx="137">
                  <c:v>304.33999999999997</c:v>
                </c:pt>
                <c:pt idx="138">
                  <c:v>889.64</c:v>
                </c:pt>
                <c:pt idx="139">
                  <c:v>3855.28</c:v>
                </c:pt>
                <c:pt idx="140">
                  <c:v>1593.26</c:v>
                </c:pt>
                <c:pt idx="141">
                  <c:v>346.52</c:v>
                </c:pt>
                <c:pt idx="142">
                  <c:v>211.82999999999998</c:v>
                </c:pt>
                <c:pt idx="143">
                  <c:v>200.64</c:v>
                </c:pt>
                <c:pt idx="144">
                  <c:v>5086.08</c:v>
                </c:pt>
                <c:pt idx="145">
                  <c:v>127.35999999999999</c:v>
                </c:pt>
                <c:pt idx="146">
                  <c:v>10740.57</c:v>
                </c:pt>
                <c:pt idx="147">
                  <c:v>98.17</c:v>
                </c:pt>
                <c:pt idx="148">
                  <c:v>1943.87</c:v>
                </c:pt>
                <c:pt idx="149">
                  <c:v>799.76</c:v>
                </c:pt>
                <c:pt idx="150">
                  <c:v>397.54999999999995</c:v>
                </c:pt>
                <c:pt idx="151">
                  <c:v>641.11</c:v>
                </c:pt>
                <c:pt idx="152">
                  <c:v>1531.31</c:v>
                </c:pt>
                <c:pt idx="153">
                  <c:v>1211.6000000000001</c:v>
                </c:pt>
                <c:pt idx="154">
                  <c:v>110.71</c:v>
                </c:pt>
                <c:pt idx="155">
                  <c:v>546.21</c:v>
                </c:pt>
                <c:pt idx="156">
                  <c:v>150.6</c:v>
                </c:pt>
                <c:pt idx="157">
                  <c:v>4093.16</c:v>
                </c:pt>
                <c:pt idx="158">
                  <c:v>5.9</c:v>
                </c:pt>
                <c:pt idx="159">
                  <c:v>31.98</c:v>
                </c:pt>
                <c:pt idx="160">
                  <c:v>236.71</c:v>
                </c:pt>
                <c:pt idx="161">
                  <c:v>7584.2300000000005</c:v>
                </c:pt>
                <c:pt idx="162">
                  <c:v>1254.1199999999999</c:v>
                </c:pt>
                <c:pt idx="163">
                  <c:v>536.23</c:v>
                </c:pt>
                <c:pt idx="164">
                  <c:v>787.36</c:v>
                </c:pt>
                <c:pt idx="165">
                  <c:v>1635.0800000000002</c:v>
                </c:pt>
                <c:pt idx="166">
                  <c:v>106.57</c:v>
                </c:pt>
                <c:pt idx="167">
                  <c:v>694.91</c:v>
                </c:pt>
                <c:pt idx="168">
                  <c:v>107.95</c:v>
                </c:pt>
                <c:pt idx="169">
                  <c:v>57.34</c:v>
                </c:pt>
                <c:pt idx="170">
                  <c:v>182.33</c:v>
                </c:pt>
                <c:pt idx="171">
                  <c:v>80.23</c:v>
                </c:pt>
                <c:pt idx="172">
                  <c:v>28.66</c:v>
                </c:pt>
                <c:pt idx="173">
                  <c:v>3.42</c:v>
                </c:pt>
                <c:pt idx="174">
                  <c:v>10.96</c:v>
                </c:pt>
                <c:pt idx="175">
                  <c:v>1232.01</c:v>
                </c:pt>
                <c:pt idx="176">
                  <c:v>14.76</c:v>
                </c:pt>
                <c:pt idx="177">
                  <c:v>15224.63</c:v>
                </c:pt>
                <c:pt idx="178">
                  <c:v>538.64</c:v>
                </c:pt>
                <c:pt idx="179">
                  <c:v>996.45</c:v>
                </c:pt>
                <c:pt idx="180">
                  <c:v>386.61</c:v>
                </c:pt>
                <c:pt idx="181">
                  <c:v>17.62</c:v>
                </c:pt>
                <c:pt idx="182">
                  <c:v>875.85</c:v>
                </c:pt>
                <c:pt idx="183">
                  <c:v>56.71</c:v>
                </c:pt>
                <c:pt idx="184">
                  <c:v>303.58999999999997</c:v>
                </c:pt>
                <c:pt idx="185">
                  <c:v>219.64</c:v>
                </c:pt>
                <c:pt idx="186">
                  <c:v>125.9</c:v>
                </c:pt>
                <c:pt idx="187">
                  <c:v>535.08000000000004</c:v>
                </c:pt>
                <c:pt idx="188">
                  <c:v>2395.79</c:v>
                </c:pt>
                <c:pt idx="189">
                  <c:v>450.49</c:v>
                </c:pt>
                <c:pt idx="190">
                  <c:v>196.41</c:v>
                </c:pt>
                <c:pt idx="191">
                  <c:v>2117.31</c:v>
                </c:pt>
                <c:pt idx="192">
                  <c:v>28.130000000000003</c:v>
                </c:pt>
                <c:pt idx="193">
                  <c:v>4605.45</c:v>
                </c:pt>
                <c:pt idx="194">
                  <c:v>45</c:v>
                </c:pt>
                <c:pt idx="195">
                  <c:v>53.02</c:v>
                </c:pt>
                <c:pt idx="196">
                  <c:v>295.18</c:v>
                </c:pt>
                <c:pt idx="197">
                  <c:v>73.040000000000006</c:v>
                </c:pt>
                <c:pt idx="198">
                  <c:v>6270.61</c:v>
                </c:pt>
                <c:pt idx="199">
                  <c:v>64.48</c:v>
                </c:pt>
                <c:pt idx="200">
                  <c:v>467.17999999999995</c:v>
                </c:pt>
                <c:pt idx="201">
                  <c:v>3833.8500000000004</c:v>
                </c:pt>
                <c:pt idx="202">
                  <c:v>88.22</c:v>
                </c:pt>
                <c:pt idx="203">
                  <c:v>186.26</c:v>
                </c:pt>
                <c:pt idx="204">
                  <c:v>593.95000000000005</c:v>
                </c:pt>
                <c:pt idx="205">
                  <c:v>893.79000000000008</c:v>
                </c:pt>
                <c:pt idx="206">
                  <c:v>353.99</c:v>
                </c:pt>
                <c:pt idx="207">
                  <c:v>2547.96</c:v>
                </c:pt>
                <c:pt idx="208">
                  <c:v>11084.08</c:v>
                </c:pt>
                <c:pt idx="209">
                  <c:v>226.88</c:v>
                </c:pt>
                <c:pt idx="210">
                  <c:v>4935.22</c:v>
                </c:pt>
                <c:pt idx="211">
                  <c:v>2642.48</c:v>
                </c:pt>
                <c:pt idx="212">
                  <c:v>27.37</c:v>
                </c:pt>
                <c:pt idx="213">
                  <c:v>696.35</c:v>
                </c:pt>
                <c:pt idx="214">
                  <c:v>365.55</c:v>
                </c:pt>
                <c:pt idx="215">
                  <c:v>4410.1899999999996</c:v>
                </c:pt>
                <c:pt idx="216">
                  <c:v>7.15</c:v>
                </c:pt>
                <c:pt idx="217">
                  <c:v>472.07</c:v>
                </c:pt>
                <c:pt idx="218">
                  <c:v>448.47</c:v>
                </c:pt>
                <c:pt idx="219">
                  <c:v>202.38</c:v>
                </c:pt>
                <c:pt idx="220">
                  <c:v>394.51</c:v>
                </c:pt>
                <c:pt idx="221">
                  <c:v>364.42</c:v>
                </c:pt>
                <c:pt idx="222">
                  <c:v>769.53</c:v>
                </c:pt>
                <c:pt idx="223">
                  <c:v>612.25</c:v>
                </c:pt>
                <c:pt idx="224">
                  <c:v>27.96</c:v>
                </c:pt>
                <c:pt idx="225">
                  <c:v>7974.21</c:v>
                </c:pt>
                <c:pt idx="226">
                  <c:v>3702.4</c:v>
                </c:pt>
                <c:pt idx="227">
                  <c:v>411.64</c:v>
                </c:pt>
                <c:pt idx="228">
                  <c:v>19.29</c:v>
                </c:pt>
                <c:pt idx="229">
                  <c:v>1892.6</c:v>
                </c:pt>
                <c:pt idx="230">
                  <c:v>1219.1600000000001</c:v>
                </c:pt>
                <c:pt idx="231">
                  <c:v>1029.4099999999999</c:v>
                </c:pt>
                <c:pt idx="232">
                  <c:v>1081.54</c:v>
                </c:pt>
                <c:pt idx="233">
                  <c:v>1664.6100000000001</c:v>
                </c:pt>
                <c:pt idx="234">
                  <c:v>170.44</c:v>
                </c:pt>
                <c:pt idx="235">
                  <c:v>2215.2000000000003</c:v>
                </c:pt>
                <c:pt idx="236">
                  <c:v>47.4</c:v>
                </c:pt>
                <c:pt idx="237">
                  <c:v>13.05</c:v>
                </c:pt>
                <c:pt idx="238">
                  <c:v>1216.32</c:v>
                </c:pt>
                <c:pt idx="239">
                  <c:v>761.16</c:v>
                </c:pt>
                <c:pt idx="240">
                  <c:v>1782.44</c:v>
                </c:pt>
                <c:pt idx="241">
                  <c:v>3846.06</c:v>
                </c:pt>
                <c:pt idx="242">
                  <c:v>3282.2000000000003</c:v>
                </c:pt>
                <c:pt idx="243">
                  <c:v>66.319999999999993</c:v>
                </c:pt>
                <c:pt idx="244">
                  <c:v>108.99</c:v>
                </c:pt>
                <c:pt idx="245">
                  <c:v>6968.9</c:v>
                </c:pt>
                <c:pt idx="246">
                  <c:v>19.73</c:v>
                </c:pt>
                <c:pt idx="247">
                  <c:v>58.05</c:v>
                </c:pt>
                <c:pt idx="248">
                  <c:v>2665.54</c:v>
                </c:pt>
                <c:pt idx="249">
                  <c:v>1083.8999999999999</c:v>
                </c:pt>
                <c:pt idx="250">
                  <c:v>253.07999999999998</c:v>
                </c:pt>
                <c:pt idx="251">
                  <c:v>479.78000000000003</c:v>
                </c:pt>
                <c:pt idx="252">
                  <c:v>782</c:v>
                </c:pt>
                <c:pt idx="253">
                  <c:v>739.07</c:v>
                </c:pt>
                <c:pt idx="254">
                  <c:v>1858.04</c:v>
                </c:pt>
                <c:pt idx="255">
                  <c:v>13831.16</c:v>
                </c:pt>
                <c:pt idx="256">
                  <c:v>1414.13</c:v>
                </c:pt>
                <c:pt idx="257">
                  <c:v>264.95</c:v>
                </c:pt>
                <c:pt idx="258">
                  <c:v>3550.28</c:v>
                </c:pt>
                <c:pt idx="259">
                  <c:v>179.51</c:v>
                </c:pt>
                <c:pt idx="260">
                  <c:v>4973.5200000000004</c:v>
                </c:pt>
                <c:pt idx="261">
                  <c:v>72.11</c:v>
                </c:pt>
                <c:pt idx="262">
                  <c:v>462.39</c:v>
                </c:pt>
                <c:pt idx="263">
                  <c:v>153.87</c:v>
                </c:pt>
                <c:pt idx="264">
                  <c:v>89.91</c:v>
                </c:pt>
                <c:pt idx="265">
                  <c:v>675.83</c:v>
                </c:pt>
                <c:pt idx="266">
                  <c:v>829.96</c:v>
                </c:pt>
                <c:pt idx="267">
                  <c:v>26.07</c:v>
                </c:pt>
                <c:pt idx="268">
                  <c:v>199.43</c:v>
                </c:pt>
                <c:pt idx="269">
                  <c:v>361.49</c:v>
                </c:pt>
                <c:pt idx="270">
                  <c:v>1757.15</c:v>
                </c:pt>
                <c:pt idx="271">
                  <c:v>46.94</c:v>
                </c:pt>
                <c:pt idx="272">
                  <c:v>47.12</c:v>
                </c:pt>
                <c:pt idx="273">
                  <c:v>79.81</c:v>
                </c:pt>
                <c:pt idx="274">
                  <c:v>2026.91</c:v>
                </c:pt>
                <c:pt idx="275">
                  <c:v>8940.74</c:v>
                </c:pt>
                <c:pt idx="276">
                  <c:v>1924.66</c:v>
                </c:pt>
                <c:pt idx="277">
                  <c:v>1794.88</c:v>
                </c:pt>
                <c:pt idx="278">
                  <c:v>6058.09</c:v>
                </c:pt>
                <c:pt idx="279">
                  <c:v>1821.89</c:v>
                </c:pt>
                <c:pt idx="280">
                  <c:v>1013.84</c:v>
                </c:pt>
                <c:pt idx="281">
                  <c:v>4294.47</c:v>
                </c:pt>
                <c:pt idx="282">
                  <c:v>10.86</c:v>
                </c:pt>
                <c:pt idx="283">
                  <c:v>8.83</c:v>
                </c:pt>
                <c:pt idx="284">
                  <c:v>1326.3500000000001</c:v>
                </c:pt>
                <c:pt idx="285">
                  <c:v>7030.35</c:v>
                </c:pt>
                <c:pt idx="286">
                  <c:v>5835.41</c:v>
                </c:pt>
                <c:pt idx="287">
                  <c:v>69.739999999999995</c:v>
                </c:pt>
                <c:pt idx="288">
                  <c:v>175.3</c:v>
                </c:pt>
                <c:pt idx="289">
                  <c:v>75.17</c:v>
                </c:pt>
                <c:pt idx="290">
                  <c:v>8.77</c:v>
                </c:pt>
                <c:pt idx="291">
                  <c:v>81.14</c:v>
                </c:pt>
                <c:pt idx="292">
                  <c:v>26.38</c:v>
                </c:pt>
                <c:pt idx="293">
                  <c:v>80.58</c:v>
                </c:pt>
                <c:pt idx="294">
                  <c:v>25.31</c:v>
                </c:pt>
                <c:pt idx="295">
                  <c:v>169.68</c:v>
                </c:pt>
                <c:pt idx="296">
                  <c:v>229.57</c:v>
                </c:pt>
                <c:pt idx="297">
                  <c:v>832.97</c:v>
                </c:pt>
                <c:pt idx="298">
                  <c:v>3731.8399999999997</c:v>
                </c:pt>
                <c:pt idx="299">
                  <c:v>1784.34</c:v>
                </c:pt>
                <c:pt idx="300">
                  <c:v>903.55000000000007</c:v>
                </c:pt>
                <c:pt idx="301">
                  <c:v>12602.909999999998</c:v>
                </c:pt>
                <c:pt idx="302">
                  <c:v>1979.99</c:v>
                </c:pt>
                <c:pt idx="303">
                  <c:v>159.13</c:v>
                </c:pt>
                <c:pt idx="304">
                  <c:v>116.56</c:v>
                </c:pt>
                <c:pt idx="305">
                  <c:v>54.69</c:v>
                </c:pt>
                <c:pt idx="306">
                  <c:v>1225.5999999999999</c:v>
                </c:pt>
                <c:pt idx="307">
                  <c:v>326.02999999999997</c:v>
                </c:pt>
                <c:pt idx="308">
                  <c:v>120.34</c:v>
                </c:pt>
                <c:pt idx="309">
                  <c:v>44.24</c:v>
                </c:pt>
                <c:pt idx="310">
                  <c:v>1282.67</c:v>
                </c:pt>
                <c:pt idx="311">
                  <c:v>59.75</c:v>
                </c:pt>
                <c:pt idx="312">
                  <c:v>6.97</c:v>
                </c:pt>
                <c:pt idx="313">
                  <c:v>54.04</c:v>
                </c:pt>
                <c:pt idx="314">
                  <c:v>668.38</c:v>
                </c:pt>
                <c:pt idx="315">
                  <c:v>460.81</c:v>
                </c:pt>
                <c:pt idx="316">
                  <c:v>101.13</c:v>
                </c:pt>
                <c:pt idx="317">
                  <c:v>80.81</c:v>
                </c:pt>
                <c:pt idx="318">
                  <c:v>286.39999999999998</c:v>
                </c:pt>
                <c:pt idx="319">
                  <c:v>176.01</c:v>
                </c:pt>
                <c:pt idx="320">
                  <c:v>575.70000000000005</c:v>
                </c:pt>
                <c:pt idx="321">
                  <c:v>1370.99</c:v>
                </c:pt>
                <c:pt idx="322">
                  <c:v>522.22</c:v>
                </c:pt>
                <c:pt idx="323">
                  <c:v>20565.990000000002</c:v>
                </c:pt>
                <c:pt idx="324">
                  <c:v>553.39</c:v>
                </c:pt>
                <c:pt idx="325">
                  <c:v>1006.1300000000001</c:v>
                </c:pt>
                <c:pt idx="326">
                  <c:v>1068.5999999999999</c:v>
                </c:pt>
                <c:pt idx="327">
                  <c:v>1331.94</c:v>
                </c:pt>
                <c:pt idx="328">
                  <c:v>35.97</c:v>
                </c:pt>
                <c:pt idx="329">
                  <c:v>5399.94</c:v>
                </c:pt>
                <c:pt idx="330">
                  <c:v>417.71</c:v>
                </c:pt>
                <c:pt idx="331">
                  <c:v>1346.1799999999998</c:v>
                </c:pt>
                <c:pt idx="332">
                  <c:v>9036.0600000000013</c:v>
                </c:pt>
                <c:pt idx="333">
                  <c:v>285.87</c:v>
                </c:pt>
                <c:pt idx="334">
                  <c:v>8824.17</c:v>
                </c:pt>
                <c:pt idx="335">
                  <c:v>241.97</c:v>
                </c:pt>
                <c:pt idx="336">
                  <c:v>515.88</c:v>
                </c:pt>
                <c:pt idx="337">
                  <c:v>1818.41</c:v>
                </c:pt>
                <c:pt idx="338">
                  <c:v>1170.21</c:v>
                </c:pt>
                <c:pt idx="339">
                  <c:v>135.77000000000001</c:v>
                </c:pt>
                <c:pt idx="340">
                  <c:v>1829.25</c:v>
                </c:pt>
                <c:pt idx="341">
                  <c:v>80.86</c:v>
                </c:pt>
                <c:pt idx="342">
                  <c:v>746.03</c:v>
                </c:pt>
                <c:pt idx="343">
                  <c:v>135.78</c:v>
                </c:pt>
                <c:pt idx="344">
                  <c:v>172.64</c:v>
                </c:pt>
                <c:pt idx="345">
                  <c:v>125.37</c:v>
                </c:pt>
                <c:pt idx="346">
                  <c:v>4942.08</c:v>
                </c:pt>
                <c:pt idx="347">
                  <c:v>34.909999999999997</c:v>
                </c:pt>
                <c:pt idx="348">
                  <c:v>364.26</c:v>
                </c:pt>
                <c:pt idx="349">
                  <c:v>730.37</c:v>
                </c:pt>
                <c:pt idx="350">
                  <c:v>8.8000000000000007</c:v>
                </c:pt>
                <c:pt idx="351">
                  <c:v>137.76</c:v>
                </c:pt>
                <c:pt idx="352">
                  <c:v>981.22</c:v>
                </c:pt>
                <c:pt idx="353">
                  <c:v>11.41</c:v>
                </c:pt>
                <c:pt idx="354">
                  <c:v>116.92</c:v>
                </c:pt>
                <c:pt idx="355">
                  <c:v>381.91</c:v>
                </c:pt>
                <c:pt idx="356">
                  <c:v>17.420000000000002</c:v>
                </c:pt>
                <c:pt idx="357">
                  <c:v>558.16999999999996</c:v>
                </c:pt>
                <c:pt idx="358">
                  <c:v>1278.96</c:v>
                </c:pt>
                <c:pt idx="359">
                  <c:v>38.58</c:v>
                </c:pt>
                <c:pt idx="360">
                  <c:v>307.11</c:v>
                </c:pt>
                <c:pt idx="361">
                  <c:v>318.18</c:v>
                </c:pt>
                <c:pt idx="362">
                  <c:v>1847.4099999999999</c:v>
                </c:pt>
                <c:pt idx="363">
                  <c:v>723.54</c:v>
                </c:pt>
                <c:pt idx="364">
                  <c:v>157.78</c:v>
                </c:pt>
                <c:pt idx="365">
                  <c:v>2649.66</c:v>
                </c:pt>
                <c:pt idx="366">
                  <c:v>5218.7700000000004</c:v>
                </c:pt>
                <c:pt idx="367">
                  <c:v>723.76</c:v>
                </c:pt>
                <c:pt idx="368">
                  <c:v>2814.57</c:v>
                </c:pt>
                <c:pt idx="369">
                  <c:v>455.27</c:v>
                </c:pt>
                <c:pt idx="370">
                  <c:v>10671.060000000001</c:v>
                </c:pt>
                <c:pt idx="371">
                  <c:v>90.57</c:v>
                </c:pt>
                <c:pt idx="372">
                  <c:v>1656.77</c:v>
                </c:pt>
                <c:pt idx="373">
                  <c:v>32.4</c:v>
                </c:pt>
                <c:pt idx="374">
                  <c:v>40.69</c:v>
                </c:pt>
                <c:pt idx="375">
                  <c:v>2692.44</c:v>
                </c:pt>
                <c:pt idx="376">
                  <c:v>138.51</c:v>
                </c:pt>
                <c:pt idx="377">
                  <c:v>163.01</c:v>
                </c:pt>
                <c:pt idx="378">
                  <c:v>38.54</c:v>
                </c:pt>
                <c:pt idx="379">
                  <c:v>429.33</c:v>
                </c:pt>
                <c:pt idx="380">
                  <c:v>491.21</c:v>
                </c:pt>
                <c:pt idx="381">
                  <c:v>57.41</c:v>
                </c:pt>
                <c:pt idx="382">
                  <c:v>28.01</c:v>
                </c:pt>
                <c:pt idx="383">
                  <c:v>945.36</c:v>
                </c:pt>
                <c:pt idx="384">
                  <c:v>4482.9400000000005</c:v>
                </c:pt>
                <c:pt idx="385">
                  <c:v>31.71</c:v>
                </c:pt>
                <c:pt idx="386">
                  <c:v>280.62</c:v>
                </c:pt>
                <c:pt idx="387">
                  <c:v>1300.31</c:v>
                </c:pt>
                <c:pt idx="388">
                  <c:v>1978.3000000000002</c:v>
                </c:pt>
                <c:pt idx="389">
                  <c:v>3741.39</c:v>
                </c:pt>
                <c:pt idx="390">
                  <c:v>5665.6900000000005</c:v>
                </c:pt>
                <c:pt idx="391">
                  <c:v>1280.26</c:v>
                </c:pt>
                <c:pt idx="392">
                  <c:v>270.81</c:v>
                </c:pt>
                <c:pt idx="393">
                  <c:v>73.959999999999994</c:v>
                </c:pt>
                <c:pt idx="394">
                  <c:v>84.6</c:v>
                </c:pt>
                <c:pt idx="395">
                  <c:v>32.6</c:v>
                </c:pt>
                <c:pt idx="396">
                  <c:v>370.1</c:v>
                </c:pt>
                <c:pt idx="397">
                  <c:v>5665.09</c:v>
                </c:pt>
                <c:pt idx="398">
                  <c:v>1350.94</c:v>
                </c:pt>
                <c:pt idx="399">
                  <c:v>2013.67</c:v>
                </c:pt>
                <c:pt idx="400">
                  <c:v>638.07000000000005</c:v>
                </c:pt>
                <c:pt idx="401">
                  <c:v>1786.04</c:v>
                </c:pt>
                <c:pt idx="402">
                  <c:v>242.32999999999998</c:v>
                </c:pt>
                <c:pt idx="403">
                  <c:v>227.79</c:v>
                </c:pt>
                <c:pt idx="404">
                  <c:v>646.88</c:v>
                </c:pt>
                <c:pt idx="405">
                  <c:v>2233.46</c:v>
                </c:pt>
                <c:pt idx="406">
                  <c:v>174.45999999999998</c:v>
                </c:pt>
                <c:pt idx="407">
                  <c:v>68.64</c:v>
                </c:pt>
                <c:pt idx="408">
                  <c:v>54.78</c:v>
                </c:pt>
                <c:pt idx="409">
                  <c:v>233.58</c:v>
                </c:pt>
                <c:pt idx="410">
                  <c:v>1214.93</c:v>
                </c:pt>
                <c:pt idx="411">
                  <c:v>674.39</c:v>
                </c:pt>
                <c:pt idx="412">
                  <c:v>168.04</c:v>
                </c:pt>
                <c:pt idx="413">
                  <c:v>327.61</c:v>
                </c:pt>
                <c:pt idx="414">
                  <c:v>564.25</c:v>
                </c:pt>
                <c:pt idx="415">
                  <c:v>1536.48</c:v>
                </c:pt>
                <c:pt idx="416">
                  <c:v>1952.43</c:v>
                </c:pt>
                <c:pt idx="417">
                  <c:v>7303.05</c:v>
                </c:pt>
                <c:pt idx="418">
                  <c:v>2722.43</c:v>
                </c:pt>
                <c:pt idx="419">
                  <c:v>54.98</c:v>
                </c:pt>
                <c:pt idx="420">
                  <c:v>54.08</c:v>
                </c:pt>
                <c:pt idx="421">
                  <c:v>566.66</c:v>
                </c:pt>
                <c:pt idx="422">
                  <c:v>3761.88</c:v>
                </c:pt>
                <c:pt idx="423">
                  <c:v>948.97</c:v>
                </c:pt>
                <c:pt idx="424">
                  <c:v>31.46</c:v>
                </c:pt>
                <c:pt idx="425">
                  <c:v>577.75</c:v>
                </c:pt>
                <c:pt idx="426">
                  <c:v>193.81</c:v>
                </c:pt>
                <c:pt idx="427">
                  <c:v>620.45000000000005</c:v>
                </c:pt>
                <c:pt idx="428">
                  <c:v>1768.58</c:v>
                </c:pt>
                <c:pt idx="429">
                  <c:v>1149.26</c:v>
                </c:pt>
                <c:pt idx="430">
                  <c:v>151.46</c:v>
                </c:pt>
                <c:pt idx="431">
                  <c:v>10818.98</c:v>
                </c:pt>
                <c:pt idx="432">
                  <c:v>57.37</c:v>
                </c:pt>
                <c:pt idx="433">
                  <c:v>188.08</c:v>
                </c:pt>
                <c:pt idx="434">
                  <c:v>1554.91</c:v>
                </c:pt>
                <c:pt idx="435">
                  <c:v>92.57</c:v>
                </c:pt>
                <c:pt idx="436">
                  <c:v>2477.46</c:v>
                </c:pt>
                <c:pt idx="437">
                  <c:v>28</c:v>
                </c:pt>
                <c:pt idx="438">
                  <c:v>261.33999999999997</c:v>
                </c:pt>
                <c:pt idx="439">
                  <c:v>129.54</c:v>
                </c:pt>
                <c:pt idx="440">
                  <c:v>99.92</c:v>
                </c:pt>
                <c:pt idx="441">
                  <c:v>477.2</c:v>
                </c:pt>
                <c:pt idx="442">
                  <c:v>205.98</c:v>
                </c:pt>
                <c:pt idx="443">
                  <c:v>175.51</c:v>
                </c:pt>
                <c:pt idx="444">
                  <c:v>34.64</c:v>
                </c:pt>
                <c:pt idx="445">
                  <c:v>790.56000000000006</c:v>
                </c:pt>
                <c:pt idx="446">
                  <c:v>8412.6200000000008</c:v>
                </c:pt>
                <c:pt idx="447">
                  <c:v>2498.1999999999998</c:v>
                </c:pt>
                <c:pt idx="448">
                  <c:v>41.29</c:v>
                </c:pt>
                <c:pt idx="449">
                  <c:v>56.24</c:v>
                </c:pt>
                <c:pt idx="450">
                  <c:v>680.58</c:v>
                </c:pt>
                <c:pt idx="451">
                  <c:v>57.14</c:v>
                </c:pt>
                <c:pt idx="452">
                  <c:v>1932.11</c:v>
                </c:pt>
                <c:pt idx="453">
                  <c:v>345.07</c:v>
                </c:pt>
                <c:pt idx="454">
                  <c:v>7029.1</c:v>
                </c:pt>
                <c:pt idx="455">
                  <c:v>606.51</c:v>
                </c:pt>
                <c:pt idx="456">
                  <c:v>1458.67</c:v>
                </c:pt>
                <c:pt idx="457">
                  <c:v>69.89</c:v>
                </c:pt>
                <c:pt idx="458">
                  <c:v>73.97</c:v>
                </c:pt>
                <c:pt idx="459">
                  <c:v>229.44</c:v>
                </c:pt>
                <c:pt idx="460">
                  <c:v>125.85999999999999</c:v>
                </c:pt>
                <c:pt idx="461">
                  <c:v>6614.07</c:v>
                </c:pt>
                <c:pt idx="462">
                  <c:v>79.02</c:v>
                </c:pt>
                <c:pt idx="463">
                  <c:v>1240.81</c:v>
                </c:pt>
                <c:pt idx="464">
                  <c:v>61.5</c:v>
                </c:pt>
                <c:pt idx="465">
                  <c:v>2154</c:v>
                </c:pt>
                <c:pt idx="466">
                  <c:v>1788.1799999999998</c:v>
                </c:pt>
                <c:pt idx="467">
                  <c:v>627.78</c:v>
                </c:pt>
                <c:pt idx="468">
                  <c:v>277.07</c:v>
                </c:pt>
                <c:pt idx="469">
                  <c:v>14.66</c:v>
                </c:pt>
                <c:pt idx="470">
                  <c:v>7106.7199999999993</c:v>
                </c:pt>
                <c:pt idx="471">
                  <c:v>2259.9899999999998</c:v>
                </c:pt>
                <c:pt idx="472">
                  <c:v>76.23</c:v>
                </c:pt>
                <c:pt idx="473">
                  <c:v>3772.19</c:v>
                </c:pt>
                <c:pt idx="474">
                  <c:v>100.11</c:v>
                </c:pt>
                <c:pt idx="475">
                  <c:v>76.900000000000006</c:v>
                </c:pt>
                <c:pt idx="476">
                  <c:v>522.15</c:v>
                </c:pt>
                <c:pt idx="477">
                  <c:v>267.83</c:v>
                </c:pt>
                <c:pt idx="478">
                  <c:v>10180.01</c:v>
                </c:pt>
                <c:pt idx="479">
                  <c:v>276.64</c:v>
                </c:pt>
                <c:pt idx="480">
                  <c:v>26.18</c:v>
                </c:pt>
                <c:pt idx="481">
                  <c:v>11075.970000000001</c:v>
                </c:pt>
                <c:pt idx="482">
                  <c:v>765.22</c:v>
                </c:pt>
                <c:pt idx="483">
                  <c:v>410.17</c:v>
                </c:pt>
                <c:pt idx="484">
                  <c:v>157.33000000000001</c:v>
                </c:pt>
                <c:pt idx="485">
                  <c:v>1377.46</c:v>
                </c:pt>
                <c:pt idx="486">
                  <c:v>336.64</c:v>
                </c:pt>
                <c:pt idx="487">
                  <c:v>599.03</c:v>
                </c:pt>
                <c:pt idx="488">
                  <c:v>584.07999999999993</c:v>
                </c:pt>
                <c:pt idx="489">
                  <c:v>55.08</c:v>
                </c:pt>
                <c:pt idx="490">
                  <c:v>464.94</c:v>
                </c:pt>
                <c:pt idx="491">
                  <c:v>8066.13</c:v>
                </c:pt>
                <c:pt idx="492">
                  <c:v>406.03000000000003</c:v>
                </c:pt>
                <c:pt idx="493">
                  <c:v>136.99</c:v>
                </c:pt>
                <c:pt idx="494">
                  <c:v>429.82</c:v>
                </c:pt>
                <c:pt idx="495">
                  <c:v>98.96</c:v>
                </c:pt>
                <c:pt idx="496">
                  <c:v>823.96</c:v>
                </c:pt>
                <c:pt idx="497">
                  <c:v>40.869999999999997</c:v>
                </c:pt>
                <c:pt idx="498">
                  <c:v>7435.77</c:v>
                </c:pt>
                <c:pt idx="499">
                  <c:v>41.96</c:v>
                </c:pt>
                <c:pt idx="500">
                  <c:v>39.15</c:v>
                </c:pt>
                <c:pt idx="501">
                  <c:v>598.38</c:v>
                </c:pt>
                <c:pt idx="502">
                  <c:v>1257.76</c:v>
                </c:pt>
                <c:pt idx="503">
                  <c:v>211.14999999999998</c:v>
                </c:pt>
                <c:pt idx="504">
                  <c:v>403.25</c:v>
                </c:pt>
                <c:pt idx="505">
                  <c:v>2239.0300000000002</c:v>
                </c:pt>
                <c:pt idx="506">
                  <c:v>231.79</c:v>
                </c:pt>
                <c:pt idx="507">
                  <c:v>8868.9800000000014</c:v>
                </c:pt>
                <c:pt idx="508">
                  <c:v>284.33999999999997</c:v>
                </c:pt>
                <c:pt idx="509">
                  <c:v>86.12</c:v>
                </c:pt>
                <c:pt idx="510">
                  <c:v>2198.56</c:v>
                </c:pt>
                <c:pt idx="511">
                  <c:v>385.45</c:v>
                </c:pt>
                <c:pt idx="512">
                  <c:v>1067.0999999999999</c:v>
                </c:pt>
                <c:pt idx="513">
                  <c:v>2044.9</c:v>
                </c:pt>
                <c:pt idx="514">
                  <c:v>144.33000000000001</c:v>
                </c:pt>
                <c:pt idx="515">
                  <c:v>596.49999999999989</c:v>
                </c:pt>
                <c:pt idx="516">
                  <c:v>759.88</c:v>
                </c:pt>
                <c:pt idx="517">
                  <c:v>1072.19</c:v>
                </c:pt>
                <c:pt idx="518">
                  <c:v>86.8</c:v>
                </c:pt>
                <c:pt idx="519">
                  <c:v>10608.119999999999</c:v>
                </c:pt>
                <c:pt idx="520">
                  <c:v>110.72</c:v>
                </c:pt>
                <c:pt idx="521">
                  <c:v>2940.62</c:v>
                </c:pt>
                <c:pt idx="522">
                  <c:v>1845.23</c:v>
                </c:pt>
                <c:pt idx="523">
                  <c:v>159.53</c:v>
                </c:pt>
                <c:pt idx="524">
                  <c:v>20.37</c:v>
                </c:pt>
                <c:pt idx="525">
                  <c:v>11015.82</c:v>
                </c:pt>
                <c:pt idx="526">
                  <c:v>885.65</c:v>
                </c:pt>
                <c:pt idx="527">
                  <c:v>88.84</c:v>
                </c:pt>
                <c:pt idx="528">
                  <c:v>1039.48</c:v>
                </c:pt>
                <c:pt idx="529">
                  <c:v>28.22</c:v>
                </c:pt>
                <c:pt idx="530">
                  <c:v>39.36</c:v>
                </c:pt>
                <c:pt idx="531">
                  <c:v>4845.2700000000004</c:v>
                </c:pt>
                <c:pt idx="532">
                  <c:v>36.72</c:v>
                </c:pt>
                <c:pt idx="533">
                  <c:v>472.19</c:v>
                </c:pt>
                <c:pt idx="534">
                  <c:v>84.04</c:v>
                </c:pt>
                <c:pt idx="535">
                  <c:v>428.05</c:v>
                </c:pt>
                <c:pt idx="536">
                  <c:v>257.52</c:v>
                </c:pt>
                <c:pt idx="537">
                  <c:v>2629.15</c:v>
                </c:pt>
                <c:pt idx="538">
                  <c:v>288.67</c:v>
                </c:pt>
                <c:pt idx="539">
                  <c:v>87.89</c:v>
                </c:pt>
                <c:pt idx="540">
                  <c:v>63.73</c:v>
                </c:pt>
                <c:pt idx="541">
                  <c:v>3452.47</c:v>
                </c:pt>
                <c:pt idx="542">
                  <c:v>2425.2400000000002</c:v>
                </c:pt>
                <c:pt idx="543">
                  <c:v>68.34</c:v>
                </c:pt>
                <c:pt idx="544">
                  <c:v>3761.6899999999996</c:v>
                </c:pt>
                <c:pt idx="545">
                  <c:v>33.950000000000003</c:v>
                </c:pt>
                <c:pt idx="546">
                  <c:v>88.64</c:v>
                </c:pt>
                <c:pt idx="547">
                  <c:v>512.91000000000008</c:v>
                </c:pt>
                <c:pt idx="548">
                  <c:v>74.680000000000007</c:v>
                </c:pt>
                <c:pt idx="549">
                  <c:v>2337.81</c:v>
                </c:pt>
                <c:pt idx="550">
                  <c:v>114.81</c:v>
                </c:pt>
                <c:pt idx="551">
                  <c:v>1495.8799999999999</c:v>
                </c:pt>
                <c:pt idx="552">
                  <c:v>260</c:v>
                </c:pt>
                <c:pt idx="553">
                  <c:v>1897.41</c:v>
                </c:pt>
                <c:pt idx="554">
                  <c:v>14.85</c:v>
                </c:pt>
                <c:pt idx="555">
                  <c:v>25.35</c:v>
                </c:pt>
                <c:pt idx="556">
                  <c:v>593.33000000000004</c:v>
                </c:pt>
                <c:pt idx="557">
                  <c:v>8332.91</c:v>
                </c:pt>
                <c:pt idx="558">
                  <c:v>302.01</c:v>
                </c:pt>
                <c:pt idx="559">
                  <c:v>96.86</c:v>
                </c:pt>
                <c:pt idx="560">
                  <c:v>4568.8999999999996</c:v>
                </c:pt>
                <c:pt idx="561">
                  <c:v>510.46000000000004</c:v>
                </c:pt>
                <c:pt idx="562">
                  <c:v>2498.7399999999998</c:v>
                </c:pt>
                <c:pt idx="563">
                  <c:v>72.760000000000005</c:v>
                </c:pt>
                <c:pt idx="564">
                  <c:v>1178.32</c:v>
                </c:pt>
                <c:pt idx="565">
                  <c:v>158.13</c:v>
                </c:pt>
                <c:pt idx="566">
                  <c:v>746.91</c:v>
                </c:pt>
                <c:pt idx="567">
                  <c:v>227.45999999999998</c:v>
                </c:pt>
                <c:pt idx="568">
                  <c:v>134.09</c:v>
                </c:pt>
                <c:pt idx="569">
                  <c:v>2819.41</c:v>
                </c:pt>
                <c:pt idx="570">
                  <c:v>39.26</c:v>
                </c:pt>
                <c:pt idx="571">
                  <c:v>922.37</c:v>
                </c:pt>
                <c:pt idx="572">
                  <c:v>39.17</c:v>
                </c:pt>
                <c:pt idx="573">
                  <c:v>334.1</c:v>
                </c:pt>
                <c:pt idx="574">
                  <c:v>199.79999999999998</c:v>
                </c:pt>
                <c:pt idx="575">
                  <c:v>207.12</c:v>
                </c:pt>
                <c:pt idx="576">
                  <c:v>348.23999999999995</c:v>
                </c:pt>
                <c:pt idx="577">
                  <c:v>65.739999999999995</c:v>
                </c:pt>
                <c:pt idx="578">
                  <c:v>282.38</c:v>
                </c:pt>
                <c:pt idx="579">
                  <c:v>362.22</c:v>
                </c:pt>
                <c:pt idx="580">
                  <c:v>1483.16</c:v>
                </c:pt>
                <c:pt idx="581">
                  <c:v>229.28</c:v>
                </c:pt>
                <c:pt idx="582">
                  <c:v>495.82</c:v>
                </c:pt>
                <c:pt idx="583">
                  <c:v>578.24</c:v>
                </c:pt>
                <c:pt idx="584">
                  <c:v>45.05</c:v>
                </c:pt>
                <c:pt idx="585">
                  <c:v>17.64</c:v>
                </c:pt>
                <c:pt idx="586">
                  <c:v>47.04</c:v>
                </c:pt>
                <c:pt idx="587">
                  <c:v>974.14</c:v>
                </c:pt>
                <c:pt idx="588">
                  <c:v>162.49</c:v>
                </c:pt>
                <c:pt idx="589">
                  <c:v>6631.28</c:v>
                </c:pt>
                <c:pt idx="590">
                  <c:v>464.86</c:v>
                </c:pt>
                <c:pt idx="591">
                  <c:v>38.65</c:v>
                </c:pt>
                <c:pt idx="592">
                  <c:v>11542.68</c:v>
                </c:pt>
                <c:pt idx="593">
                  <c:v>253.92000000000002</c:v>
                </c:pt>
                <c:pt idx="594">
                  <c:v>8229.48</c:v>
                </c:pt>
                <c:pt idx="595">
                  <c:v>153.61000000000001</c:v>
                </c:pt>
                <c:pt idx="596">
                  <c:v>163.76</c:v>
                </c:pt>
                <c:pt idx="597">
                  <c:v>79.61</c:v>
                </c:pt>
                <c:pt idx="598">
                  <c:v>166.59</c:v>
                </c:pt>
                <c:pt idx="599">
                  <c:v>66.739999999999995</c:v>
                </c:pt>
                <c:pt idx="600">
                  <c:v>765.65</c:v>
                </c:pt>
                <c:pt idx="601">
                  <c:v>709.7</c:v>
                </c:pt>
                <c:pt idx="602">
                  <c:v>312.75</c:v>
                </c:pt>
                <c:pt idx="603">
                  <c:v>100.59</c:v>
                </c:pt>
                <c:pt idx="604">
                  <c:v>2834.91</c:v>
                </c:pt>
                <c:pt idx="605">
                  <c:v>1738.13</c:v>
                </c:pt>
                <c:pt idx="606">
                  <c:v>3031.73</c:v>
                </c:pt>
                <c:pt idx="607">
                  <c:v>272.86</c:v>
                </c:pt>
                <c:pt idx="608">
                  <c:v>237.83</c:v>
                </c:pt>
                <c:pt idx="609">
                  <c:v>2188.16</c:v>
                </c:pt>
                <c:pt idx="610">
                  <c:v>272.86</c:v>
                </c:pt>
                <c:pt idx="611">
                  <c:v>88.85</c:v>
                </c:pt>
                <c:pt idx="612">
                  <c:v>536.29</c:v>
                </c:pt>
                <c:pt idx="613">
                  <c:v>56.19</c:v>
                </c:pt>
                <c:pt idx="614">
                  <c:v>5768.4900000000007</c:v>
                </c:pt>
                <c:pt idx="615">
                  <c:v>51.02</c:v>
                </c:pt>
                <c:pt idx="616">
                  <c:v>447.59000000000003</c:v>
                </c:pt>
                <c:pt idx="617">
                  <c:v>6963.67</c:v>
                </c:pt>
                <c:pt idx="618">
                  <c:v>1218.26</c:v>
                </c:pt>
                <c:pt idx="619">
                  <c:v>341.79</c:v>
                </c:pt>
                <c:pt idx="620">
                  <c:v>50475.31</c:v>
                </c:pt>
                <c:pt idx="621">
                  <c:v>3272.49</c:v>
                </c:pt>
                <c:pt idx="622">
                  <c:v>3108.68</c:v>
                </c:pt>
                <c:pt idx="623">
                  <c:v>55.97</c:v>
                </c:pt>
                <c:pt idx="624">
                  <c:v>6392.5</c:v>
                </c:pt>
                <c:pt idx="625">
                  <c:v>21.46</c:v>
                </c:pt>
                <c:pt idx="626">
                  <c:v>514.79</c:v>
                </c:pt>
                <c:pt idx="627">
                  <c:v>115.53</c:v>
                </c:pt>
                <c:pt idx="628">
                  <c:v>132.31</c:v>
                </c:pt>
                <c:pt idx="629">
                  <c:v>1569.19</c:v>
                </c:pt>
                <c:pt idx="630">
                  <c:v>300.67</c:v>
                </c:pt>
                <c:pt idx="631">
                  <c:v>44.75</c:v>
                </c:pt>
                <c:pt idx="632">
                  <c:v>253.78</c:v>
                </c:pt>
                <c:pt idx="633">
                  <c:v>395.43</c:v>
                </c:pt>
                <c:pt idx="634">
                  <c:v>931.87</c:v>
                </c:pt>
                <c:pt idx="635">
                  <c:v>455.77</c:v>
                </c:pt>
                <c:pt idx="636">
                  <c:v>1733.91</c:v>
                </c:pt>
                <c:pt idx="637">
                  <c:v>2005.18</c:v>
                </c:pt>
                <c:pt idx="638">
                  <c:v>520.22</c:v>
                </c:pt>
                <c:pt idx="639">
                  <c:v>24.57</c:v>
                </c:pt>
                <c:pt idx="640">
                  <c:v>83.14</c:v>
                </c:pt>
                <c:pt idx="641">
                  <c:v>1421.69</c:v>
                </c:pt>
                <c:pt idx="642">
                  <c:v>7443.2</c:v>
                </c:pt>
                <c:pt idx="643">
                  <c:v>50.83</c:v>
                </c:pt>
                <c:pt idx="644">
                  <c:v>21.41</c:v>
                </c:pt>
                <c:pt idx="645">
                  <c:v>3596.03</c:v>
                </c:pt>
                <c:pt idx="646">
                  <c:v>1358.1599999999999</c:v>
                </c:pt>
                <c:pt idx="647">
                  <c:v>20640.349999999999</c:v>
                </c:pt>
                <c:pt idx="648">
                  <c:v>9801.2999999999993</c:v>
                </c:pt>
                <c:pt idx="649">
                  <c:v>190.85</c:v>
                </c:pt>
                <c:pt idx="650">
                  <c:v>203.29</c:v>
                </c:pt>
                <c:pt idx="651">
                  <c:v>426.77</c:v>
                </c:pt>
                <c:pt idx="652">
                  <c:v>45.24</c:v>
                </c:pt>
                <c:pt idx="653">
                  <c:v>48.33</c:v>
                </c:pt>
                <c:pt idx="654">
                  <c:v>12599.55</c:v>
                </c:pt>
                <c:pt idx="655">
                  <c:v>139.49</c:v>
                </c:pt>
                <c:pt idx="656">
                  <c:v>869.53</c:v>
                </c:pt>
                <c:pt idx="657">
                  <c:v>58.5</c:v>
                </c:pt>
                <c:pt idx="658">
                  <c:v>51.83</c:v>
                </c:pt>
                <c:pt idx="659">
                  <c:v>51.03</c:v>
                </c:pt>
                <c:pt idx="660">
                  <c:v>2181.6999999999998</c:v>
                </c:pt>
                <c:pt idx="661">
                  <c:v>212.89000000000001</c:v>
                </c:pt>
                <c:pt idx="662">
                  <c:v>200.61</c:v>
                </c:pt>
                <c:pt idx="663">
                  <c:v>771.3900000000001</c:v>
                </c:pt>
                <c:pt idx="664">
                  <c:v>1429.81</c:v>
                </c:pt>
                <c:pt idx="665">
                  <c:v>5374.83</c:v>
                </c:pt>
                <c:pt idx="666">
                  <c:v>237.8</c:v>
                </c:pt>
                <c:pt idx="667">
                  <c:v>261.56</c:v>
                </c:pt>
                <c:pt idx="668">
                  <c:v>528.24</c:v>
                </c:pt>
                <c:pt idx="669">
                  <c:v>66.319999999999993</c:v>
                </c:pt>
                <c:pt idx="670">
                  <c:v>5368.34</c:v>
                </c:pt>
                <c:pt idx="671">
                  <c:v>5781.91</c:v>
                </c:pt>
                <c:pt idx="672">
                  <c:v>474.32</c:v>
                </c:pt>
                <c:pt idx="673">
                  <c:v>203.05</c:v>
                </c:pt>
                <c:pt idx="674">
                  <c:v>1191.54</c:v>
                </c:pt>
                <c:pt idx="675">
                  <c:v>252.18</c:v>
                </c:pt>
                <c:pt idx="676">
                  <c:v>627.19000000000005</c:v>
                </c:pt>
                <c:pt idx="677">
                  <c:v>962.6099999999999</c:v>
                </c:pt>
                <c:pt idx="678">
                  <c:v>331.37</c:v>
                </c:pt>
                <c:pt idx="679">
                  <c:v>6938.19</c:v>
                </c:pt>
                <c:pt idx="680">
                  <c:v>1735.19</c:v>
                </c:pt>
                <c:pt idx="681">
                  <c:v>164.71</c:v>
                </c:pt>
                <c:pt idx="682">
                  <c:v>72.83</c:v>
                </c:pt>
                <c:pt idx="683">
                  <c:v>2441.27</c:v>
                </c:pt>
                <c:pt idx="684">
                  <c:v>8910.7400000000016</c:v>
                </c:pt>
                <c:pt idx="685">
                  <c:v>1769.91</c:v>
                </c:pt>
                <c:pt idx="686">
                  <c:v>291.49</c:v>
                </c:pt>
                <c:pt idx="687">
                  <c:v>493.7</c:v>
                </c:pt>
                <c:pt idx="688">
                  <c:v>627.04</c:v>
                </c:pt>
                <c:pt idx="689">
                  <c:v>11568.51</c:v>
                </c:pt>
                <c:pt idx="690">
                  <c:v>32.76</c:v>
                </c:pt>
                <c:pt idx="691">
                  <c:v>144.03</c:v>
                </c:pt>
                <c:pt idx="692">
                  <c:v>515.39</c:v>
                </c:pt>
                <c:pt idx="693">
                  <c:v>35.93</c:v>
                </c:pt>
                <c:pt idx="694">
                  <c:v>8.3000000000000007</c:v>
                </c:pt>
                <c:pt idx="695">
                  <c:v>8226.0300000000007</c:v>
                </c:pt>
                <c:pt idx="696">
                  <c:v>761.42</c:v>
                </c:pt>
                <c:pt idx="697">
                  <c:v>305.70999999999998</c:v>
                </c:pt>
                <c:pt idx="698">
                  <c:v>419.99</c:v>
                </c:pt>
                <c:pt idx="699">
                  <c:v>432.44</c:v>
                </c:pt>
                <c:pt idx="700">
                  <c:v>111.86</c:v>
                </c:pt>
                <c:pt idx="701">
                  <c:v>105.36</c:v>
                </c:pt>
                <c:pt idx="702">
                  <c:v>593.79999999999995</c:v>
                </c:pt>
                <c:pt idx="703">
                  <c:v>19.670000000000002</c:v>
                </c:pt>
                <c:pt idx="704">
                  <c:v>1452.18</c:v>
                </c:pt>
                <c:pt idx="705">
                  <c:v>99.75</c:v>
                </c:pt>
                <c:pt idx="706">
                  <c:v>582.20000000000005</c:v>
                </c:pt>
                <c:pt idx="707">
                  <c:v>269.33</c:v>
                </c:pt>
                <c:pt idx="708">
                  <c:v>192.49</c:v>
                </c:pt>
                <c:pt idx="709">
                  <c:v>42.02</c:v>
                </c:pt>
                <c:pt idx="710">
                  <c:v>1033.56</c:v>
                </c:pt>
                <c:pt idx="711">
                  <c:v>3837.6499999999996</c:v>
                </c:pt>
                <c:pt idx="712">
                  <c:v>1132.8399999999999</c:v>
                </c:pt>
                <c:pt idx="713">
                  <c:v>38.81</c:v>
                </c:pt>
                <c:pt idx="714">
                  <c:v>1095.1600000000001</c:v>
                </c:pt>
                <c:pt idx="715">
                  <c:v>1424.32</c:v>
                </c:pt>
                <c:pt idx="716">
                  <c:v>211.15</c:v>
                </c:pt>
                <c:pt idx="717">
                  <c:v>64.400000000000006</c:v>
                </c:pt>
                <c:pt idx="718">
                  <c:v>1764.1499999999999</c:v>
                </c:pt>
                <c:pt idx="719">
                  <c:v>2730.34</c:v>
                </c:pt>
                <c:pt idx="720">
                  <c:v>8.66</c:v>
                </c:pt>
                <c:pt idx="721">
                  <c:v>143.63</c:v>
                </c:pt>
                <c:pt idx="722">
                  <c:v>6499.1500000000005</c:v>
                </c:pt>
                <c:pt idx="723">
                  <c:v>260.66000000000003</c:v>
                </c:pt>
                <c:pt idx="724">
                  <c:v>14.2</c:v>
                </c:pt>
                <c:pt idx="725">
                  <c:v>93.82</c:v>
                </c:pt>
                <c:pt idx="726">
                  <c:v>72.75</c:v>
                </c:pt>
                <c:pt idx="727">
                  <c:v>4036.04</c:v>
                </c:pt>
                <c:pt idx="728">
                  <c:v>380</c:v>
                </c:pt>
                <c:pt idx="729">
                  <c:v>33.35</c:v>
                </c:pt>
                <c:pt idx="730">
                  <c:v>2900.01</c:v>
                </c:pt>
                <c:pt idx="731">
                  <c:v>473.53</c:v>
                </c:pt>
                <c:pt idx="732">
                  <c:v>499.31</c:v>
                </c:pt>
                <c:pt idx="733">
                  <c:v>615.54</c:v>
                </c:pt>
                <c:pt idx="734">
                  <c:v>364.92</c:v>
                </c:pt>
                <c:pt idx="735">
                  <c:v>27.76</c:v>
                </c:pt>
                <c:pt idx="736">
                  <c:v>199.76</c:v>
                </c:pt>
                <c:pt idx="737">
                  <c:v>25.06</c:v>
                </c:pt>
                <c:pt idx="738">
                  <c:v>431.43</c:v>
                </c:pt>
                <c:pt idx="739">
                  <c:v>74.23</c:v>
                </c:pt>
                <c:pt idx="740">
                  <c:v>298.51</c:v>
                </c:pt>
                <c:pt idx="741">
                  <c:v>269.54000000000002</c:v>
                </c:pt>
                <c:pt idx="742">
                  <c:v>24.44</c:v>
                </c:pt>
                <c:pt idx="743">
                  <c:v>2815.5299999999997</c:v>
                </c:pt>
                <c:pt idx="744">
                  <c:v>35.479999999999997</c:v>
                </c:pt>
                <c:pt idx="745">
                  <c:v>1619.5300000000002</c:v>
                </c:pt>
                <c:pt idx="746">
                  <c:v>200.51</c:v>
                </c:pt>
                <c:pt idx="747">
                  <c:v>2210.8299999999995</c:v>
                </c:pt>
                <c:pt idx="748">
                  <c:v>320.75</c:v>
                </c:pt>
                <c:pt idx="749">
                  <c:v>53.3</c:v>
                </c:pt>
                <c:pt idx="750">
                  <c:v>307.64999999999998</c:v>
                </c:pt>
                <c:pt idx="751">
                  <c:v>7.2</c:v>
                </c:pt>
                <c:pt idx="752">
                  <c:v>5775.74</c:v>
                </c:pt>
                <c:pt idx="753">
                  <c:v>59.98</c:v>
                </c:pt>
                <c:pt idx="754">
                  <c:v>214.14</c:v>
                </c:pt>
                <c:pt idx="755">
                  <c:v>1263.3499999999999</c:v>
                </c:pt>
                <c:pt idx="756">
                  <c:v>302.33999999999997</c:v>
                </c:pt>
                <c:pt idx="757">
                  <c:v>511.42</c:v>
                </c:pt>
                <c:pt idx="758">
                  <c:v>353.1</c:v>
                </c:pt>
                <c:pt idx="759">
                  <c:v>5086.54</c:v>
                </c:pt>
                <c:pt idx="760">
                  <c:v>8.9499999999999993</c:v>
                </c:pt>
                <c:pt idx="761">
                  <c:v>4192.66</c:v>
                </c:pt>
                <c:pt idx="762">
                  <c:v>54.54</c:v>
                </c:pt>
                <c:pt idx="763">
                  <c:v>97.96</c:v>
                </c:pt>
                <c:pt idx="764">
                  <c:v>738.94</c:v>
                </c:pt>
                <c:pt idx="765">
                  <c:v>99.75</c:v>
                </c:pt>
                <c:pt idx="766">
                  <c:v>61.1</c:v>
                </c:pt>
                <c:pt idx="767">
                  <c:v>240.05</c:v>
                </c:pt>
                <c:pt idx="768">
                  <c:v>3479.24</c:v>
                </c:pt>
                <c:pt idx="769">
                  <c:v>120.44</c:v>
                </c:pt>
                <c:pt idx="770">
                  <c:v>12178.2</c:v>
                </c:pt>
                <c:pt idx="771">
                  <c:v>191.73</c:v>
                </c:pt>
                <c:pt idx="772">
                  <c:v>316.27999999999997</c:v>
                </c:pt>
                <c:pt idx="773">
                  <c:v>928.92</c:v>
                </c:pt>
                <c:pt idx="774">
                  <c:v>16.03</c:v>
                </c:pt>
                <c:pt idx="775">
                  <c:v>96.96</c:v>
                </c:pt>
                <c:pt idx="776">
                  <c:v>256.05</c:v>
                </c:pt>
                <c:pt idx="777">
                  <c:v>531.88</c:v>
                </c:pt>
                <c:pt idx="778">
                  <c:v>56.379999999999995</c:v>
                </c:pt>
                <c:pt idx="779">
                  <c:v>121.24000000000001</c:v>
                </c:pt>
                <c:pt idx="780">
                  <c:v>556.61</c:v>
                </c:pt>
                <c:pt idx="781">
                  <c:v>755.91</c:v>
                </c:pt>
                <c:pt idx="782">
                  <c:v>2016.32</c:v>
                </c:pt>
                <c:pt idx="783">
                  <c:v>3076.53</c:v>
                </c:pt>
                <c:pt idx="784">
                  <c:v>119.78</c:v>
                </c:pt>
                <c:pt idx="785">
                  <c:v>228.25</c:v>
                </c:pt>
                <c:pt idx="786">
                  <c:v>1304.01</c:v>
                </c:pt>
                <c:pt idx="787">
                  <c:v>179.26999999999998</c:v>
                </c:pt>
                <c:pt idx="788">
                  <c:v>1230.78</c:v>
                </c:pt>
                <c:pt idx="789">
                  <c:v>443.23</c:v>
                </c:pt>
                <c:pt idx="790">
                  <c:v>77.42</c:v>
                </c:pt>
                <c:pt idx="791">
                  <c:v>2914.81</c:v>
                </c:pt>
                <c:pt idx="792">
                  <c:v>1477.84</c:v>
                </c:pt>
                <c:pt idx="793">
                  <c:v>387.86</c:v>
                </c:pt>
                <c:pt idx="794">
                  <c:v>117.7</c:v>
                </c:pt>
                <c:pt idx="795">
                  <c:v>991.24</c:v>
                </c:pt>
                <c:pt idx="796">
                  <c:v>1087.19</c:v>
                </c:pt>
                <c:pt idx="797">
                  <c:v>421.36</c:v>
                </c:pt>
                <c:pt idx="798">
                  <c:v>995.8</c:v>
                </c:pt>
                <c:pt idx="799">
                  <c:v>149.66999999999999</c:v>
                </c:pt>
                <c:pt idx="800">
                  <c:v>4934</c:v>
                </c:pt>
                <c:pt idx="801">
                  <c:v>4841.07</c:v>
                </c:pt>
                <c:pt idx="802">
                  <c:v>20.87</c:v>
                </c:pt>
                <c:pt idx="803">
                  <c:v>10215.6</c:v>
                </c:pt>
                <c:pt idx="804">
                  <c:v>1610.84</c:v>
                </c:pt>
                <c:pt idx="805">
                  <c:v>557.49</c:v>
                </c:pt>
                <c:pt idx="806">
                  <c:v>28.46</c:v>
                </c:pt>
                <c:pt idx="807">
                  <c:v>526.53</c:v>
                </c:pt>
                <c:pt idx="808">
                  <c:v>1207.0899999999999</c:v>
                </c:pt>
                <c:pt idx="809">
                  <c:v>76.87</c:v>
                </c:pt>
                <c:pt idx="810">
                  <c:v>27.42</c:v>
                </c:pt>
                <c:pt idx="811">
                  <c:v>1736.3400000000001</c:v>
                </c:pt>
                <c:pt idx="812">
                  <c:v>84.59</c:v>
                </c:pt>
                <c:pt idx="813">
                  <c:v>882.93</c:v>
                </c:pt>
                <c:pt idx="814">
                  <c:v>1386.35</c:v>
                </c:pt>
                <c:pt idx="815">
                  <c:v>258.07</c:v>
                </c:pt>
                <c:pt idx="816">
                  <c:v>810.47</c:v>
                </c:pt>
                <c:pt idx="817">
                  <c:v>17390.239999999998</c:v>
                </c:pt>
                <c:pt idx="818">
                  <c:v>2947.13</c:v>
                </c:pt>
                <c:pt idx="819">
                  <c:v>1276.8800000000001</c:v>
                </c:pt>
                <c:pt idx="820">
                  <c:v>39.97</c:v>
                </c:pt>
                <c:pt idx="821">
                  <c:v>2873.83</c:v>
                </c:pt>
                <c:pt idx="822">
                  <c:v>33.840000000000003</c:v>
                </c:pt>
                <c:pt idx="823">
                  <c:v>10621</c:v>
                </c:pt>
                <c:pt idx="824">
                  <c:v>825.31999999999994</c:v>
                </c:pt>
                <c:pt idx="825">
                  <c:v>414.91</c:v>
                </c:pt>
                <c:pt idx="826">
                  <c:v>670.9</c:v>
                </c:pt>
                <c:pt idx="827">
                  <c:v>3034.61</c:v>
                </c:pt>
                <c:pt idx="828">
                  <c:v>122.11000000000001</c:v>
                </c:pt>
                <c:pt idx="829">
                  <c:v>961.29000000000008</c:v>
                </c:pt>
                <c:pt idx="830">
                  <c:v>48295.12</c:v>
                </c:pt>
                <c:pt idx="831">
                  <c:v>252.36</c:v>
                </c:pt>
                <c:pt idx="832">
                  <c:v>6045.23</c:v>
                </c:pt>
                <c:pt idx="833">
                  <c:v>1059.3800000000001</c:v>
                </c:pt>
                <c:pt idx="834">
                  <c:v>5937.58</c:v>
                </c:pt>
                <c:pt idx="835">
                  <c:v>309.27</c:v>
                </c:pt>
                <c:pt idx="836">
                  <c:v>52.1</c:v>
                </c:pt>
                <c:pt idx="837">
                  <c:v>746.2</c:v>
                </c:pt>
                <c:pt idx="838">
                  <c:v>3371.03</c:v>
                </c:pt>
                <c:pt idx="839">
                  <c:v>40.369999999999997</c:v>
                </c:pt>
                <c:pt idx="840">
                  <c:v>664.34</c:v>
                </c:pt>
                <c:pt idx="841">
                  <c:v>529.24</c:v>
                </c:pt>
                <c:pt idx="842">
                  <c:v>12196.08</c:v>
                </c:pt>
                <c:pt idx="843">
                  <c:v>2629.48</c:v>
                </c:pt>
                <c:pt idx="844">
                  <c:v>493.08000000000004</c:v>
                </c:pt>
                <c:pt idx="845">
                  <c:v>1159.79</c:v>
                </c:pt>
                <c:pt idx="846">
                  <c:v>940.40000000000009</c:v>
                </c:pt>
                <c:pt idx="847">
                  <c:v>824.21</c:v>
                </c:pt>
                <c:pt idx="848">
                  <c:v>55.68</c:v>
                </c:pt>
                <c:pt idx="849">
                  <c:v>167.12</c:v>
                </c:pt>
                <c:pt idx="850">
                  <c:v>1967.98</c:v>
                </c:pt>
                <c:pt idx="851">
                  <c:v>25.45</c:v>
                </c:pt>
                <c:pt idx="852">
                  <c:v>1094.33</c:v>
                </c:pt>
                <c:pt idx="853">
                  <c:v>88.83</c:v>
                </c:pt>
                <c:pt idx="854">
                  <c:v>8549.0400000000009</c:v>
                </c:pt>
                <c:pt idx="855">
                  <c:v>159.72</c:v>
                </c:pt>
                <c:pt idx="856">
                  <c:v>925.19</c:v>
                </c:pt>
                <c:pt idx="857">
                  <c:v>18.71</c:v>
                </c:pt>
                <c:pt idx="858">
                  <c:v>42.44</c:v>
                </c:pt>
                <c:pt idx="859">
                  <c:v>2829.19</c:v>
                </c:pt>
                <c:pt idx="860">
                  <c:v>782.66</c:v>
                </c:pt>
                <c:pt idx="861">
                  <c:v>31.18</c:v>
                </c:pt>
                <c:pt idx="862">
                  <c:v>3248.17</c:v>
                </c:pt>
                <c:pt idx="863">
                  <c:v>313.63</c:v>
                </c:pt>
                <c:pt idx="864">
                  <c:v>3705.14</c:v>
                </c:pt>
                <c:pt idx="865">
                  <c:v>924.8</c:v>
                </c:pt>
                <c:pt idx="866">
                  <c:v>364.03</c:v>
                </c:pt>
                <c:pt idx="867">
                  <c:v>3627.08</c:v>
                </c:pt>
                <c:pt idx="868">
                  <c:v>277.12</c:v>
                </c:pt>
                <c:pt idx="869">
                  <c:v>412.72</c:v>
                </c:pt>
                <c:pt idx="870">
                  <c:v>296.75</c:v>
                </c:pt>
                <c:pt idx="871">
                  <c:v>3001.27</c:v>
                </c:pt>
                <c:pt idx="872">
                  <c:v>334.44</c:v>
                </c:pt>
                <c:pt idx="873">
                  <c:v>1434.51</c:v>
                </c:pt>
                <c:pt idx="874">
                  <c:v>3.51</c:v>
                </c:pt>
                <c:pt idx="875">
                  <c:v>250.5</c:v>
                </c:pt>
                <c:pt idx="876">
                  <c:v>63.66</c:v>
                </c:pt>
                <c:pt idx="877">
                  <c:v>55.43</c:v>
                </c:pt>
                <c:pt idx="878">
                  <c:v>257.92</c:v>
                </c:pt>
                <c:pt idx="879">
                  <c:v>40.799999999999997</c:v>
                </c:pt>
                <c:pt idx="880">
                  <c:v>2212.84</c:v>
                </c:pt>
                <c:pt idx="881">
                  <c:v>25.37</c:v>
                </c:pt>
                <c:pt idx="882">
                  <c:v>1015.25</c:v>
                </c:pt>
                <c:pt idx="883">
                  <c:v>183.32999999999998</c:v>
                </c:pt>
                <c:pt idx="884">
                  <c:v>52.43</c:v>
                </c:pt>
                <c:pt idx="885">
                  <c:v>1030.51</c:v>
                </c:pt>
                <c:pt idx="886">
                  <c:v>103.12</c:v>
                </c:pt>
                <c:pt idx="887">
                  <c:v>2653.02</c:v>
                </c:pt>
                <c:pt idx="888">
                  <c:v>157.32999999999998</c:v>
                </c:pt>
                <c:pt idx="889">
                  <c:v>334.85</c:v>
                </c:pt>
                <c:pt idx="890">
                  <c:v>4057.38</c:v>
                </c:pt>
                <c:pt idx="891">
                  <c:v>36.58</c:v>
                </c:pt>
                <c:pt idx="892">
                  <c:v>267.32</c:v>
                </c:pt>
                <c:pt idx="893">
                  <c:v>318.47999999999996</c:v>
                </c:pt>
                <c:pt idx="894">
                  <c:v>2626.34</c:v>
                </c:pt>
                <c:pt idx="895">
                  <c:v>843.41000000000008</c:v>
                </c:pt>
                <c:pt idx="896">
                  <c:v>1010.11</c:v>
                </c:pt>
                <c:pt idx="897">
                  <c:v>468.27</c:v>
                </c:pt>
                <c:pt idx="898">
                  <c:v>37.89</c:v>
                </c:pt>
                <c:pt idx="899">
                  <c:v>894.03000000000009</c:v>
                </c:pt>
                <c:pt idx="900">
                  <c:v>15269.7</c:v>
                </c:pt>
                <c:pt idx="901">
                  <c:v>3877.69</c:v>
                </c:pt>
                <c:pt idx="902">
                  <c:v>202.98</c:v>
                </c:pt>
                <c:pt idx="903">
                  <c:v>8717.75</c:v>
                </c:pt>
                <c:pt idx="904">
                  <c:v>51.99</c:v>
                </c:pt>
                <c:pt idx="905">
                  <c:v>1862.3200000000002</c:v>
                </c:pt>
                <c:pt idx="906">
                  <c:v>300.57</c:v>
                </c:pt>
                <c:pt idx="907">
                  <c:v>111.78</c:v>
                </c:pt>
                <c:pt idx="908">
                  <c:v>51.13</c:v>
                </c:pt>
                <c:pt idx="909">
                  <c:v>2598.65</c:v>
                </c:pt>
                <c:pt idx="910">
                  <c:v>127.22</c:v>
                </c:pt>
                <c:pt idx="911">
                  <c:v>145.41999999999999</c:v>
                </c:pt>
                <c:pt idx="912">
                  <c:v>165.04</c:v>
                </c:pt>
                <c:pt idx="913">
                  <c:v>818.49</c:v>
                </c:pt>
                <c:pt idx="914">
                  <c:v>80.349999999999994</c:v>
                </c:pt>
                <c:pt idx="915">
                  <c:v>330.02</c:v>
                </c:pt>
                <c:pt idx="916">
                  <c:v>51.82</c:v>
                </c:pt>
                <c:pt idx="917">
                  <c:v>818.81</c:v>
                </c:pt>
                <c:pt idx="918">
                  <c:v>761.18</c:v>
                </c:pt>
                <c:pt idx="919">
                  <c:v>1173.76</c:v>
                </c:pt>
                <c:pt idx="920">
                  <c:v>768.81</c:v>
                </c:pt>
                <c:pt idx="921">
                  <c:v>113.36</c:v>
                </c:pt>
                <c:pt idx="922">
                  <c:v>207.22</c:v>
                </c:pt>
                <c:pt idx="923">
                  <c:v>649.94000000000005</c:v>
                </c:pt>
                <c:pt idx="924">
                  <c:v>1229.2299999999998</c:v>
                </c:pt>
                <c:pt idx="925">
                  <c:v>3322.82</c:v>
                </c:pt>
                <c:pt idx="926">
                  <c:v>393.98</c:v>
                </c:pt>
                <c:pt idx="927">
                  <c:v>61.52</c:v>
                </c:pt>
                <c:pt idx="928">
                  <c:v>154.71</c:v>
                </c:pt>
                <c:pt idx="929">
                  <c:v>211.48</c:v>
                </c:pt>
                <c:pt idx="930">
                  <c:v>108.25</c:v>
                </c:pt>
                <c:pt idx="931">
                  <c:v>48.81</c:v>
                </c:pt>
                <c:pt idx="932">
                  <c:v>25.7</c:v>
                </c:pt>
                <c:pt idx="933">
                  <c:v>14.53</c:v>
                </c:pt>
                <c:pt idx="934">
                  <c:v>6362.85</c:v>
                </c:pt>
                <c:pt idx="935">
                  <c:v>466.04</c:v>
                </c:pt>
                <c:pt idx="936">
                  <c:v>18.489999999999998</c:v>
                </c:pt>
                <c:pt idx="937">
                  <c:v>29916.01</c:v>
                </c:pt>
                <c:pt idx="938">
                  <c:v>284.39</c:v>
                </c:pt>
                <c:pt idx="939">
                  <c:v>2115.9499999999998</c:v>
                </c:pt>
                <c:pt idx="940">
                  <c:v>718.03</c:v>
                </c:pt>
                <c:pt idx="941">
                  <c:v>145.12</c:v>
                </c:pt>
                <c:pt idx="942">
                  <c:v>1503.05</c:v>
                </c:pt>
                <c:pt idx="943">
                  <c:v>3206.94</c:v>
                </c:pt>
                <c:pt idx="944">
                  <c:v>2788.2200000000003</c:v>
                </c:pt>
                <c:pt idx="945">
                  <c:v>128.13</c:v>
                </c:pt>
                <c:pt idx="946">
                  <c:v>15.73</c:v>
                </c:pt>
                <c:pt idx="947">
                  <c:v>9055.36</c:v>
                </c:pt>
                <c:pt idx="948">
                  <c:v>607.48</c:v>
                </c:pt>
                <c:pt idx="949">
                  <c:v>136.25</c:v>
                </c:pt>
                <c:pt idx="950">
                  <c:v>612.91999999999996</c:v>
                </c:pt>
                <c:pt idx="951">
                  <c:v>1214.03</c:v>
                </c:pt>
                <c:pt idx="952">
                  <c:v>5359.17</c:v>
                </c:pt>
                <c:pt idx="953">
                  <c:v>266.39</c:v>
                </c:pt>
                <c:pt idx="954">
                  <c:v>899.81</c:v>
                </c:pt>
                <c:pt idx="955">
                  <c:v>100.79</c:v>
                </c:pt>
                <c:pt idx="956">
                  <c:v>277.60000000000002</c:v>
                </c:pt>
                <c:pt idx="957">
                  <c:v>3108.98</c:v>
                </c:pt>
                <c:pt idx="958">
                  <c:v>1125.75</c:v>
                </c:pt>
                <c:pt idx="959">
                  <c:v>58.85</c:v>
                </c:pt>
                <c:pt idx="960">
                  <c:v>1184.52</c:v>
                </c:pt>
                <c:pt idx="961">
                  <c:v>2359.37</c:v>
                </c:pt>
                <c:pt idx="962">
                  <c:v>281.82</c:v>
                </c:pt>
                <c:pt idx="963">
                  <c:v>233.82</c:v>
                </c:pt>
                <c:pt idx="964">
                  <c:v>6103.1900000000005</c:v>
                </c:pt>
                <c:pt idx="965">
                  <c:v>370.68</c:v>
                </c:pt>
                <c:pt idx="966">
                  <c:v>305.45999999999998</c:v>
                </c:pt>
                <c:pt idx="967">
                  <c:v>102.54</c:v>
                </c:pt>
                <c:pt idx="968">
                  <c:v>279.01</c:v>
                </c:pt>
                <c:pt idx="969">
                  <c:v>964.79</c:v>
                </c:pt>
                <c:pt idx="970">
                  <c:v>15943.480000000001</c:v>
                </c:pt>
                <c:pt idx="971">
                  <c:v>919.09</c:v>
                </c:pt>
                <c:pt idx="972">
                  <c:v>9580</c:v>
                </c:pt>
                <c:pt idx="973">
                  <c:v>561.65</c:v>
                </c:pt>
                <c:pt idx="974">
                  <c:v>883.63</c:v>
                </c:pt>
                <c:pt idx="975">
                  <c:v>141.59</c:v>
                </c:pt>
                <c:pt idx="976">
                  <c:v>1608.11</c:v>
                </c:pt>
                <c:pt idx="977">
                  <c:v>14645.449999999999</c:v>
                </c:pt>
                <c:pt idx="978">
                  <c:v>48.32</c:v>
                </c:pt>
                <c:pt idx="979">
                  <c:v>63.32</c:v>
                </c:pt>
                <c:pt idx="980">
                  <c:v>97.98</c:v>
                </c:pt>
                <c:pt idx="981">
                  <c:v>69.959999999999994</c:v>
                </c:pt>
                <c:pt idx="982">
                  <c:v>107.51</c:v>
                </c:pt>
                <c:pt idx="983">
                  <c:v>5019.91</c:v>
                </c:pt>
                <c:pt idx="984">
                  <c:v>378.82</c:v>
                </c:pt>
                <c:pt idx="985">
                  <c:v>22.48</c:v>
                </c:pt>
                <c:pt idx="986">
                  <c:v>6119.82</c:v>
                </c:pt>
                <c:pt idx="987">
                  <c:v>83.93</c:v>
                </c:pt>
                <c:pt idx="988">
                  <c:v>31.44</c:v>
                </c:pt>
                <c:pt idx="989">
                  <c:v>4775.1099999999997</c:v>
                </c:pt>
                <c:pt idx="990">
                  <c:v>2400.9499999999998</c:v>
                </c:pt>
                <c:pt idx="991">
                  <c:v>94.97</c:v>
                </c:pt>
                <c:pt idx="992">
                  <c:v>1279.3800000000001</c:v>
                </c:pt>
                <c:pt idx="993">
                  <c:v>237.77</c:v>
                </c:pt>
                <c:pt idx="994">
                  <c:v>8.74</c:v>
                </c:pt>
                <c:pt idx="995">
                  <c:v>74.38</c:v>
                </c:pt>
                <c:pt idx="996">
                  <c:v>391.4</c:v>
                </c:pt>
                <c:pt idx="997">
                  <c:v>21.93</c:v>
                </c:pt>
                <c:pt idx="998">
                  <c:v>19.32</c:v>
                </c:pt>
                <c:pt idx="999">
                  <c:v>20.46</c:v>
                </c:pt>
                <c:pt idx="1000">
                  <c:v>2291.39</c:v>
                </c:pt>
                <c:pt idx="1001">
                  <c:v>127.94</c:v>
                </c:pt>
                <c:pt idx="1002">
                  <c:v>199.48</c:v>
                </c:pt>
                <c:pt idx="1003">
                  <c:v>2226.2399999999998</c:v>
                </c:pt>
                <c:pt idx="1004">
                  <c:v>462.57</c:v>
                </c:pt>
                <c:pt idx="1005">
                  <c:v>3377.7400000000002</c:v>
                </c:pt>
                <c:pt idx="1006">
                  <c:v>1868.83</c:v>
                </c:pt>
                <c:pt idx="1007">
                  <c:v>397.17</c:v>
                </c:pt>
                <c:pt idx="1008">
                  <c:v>287.85000000000002</c:v>
                </c:pt>
                <c:pt idx="1009">
                  <c:v>29.99</c:v>
                </c:pt>
                <c:pt idx="1010">
                  <c:v>990.25</c:v>
                </c:pt>
                <c:pt idx="1011">
                  <c:v>1824.33</c:v>
                </c:pt>
                <c:pt idx="1012">
                  <c:v>1483.55</c:v>
                </c:pt>
                <c:pt idx="1013">
                  <c:v>799.05000000000007</c:v>
                </c:pt>
                <c:pt idx="1014">
                  <c:v>98.7</c:v>
                </c:pt>
                <c:pt idx="1015">
                  <c:v>328.34000000000003</c:v>
                </c:pt>
                <c:pt idx="1016">
                  <c:v>5062.49</c:v>
                </c:pt>
                <c:pt idx="1017">
                  <c:v>34.11</c:v>
                </c:pt>
                <c:pt idx="1018">
                  <c:v>291.64</c:v>
                </c:pt>
                <c:pt idx="1019">
                  <c:v>1029.96</c:v>
                </c:pt>
                <c:pt idx="1020">
                  <c:v>2025.22</c:v>
                </c:pt>
                <c:pt idx="1021">
                  <c:v>1362.2</c:v>
                </c:pt>
                <c:pt idx="1022">
                  <c:v>59.79</c:v>
                </c:pt>
                <c:pt idx="1023">
                  <c:v>2848.38</c:v>
                </c:pt>
                <c:pt idx="1024">
                  <c:v>421.08</c:v>
                </c:pt>
                <c:pt idx="1025">
                  <c:v>459.47</c:v>
                </c:pt>
                <c:pt idx="1026">
                  <c:v>460.87</c:v>
                </c:pt>
                <c:pt idx="1027">
                  <c:v>6512.23</c:v>
                </c:pt>
                <c:pt idx="1028">
                  <c:v>5347.1</c:v>
                </c:pt>
                <c:pt idx="1029">
                  <c:v>506.5</c:v>
                </c:pt>
                <c:pt idx="1030">
                  <c:v>99.75</c:v>
                </c:pt>
                <c:pt idx="1031">
                  <c:v>18642.71</c:v>
                </c:pt>
                <c:pt idx="1032">
                  <c:v>171.33</c:v>
                </c:pt>
                <c:pt idx="1033">
                  <c:v>87.53</c:v>
                </c:pt>
                <c:pt idx="1034">
                  <c:v>77.47</c:v>
                </c:pt>
                <c:pt idx="1035">
                  <c:v>686.40000000000009</c:v>
                </c:pt>
                <c:pt idx="1036">
                  <c:v>130.91</c:v>
                </c:pt>
                <c:pt idx="1037">
                  <c:v>222.53</c:v>
                </c:pt>
                <c:pt idx="1038">
                  <c:v>131.26</c:v>
                </c:pt>
                <c:pt idx="1039">
                  <c:v>1076.6699999999998</c:v>
                </c:pt>
                <c:pt idx="1040">
                  <c:v>1506.89</c:v>
                </c:pt>
                <c:pt idx="1041">
                  <c:v>99.36</c:v>
                </c:pt>
                <c:pt idx="1042">
                  <c:v>355.92</c:v>
                </c:pt>
                <c:pt idx="1043">
                  <c:v>70.03</c:v>
                </c:pt>
                <c:pt idx="1044">
                  <c:v>647.07000000000005</c:v>
                </c:pt>
                <c:pt idx="1045">
                  <c:v>4146.28</c:v>
                </c:pt>
                <c:pt idx="1046">
                  <c:v>220.92</c:v>
                </c:pt>
                <c:pt idx="1047">
                  <c:v>658.44</c:v>
                </c:pt>
                <c:pt idx="1048">
                  <c:v>1310.73</c:v>
                </c:pt>
                <c:pt idx="1049">
                  <c:v>174.58</c:v>
                </c:pt>
                <c:pt idx="1050">
                  <c:v>369.78</c:v>
                </c:pt>
                <c:pt idx="1051">
                  <c:v>2131.9900000000002</c:v>
                </c:pt>
                <c:pt idx="1052">
                  <c:v>1417.42</c:v>
                </c:pt>
                <c:pt idx="1053">
                  <c:v>116.93</c:v>
                </c:pt>
                <c:pt idx="1054">
                  <c:v>413</c:v>
                </c:pt>
                <c:pt idx="1055">
                  <c:v>9492.92</c:v>
                </c:pt>
                <c:pt idx="1056">
                  <c:v>128.54</c:v>
                </c:pt>
                <c:pt idx="1057">
                  <c:v>236.97</c:v>
                </c:pt>
                <c:pt idx="1058">
                  <c:v>291.39999999999998</c:v>
                </c:pt>
                <c:pt idx="1059">
                  <c:v>12584.99</c:v>
                </c:pt>
                <c:pt idx="1060">
                  <c:v>11.13</c:v>
                </c:pt>
                <c:pt idx="1061">
                  <c:v>1174.4499999999998</c:v>
                </c:pt>
                <c:pt idx="1062">
                  <c:v>17.420000000000002</c:v>
                </c:pt>
                <c:pt idx="1063">
                  <c:v>49.24</c:v>
                </c:pt>
                <c:pt idx="1064">
                  <c:v>161.26</c:v>
                </c:pt>
                <c:pt idx="1065">
                  <c:v>32194.12</c:v>
                </c:pt>
                <c:pt idx="1066">
                  <c:v>58.84</c:v>
                </c:pt>
                <c:pt idx="1067">
                  <c:v>60.24</c:v>
                </c:pt>
                <c:pt idx="1068">
                  <c:v>3084.04</c:v>
                </c:pt>
                <c:pt idx="1069">
                  <c:v>4.21</c:v>
                </c:pt>
                <c:pt idx="1070">
                  <c:v>871.5</c:v>
                </c:pt>
                <c:pt idx="1071">
                  <c:v>342.56</c:v>
                </c:pt>
                <c:pt idx="1072">
                  <c:v>389.97</c:v>
                </c:pt>
                <c:pt idx="1073">
                  <c:v>2610.56</c:v>
                </c:pt>
                <c:pt idx="1074">
                  <c:v>47.95</c:v>
                </c:pt>
                <c:pt idx="1075">
                  <c:v>41.4</c:v>
                </c:pt>
                <c:pt idx="1076">
                  <c:v>58.3</c:v>
                </c:pt>
                <c:pt idx="1077">
                  <c:v>2238.15</c:v>
                </c:pt>
                <c:pt idx="1078">
                  <c:v>394.1</c:v>
                </c:pt>
                <c:pt idx="1079">
                  <c:v>1998.36</c:v>
                </c:pt>
                <c:pt idx="1080">
                  <c:v>1008.53</c:v>
                </c:pt>
                <c:pt idx="1081">
                  <c:v>4454.7299999999996</c:v>
                </c:pt>
                <c:pt idx="1082">
                  <c:v>393.94</c:v>
                </c:pt>
                <c:pt idx="1083">
                  <c:v>411.40999999999997</c:v>
                </c:pt>
                <c:pt idx="1084">
                  <c:v>7840.04</c:v>
                </c:pt>
                <c:pt idx="1085">
                  <c:v>2366.5100000000002</c:v>
                </c:pt>
                <c:pt idx="1086">
                  <c:v>377.44</c:v>
                </c:pt>
                <c:pt idx="1087">
                  <c:v>1839.91</c:v>
                </c:pt>
                <c:pt idx="1088">
                  <c:v>7410.3</c:v>
                </c:pt>
                <c:pt idx="1089">
                  <c:v>1379.9099999999999</c:v>
                </c:pt>
                <c:pt idx="1090">
                  <c:v>416.95</c:v>
                </c:pt>
                <c:pt idx="1091">
                  <c:v>3655.92</c:v>
                </c:pt>
                <c:pt idx="1092">
                  <c:v>378.23</c:v>
                </c:pt>
                <c:pt idx="1093">
                  <c:v>204.34</c:v>
                </c:pt>
                <c:pt idx="1094">
                  <c:v>32.39</c:v>
                </c:pt>
                <c:pt idx="1095">
                  <c:v>2512.3200000000002</c:v>
                </c:pt>
                <c:pt idx="1096">
                  <c:v>393.46000000000004</c:v>
                </c:pt>
                <c:pt idx="1097">
                  <c:v>8.49</c:v>
                </c:pt>
                <c:pt idx="1098">
                  <c:v>653.29999999999995</c:v>
                </c:pt>
                <c:pt idx="1099">
                  <c:v>1196.68</c:v>
                </c:pt>
                <c:pt idx="1100">
                  <c:v>19.32</c:v>
                </c:pt>
                <c:pt idx="1101">
                  <c:v>283.44</c:v>
                </c:pt>
                <c:pt idx="1102">
                  <c:v>51.86</c:v>
                </c:pt>
                <c:pt idx="1103">
                  <c:v>2230.12</c:v>
                </c:pt>
                <c:pt idx="1104">
                  <c:v>3587.8700000000003</c:v>
                </c:pt>
                <c:pt idx="1105">
                  <c:v>12122.79</c:v>
                </c:pt>
                <c:pt idx="1106">
                  <c:v>21.86</c:v>
                </c:pt>
                <c:pt idx="1107">
                  <c:v>10574.04</c:v>
                </c:pt>
                <c:pt idx="1108">
                  <c:v>40.29</c:v>
                </c:pt>
                <c:pt idx="1109">
                  <c:v>1146.77</c:v>
                </c:pt>
                <c:pt idx="1110">
                  <c:v>494.49</c:v>
                </c:pt>
                <c:pt idx="1111">
                  <c:v>4813.88</c:v>
                </c:pt>
                <c:pt idx="1112">
                  <c:v>1638.83</c:v>
                </c:pt>
                <c:pt idx="1113">
                  <c:v>100.87</c:v>
                </c:pt>
                <c:pt idx="1114">
                  <c:v>130.47</c:v>
                </c:pt>
                <c:pt idx="1115">
                  <c:v>727.2</c:v>
                </c:pt>
                <c:pt idx="1116">
                  <c:v>2356.73</c:v>
                </c:pt>
                <c:pt idx="1117">
                  <c:v>1868.73</c:v>
                </c:pt>
                <c:pt idx="1118">
                  <c:v>1088.3999999999999</c:v>
                </c:pt>
                <c:pt idx="1119">
                  <c:v>34.76</c:v>
                </c:pt>
                <c:pt idx="1120">
                  <c:v>170.45</c:v>
                </c:pt>
                <c:pt idx="1121">
                  <c:v>102.43</c:v>
                </c:pt>
                <c:pt idx="1122">
                  <c:v>2404.84</c:v>
                </c:pt>
                <c:pt idx="1123">
                  <c:v>1118.1199999999999</c:v>
                </c:pt>
                <c:pt idx="1124">
                  <c:v>7.01</c:v>
                </c:pt>
                <c:pt idx="1125">
                  <c:v>140.69999999999999</c:v>
                </c:pt>
                <c:pt idx="1126">
                  <c:v>1123.1600000000001</c:v>
                </c:pt>
                <c:pt idx="1127">
                  <c:v>28779.129999999997</c:v>
                </c:pt>
                <c:pt idx="1128">
                  <c:v>7792.97</c:v>
                </c:pt>
                <c:pt idx="1129">
                  <c:v>1088.26</c:v>
                </c:pt>
              </c:numCache>
            </c:numRef>
          </c:val>
          <c:extLst>
            <c:ext xmlns:c16="http://schemas.microsoft.com/office/drawing/2014/chart" uri="{C3380CC4-5D6E-409C-BE32-E72D297353CC}">
              <c16:uniqueId val="{00000000-70AF-49AB-BBA5-B2282841C015}"/>
            </c:ext>
          </c:extLst>
        </c:ser>
        <c:dLbls>
          <c:showLegendKey val="0"/>
          <c:showVal val="0"/>
          <c:showCatName val="0"/>
          <c:showSerName val="0"/>
          <c:showPercent val="0"/>
          <c:showBubbleSize val="0"/>
        </c:dLbls>
        <c:gapWidth val="247"/>
        <c:axId val="786798848"/>
        <c:axId val="786780128"/>
      </c:barChart>
      <c:catAx>
        <c:axId val="7867988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86780128"/>
        <c:crosses val="autoZero"/>
        <c:auto val="1"/>
        <c:lblAlgn val="ctr"/>
        <c:lblOffset val="100"/>
        <c:noMultiLvlLbl val="0"/>
      </c:catAx>
      <c:valAx>
        <c:axId val="78678012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8679884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Dashboard_Final_Exam.xlsx]Region vs Salse!PivotTable8</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vs Salse'!$B$3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vs Salse'!$A$4:$A$8</c:f>
              <c:strCache>
                <c:ptCount val="4"/>
                <c:pt idx="0">
                  <c:v>Central</c:v>
                </c:pt>
                <c:pt idx="1">
                  <c:v>East</c:v>
                </c:pt>
                <c:pt idx="2">
                  <c:v>South</c:v>
                </c:pt>
                <c:pt idx="3">
                  <c:v>West</c:v>
                </c:pt>
              </c:strCache>
            </c:strRef>
          </c:cat>
          <c:val>
            <c:numRef>
              <c:f>'Region vs Salse'!$B$4:$B$8</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0-057F-44D7-9A5D-03FD0F99266B}"/>
            </c:ext>
          </c:extLst>
        </c:ser>
        <c:dLbls>
          <c:showLegendKey val="0"/>
          <c:showVal val="1"/>
          <c:showCatName val="0"/>
          <c:showSerName val="0"/>
          <c:showPercent val="0"/>
          <c:showBubbleSize val="0"/>
        </c:dLbls>
        <c:gapWidth val="65"/>
        <c:shape val="box"/>
        <c:axId val="786686528"/>
        <c:axId val="786690848"/>
        <c:axId val="0"/>
      </c:bar3DChart>
      <c:catAx>
        <c:axId val="786686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layout>
            <c:manualLayout>
              <c:xMode val="edge"/>
              <c:yMode val="edge"/>
              <c:x val="0.43040332458442698"/>
              <c:y val="0.864151720618256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6690848"/>
        <c:crosses val="autoZero"/>
        <c:auto val="1"/>
        <c:lblAlgn val="ctr"/>
        <c:lblOffset val="100"/>
        <c:noMultiLvlLbl val="0"/>
      </c:catAx>
      <c:valAx>
        <c:axId val="78669084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a:t>
                </a:r>
              </a:p>
            </c:rich>
          </c:tx>
          <c:layout>
            <c:manualLayout>
              <c:xMode val="edge"/>
              <c:yMode val="edge"/>
              <c:x val="4.7549212598425206E-2"/>
              <c:y val="0.4396365558471857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6686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Dashboard_Final_Exam.xlsx]Ship Mode Vs Salse!PivotTable9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'Ship Mode Vs Salse'!$B$3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'Ship Mode Vs Salse'!$A$4:$A$7</c:f>
              <c:strCache>
                <c:ptCount val="3"/>
                <c:pt idx="0">
                  <c:v>Delivery Truck</c:v>
                </c:pt>
                <c:pt idx="1">
                  <c:v>Express Air</c:v>
                </c:pt>
                <c:pt idx="2">
                  <c:v>Regular Air</c:v>
                </c:pt>
              </c:strCache>
            </c:strRef>
          </c:cat>
          <c:val>
            <c:numRef>
              <c:f>'Ship Mode Vs Salse'!$B$4:$B$7</c:f>
              <c:numCache>
                <c:formatCode>General</c:formatCode>
                <c:ptCount val="3"/>
                <c:pt idx="0">
                  <c:v>789235.4600000002</c:v>
                </c:pt>
                <c:pt idx="1">
                  <c:v>145050.22000000009</c:v>
                </c:pt>
                <c:pt idx="2">
                  <c:v>990052.19999999902</c:v>
                </c:pt>
              </c:numCache>
            </c:numRef>
          </c:val>
          <c:extLst>
            <c:ext xmlns:c16="http://schemas.microsoft.com/office/drawing/2014/chart" uri="{C3380CC4-5D6E-409C-BE32-E72D297353CC}">
              <c16:uniqueId val="{00000000-E9BF-4DE4-887E-C2515EFB13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Dashboard_Final_Exam.xlsx]Product!PivotTable10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Product!$B$3</c:f>
              <c:strCache>
                <c:ptCount val="1"/>
                <c:pt idx="0">
                  <c:v>Total</c:v>
                </c:pt>
              </c:strCache>
            </c:strRef>
          </c:tx>
          <c:spPr>
            <a:solidFill>
              <a:schemeClr val="accent1"/>
            </a:solidFill>
            <a:ln>
              <a:noFill/>
            </a:ln>
            <a:effectLst/>
            <a:sp3d/>
          </c:spPr>
          <c:invertIfNegative val="0"/>
          <c:cat>
            <c:strRef>
              <c:f>Product!$A$4:$A$21</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Product!$B$4:$B$21</c:f>
              <c:numCache>
                <c:formatCode>General</c:formatCode>
                <c:ptCount val="17"/>
                <c:pt idx="0">
                  <c:v>82201.149999999965</c:v>
                </c:pt>
                <c:pt idx="1">
                  <c:v>185928.13999999987</c:v>
                </c:pt>
                <c:pt idx="2">
                  <c:v>107796.09</c:v>
                </c:pt>
                <c:pt idx="3">
                  <c:v>261072.73</c:v>
                </c:pt>
                <c:pt idx="4">
                  <c:v>96261.300000000032</c:v>
                </c:pt>
                <c:pt idx="5">
                  <c:v>99069.479999999981</c:v>
                </c:pt>
                <c:pt idx="6">
                  <c:v>10479.769999999999</c:v>
                </c:pt>
                <c:pt idx="7">
                  <c:v>4914.8199999999988</c:v>
                </c:pt>
                <c:pt idx="8">
                  <c:v>98070.91</c:v>
                </c:pt>
                <c:pt idx="9">
                  <c:v>318169.67999999993</c:v>
                </c:pt>
                <c:pt idx="10">
                  <c:v>55813.920000000042</c:v>
                </c:pt>
                <c:pt idx="11">
                  <c:v>26071.61</c:v>
                </c:pt>
                <c:pt idx="12">
                  <c:v>1789.43</c:v>
                </c:pt>
                <c:pt idx="13">
                  <c:v>6752.1800000000021</c:v>
                </c:pt>
                <c:pt idx="14">
                  <c:v>177417.59999999992</c:v>
                </c:pt>
                <c:pt idx="15">
                  <c:v>193764.58000000005</c:v>
                </c:pt>
                <c:pt idx="16">
                  <c:v>198764.49000000008</c:v>
                </c:pt>
              </c:numCache>
            </c:numRef>
          </c:val>
          <c:extLst>
            <c:ext xmlns:c16="http://schemas.microsoft.com/office/drawing/2014/chart" uri="{C3380CC4-5D6E-409C-BE32-E72D297353CC}">
              <c16:uniqueId val="{00000000-11C3-4B95-8550-91B686CEA38B}"/>
            </c:ext>
          </c:extLst>
        </c:ser>
        <c:dLbls>
          <c:showLegendKey val="0"/>
          <c:showVal val="0"/>
          <c:showCatName val="0"/>
          <c:showSerName val="0"/>
          <c:showPercent val="0"/>
          <c:showBubbleSize val="0"/>
        </c:dLbls>
        <c:gapWidth val="150"/>
        <c:shape val="box"/>
        <c:axId val="786707648"/>
        <c:axId val="786746528"/>
        <c:axId val="0"/>
      </c:bar3DChart>
      <c:catAx>
        <c:axId val="78670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746528"/>
        <c:crosses val="autoZero"/>
        <c:auto val="1"/>
        <c:lblAlgn val="ctr"/>
        <c:lblOffset val="100"/>
        <c:noMultiLvlLbl val="0"/>
      </c:catAx>
      <c:valAx>
        <c:axId val="78674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7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Dashboard_Final_Exam.xlsx]Month!PivotTable12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Month!$B$3</c:f>
              <c:strCache>
                <c:ptCount val="1"/>
                <c:pt idx="0">
                  <c:v>Total</c:v>
                </c:pt>
              </c:strCache>
            </c:strRef>
          </c:tx>
          <c:spPr>
            <a:solidFill>
              <a:schemeClr val="accent1"/>
            </a:solidFill>
            <a:ln>
              <a:noFill/>
            </a:ln>
            <a:effectLst/>
          </c:spPr>
          <c:invertIfNegative val="0"/>
          <c:cat>
            <c:strRef>
              <c:f>Month!$A$4:$A$10</c:f>
              <c:strCache>
                <c:ptCount val="6"/>
                <c:pt idx="0">
                  <c:v>January</c:v>
                </c:pt>
                <c:pt idx="1">
                  <c:v>February</c:v>
                </c:pt>
                <c:pt idx="2">
                  <c:v>March</c:v>
                </c:pt>
                <c:pt idx="3">
                  <c:v>April</c:v>
                </c:pt>
                <c:pt idx="4">
                  <c:v>May</c:v>
                </c:pt>
                <c:pt idx="5">
                  <c:v>June</c:v>
                </c:pt>
              </c:strCache>
            </c:strRef>
          </c:cat>
          <c:val>
            <c:numRef>
              <c:f>Month!$B$4:$B$10</c:f>
              <c:numCache>
                <c:formatCode>General</c:formatCode>
                <c:ptCount val="6"/>
                <c:pt idx="0">
                  <c:v>274766.92000000016</c:v>
                </c:pt>
                <c:pt idx="1">
                  <c:v>326101.46999999997</c:v>
                </c:pt>
                <c:pt idx="2">
                  <c:v>271696.67000000016</c:v>
                </c:pt>
                <c:pt idx="3">
                  <c:v>389831.94999999978</c:v>
                </c:pt>
                <c:pt idx="4">
                  <c:v>306572.06999999977</c:v>
                </c:pt>
                <c:pt idx="5">
                  <c:v>355368.79999999964</c:v>
                </c:pt>
              </c:numCache>
            </c:numRef>
          </c:val>
          <c:extLst>
            <c:ext xmlns:c16="http://schemas.microsoft.com/office/drawing/2014/chart" uri="{C3380CC4-5D6E-409C-BE32-E72D297353CC}">
              <c16:uniqueId val="{00000000-E126-4F07-821D-DA5546D5451C}"/>
            </c:ext>
          </c:extLst>
        </c:ser>
        <c:dLbls>
          <c:showLegendKey val="0"/>
          <c:showVal val="0"/>
          <c:showCatName val="0"/>
          <c:showSerName val="0"/>
          <c:showPercent val="0"/>
          <c:showBubbleSize val="0"/>
        </c:dLbls>
        <c:gapWidth val="219"/>
        <c:overlap val="-27"/>
        <c:axId val="786759008"/>
        <c:axId val="786760448"/>
      </c:barChart>
      <c:catAx>
        <c:axId val="78675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760448"/>
        <c:crosses val="autoZero"/>
        <c:auto val="1"/>
        <c:lblAlgn val="ctr"/>
        <c:lblOffset val="100"/>
        <c:noMultiLvlLbl val="0"/>
      </c:catAx>
      <c:valAx>
        <c:axId val="78676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75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Interactive Dashboard_Final_Exam.xlsx]Customer name !PivotTable14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name '!$B$3</c:f>
              <c:strCache>
                <c:ptCount val="1"/>
                <c:pt idx="0">
                  <c:v>Total</c:v>
                </c:pt>
              </c:strCache>
            </c:strRef>
          </c:tx>
          <c:spPr>
            <a:solidFill>
              <a:schemeClr val="accent1"/>
            </a:solidFill>
            <a:ln>
              <a:noFill/>
            </a:ln>
            <a:effectLst/>
          </c:spPr>
          <c:invertIfNegative val="0"/>
          <c:cat>
            <c:strRef>
              <c:f>'Customer name '!$A$4:$A$1134</c:f>
              <c:strCache>
                <c:ptCount val="1130"/>
                <c:pt idx="0">
                  <c:v>Aaron Day</c:v>
                </c:pt>
                <c:pt idx="1">
                  <c:v>Aaron Dillon</c:v>
                </c:pt>
                <c:pt idx="2">
                  <c:v>Aaron Riggs</c:v>
                </c:pt>
                <c:pt idx="3">
                  <c:v>Aaron Shaffer</c:v>
                </c:pt>
                <c:pt idx="4">
                  <c:v>Adam G Sawyer</c:v>
                </c:pt>
                <c:pt idx="5">
                  <c:v>Adam Saunders Gray</c:v>
                </c:pt>
                <c:pt idx="6">
                  <c:v>Albert Frost</c:v>
                </c:pt>
                <c:pt idx="7">
                  <c:v>Albert Maxwell</c:v>
                </c:pt>
                <c:pt idx="8">
                  <c:v>Albert Tyson</c:v>
                </c:pt>
                <c:pt idx="9">
                  <c:v>Alex Harrell</c:v>
                </c:pt>
                <c:pt idx="10">
                  <c:v>Alex Nicholson</c:v>
                </c:pt>
                <c:pt idx="11">
                  <c:v>Alex Watkins</c:v>
                </c:pt>
                <c:pt idx="12">
                  <c:v>Alexander O'Brien</c:v>
                </c:pt>
                <c:pt idx="13">
                  <c:v>Alexandra Wise</c:v>
                </c:pt>
                <c:pt idx="14">
                  <c:v>Alfred Barber</c:v>
                </c:pt>
                <c:pt idx="15">
                  <c:v>Alfred Harmon</c:v>
                </c:pt>
                <c:pt idx="16">
                  <c:v>Alfred Singh</c:v>
                </c:pt>
                <c:pt idx="17">
                  <c:v>Alice Berger McIntyre</c:v>
                </c:pt>
                <c:pt idx="18">
                  <c:v>Alice Coley</c:v>
                </c:pt>
                <c:pt idx="19">
                  <c:v>Alicia Curtis</c:v>
                </c:pt>
                <c:pt idx="20">
                  <c:v>Alicia Maynard</c:v>
                </c:pt>
                <c:pt idx="21">
                  <c:v>Alicia Wood Shah</c:v>
                </c:pt>
                <c:pt idx="22">
                  <c:v>Alison Jones</c:v>
                </c:pt>
                <c:pt idx="23">
                  <c:v>Alison Peters Wooten</c:v>
                </c:pt>
                <c:pt idx="24">
                  <c:v>Alison Sharp</c:v>
                </c:pt>
                <c:pt idx="25">
                  <c:v>Alison Stewart</c:v>
                </c:pt>
                <c:pt idx="26">
                  <c:v>Allan Dickinson</c:v>
                </c:pt>
                <c:pt idx="27">
                  <c:v>Allan Shields</c:v>
                </c:pt>
                <c:pt idx="28">
                  <c:v>Allen Nash</c:v>
                </c:pt>
                <c:pt idx="29">
                  <c:v>Allison Kirby</c:v>
                </c:pt>
                <c:pt idx="30">
                  <c:v>Alvin Hoover</c:v>
                </c:pt>
                <c:pt idx="31">
                  <c:v>Alvin Mullins</c:v>
                </c:pt>
                <c:pt idx="32">
                  <c:v>Amanda Conner</c:v>
                </c:pt>
                <c:pt idx="33">
                  <c:v>Amy Ellis Holder</c:v>
                </c:pt>
                <c:pt idx="34">
                  <c:v>Amy Hall</c:v>
                </c:pt>
                <c:pt idx="35">
                  <c:v>Amy Hamrick Melvin</c:v>
                </c:pt>
                <c:pt idx="36">
                  <c:v>Amy Shea</c:v>
                </c:pt>
                <c:pt idx="37">
                  <c:v>Amy York</c:v>
                </c:pt>
                <c:pt idx="38">
                  <c:v>Andrea Shaw</c:v>
                </c:pt>
                <c:pt idx="39">
                  <c:v>Andrew Gonzalez</c:v>
                </c:pt>
                <c:pt idx="40">
                  <c:v>Andrew Levine</c:v>
                </c:pt>
                <c:pt idx="41">
                  <c:v>Andrew Pearce</c:v>
                </c:pt>
                <c:pt idx="42">
                  <c:v>Angela Howe</c:v>
                </c:pt>
                <c:pt idx="43">
                  <c:v>Angela Rose</c:v>
                </c:pt>
                <c:pt idx="44">
                  <c:v>Anita Hahn</c:v>
                </c:pt>
                <c:pt idx="45">
                  <c:v>Anita Kang</c:v>
                </c:pt>
                <c:pt idx="46">
                  <c:v>Anita Kent</c:v>
                </c:pt>
                <c:pt idx="47">
                  <c:v>Ann Katz</c:v>
                </c:pt>
                <c:pt idx="48">
                  <c:v>Ann Steele</c:v>
                </c:pt>
                <c:pt idx="49">
                  <c:v>Anna Burgess</c:v>
                </c:pt>
                <c:pt idx="50">
                  <c:v>Anna Ellis</c:v>
                </c:pt>
                <c:pt idx="51">
                  <c:v>Anna Wood</c:v>
                </c:pt>
                <c:pt idx="52">
                  <c:v>Anne Armstrong</c:v>
                </c:pt>
                <c:pt idx="53">
                  <c:v>Anne Bland</c:v>
                </c:pt>
                <c:pt idx="54">
                  <c:v>Anne Schultz</c:v>
                </c:pt>
                <c:pt idx="55">
                  <c:v>Annette Boone</c:v>
                </c:pt>
                <c:pt idx="56">
                  <c:v>Annette McIntyre</c:v>
                </c:pt>
                <c:pt idx="57">
                  <c:v>Annie Horne</c:v>
                </c:pt>
                <c:pt idx="58">
                  <c:v>Annie Livingston</c:v>
                </c:pt>
                <c:pt idx="59">
                  <c:v>Annie Odom</c:v>
                </c:pt>
                <c:pt idx="60">
                  <c:v>Annie Sherrill</c:v>
                </c:pt>
                <c:pt idx="61">
                  <c:v>Anthony Foley</c:v>
                </c:pt>
                <c:pt idx="62">
                  <c:v>Anthony Stanley</c:v>
                </c:pt>
                <c:pt idx="63">
                  <c:v>April Bowers</c:v>
                </c:pt>
                <c:pt idx="64">
                  <c:v>April Henson</c:v>
                </c:pt>
                <c:pt idx="65">
                  <c:v>April Hu</c:v>
                </c:pt>
                <c:pt idx="66">
                  <c:v>Arlene Gibbons</c:v>
                </c:pt>
                <c:pt idx="67">
                  <c:v>Arlene Long</c:v>
                </c:pt>
                <c:pt idx="68">
                  <c:v>Arlene Weeks</c:v>
                </c:pt>
                <c:pt idx="69">
                  <c:v>Arlene Wiggins Dalton</c:v>
                </c:pt>
                <c:pt idx="70">
                  <c:v>Arnold Floyd Blair</c:v>
                </c:pt>
                <c:pt idx="71">
                  <c:v>Arnold Gay</c:v>
                </c:pt>
                <c:pt idx="72">
                  <c:v>Arnold Johnson</c:v>
                </c:pt>
                <c:pt idx="73">
                  <c:v>Arthur Brady</c:v>
                </c:pt>
                <c:pt idx="74">
                  <c:v>Arthur Gold</c:v>
                </c:pt>
                <c:pt idx="75">
                  <c:v>Arthur Lowe Nash</c:v>
                </c:pt>
                <c:pt idx="76">
                  <c:v>Ashley Reese</c:v>
                </c:pt>
                <c:pt idx="77">
                  <c:v>Barbara McNamara</c:v>
                </c:pt>
                <c:pt idx="78">
                  <c:v>Becky Farmer</c:v>
                </c:pt>
                <c:pt idx="79">
                  <c:v>Becky O'Brien</c:v>
                </c:pt>
                <c:pt idx="80">
                  <c:v>Becky Puckett</c:v>
                </c:pt>
                <c:pt idx="81">
                  <c:v>Benjamin Chan</c:v>
                </c:pt>
                <c:pt idx="82">
                  <c:v>Benjamin Gunter</c:v>
                </c:pt>
                <c:pt idx="83">
                  <c:v>Benjamin Kaufman</c:v>
                </c:pt>
                <c:pt idx="84">
                  <c:v>Benjamin Lam</c:v>
                </c:pt>
                <c:pt idx="85">
                  <c:v>Benjamin Porter</c:v>
                </c:pt>
                <c:pt idx="86">
                  <c:v>Benjamin Strauss</c:v>
                </c:pt>
                <c:pt idx="87">
                  <c:v>Bernard Thompson</c:v>
                </c:pt>
                <c:pt idx="88">
                  <c:v>Bernice F Day</c:v>
                </c:pt>
                <c:pt idx="89">
                  <c:v>Beth Dolan</c:v>
                </c:pt>
                <c:pt idx="90">
                  <c:v>Beth English</c:v>
                </c:pt>
                <c:pt idx="91">
                  <c:v>Betsy Gibson</c:v>
                </c:pt>
                <c:pt idx="92">
                  <c:v>Betsy Puckett</c:v>
                </c:pt>
                <c:pt idx="93">
                  <c:v>Betty Giles</c:v>
                </c:pt>
                <c:pt idx="94">
                  <c:v>Beverly Cameron</c:v>
                </c:pt>
                <c:pt idx="95">
                  <c:v>Beverly Cooke Brooks</c:v>
                </c:pt>
                <c:pt idx="96">
                  <c:v>Beverly Roberts</c:v>
                </c:pt>
                <c:pt idx="97">
                  <c:v>Billie Fowler</c:v>
                </c:pt>
                <c:pt idx="98">
                  <c:v>Billie Stern</c:v>
                </c:pt>
                <c:pt idx="99">
                  <c:v>Billy Hale</c:v>
                </c:pt>
                <c:pt idx="100">
                  <c:v>Billy Perry Browning</c:v>
                </c:pt>
                <c:pt idx="101">
                  <c:v>Bob Berg</c:v>
                </c:pt>
                <c:pt idx="102">
                  <c:v>Bob Gibson</c:v>
                </c:pt>
                <c:pt idx="103">
                  <c:v>Bobby Clements</c:v>
                </c:pt>
                <c:pt idx="104">
                  <c:v>Bobby Powell</c:v>
                </c:pt>
                <c:pt idx="105">
                  <c:v>Bonnie Chambers</c:v>
                </c:pt>
                <c:pt idx="106">
                  <c:v>Bonnie Matthews Rowland</c:v>
                </c:pt>
                <c:pt idx="107">
                  <c:v>Bonnie Potter</c:v>
                </c:pt>
                <c:pt idx="108">
                  <c:v>Brad H Blake</c:v>
                </c:pt>
                <c:pt idx="109">
                  <c:v>Brad Stark</c:v>
                </c:pt>
                <c:pt idx="110">
                  <c:v>Bradley Pollock</c:v>
                </c:pt>
                <c:pt idx="111">
                  <c:v>Bradley Schroeder</c:v>
                </c:pt>
                <c:pt idx="112">
                  <c:v>Brandon Beach</c:v>
                </c:pt>
                <c:pt idx="113">
                  <c:v>Brandon E Shepherd</c:v>
                </c:pt>
                <c:pt idx="114">
                  <c:v>Brenda Jain</c:v>
                </c:pt>
                <c:pt idx="115">
                  <c:v>Brenda May</c:v>
                </c:pt>
                <c:pt idx="116">
                  <c:v>Brenda Nelson Blanchard</c:v>
                </c:pt>
                <c:pt idx="117">
                  <c:v>Brenda Ross</c:v>
                </c:pt>
                <c:pt idx="118">
                  <c:v>Brett Hawkins</c:v>
                </c:pt>
                <c:pt idx="119">
                  <c:v>Brett Ingram</c:v>
                </c:pt>
                <c:pt idx="120">
                  <c:v>Brett Schultz</c:v>
                </c:pt>
                <c:pt idx="121">
                  <c:v>Brian Bennett</c:v>
                </c:pt>
                <c:pt idx="122">
                  <c:v>Brian Grady</c:v>
                </c:pt>
                <c:pt idx="123">
                  <c:v>Brian Leach</c:v>
                </c:pt>
                <c:pt idx="124">
                  <c:v>Brooke Lancaster</c:v>
                </c:pt>
                <c:pt idx="125">
                  <c:v>Brooke Shepherd</c:v>
                </c:pt>
                <c:pt idx="126">
                  <c:v>Brooke Weeks Taylor</c:v>
                </c:pt>
                <c:pt idx="127">
                  <c:v>Bruce Stark</c:v>
                </c:pt>
                <c:pt idx="128">
                  <c:v>Calvin Boyette</c:v>
                </c:pt>
                <c:pt idx="129">
                  <c:v>Calvin Conway</c:v>
                </c:pt>
                <c:pt idx="130">
                  <c:v>Calvin Parsons Walter</c:v>
                </c:pt>
                <c:pt idx="131">
                  <c:v>Cameron Kendall</c:v>
                </c:pt>
                <c:pt idx="132">
                  <c:v>Cameron Owens</c:v>
                </c:pt>
                <c:pt idx="133">
                  <c:v>Carla Hauser</c:v>
                </c:pt>
                <c:pt idx="134">
                  <c:v>Carlos Adkins</c:v>
                </c:pt>
                <c:pt idx="135">
                  <c:v>Carlos Byrd</c:v>
                </c:pt>
                <c:pt idx="136">
                  <c:v>Carlos Hanson</c:v>
                </c:pt>
                <c:pt idx="137">
                  <c:v>Carlos Hess</c:v>
                </c:pt>
                <c:pt idx="138">
                  <c:v>Carmen Elmore</c:v>
                </c:pt>
                <c:pt idx="139">
                  <c:v>Carmen McPherson</c:v>
                </c:pt>
                <c:pt idx="140">
                  <c:v>Carol Saunders</c:v>
                </c:pt>
                <c:pt idx="141">
                  <c:v>Carol Sherrill</c:v>
                </c:pt>
                <c:pt idx="142">
                  <c:v>Carol Wood</c:v>
                </c:pt>
                <c:pt idx="143">
                  <c:v>Carole Creech</c:v>
                </c:pt>
                <c:pt idx="144">
                  <c:v>Carole Miller</c:v>
                </c:pt>
                <c:pt idx="145">
                  <c:v>Carole Rosen</c:v>
                </c:pt>
                <c:pt idx="146">
                  <c:v>Caroline Johnston</c:v>
                </c:pt>
                <c:pt idx="147">
                  <c:v>Caroline Stone</c:v>
                </c:pt>
                <c:pt idx="148">
                  <c:v>Carolyn Bowling</c:v>
                </c:pt>
                <c:pt idx="149">
                  <c:v>Carolyn Fisher</c:v>
                </c:pt>
                <c:pt idx="150">
                  <c:v>Carolyn Greer</c:v>
                </c:pt>
                <c:pt idx="151">
                  <c:v>Carolyn Hoffman</c:v>
                </c:pt>
                <c:pt idx="152">
                  <c:v>Carolyn Proctor</c:v>
                </c:pt>
                <c:pt idx="153">
                  <c:v>Carrie Duke</c:v>
                </c:pt>
                <c:pt idx="154">
                  <c:v>Carrie High</c:v>
                </c:pt>
                <c:pt idx="155">
                  <c:v>Carrie Lewis</c:v>
                </c:pt>
                <c:pt idx="156">
                  <c:v>Carrie McIntosh</c:v>
                </c:pt>
                <c:pt idx="157">
                  <c:v>Catherine Dorsey Burnett</c:v>
                </c:pt>
                <c:pt idx="158">
                  <c:v>Catherine Mullins</c:v>
                </c:pt>
                <c:pt idx="159">
                  <c:v>Cathy Burgess</c:v>
                </c:pt>
                <c:pt idx="160">
                  <c:v>Cathy Simon</c:v>
                </c:pt>
                <c:pt idx="161">
                  <c:v>Chad Henson</c:v>
                </c:pt>
                <c:pt idx="162">
                  <c:v>Charles Cline</c:v>
                </c:pt>
                <c:pt idx="163">
                  <c:v>Charles Ward</c:v>
                </c:pt>
                <c:pt idx="164">
                  <c:v>Charlie Moore</c:v>
                </c:pt>
                <c:pt idx="165">
                  <c:v>Charlotte L Doyle</c:v>
                </c:pt>
                <c:pt idx="166">
                  <c:v>Charlotte Patterson</c:v>
                </c:pt>
                <c:pt idx="167">
                  <c:v>Cheryl Guthrie</c:v>
                </c:pt>
                <c:pt idx="168">
                  <c:v>Chris F Brandt</c:v>
                </c:pt>
                <c:pt idx="169">
                  <c:v>Chris Ford</c:v>
                </c:pt>
                <c:pt idx="170">
                  <c:v>Chris Pritchard</c:v>
                </c:pt>
                <c:pt idx="171">
                  <c:v>Christian Albright</c:v>
                </c:pt>
                <c:pt idx="172">
                  <c:v>Christina Hanna</c:v>
                </c:pt>
                <c:pt idx="173">
                  <c:v>Christina Matthews</c:v>
                </c:pt>
                <c:pt idx="174">
                  <c:v>Christina Zhu</c:v>
                </c:pt>
                <c:pt idx="175">
                  <c:v>Christopher Bryant</c:v>
                </c:pt>
                <c:pt idx="176">
                  <c:v>Christopher High</c:v>
                </c:pt>
                <c:pt idx="177">
                  <c:v>Christopher Meadows</c:v>
                </c:pt>
                <c:pt idx="178">
                  <c:v>Christopher Norton Patterson</c:v>
                </c:pt>
                <c:pt idx="179">
                  <c:v>Cindy Harvey</c:v>
                </c:pt>
                <c:pt idx="180">
                  <c:v>Cindy McLeod</c:v>
                </c:pt>
                <c:pt idx="181">
                  <c:v>Claire Warren</c:v>
                </c:pt>
                <c:pt idx="182">
                  <c:v>Clara Kaplan</c:v>
                </c:pt>
                <c:pt idx="183">
                  <c:v>Clarence Crowder</c:v>
                </c:pt>
                <c:pt idx="184">
                  <c:v>Claudia Boyle</c:v>
                </c:pt>
                <c:pt idx="185">
                  <c:v>Claudia Webb</c:v>
                </c:pt>
                <c:pt idx="186">
                  <c:v>Claudia White</c:v>
                </c:pt>
                <c:pt idx="187">
                  <c:v>Clifford Webb</c:v>
                </c:pt>
                <c:pt idx="188">
                  <c:v>Clyde Burnett</c:v>
                </c:pt>
                <c:pt idx="189">
                  <c:v>Colleen Andrews</c:v>
                </c:pt>
                <c:pt idx="190">
                  <c:v>Colleen Fletcher</c:v>
                </c:pt>
                <c:pt idx="191">
                  <c:v>Colleen Marsh</c:v>
                </c:pt>
                <c:pt idx="192">
                  <c:v>Connie Bunn</c:v>
                </c:pt>
                <c:pt idx="193">
                  <c:v>Constance Flowers</c:v>
                </c:pt>
                <c:pt idx="194">
                  <c:v>Constance Robertson</c:v>
                </c:pt>
                <c:pt idx="195">
                  <c:v>Courtney Boyd</c:v>
                </c:pt>
                <c:pt idx="196">
                  <c:v>Courtney Nelson</c:v>
                </c:pt>
                <c:pt idx="197">
                  <c:v>Craig Bennett</c:v>
                </c:pt>
                <c:pt idx="198">
                  <c:v>Craig Liu</c:v>
                </c:pt>
                <c:pt idx="199">
                  <c:v>Crystal Crabtree</c:v>
                </c:pt>
                <c:pt idx="200">
                  <c:v>Crystal Floyd</c:v>
                </c:pt>
                <c:pt idx="201">
                  <c:v>Curtis O'Connell</c:v>
                </c:pt>
                <c:pt idx="202">
                  <c:v>Cynthia Khan</c:v>
                </c:pt>
                <c:pt idx="203">
                  <c:v>Dale Gillespie</c:v>
                </c:pt>
                <c:pt idx="204">
                  <c:v>Dan Lamm</c:v>
                </c:pt>
                <c:pt idx="205">
                  <c:v>Dana Boyle</c:v>
                </c:pt>
                <c:pt idx="206">
                  <c:v>Dana Burgess</c:v>
                </c:pt>
                <c:pt idx="207">
                  <c:v>Dana Rankin</c:v>
                </c:pt>
                <c:pt idx="208">
                  <c:v>Dana Sharpe</c:v>
                </c:pt>
                <c:pt idx="209">
                  <c:v>Dana Teague</c:v>
                </c:pt>
                <c:pt idx="210">
                  <c:v>Dana Waller</c:v>
                </c:pt>
                <c:pt idx="211">
                  <c:v>Daniel Christian</c:v>
                </c:pt>
                <c:pt idx="212">
                  <c:v>Daniel Huff</c:v>
                </c:pt>
                <c:pt idx="213">
                  <c:v>Daniel Richmond</c:v>
                </c:pt>
                <c:pt idx="214">
                  <c:v>Danielle Baird</c:v>
                </c:pt>
                <c:pt idx="215">
                  <c:v>Danielle Daniel</c:v>
                </c:pt>
                <c:pt idx="216">
                  <c:v>Danielle Kramer</c:v>
                </c:pt>
                <c:pt idx="217">
                  <c:v>Danielle Myers</c:v>
                </c:pt>
                <c:pt idx="218">
                  <c:v>Danielle P Rao</c:v>
                </c:pt>
                <c:pt idx="219">
                  <c:v>Danielle Schneider</c:v>
                </c:pt>
                <c:pt idx="220">
                  <c:v>Danielle Watts</c:v>
                </c:pt>
                <c:pt idx="221">
                  <c:v>Danny Hong</c:v>
                </c:pt>
                <c:pt idx="222">
                  <c:v>Danny Richmond</c:v>
                </c:pt>
                <c:pt idx="223">
                  <c:v>Danny Vaughn</c:v>
                </c:pt>
                <c:pt idx="224">
                  <c:v>David Hoyle</c:v>
                </c:pt>
                <c:pt idx="225">
                  <c:v>David Powell</c:v>
                </c:pt>
                <c:pt idx="226">
                  <c:v>David Weaver</c:v>
                </c:pt>
                <c:pt idx="227">
                  <c:v>David Wrenn</c:v>
                </c:pt>
                <c:pt idx="228">
                  <c:v>Dawn Larson</c:v>
                </c:pt>
                <c:pt idx="229">
                  <c:v>Dean Solomon</c:v>
                </c:pt>
                <c:pt idx="230">
                  <c:v>Debbie Dillon</c:v>
                </c:pt>
                <c:pt idx="231">
                  <c:v>Debbie Hsu</c:v>
                </c:pt>
                <c:pt idx="232">
                  <c:v>Debbie Stevenson</c:v>
                </c:pt>
                <c:pt idx="233">
                  <c:v>Deborah Paul</c:v>
                </c:pt>
                <c:pt idx="234">
                  <c:v>Debra Batchelor</c:v>
                </c:pt>
                <c:pt idx="235">
                  <c:v>Debra Block</c:v>
                </c:pt>
                <c:pt idx="236">
                  <c:v>Debra P May</c:v>
                </c:pt>
                <c:pt idx="237">
                  <c:v>Debra Proctor</c:v>
                </c:pt>
                <c:pt idx="238">
                  <c:v>Denise Carver</c:v>
                </c:pt>
                <c:pt idx="239">
                  <c:v>Denise McIntosh</c:v>
                </c:pt>
                <c:pt idx="240">
                  <c:v>Denise Parks</c:v>
                </c:pt>
                <c:pt idx="241">
                  <c:v>Dennis Block Richardson</c:v>
                </c:pt>
                <c:pt idx="242">
                  <c:v>Dennis Bowen</c:v>
                </c:pt>
                <c:pt idx="243">
                  <c:v>Dennis Boykin Townsend</c:v>
                </c:pt>
                <c:pt idx="244">
                  <c:v>Dennis Welch</c:v>
                </c:pt>
                <c:pt idx="245">
                  <c:v>Derek Jernigan</c:v>
                </c:pt>
                <c:pt idx="246">
                  <c:v>Derek McCormick</c:v>
                </c:pt>
                <c:pt idx="247">
                  <c:v>Derek Sweeney</c:v>
                </c:pt>
                <c:pt idx="248">
                  <c:v>Diana Coble Hubbard</c:v>
                </c:pt>
                <c:pt idx="249">
                  <c:v>Diana Xu</c:v>
                </c:pt>
                <c:pt idx="250">
                  <c:v>Diane Barr</c:v>
                </c:pt>
                <c:pt idx="251">
                  <c:v>Diane Lu</c:v>
                </c:pt>
                <c:pt idx="252">
                  <c:v>Dolores Abrams</c:v>
                </c:pt>
                <c:pt idx="253">
                  <c:v>Don Beard</c:v>
                </c:pt>
                <c:pt idx="254">
                  <c:v>Don Cameron</c:v>
                </c:pt>
                <c:pt idx="255">
                  <c:v>Don Rogers</c:v>
                </c:pt>
                <c:pt idx="256">
                  <c:v>Donald Melton</c:v>
                </c:pt>
                <c:pt idx="257">
                  <c:v>Donna Block</c:v>
                </c:pt>
                <c:pt idx="258">
                  <c:v>Donna Braun</c:v>
                </c:pt>
                <c:pt idx="259">
                  <c:v>Donna Craven</c:v>
                </c:pt>
                <c:pt idx="260">
                  <c:v>Doris Fitzpatrick</c:v>
                </c:pt>
                <c:pt idx="261">
                  <c:v>Dorothy Buchanan</c:v>
                </c:pt>
                <c:pt idx="262">
                  <c:v>Dorothy Holt</c:v>
                </c:pt>
                <c:pt idx="263">
                  <c:v>Douglas Buck</c:v>
                </c:pt>
                <c:pt idx="264">
                  <c:v>Douglas Sutton</c:v>
                </c:pt>
                <c:pt idx="265">
                  <c:v>Dwight Albright Huffman</c:v>
                </c:pt>
                <c:pt idx="266">
                  <c:v>Dwight Bishop</c:v>
                </c:pt>
                <c:pt idx="267">
                  <c:v>Dwight M Carr</c:v>
                </c:pt>
                <c:pt idx="268">
                  <c:v>Dwight Robinson</c:v>
                </c:pt>
                <c:pt idx="269">
                  <c:v>Dwight Stephenson</c:v>
                </c:pt>
                <c:pt idx="270">
                  <c:v>Earl Alston</c:v>
                </c:pt>
                <c:pt idx="271">
                  <c:v>Earl Buck</c:v>
                </c:pt>
                <c:pt idx="272">
                  <c:v>Earl Donnelly</c:v>
                </c:pt>
                <c:pt idx="273">
                  <c:v>Earl Roy</c:v>
                </c:pt>
                <c:pt idx="274">
                  <c:v>Earl Watts</c:v>
                </c:pt>
                <c:pt idx="275">
                  <c:v>Eddie House Mueller</c:v>
                </c:pt>
                <c:pt idx="276">
                  <c:v>Eddie Walker</c:v>
                </c:pt>
                <c:pt idx="277">
                  <c:v>Edgar Kumar</c:v>
                </c:pt>
                <c:pt idx="278">
                  <c:v>Edgar McKenzie</c:v>
                </c:pt>
                <c:pt idx="279">
                  <c:v>Edgar Stone</c:v>
                </c:pt>
                <c:pt idx="280">
                  <c:v>Edith Forbes</c:v>
                </c:pt>
                <c:pt idx="281">
                  <c:v>Edith Reynolds</c:v>
                </c:pt>
                <c:pt idx="282">
                  <c:v>Edna Freeman</c:v>
                </c:pt>
                <c:pt idx="283">
                  <c:v>Edna Huang</c:v>
                </c:pt>
                <c:pt idx="284">
                  <c:v>Edna Michael</c:v>
                </c:pt>
                <c:pt idx="285">
                  <c:v>Edna Monroe Talley</c:v>
                </c:pt>
                <c:pt idx="286">
                  <c:v>Edna Pierce</c:v>
                </c:pt>
                <c:pt idx="287">
                  <c:v>Edna Thomas</c:v>
                </c:pt>
                <c:pt idx="288">
                  <c:v>Edward Bynum</c:v>
                </c:pt>
                <c:pt idx="289">
                  <c:v>Edward Lamm</c:v>
                </c:pt>
                <c:pt idx="290">
                  <c:v>Edward Leonard</c:v>
                </c:pt>
                <c:pt idx="291">
                  <c:v>Edward McKenzie</c:v>
                </c:pt>
                <c:pt idx="292">
                  <c:v>Edward Pugh</c:v>
                </c:pt>
                <c:pt idx="293">
                  <c:v>Edwin Blackburn</c:v>
                </c:pt>
                <c:pt idx="294">
                  <c:v>Edwin Chung</c:v>
                </c:pt>
                <c:pt idx="295">
                  <c:v>Edwin Coley</c:v>
                </c:pt>
                <c:pt idx="296">
                  <c:v>Eileen Cheek</c:v>
                </c:pt>
                <c:pt idx="297">
                  <c:v>Eileen Dalton</c:v>
                </c:pt>
                <c:pt idx="298">
                  <c:v>Eileen Fletcher</c:v>
                </c:pt>
                <c:pt idx="299">
                  <c:v>Eileen McDonald</c:v>
                </c:pt>
                <c:pt idx="300">
                  <c:v>Eileen Riddle</c:v>
                </c:pt>
                <c:pt idx="301">
                  <c:v>Eileen Schwartz</c:v>
                </c:pt>
                <c:pt idx="302">
                  <c:v>Eleanor Swain</c:v>
                </c:pt>
                <c:pt idx="303">
                  <c:v>Elisabeth Massey</c:v>
                </c:pt>
                <c:pt idx="304">
                  <c:v>Elisabeth Shaw</c:v>
                </c:pt>
                <c:pt idx="305">
                  <c:v>Ellen Beck</c:v>
                </c:pt>
                <c:pt idx="306">
                  <c:v>Ellen McCormick</c:v>
                </c:pt>
                <c:pt idx="307">
                  <c:v>Ellen Sparks</c:v>
                </c:pt>
                <c:pt idx="308">
                  <c:v>Elsie Boykin</c:v>
                </c:pt>
                <c:pt idx="309">
                  <c:v>Elsie Floyd</c:v>
                </c:pt>
                <c:pt idx="310">
                  <c:v>Elsie Hwang</c:v>
                </c:pt>
                <c:pt idx="311">
                  <c:v>Elsie Lane</c:v>
                </c:pt>
                <c:pt idx="312">
                  <c:v>Elsie Pridgen</c:v>
                </c:pt>
                <c:pt idx="313">
                  <c:v>Emily Sims</c:v>
                </c:pt>
                <c:pt idx="314">
                  <c:v>Emma Bloom</c:v>
                </c:pt>
                <c:pt idx="315">
                  <c:v>Emma Buckley</c:v>
                </c:pt>
                <c:pt idx="316">
                  <c:v>Eric West</c:v>
                </c:pt>
                <c:pt idx="317">
                  <c:v>Erica R Fuller</c:v>
                </c:pt>
                <c:pt idx="318">
                  <c:v>Erik Barr</c:v>
                </c:pt>
                <c:pt idx="319">
                  <c:v>Erika Clapp</c:v>
                </c:pt>
                <c:pt idx="320">
                  <c:v>Erika Fink</c:v>
                </c:pt>
                <c:pt idx="321">
                  <c:v>Erika Jordan</c:v>
                </c:pt>
                <c:pt idx="322">
                  <c:v>Erika Morgan</c:v>
                </c:pt>
                <c:pt idx="323">
                  <c:v>Erin Ballard</c:v>
                </c:pt>
                <c:pt idx="324">
                  <c:v>Ernest Barber</c:v>
                </c:pt>
                <c:pt idx="325">
                  <c:v>Ernest Oh</c:v>
                </c:pt>
                <c:pt idx="326">
                  <c:v>Ernest Peele</c:v>
                </c:pt>
                <c:pt idx="327">
                  <c:v>Esther Whitaker</c:v>
                </c:pt>
                <c:pt idx="328">
                  <c:v>Eugene Brewer Knox</c:v>
                </c:pt>
                <c:pt idx="329">
                  <c:v>Eugene Clayton</c:v>
                </c:pt>
                <c:pt idx="330">
                  <c:v>Eugene H Walsh</c:v>
                </c:pt>
                <c:pt idx="331">
                  <c:v>Eugene Kerr</c:v>
                </c:pt>
                <c:pt idx="332">
                  <c:v>Eva Decker</c:v>
                </c:pt>
                <c:pt idx="333">
                  <c:v>Eva Silverman</c:v>
                </c:pt>
                <c:pt idx="334">
                  <c:v>Eva Simpson</c:v>
                </c:pt>
                <c:pt idx="335">
                  <c:v>Evan Adkins</c:v>
                </c:pt>
                <c:pt idx="336">
                  <c:v>Evan K Bullard</c:v>
                </c:pt>
                <c:pt idx="337">
                  <c:v>Evan Kelley</c:v>
                </c:pt>
                <c:pt idx="338">
                  <c:v>Faye Dyer</c:v>
                </c:pt>
                <c:pt idx="339">
                  <c:v>Faye Hanna</c:v>
                </c:pt>
                <c:pt idx="340">
                  <c:v>Faye Manning</c:v>
                </c:pt>
                <c:pt idx="341">
                  <c:v>Faye Silver</c:v>
                </c:pt>
                <c:pt idx="342">
                  <c:v>Faye Wolf</c:v>
                </c:pt>
                <c:pt idx="343">
                  <c:v>Florence Gold</c:v>
                </c:pt>
                <c:pt idx="344">
                  <c:v>Floyd Dale</c:v>
                </c:pt>
                <c:pt idx="345">
                  <c:v>Frances Holt</c:v>
                </c:pt>
                <c:pt idx="346">
                  <c:v>Frances Jackson</c:v>
                </c:pt>
                <c:pt idx="347">
                  <c:v>Frances Johnson</c:v>
                </c:pt>
                <c:pt idx="348">
                  <c:v>Frances Powers</c:v>
                </c:pt>
                <c:pt idx="349">
                  <c:v>Frances Saunders</c:v>
                </c:pt>
                <c:pt idx="350">
                  <c:v>Francis Evans</c:v>
                </c:pt>
                <c:pt idx="351">
                  <c:v>Francis I Davis</c:v>
                </c:pt>
                <c:pt idx="352">
                  <c:v>Francis Kendall</c:v>
                </c:pt>
                <c:pt idx="353">
                  <c:v>Francis Sherrill</c:v>
                </c:pt>
                <c:pt idx="354">
                  <c:v>Francis Spivey</c:v>
                </c:pt>
                <c:pt idx="355">
                  <c:v>Frank Cross</c:v>
                </c:pt>
                <c:pt idx="356">
                  <c:v>Frank Hess</c:v>
                </c:pt>
                <c:pt idx="357">
                  <c:v>Franklin Spencer</c:v>
                </c:pt>
                <c:pt idx="358">
                  <c:v>Fred Barber</c:v>
                </c:pt>
                <c:pt idx="359">
                  <c:v>Gail Currin</c:v>
                </c:pt>
                <c:pt idx="360">
                  <c:v>Gail Rankin Cole</c:v>
                </c:pt>
                <c:pt idx="361">
                  <c:v>Gary Frazier</c:v>
                </c:pt>
                <c:pt idx="362">
                  <c:v>Gary Hester</c:v>
                </c:pt>
                <c:pt idx="363">
                  <c:v>Gary Koch</c:v>
                </c:pt>
                <c:pt idx="364">
                  <c:v>Gayle Pearson</c:v>
                </c:pt>
                <c:pt idx="365">
                  <c:v>Gene Gilliam</c:v>
                </c:pt>
                <c:pt idx="366">
                  <c:v>Gene Heath Cross</c:v>
                </c:pt>
                <c:pt idx="367">
                  <c:v>Geoffrey H Wong</c:v>
                </c:pt>
                <c:pt idx="368">
                  <c:v>Geoffrey Koch</c:v>
                </c:pt>
                <c:pt idx="369">
                  <c:v>Geoffrey Rivera</c:v>
                </c:pt>
                <c:pt idx="370">
                  <c:v>Geoffrey Saunders</c:v>
                </c:pt>
                <c:pt idx="371">
                  <c:v>Geoffrey Zhu</c:v>
                </c:pt>
                <c:pt idx="372">
                  <c:v>George McLamb</c:v>
                </c:pt>
                <c:pt idx="373">
                  <c:v>George Terry</c:v>
                </c:pt>
                <c:pt idx="374">
                  <c:v>Gerald Crabtree</c:v>
                </c:pt>
                <c:pt idx="375">
                  <c:v>Gerald Kearney</c:v>
                </c:pt>
                <c:pt idx="376">
                  <c:v>Gerald Love</c:v>
                </c:pt>
                <c:pt idx="377">
                  <c:v>Gerald Petty</c:v>
                </c:pt>
                <c:pt idx="378">
                  <c:v>Gerald Raynor</c:v>
                </c:pt>
                <c:pt idx="379">
                  <c:v>Geraldine Puckett</c:v>
                </c:pt>
                <c:pt idx="380">
                  <c:v>Gilbert Godfrey</c:v>
                </c:pt>
                <c:pt idx="381">
                  <c:v>Gilbert Scarborough</c:v>
                </c:pt>
                <c:pt idx="382">
                  <c:v>Gina B Hess</c:v>
                </c:pt>
                <c:pt idx="383">
                  <c:v>Gina Curry</c:v>
                </c:pt>
                <c:pt idx="384">
                  <c:v>Gina McKnight</c:v>
                </c:pt>
                <c:pt idx="385">
                  <c:v>Gladys Holloway</c:v>
                </c:pt>
                <c:pt idx="386">
                  <c:v>Glen Caldwell</c:v>
                </c:pt>
                <c:pt idx="387">
                  <c:v>Glen Newman</c:v>
                </c:pt>
                <c:pt idx="388">
                  <c:v>Glen Robertson</c:v>
                </c:pt>
                <c:pt idx="389">
                  <c:v>Glenda Herbert</c:v>
                </c:pt>
                <c:pt idx="390">
                  <c:v>Glenda Hunter</c:v>
                </c:pt>
                <c:pt idx="391">
                  <c:v>Glenda Simon</c:v>
                </c:pt>
                <c:pt idx="392">
                  <c:v>Gloria Jacobs</c:v>
                </c:pt>
                <c:pt idx="393">
                  <c:v>Gordon Boswell</c:v>
                </c:pt>
                <c:pt idx="394">
                  <c:v>Gordon Brandt</c:v>
                </c:pt>
                <c:pt idx="395">
                  <c:v>Gordon Lyon</c:v>
                </c:pt>
                <c:pt idx="396">
                  <c:v>Gordon Walker</c:v>
                </c:pt>
                <c:pt idx="397">
                  <c:v>Grace Black</c:v>
                </c:pt>
                <c:pt idx="398">
                  <c:v>Grace McNeill Hunt</c:v>
                </c:pt>
                <c:pt idx="399">
                  <c:v>Gregory Crane</c:v>
                </c:pt>
                <c:pt idx="400">
                  <c:v>Gregory Holden</c:v>
                </c:pt>
                <c:pt idx="401">
                  <c:v>Gregory R Snow</c:v>
                </c:pt>
                <c:pt idx="402">
                  <c:v>Gregory Rao</c:v>
                </c:pt>
                <c:pt idx="403">
                  <c:v>Gretchen Ball</c:v>
                </c:pt>
                <c:pt idx="404">
                  <c:v>Gretchen Best Wilkins</c:v>
                </c:pt>
                <c:pt idx="405">
                  <c:v>Gretchen Levine</c:v>
                </c:pt>
                <c:pt idx="406">
                  <c:v>Gretchen McKinney</c:v>
                </c:pt>
                <c:pt idx="407">
                  <c:v>Gretchen Orr</c:v>
                </c:pt>
                <c:pt idx="408">
                  <c:v>Guy Gallagher</c:v>
                </c:pt>
                <c:pt idx="409">
                  <c:v>Guy McDonald</c:v>
                </c:pt>
                <c:pt idx="410">
                  <c:v>Gwendolyn F Tyson</c:v>
                </c:pt>
                <c:pt idx="411">
                  <c:v>Hannah Carver</c:v>
                </c:pt>
                <c:pt idx="412">
                  <c:v>Hannah Tyson</c:v>
                </c:pt>
                <c:pt idx="413">
                  <c:v>Harold Albright</c:v>
                </c:pt>
                <c:pt idx="414">
                  <c:v>Harriet Bowman</c:v>
                </c:pt>
                <c:pt idx="415">
                  <c:v>Harriet Hodges</c:v>
                </c:pt>
                <c:pt idx="416">
                  <c:v>Harriet Moore</c:v>
                </c:pt>
                <c:pt idx="417">
                  <c:v>Harriet Wooten</c:v>
                </c:pt>
                <c:pt idx="418">
                  <c:v>Harry Burns</c:v>
                </c:pt>
                <c:pt idx="419">
                  <c:v>Harry Sellers</c:v>
                </c:pt>
                <c:pt idx="420">
                  <c:v>Hazel Dale</c:v>
                </c:pt>
                <c:pt idx="421">
                  <c:v>Hazel Jennings</c:v>
                </c:pt>
                <c:pt idx="422">
                  <c:v>Hazel Jones</c:v>
                </c:pt>
                <c:pt idx="423">
                  <c:v>Hazel Khan</c:v>
                </c:pt>
                <c:pt idx="424">
                  <c:v>Heather Stern</c:v>
                </c:pt>
                <c:pt idx="425">
                  <c:v>Helen Dickerson</c:v>
                </c:pt>
                <c:pt idx="426">
                  <c:v>Helen Ferguson</c:v>
                </c:pt>
                <c:pt idx="427">
                  <c:v>Helen H Heller</c:v>
                </c:pt>
                <c:pt idx="428">
                  <c:v>Helen H Murphy</c:v>
                </c:pt>
                <c:pt idx="429">
                  <c:v>Helen Lyons</c:v>
                </c:pt>
                <c:pt idx="430">
                  <c:v>Helen Simpson</c:v>
                </c:pt>
                <c:pt idx="431">
                  <c:v>Helen Stein</c:v>
                </c:pt>
                <c:pt idx="432">
                  <c:v>Henry Ball</c:v>
                </c:pt>
                <c:pt idx="433">
                  <c:v>Henry O'Connell</c:v>
                </c:pt>
                <c:pt idx="434">
                  <c:v>Herbert Beard</c:v>
                </c:pt>
                <c:pt idx="435">
                  <c:v>Herbert Donnelly Swanson</c:v>
                </c:pt>
                <c:pt idx="436">
                  <c:v>Herbert Holden</c:v>
                </c:pt>
                <c:pt idx="437">
                  <c:v>Herbert Williamson</c:v>
                </c:pt>
                <c:pt idx="438">
                  <c:v>Hilda Bennett</c:v>
                </c:pt>
                <c:pt idx="439">
                  <c:v>Holly Osborne</c:v>
                </c:pt>
                <c:pt idx="440">
                  <c:v>Holly Pate</c:v>
                </c:pt>
                <c:pt idx="441">
                  <c:v>Howard Burnett</c:v>
                </c:pt>
                <c:pt idx="442">
                  <c:v>Howard Rogers</c:v>
                </c:pt>
                <c:pt idx="443">
                  <c:v>Ian Hall</c:v>
                </c:pt>
                <c:pt idx="444">
                  <c:v>Irene Li</c:v>
                </c:pt>
                <c:pt idx="445">
                  <c:v>Irene Murphy</c:v>
                </c:pt>
                <c:pt idx="446">
                  <c:v>Jack Hatcher</c:v>
                </c:pt>
                <c:pt idx="447">
                  <c:v>Jack Horn</c:v>
                </c:pt>
                <c:pt idx="448">
                  <c:v>Jack Morse</c:v>
                </c:pt>
                <c:pt idx="449">
                  <c:v>Jackie Burke</c:v>
                </c:pt>
                <c:pt idx="450">
                  <c:v>Jackie Capps</c:v>
                </c:pt>
                <c:pt idx="451">
                  <c:v>Jackie Flynn</c:v>
                </c:pt>
                <c:pt idx="452">
                  <c:v>Jackie McCullough</c:v>
                </c:pt>
                <c:pt idx="453">
                  <c:v>Jacob Burgess</c:v>
                </c:pt>
                <c:pt idx="454">
                  <c:v>Jacob Hirsch</c:v>
                </c:pt>
                <c:pt idx="455">
                  <c:v>Jacob Lanier</c:v>
                </c:pt>
                <c:pt idx="456">
                  <c:v>Jacob McNeill</c:v>
                </c:pt>
                <c:pt idx="457">
                  <c:v>Jacob Murray</c:v>
                </c:pt>
                <c:pt idx="458">
                  <c:v>Jacqueline Noble</c:v>
                </c:pt>
                <c:pt idx="459">
                  <c:v>James Beck</c:v>
                </c:pt>
                <c:pt idx="460">
                  <c:v>James Davenport</c:v>
                </c:pt>
                <c:pt idx="461">
                  <c:v>James Dickinson Ball</c:v>
                </c:pt>
                <c:pt idx="462">
                  <c:v>James Hunter</c:v>
                </c:pt>
                <c:pt idx="463">
                  <c:v>James Nicholson</c:v>
                </c:pt>
                <c:pt idx="464">
                  <c:v>Jamie Manning</c:v>
                </c:pt>
                <c:pt idx="465">
                  <c:v>Jamie Ward</c:v>
                </c:pt>
                <c:pt idx="466">
                  <c:v>Jane Shah</c:v>
                </c:pt>
                <c:pt idx="467">
                  <c:v>Janet McCullough</c:v>
                </c:pt>
                <c:pt idx="468">
                  <c:v>Janet Zhang</c:v>
                </c:pt>
                <c:pt idx="469">
                  <c:v>Janice Boswell</c:v>
                </c:pt>
                <c:pt idx="470">
                  <c:v>Janice Cole</c:v>
                </c:pt>
                <c:pt idx="471">
                  <c:v>Janice Frye</c:v>
                </c:pt>
                <c:pt idx="472">
                  <c:v>Jason Bray</c:v>
                </c:pt>
                <c:pt idx="473">
                  <c:v>Jay Hubbard</c:v>
                </c:pt>
                <c:pt idx="474">
                  <c:v>Jay Simon</c:v>
                </c:pt>
                <c:pt idx="475">
                  <c:v>Jean Khan</c:v>
                </c:pt>
                <c:pt idx="476">
                  <c:v>Jean Webster</c:v>
                </c:pt>
                <c:pt idx="477">
                  <c:v>Jean Weiss Diaz</c:v>
                </c:pt>
                <c:pt idx="478">
                  <c:v>Jeanette Davies</c:v>
                </c:pt>
                <c:pt idx="479">
                  <c:v>Jeanne Nguyen</c:v>
                </c:pt>
                <c:pt idx="480">
                  <c:v>Jeanne Walker</c:v>
                </c:pt>
                <c:pt idx="481">
                  <c:v>Jeanne Werner</c:v>
                </c:pt>
                <c:pt idx="482">
                  <c:v>Jeff Meadows</c:v>
                </c:pt>
                <c:pt idx="483">
                  <c:v>Jeff Spivey</c:v>
                </c:pt>
                <c:pt idx="484">
                  <c:v>Jeffrey Cheng</c:v>
                </c:pt>
                <c:pt idx="485">
                  <c:v>Jeffrey Lloyd</c:v>
                </c:pt>
                <c:pt idx="486">
                  <c:v>Jeffrey Mueller</c:v>
                </c:pt>
                <c:pt idx="487">
                  <c:v>Jeffrey Page</c:v>
                </c:pt>
                <c:pt idx="488">
                  <c:v>Jennifer Siegel</c:v>
                </c:pt>
                <c:pt idx="489">
                  <c:v>Jennifer Stanton</c:v>
                </c:pt>
                <c:pt idx="490">
                  <c:v>Jennifer Zimmerman</c:v>
                </c:pt>
                <c:pt idx="491">
                  <c:v>Jenny Gold</c:v>
                </c:pt>
                <c:pt idx="492">
                  <c:v>Jenny Hawkins</c:v>
                </c:pt>
                <c:pt idx="493">
                  <c:v>Jenny Petty</c:v>
                </c:pt>
                <c:pt idx="494">
                  <c:v>Jeremy Pratt</c:v>
                </c:pt>
                <c:pt idx="495">
                  <c:v>Jerome Burch</c:v>
                </c:pt>
                <c:pt idx="496">
                  <c:v>Jerome McIntosh</c:v>
                </c:pt>
                <c:pt idx="497">
                  <c:v>Jerry Ennis</c:v>
                </c:pt>
                <c:pt idx="498">
                  <c:v>Jerry Webster</c:v>
                </c:pt>
                <c:pt idx="499">
                  <c:v>Jesse Hutchinson</c:v>
                </c:pt>
                <c:pt idx="500">
                  <c:v>Jesse Williamson</c:v>
                </c:pt>
                <c:pt idx="501">
                  <c:v>Jessica Huffman</c:v>
                </c:pt>
                <c:pt idx="502">
                  <c:v>Jessie Houston</c:v>
                </c:pt>
                <c:pt idx="503">
                  <c:v>Jessie Kelly</c:v>
                </c:pt>
                <c:pt idx="504">
                  <c:v>Jill Clements</c:v>
                </c:pt>
                <c:pt idx="505">
                  <c:v>Jim Hinson</c:v>
                </c:pt>
                <c:pt idx="506">
                  <c:v>Jim Rodgers</c:v>
                </c:pt>
                <c:pt idx="507">
                  <c:v>Jimmy Alston Holder</c:v>
                </c:pt>
                <c:pt idx="508">
                  <c:v>Jimmy Wang</c:v>
                </c:pt>
                <c:pt idx="509">
                  <c:v>Jimmy Waters</c:v>
                </c:pt>
                <c:pt idx="510">
                  <c:v>Joan Beach</c:v>
                </c:pt>
                <c:pt idx="511">
                  <c:v>Joan Bowers</c:v>
                </c:pt>
                <c:pt idx="512">
                  <c:v>Joan Floyd</c:v>
                </c:pt>
                <c:pt idx="513">
                  <c:v>Joann Moser</c:v>
                </c:pt>
                <c:pt idx="514">
                  <c:v>Joanna Keith</c:v>
                </c:pt>
                <c:pt idx="515">
                  <c:v>Joanna Kenney</c:v>
                </c:pt>
                <c:pt idx="516">
                  <c:v>Joanne Chu</c:v>
                </c:pt>
                <c:pt idx="517">
                  <c:v>Joanne Church</c:v>
                </c:pt>
                <c:pt idx="518">
                  <c:v>Joanne Spivey</c:v>
                </c:pt>
                <c:pt idx="519">
                  <c:v>Joe Baldwin</c:v>
                </c:pt>
                <c:pt idx="520">
                  <c:v>Joe D Dean</c:v>
                </c:pt>
                <c:pt idx="521">
                  <c:v>Joe George</c:v>
                </c:pt>
                <c:pt idx="522">
                  <c:v>Joel Buckley</c:v>
                </c:pt>
                <c:pt idx="523">
                  <c:v>Joel Burnette</c:v>
                </c:pt>
                <c:pt idx="524">
                  <c:v>Joel Huffman</c:v>
                </c:pt>
                <c:pt idx="525">
                  <c:v>John Bray</c:v>
                </c:pt>
                <c:pt idx="526">
                  <c:v>John Merritt</c:v>
                </c:pt>
                <c:pt idx="527">
                  <c:v>John Morse</c:v>
                </c:pt>
                <c:pt idx="528">
                  <c:v>Johnny Reid</c:v>
                </c:pt>
                <c:pt idx="529">
                  <c:v>Jon Ayers</c:v>
                </c:pt>
                <c:pt idx="530">
                  <c:v>Jon Hale</c:v>
                </c:pt>
                <c:pt idx="531">
                  <c:v>Jon Kendall</c:v>
                </c:pt>
                <c:pt idx="532">
                  <c:v>Jon Ward</c:v>
                </c:pt>
                <c:pt idx="533">
                  <c:v>Jonathan Crabtree</c:v>
                </c:pt>
                <c:pt idx="534">
                  <c:v>Jordan Beard</c:v>
                </c:pt>
                <c:pt idx="535">
                  <c:v>Jordan Berry</c:v>
                </c:pt>
                <c:pt idx="536">
                  <c:v>Jordan Wilkinson</c:v>
                </c:pt>
                <c:pt idx="537">
                  <c:v>Jordan Womble</c:v>
                </c:pt>
                <c:pt idx="538">
                  <c:v>Joseph Dawson</c:v>
                </c:pt>
                <c:pt idx="539">
                  <c:v>Joseph Grossman</c:v>
                </c:pt>
                <c:pt idx="540">
                  <c:v>Joseph Hurst</c:v>
                </c:pt>
                <c:pt idx="541">
                  <c:v>Josephine Dalton</c:v>
                </c:pt>
                <c:pt idx="542">
                  <c:v>Josephine Rao</c:v>
                </c:pt>
                <c:pt idx="543">
                  <c:v>Joy Kaplan McNeill</c:v>
                </c:pt>
                <c:pt idx="544">
                  <c:v>Joy Maxwell</c:v>
                </c:pt>
                <c:pt idx="545">
                  <c:v>Joyce Kern</c:v>
                </c:pt>
                <c:pt idx="546">
                  <c:v>Joyce Knox</c:v>
                </c:pt>
                <c:pt idx="547">
                  <c:v>Joyce Murray</c:v>
                </c:pt>
                <c:pt idx="548">
                  <c:v>Juan Gold</c:v>
                </c:pt>
                <c:pt idx="549">
                  <c:v>Juan Justice</c:v>
                </c:pt>
                <c:pt idx="550">
                  <c:v>Juanita Ballard</c:v>
                </c:pt>
                <c:pt idx="551">
                  <c:v>Juanita Coley Knox</c:v>
                </c:pt>
                <c:pt idx="552">
                  <c:v>Judith Shepherd</c:v>
                </c:pt>
                <c:pt idx="553">
                  <c:v>Judy Barrett</c:v>
                </c:pt>
                <c:pt idx="554">
                  <c:v>Judy Frazier</c:v>
                </c:pt>
                <c:pt idx="555">
                  <c:v>Judy Hall</c:v>
                </c:pt>
                <c:pt idx="556">
                  <c:v>Judy Merritt</c:v>
                </c:pt>
                <c:pt idx="557">
                  <c:v>Judy Singer</c:v>
                </c:pt>
                <c:pt idx="558">
                  <c:v>Julia Reynolds</c:v>
                </c:pt>
                <c:pt idx="559">
                  <c:v>Julian F Wolfe</c:v>
                </c:pt>
                <c:pt idx="560">
                  <c:v>Julian Keith Mayer</c:v>
                </c:pt>
                <c:pt idx="561">
                  <c:v>Julie Edwards</c:v>
                </c:pt>
                <c:pt idx="562">
                  <c:v>Julie Porter</c:v>
                </c:pt>
                <c:pt idx="563">
                  <c:v>June Frank Hammond</c:v>
                </c:pt>
                <c:pt idx="564">
                  <c:v>June Herbert</c:v>
                </c:pt>
                <c:pt idx="565">
                  <c:v>June Roberts</c:v>
                </c:pt>
                <c:pt idx="566">
                  <c:v>Justin Frank</c:v>
                </c:pt>
                <c:pt idx="567">
                  <c:v>Kara Allison</c:v>
                </c:pt>
                <c:pt idx="568">
                  <c:v>Kara Foster</c:v>
                </c:pt>
                <c:pt idx="569">
                  <c:v>Kara Patton</c:v>
                </c:pt>
                <c:pt idx="570">
                  <c:v>Karen Hendricks</c:v>
                </c:pt>
                <c:pt idx="571">
                  <c:v>Karen O'Donnell</c:v>
                </c:pt>
                <c:pt idx="572">
                  <c:v>Karen Warren</c:v>
                </c:pt>
                <c:pt idx="573">
                  <c:v>Karl Knowles</c:v>
                </c:pt>
                <c:pt idx="574">
                  <c:v>Kate Lehman</c:v>
                </c:pt>
                <c:pt idx="575">
                  <c:v>Kate McKenna</c:v>
                </c:pt>
                <c:pt idx="576">
                  <c:v>Kate Peck</c:v>
                </c:pt>
                <c:pt idx="577">
                  <c:v>Katharine Bass</c:v>
                </c:pt>
                <c:pt idx="578">
                  <c:v>Katharine Hudson</c:v>
                </c:pt>
                <c:pt idx="579">
                  <c:v>Katherine Kearney</c:v>
                </c:pt>
                <c:pt idx="580">
                  <c:v>Katherine W Epstein</c:v>
                </c:pt>
                <c:pt idx="581">
                  <c:v>Kathleen Huang Hall</c:v>
                </c:pt>
                <c:pt idx="582">
                  <c:v>Kathleen P Bloom</c:v>
                </c:pt>
                <c:pt idx="583">
                  <c:v>Kathryn Patrick</c:v>
                </c:pt>
                <c:pt idx="584">
                  <c:v>Kathryn Tate</c:v>
                </c:pt>
                <c:pt idx="585">
                  <c:v>Kathryn Wolfe</c:v>
                </c:pt>
                <c:pt idx="586">
                  <c:v>Kathy Hinton</c:v>
                </c:pt>
                <c:pt idx="587">
                  <c:v>Kathy Shah</c:v>
                </c:pt>
                <c:pt idx="588">
                  <c:v>Kathy Turner</c:v>
                </c:pt>
                <c:pt idx="589">
                  <c:v>Katie Dougherty</c:v>
                </c:pt>
                <c:pt idx="590">
                  <c:v>Kay Schultz</c:v>
                </c:pt>
                <c:pt idx="591">
                  <c:v>Keith Hobbs</c:v>
                </c:pt>
                <c:pt idx="592">
                  <c:v>Keith Marsh</c:v>
                </c:pt>
                <c:pt idx="593">
                  <c:v>Keith R Atkinson</c:v>
                </c:pt>
                <c:pt idx="594">
                  <c:v>Kelly Byers</c:v>
                </c:pt>
                <c:pt idx="595">
                  <c:v>Kelly Collins</c:v>
                </c:pt>
                <c:pt idx="596">
                  <c:v>Kelly O'Connor</c:v>
                </c:pt>
                <c:pt idx="597">
                  <c:v>Kelly Sawyer</c:v>
                </c:pt>
                <c:pt idx="598">
                  <c:v>Kelly Shaw</c:v>
                </c:pt>
                <c:pt idx="599">
                  <c:v>Ken Cash</c:v>
                </c:pt>
                <c:pt idx="600">
                  <c:v>Ken H Frazier</c:v>
                </c:pt>
                <c:pt idx="601">
                  <c:v>Kenneth Capps</c:v>
                </c:pt>
                <c:pt idx="602">
                  <c:v>Kenneth Pollock</c:v>
                </c:pt>
                <c:pt idx="603">
                  <c:v>Kent Burton</c:v>
                </c:pt>
                <c:pt idx="604">
                  <c:v>Kent Gill</c:v>
                </c:pt>
                <c:pt idx="605">
                  <c:v>Kent Kerr</c:v>
                </c:pt>
                <c:pt idx="606">
                  <c:v>Kerry Beach</c:v>
                </c:pt>
                <c:pt idx="607">
                  <c:v>Kerry Green</c:v>
                </c:pt>
                <c:pt idx="608">
                  <c:v>Kerry Hardy</c:v>
                </c:pt>
                <c:pt idx="609">
                  <c:v>Kerry Jernigan</c:v>
                </c:pt>
                <c:pt idx="610">
                  <c:v>Kerry Wilkerson</c:v>
                </c:pt>
                <c:pt idx="611">
                  <c:v>Kevin Smith</c:v>
                </c:pt>
                <c:pt idx="612">
                  <c:v>Kevin Wolfe</c:v>
                </c:pt>
                <c:pt idx="613">
                  <c:v>Kim McCarthy</c:v>
                </c:pt>
                <c:pt idx="614">
                  <c:v>Kim Weiss</c:v>
                </c:pt>
                <c:pt idx="615">
                  <c:v>Kimberly McCarthy</c:v>
                </c:pt>
                <c:pt idx="616">
                  <c:v>Kimberly Reilly</c:v>
                </c:pt>
                <c:pt idx="617">
                  <c:v>Kristin George</c:v>
                </c:pt>
                <c:pt idx="618">
                  <c:v>Kristina Collier</c:v>
                </c:pt>
                <c:pt idx="619">
                  <c:v>Kristina Sanders</c:v>
                </c:pt>
                <c:pt idx="620">
                  <c:v>Kristine Connolly</c:v>
                </c:pt>
                <c:pt idx="621">
                  <c:v>Kristine Holden</c:v>
                </c:pt>
                <c:pt idx="622">
                  <c:v>Kristine Singleton</c:v>
                </c:pt>
                <c:pt idx="623">
                  <c:v>Kurt O'Connor</c:v>
                </c:pt>
                <c:pt idx="624">
                  <c:v>Kyle Fink</c:v>
                </c:pt>
                <c:pt idx="625">
                  <c:v>Kyle Kaufman</c:v>
                </c:pt>
                <c:pt idx="626">
                  <c:v>Larry Church</c:v>
                </c:pt>
                <c:pt idx="627">
                  <c:v>Larry Hall</c:v>
                </c:pt>
                <c:pt idx="628">
                  <c:v>Larry Langston</c:v>
                </c:pt>
                <c:pt idx="629">
                  <c:v>Laurence Cummings</c:v>
                </c:pt>
                <c:pt idx="630">
                  <c:v>Laurence Flowers</c:v>
                </c:pt>
                <c:pt idx="631">
                  <c:v>Laurence Hull</c:v>
                </c:pt>
                <c:pt idx="632">
                  <c:v>Laurence Poe</c:v>
                </c:pt>
                <c:pt idx="633">
                  <c:v>Laurence Simon</c:v>
                </c:pt>
                <c:pt idx="634">
                  <c:v>Laurie Case Daniel</c:v>
                </c:pt>
                <c:pt idx="635">
                  <c:v>Laurie Hanna</c:v>
                </c:pt>
                <c:pt idx="636">
                  <c:v>Laurie Howe</c:v>
                </c:pt>
                <c:pt idx="637">
                  <c:v>Laurie Moon</c:v>
                </c:pt>
                <c:pt idx="638">
                  <c:v>Laurie Petty</c:v>
                </c:pt>
                <c:pt idx="639">
                  <c:v>Lawrence Dennis</c:v>
                </c:pt>
                <c:pt idx="640">
                  <c:v>Lawrence Haas</c:v>
                </c:pt>
                <c:pt idx="641">
                  <c:v>Lawrence Hester</c:v>
                </c:pt>
                <c:pt idx="642">
                  <c:v>Leah Clapp</c:v>
                </c:pt>
                <c:pt idx="643">
                  <c:v>Leah Davenport</c:v>
                </c:pt>
                <c:pt idx="644">
                  <c:v>Leah Pollock</c:v>
                </c:pt>
                <c:pt idx="645">
                  <c:v>Lee Hancock</c:v>
                </c:pt>
                <c:pt idx="646">
                  <c:v>Lee McKenna Gregory</c:v>
                </c:pt>
                <c:pt idx="647">
                  <c:v>Lee Xu</c:v>
                </c:pt>
                <c:pt idx="648">
                  <c:v>Leigh Burnette Hurley</c:v>
                </c:pt>
                <c:pt idx="649">
                  <c:v>Leo E Underwood</c:v>
                </c:pt>
                <c:pt idx="650">
                  <c:v>Leo J Olson</c:v>
                </c:pt>
                <c:pt idx="651">
                  <c:v>Leo Kane</c:v>
                </c:pt>
                <c:pt idx="652">
                  <c:v>Leon Peele</c:v>
                </c:pt>
                <c:pt idx="653">
                  <c:v>Leonard Strauss</c:v>
                </c:pt>
                <c:pt idx="654">
                  <c:v>Leroy Blanchard</c:v>
                </c:pt>
                <c:pt idx="655">
                  <c:v>Leroy Field</c:v>
                </c:pt>
                <c:pt idx="656">
                  <c:v>Leslie Hawley</c:v>
                </c:pt>
                <c:pt idx="657">
                  <c:v>Leslie Jacobson</c:v>
                </c:pt>
                <c:pt idx="658">
                  <c:v>Leslie Rowland</c:v>
                </c:pt>
                <c:pt idx="659">
                  <c:v>Leslie Shannon</c:v>
                </c:pt>
                <c:pt idx="660">
                  <c:v>Leslie Woodard</c:v>
                </c:pt>
                <c:pt idx="661">
                  <c:v>Lester Copeland</c:v>
                </c:pt>
                <c:pt idx="662">
                  <c:v>Lester Sawyer</c:v>
                </c:pt>
                <c:pt idx="663">
                  <c:v>Lester Woodward Maynard</c:v>
                </c:pt>
                <c:pt idx="664">
                  <c:v>Lewis Baldwin</c:v>
                </c:pt>
                <c:pt idx="665">
                  <c:v>Lillian Day</c:v>
                </c:pt>
                <c:pt idx="666">
                  <c:v>Lillian Fischer</c:v>
                </c:pt>
                <c:pt idx="667">
                  <c:v>Linda Blake</c:v>
                </c:pt>
                <c:pt idx="668">
                  <c:v>Linda Weiss</c:v>
                </c:pt>
                <c:pt idx="669">
                  <c:v>Lindsay Link</c:v>
                </c:pt>
                <c:pt idx="670">
                  <c:v>Lindsay O'Connell</c:v>
                </c:pt>
                <c:pt idx="671">
                  <c:v>Lindsay P Ashley</c:v>
                </c:pt>
                <c:pt idx="672">
                  <c:v>Lindsay Tate</c:v>
                </c:pt>
                <c:pt idx="673">
                  <c:v>Lindsay Webb</c:v>
                </c:pt>
                <c:pt idx="674">
                  <c:v>Lisa Branch</c:v>
                </c:pt>
                <c:pt idx="675">
                  <c:v>Lisa Kim</c:v>
                </c:pt>
                <c:pt idx="676">
                  <c:v>Lloyd Cannon</c:v>
                </c:pt>
                <c:pt idx="677">
                  <c:v>Lloyd Dickson</c:v>
                </c:pt>
                <c:pt idx="678">
                  <c:v>Lloyd Dolan</c:v>
                </c:pt>
                <c:pt idx="679">
                  <c:v>Lloyd Fuller</c:v>
                </c:pt>
                <c:pt idx="680">
                  <c:v>Lloyd Levin</c:v>
                </c:pt>
                <c:pt idx="681">
                  <c:v>Lloyd Norris</c:v>
                </c:pt>
                <c:pt idx="682">
                  <c:v>Lloyd Spencer</c:v>
                </c:pt>
                <c:pt idx="683">
                  <c:v>Lois Hamilton</c:v>
                </c:pt>
                <c:pt idx="684">
                  <c:v>Lois Hansen</c:v>
                </c:pt>
                <c:pt idx="685">
                  <c:v>Lois Rowland</c:v>
                </c:pt>
                <c:pt idx="686">
                  <c:v>Lori Wolfe</c:v>
                </c:pt>
                <c:pt idx="687">
                  <c:v>Lorraine Boykin</c:v>
                </c:pt>
                <c:pt idx="688">
                  <c:v>Lorraine Kelly</c:v>
                </c:pt>
                <c:pt idx="689">
                  <c:v>Louis Parrish</c:v>
                </c:pt>
                <c:pt idx="690">
                  <c:v>Louise Webster Sharma</c:v>
                </c:pt>
                <c:pt idx="691">
                  <c:v>Lucille Buchanan</c:v>
                </c:pt>
                <c:pt idx="692">
                  <c:v>Lucille Gibbons</c:v>
                </c:pt>
                <c:pt idx="693">
                  <c:v>Lucille McGee</c:v>
                </c:pt>
                <c:pt idx="694">
                  <c:v>Lucille Rankin</c:v>
                </c:pt>
                <c:pt idx="695">
                  <c:v>Luis Kerr</c:v>
                </c:pt>
                <c:pt idx="696">
                  <c:v>Lynda Banks</c:v>
                </c:pt>
                <c:pt idx="697">
                  <c:v>Lynda Herman</c:v>
                </c:pt>
                <c:pt idx="698">
                  <c:v>Lynda Rosenthal</c:v>
                </c:pt>
                <c:pt idx="699">
                  <c:v>Lynn Bell</c:v>
                </c:pt>
                <c:pt idx="700">
                  <c:v>Lynn Epstein</c:v>
                </c:pt>
                <c:pt idx="701">
                  <c:v>Lynn Hines</c:v>
                </c:pt>
                <c:pt idx="702">
                  <c:v>Lynn Morrow</c:v>
                </c:pt>
                <c:pt idx="703">
                  <c:v>Lynn O'Donnell</c:v>
                </c:pt>
                <c:pt idx="704">
                  <c:v>Lynn Payne</c:v>
                </c:pt>
                <c:pt idx="705">
                  <c:v>Lynne Griffith</c:v>
                </c:pt>
                <c:pt idx="706">
                  <c:v>Lynne Reid</c:v>
                </c:pt>
                <c:pt idx="707">
                  <c:v>Lynne Wilcox</c:v>
                </c:pt>
                <c:pt idx="708">
                  <c:v>Malcolm Floyd</c:v>
                </c:pt>
                <c:pt idx="709">
                  <c:v>Malcolm French</c:v>
                </c:pt>
                <c:pt idx="710">
                  <c:v>Malcolm Robertson</c:v>
                </c:pt>
                <c:pt idx="711">
                  <c:v>Malcolm S Lanier</c:v>
                </c:pt>
                <c:pt idx="712">
                  <c:v>Marc Nash</c:v>
                </c:pt>
                <c:pt idx="713">
                  <c:v>Marc Ray</c:v>
                </c:pt>
                <c:pt idx="714">
                  <c:v>Marcia Feldman</c:v>
                </c:pt>
                <c:pt idx="715">
                  <c:v>Marcia Greenberg</c:v>
                </c:pt>
                <c:pt idx="716">
                  <c:v>Marcus Dunlap</c:v>
                </c:pt>
                <c:pt idx="717">
                  <c:v>Marguerite Moss</c:v>
                </c:pt>
                <c:pt idx="718">
                  <c:v>Marguerite Rodgers</c:v>
                </c:pt>
                <c:pt idx="719">
                  <c:v>Marguerite Yu</c:v>
                </c:pt>
                <c:pt idx="720">
                  <c:v>Maria Block</c:v>
                </c:pt>
                <c:pt idx="721">
                  <c:v>Maria Thomas</c:v>
                </c:pt>
                <c:pt idx="722">
                  <c:v>Marian Willis</c:v>
                </c:pt>
                <c:pt idx="723">
                  <c:v>Marianne Carey</c:v>
                </c:pt>
                <c:pt idx="724">
                  <c:v>Marianne Connor</c:v>
                </c:pt>
                <c:pt idx="725">
                  <c:v>Marianne Goldstein</c:v>
                </c:pt>
                <c:pt idx="726">
                  <c:v>Marianne Weiner Ennis</c:v>
                </c:pt>
                <c:pt idx="727">
                  <c:v>Marie Bass</c:v>
                </c:pt>
                <c:pt idx="728">
                  <c:v>Marie Pittman</c:v>
                </c:pt>
                <c:pt idx="729">
                  <c:v>Marion Bowling</c:v>
                </c:pt>
                <c:pt idx="730">
                  <c:v>Marion Lindsey</c:v>
                </c:pt>
                <c:pt idx="731">
                  <c:v>Marion Owens</c:v>
                </c:pt>
                <c:pt idx="732">
                  <c:v>Marion Wilcox</c:v>
                </c:pt>
                <c:pt idx="733">
                  <c:v>Marjorie Arthur</c:v>
                </c:pt>
                <c:pt idx="734">
                  <c:v>Marjorie Burnette</c:v>
                </c:pt>
                <c:pt idx="735">
                  <c:v>Marjorie Owens</c:v>
                </c:pt>
                <c:pt idx="736">
                  <c:v>Mark Ritchie</c:v>
                </c:pt>
                <c:pt idx="737">
                  <c:v>Marlene Abrams</c:v>
                </c:pt>
                <c:pt idx="738">
                  <c:v>Marlene Davidson</c:v>
                </c:pt>
                <c:pt idx="739">
                  <c:v>Marlene Gray</c:v>
                </c:pt>
                <c:pt idx="740">
                  <c:v>Marlene Harrison</c:v>
                </c:pt>
                <c:pt idx="741">
                  <c:v>Marlene Kirk</c:v>
                </c:pt>
                <c:pt idx="742">
                  <c:v>Marlene Phillips</c:v>
                </c:pt>
                <c:pt idx="743">
                  <c:v>Marsha P Joyner</c:v>
                </c:pt>
                <c:pt idx="744">
                  <c:v>Marsha Roy</c:v>
                </c:pt>
                <c:pt idx="745">
                  <c:v>Marshall Brandt Briggs</c:v>
                </c:pt>
                <c:pt idx="746">
                  <c:v>Marshall Sutherland</c:v>
                </c:pt>
                <c:pt idx="747">
                  <c:v>Martha Bowers</c:v>
                </c:pt>
                <c:pt idx="748">
                  <c:v>Martin Kirk</c:v>
                </c:pt>
                <c:pt idx="749">
                  <c:v>Marvin Hunt</c:v>
                </c:pt>
                <c:pt idx="750">
                  <c:v>Marvin MacDonald</c:v>
                </c:pt>
                <c:pt idx="751">
                  <c:v>Marvin Parrott</c:v>
                </c:pt>
                <c:pt idx="752">
                  <c:v>Marvin Patrick</c:v>
                </c:pt>
                <c:pt idx="753">
                  <c:v>Marvin Reid</c:v>
                </c:pt>
                <c:pt idx="754">
                  <c:v>Marvin Rollins</c:v>
                </c:pt>
                <c:pt idx="755">
                  <c:v>Marvin Yang</c:v>
                </c:pt>
                <c:pt idx="756">
                  <c:v>Mary Hewitt</c:v>
                </c:pt>
                <c:pt idx="757">
                  <c:v>Mary Norman</c:v>
                </c:pt>
                <c:pt idx="758">
                  <c:v>Mary Page</c:v>
                </c:pt>
                <c:pt idx="759">
                  <c:v>Matthew Berman</c:v>
                </c:pt>
                <c:pt idx="760">
                  <c:v>Matthew Conway</c:v>
                </c:pt>
                <c:pt idx="761">
                  <c:v>Maureen Herbert Hood</c:v>
                </c:pt>
                <c:pt idx="762">
                  <c:v>Maureen Stout</c:v>
                </c:pt>
                <c:pt idx="763">
                  <c:v>Maureen Whitley</c:v>
                </c:pt>
                <c:pt idx="764">
                  <c:v>Maurice Everett</c:v>
                </c:pt>
                <c:pt idx="765">
                  <c:v>Maurice Kelly</c:v>
                </c:pt>
                <c:pt idx="766">
                  <c:v>Max Hubbard</c:v>
                </c:pt>
                <c:pt idx="767">
                  <c:v>Max Hurley</c:v>
                </c:pt>
                <c:pt idx="768">
                  <c:v>Max McKenna</c:v>
                </c:pt>
                <c:pt idx="769">
                  <c:v>Max Small</c:v>
                </c:pt>
                <c:pt idx="770">
                  <c:v>Maxine Collier Grady</c:v>
                </c:pt>
                <c:pt idx="771">
                  <c:v>Megan Woods</c:v>
                </c:pt>
                <c:pt idx="772">
                  <c:v>Megan York</c:v>
                </c:pt>
                <c:pt idx="773">
                  <c:v>Melanie Burgess</c:v>
                </c:pt>
                <c:pt idx="774">
                  <c:v>Melanie Knight</c:v>
                </c:pt>
                <c:pt idx="775">
                  <c:v>Melanie Morrow</c:v>
                </c:pt>
                <c:pt idx="776">
                  <c:v>Melinda Rogers</c:v>
                </c:pt>
                <c:pt idx="777">
                  <c:v>Melinda Thornton</c:v>
                </c:pt>
                <c:pt idx="778">
                  <c:v>Melvin Benton</c:v>
                </c:pt>
                <c:pt idx="779">
                  <c:v>Melvin Duke</c:v>
                </c:pt>
                <c:pt idx="780">
                  <c:v>Melvin Kendall</c:v>
                </c:pt>
                <c:pt idx="781">
                  <c:v>Meredith Humphrey</c:v>
                </c:pt>
                <c:pt idx="782">
                  <c:v>Meredith Walters</c:v>
                </c:pt>
                <c:pt idx="783">
                  <c:v>Michael Robbins</c:v>
                </c:pt>
                <c:pt idx="784">
                  <c:v>Michael Shaffer</c:v>
                </c:pt>
                <c:pt idx="785">
                  <c:v>Michael Tanner</c:v>
                </c:pt>
                <c:pt idx="786">
                  <c:v>Michele Bradshaw</c:v>
                </c:pt>
                <c:pt idx="787">
                  <c:v>Michele Bullard</c:v>
                </c:pt>
                <c:pt idx="788">
                  <c:v>Michelle Bryant Phillips</c:v>
                </c:pt>
                <c:pt idx="789">
                  <c:v>Michelle Steele</c:v>
                </c:pt>
                <c:pt idx="790">
                  <c:v>Mike G Hartman</c:v>
                </c:pt>
                <c:pt idx="791">
                  <c:v>Mike Howard</c:v>
                </c:pt>
                <c:pt idx="792">
                  <c:v>Mildred Briggs</c:v>
                </c:pt>
                <c:pt idx="793">
                  <c:v>Mildred Chase</c:v>
                </c:pt>
                <c:pt idx="794">
                  <c:v>Milton Harrell</c:v>
                </c:pt>
                <c:pt idx="795">
                  <c:v>Milton Lindsay</c:v>
                </c:pt>
                <c:pt idx="796">
                  <c:v>Miriam Bowman</c:v>
                </c:pt>
                <c:pt idx="797">
                  <c:v>Miriam Greenberg</c:v>
                </c:pt>
                <c:pt idx="798">
                  <c:v>Miriam Mueller</c:v>
                </c:pt>
                <c:pt idx="799">
                  <c:v>Mitchell Goldberg</c:v>
                </c:pt>
                <c:pt idx="800">
                  <c:v>Mitchell Ross</c:v>
                </c:pt>
                <c:pt idx="801">
                  <c:v>Molly Browning</c:v>
                </c:pt>
                <c:pt idx="802">
                  <c:v>Molly Vincent</c:v>
                </c:pt>
                <c:pt idx="803">
                  <c:v>Molly Webster</c:v>
                </c:pt>
                <c:pt idx="804">
                  <c:v>Monica Harvey</c:v>
                </c:pt>
                <c:pt idx="805">
                  <c:v>Monica Howard</c:v>
                </c:pt>
                <c:pt idx="806">
                  <c:v>Monica Law Thompson</c:v>
                </c:pt>
                <c:pt idx="807">
                  <c:v>Monica McCormick</c:v>
                </c:pt>
                <c:pt idx="808">
                  <c:v>Monica Stuart</c:v>
                </c:pt>
                <c:pt idx="809">
                  <c:v>Nancy Holden</c:v>
                </c:pt>
                <c:pt idx="810">
                  <c:v>Natalie Aldridge</c:v>
                </c:pt>
                <c:pt idx="811">
                  <c:v>Natalie Watts</c:v>
                </c:pt>
                <c:pt idx="812">
                  <c:v>Nathan Fox</c:v>
                </c:pt>
                <c:pt idx="813">
                  <c:v>Nathan Jenkins</c:v>
                </c:pt>
                <c:pt idx="814">
                  <c:v>Nathan Newton</c:v>
                </c:pt>
                <c:pt idx="815">
                  <c:v>Nathan Wyatt</c:v>
                </c:pt>
                <c:pt idx="816">
                  <c:v>Neal Weber</c:v>
                </c:pt>
                <c:pt idx="817">
                  <c:v>Neal Wolfe</c:v>
                </c:pt>
                <c:pt idx="818">
                  <c:v>Neil Bailey</c:v>
                </c:pt>
                <c:pt idx="819">
                  <c:v>Neil Barbee</c:v>
                </c:pt>
                <c:pt idx="820">
                  <c:v>Neil Hogan</c:v>
                </c:pt>
                <c:pt idx="821">
                  <c:v>Neil Parker</c:v>
                </c:pt>
                <c:pt idx="822">
                  <c:v>Neil Song</c:v>
                </c:pt>
                <c:pt idx="823">
                  <c:v>Nelson Hensley</c:v>
                </c:pt>
                <c:pt idx="824">
                  <c:v>Nelson Hong</c:v>
                </c:pt>
                <c:pt idx="825">
                  <c:v>Nicholas Wallace</c:v>
                </c:pt>
                <c:pt idx="826">
                  <c:v>Nicole Goldstein</c:v>
                </c:pt>
                <c:pt idx="827">
                  <c:v>Nicole Pope</c:v>
                </c:pt>
                <c:pt idx="828">
                  <c:v>Nicole Reid</c:v>
                </c:pt>
                <c:pt idx="829">
                  <c:v>Nina Bowles</c:v>
                </c:pt>
                <c:pt idx="830">
                  <c:v>Nina Horne Kelly</c:v>
                </c:pt>
                <c:pt idx="831">
                  <c:v>Norman Adams</c:v>
                </c:pt>
                <c:pt idx="832">
                  <c:v>Norman Shields</c:v>
                </c:pt>
                <c:pt idx="833">
                  <c:v>Oscar Bowers</c:v>
                </c:pt>
                <c:pt idx="834">
                  <c:v>Oscar Ford</c:v>
                </c:pt>
                <c:pt idx="835">
                  <c:v>Oscar Kenney</c:v>
                </c:pt>
                <c:pt idx="836">
                  <c:v>Paige Jacobs</c:v>
                </c:pt>
                <c:pt idx="837">
                  <c:v>Paige Mason</c:v>
                </c:pt>
                <c:pt idx="838">
                  <c:v>Paige Powers</c:v>
                </c:pt>
                <c:pt idx="839">
                  <c:v>Pam Anthony</c:v>
                </c:pt>
                <c:pt idx="840">
                  <c:v>Pam Bennett</c:v>
                </c:pt>
                <c:pt idx="841">
                  <c:v>Pam Gilbert</c:v>
                </c:pt>
                <c:pt idx="842">
                  <c:v>Pam Patton</c:v>
                </c:pt>
                <c:pt idx="843">
                  <c:v>Pamela Wiley</c:v>
                </c:pt>
                <c:pt idx="844">
                  <c:v>Pat Baker</c:v>
                </c:pt>
                <c:pt idx="845">
                  <c:v>Pat Kinney</c:v>
                </c:pt>
                <c:pt idx="846">
                  <c:v>Patricia Cole Blair</c:v>
                </c:pt>
                <c:pt idx="847">
                  <c:v>Patrick Adcock</c:v>
                </c:pt>
                <c:pt idx="848">
                  <c:v>Patrick Byrne</c:v>
                </c:pt>
                <c:pt idx="849">
                  <c:v>Patrick Lowry</c:v>
                </c:pt>
                <c:pt idx="850">
                  <c:v>Patrick Rosenthal</c:v>
                </c:pt>
                <c:pt idx="851">
                  <c:v>Patsy Harmon</c:v>
                </c:pt>
                <c:pt idx="852">
                  <c:v>Patsy Shea</c:v>
                </c:pt>
                <c:pt idx="853">
                  <c:v>Paul Puckett</c:v>
                </c:pt>
                <c:pt idx="854">
                  <c:v>Paul Tate</c:v>
                </c:pt>
                <c:pt idx="855">
                  <c:v>Paul W French</c:v>
                </c:pt>
                <c:pt idx="856">
                  <c:v>Paula Hubbard</c:v>
                </c:pt>
                <c:pt idx="857">
                  <c:v>Pauline Boyette</c:v>
                </c:pt>
                <c:pt idx="858">
                  <c:v>Pauline Brooks</c:v>
                </c:pt>
                <c:pt idx="859">
                  <c:v>Pauline Denton</c:v>
                </c:pt>
                <c:pt idx="860">
                  <c:v>Pauline Finch</c:v>
                </c:pt>
                <c:pt idx="861">
                  <c:v>Peggy Chan</c:v>
                </c:pt>
                <c:pt idx="862">
                  <c:v>Peggy Lanier</c:v>
                </c:pt>
                <c:pt idx="863">
                  <c:v>Peggy Rowe</c:v>
                </c:pt>
                <c:pt idx="864">
                  <c:v>Penny Leach</c:v>
                </c:pt>
                <c:pt idx="865">
                  <c:v>Penny O Caldwell</c:v>
                </c:pt>
                <c:pt idx="866">
                  <c:v>Penny Rich</c:v>
                </c:pt>
                <c:pt idx="867">
                  <c:v>Penny Tuttle</c:v>
                </c:pt>
                <c:pt idx="868">
                  <c:v>Peter Adams</c:v>
                </c:pt>
                <c:pt idx="869">
                  <c:v>Peter Brooks</c:v>
                </c:pt>
                <c:pt idx="870">
                  <c:v>Peter Hardy</c:v>
                </c:pt>
                <c:pt idx="871">
                  <c:v>Peter McConnell</c:v>
                </c:pt>
                <c:pt idx="872">
                  <c:v>Philip Hawkins</c:v>
                </c:pt>
                <c:pt idx="873">
                  <c:v>Phillip Blum</c:v>
                </c:pt>
                <c:pt idx="874">
                  <c:v>Phillip Chappell</c:v>
                </c:pt>
                <c:pt idx="875">
                  <c:v>Phillip Holmes</c:v>
                </c:pt>
                <c:pt idx="876">
                  <c:v>Phillip Pollard</c:v>
                </c:pt>
                <c:pt idx="877">
                  <c:v>Phyllis Hull</c:v>
                </c:pt>
                <c:pt idx="878">
                  <c:v>Phyllis Little</c:v>
                </c:pt>
                <c:pt idx="879">
                  <c:v>Priscilla Allen</c:v>
                </c:pt>
                <c:pt idx="880">
                  <c:v>Priscilla Brandon</c:v>
                </c:pt>
                <c:pt idx="881">
                  <c:v>Priscilla Frank</c:v>
                </c:pt>
                <c:pt idx="882">
                  <c:v>Rachel Bates</c:v>
                </c:pt>
                <c:pt idx="883">
                  <c:v>Rachel Casey</c:v>
                </c:pt>
                <c:pt idx="884">
                  <c:v>Ralph Woods Scott</c:v>
                </c:pt>
                <c:pt idx="885">
                  <c:v>Randall Boykin</c:v>
                </c:pt>
                <c:pt idx="886">
                  <c:v>Randall Montgomery</c:v>
                </c:pt>
                <c:pt idx="887">
                  <c:v>Randy Jiang</c:v>
                </c:pt>
                <c:pt idx="888">
                  <c:v>Ray Grady</c:v>
                </c:pt>
                <c:pt idx="889">
                  <c:v>Ray Oakley</c:v>
                </c:pt>
                <c:pt idx="890">
                  <c:v>Ray Silverman</c:v>
                </c:pt>
                <c:pt idx="891">
                  <c:v>Rebecca Lindsey</c:v>
                </c:pt>
                <c:pt idx="892">
                  <c:v>Regina Langley</c:v>
                </c:pt>
                <c:pt idx="893">
                  <c:v>Renee Alston</c:v>
                </c:pt>
                <c:pt idx="894">
                  <c:v>Renee Huang</c:v>
                </c:pt>
                <c:pt idx="895">
                  <c:v>Renee McKenzie</c:v>
                </c:pt>
                <c:pt idx="896">
                  <c:v>Rhonda Bryant</c:v>
                </c:pt>
                <c:pt idx="897">
                  <c:v>Rhonda Ivey</c:v>
                </c:pt>
                <c:pt idx="898">
                  <c:v>Rhonda Schroeder</c:v>
                </c:pt>
                <c:pt idx="899">
                  <c:v>Rhonda Stein</c:v>
                </c:pt>
                <c:pt idx="900">
                  <c:v>Richard McClure</c:v>
                </c:pt>
                <c:pt idx="901">
                  <c:v>Richard Tan</c:v>
                </c:pt>
                <c:pt idx="902">
                  <c:v>Rick Ellis</c:v>
                </c:pt>
                <c:pt idx="903">
                  <c:v>Rick Foster Hawkins</c:v>
                </c:pt>
                <c:pt idx="904">
                  <c:v>Rick Houston</c:v>
                </c:pt>
                <c:pt idx="905">
                  <c:v>Ricky Allred</c:v>
                </c:pt>
                <c:pt idx="906">
                  <c:v>Ricky Garner</c:v>
                </c:pt>
                <c:pt idx="907">
                  <c:v>Ricky Hensley</c:v>
                </c:pt>
                <c:pt idx="908">
                  <c:v>Ricky Sanders</c:v>
                </c:pt>
                <c:pt idx="909">
                  <c:v>Ricky W Clements</c:v>
                </c:pt>
                <c:pt idx="910">
                  <c:v>Rita Barton</c:v>
                </c:pt>
                <c:pt idx="911">
                  <c:v>Robert Brantley</c:v>
                </c:pt>
                <c:pt idx="912">
                  <c:v>Robert Cowan</c:v>
                </c:pt>
                <c:pt idx="913">
                  <c:v>Robert Rollins</c:v>
                </c:pt>
                <c:pt idx="914">
                  <c:v>Roberta Daniel</c:v>
                </c:pt>
                <c:pt idx="915">
                  <c:v>Roberta Mitchell</c:v>
                </c:pt>
                <c:pt idx="916">
                  <c:v>Roberta Mullins Peters</c:v>
                </c:pt>
                <c:pt idx="917">
                  <c:v>Robin High</c:v>
                </c:pt>
                <c:pt idx="918">
                  <c:v>Robin Kramer Vaughn</c:v>
                </c:pt>
                <c:pt idx="919">
                  <c:v>Robin Tyler</c:v>
                </c:pt>
                <c:pt idx="920">
                  <c:v>Robyn Crawford</c:v>
                </c:pt>
                <c:pt idx="921">
                  <c:v>Robyn Garner</c:v>
                </c:pt>
                <c:pt idx="922">
                  <c:v>Robyn Hayes</c:v>
                </c:pt>
                <c:pt idx="923">
                  <c:v>Robyn Lyon</c:v>
                </c:pt>
                <c:pt idx="924">
                  <c:v>Robyn Zhou</c:v>
                </c:pt>
                <c:pt idx="925">
                  <c:v>Rodney Field</c:v>
                </c:pt>
                <c:pt idx="926">
                  <c:v>Rodney Kearney</c:v>
                </c:pt>
                <c:pt idx="927">
                  <c:v>Roger Blalock Cassidy</c:v>
                </c:pt>
                <c:pt idx="928">
                  <c:v>Roger Meyer</c:v>
                </c:pt>
                <c:pt idx="929">
                  <c:v>Roger Schwartz</c:v>
                </c:pt>
                <c:pt idx="930">
                  <c:v>Ron Newton</c:v>
                </c:pt>
                <c:pt idx="931">
                  <c:v>Ronald O'Neill</c:v>
                </c:pt>
                <c:pt idx="932">
                  <c:v>Ronnie Creech</c:v>
                </c:pt>
                <c:pt idx="933">
                  <c:v>Ronnie Nolan</c:v>
                </c:pt>
                <c:pt idx="934">
                  <c:v>Ronnie Proctor</c:v>
                </c:pt>
                <c:pt idx="935">
                  <c:v>Rosemary Branch</c:v>
                </c:pt>
                <c:pt idx="936">
                  <c:v>Rosemary English</c:v>
                </c:pt>
                <c:pt idx="937">
                  <c:v>Rosemary O'Brien</c:v>
                </c:pt>
                <c:pt idx="938">
                  <c:v>Rosemary Stark</c:v>
                </c:pt>
                <c:pt idx="939">
                  <c:v>Ross Frederick</c:v>
                </c:pt>
                <c:pt idx="940">
                  <c:v>Ross Simpson</c:v>
                </c:pt>
                <c:pt idx="941">
                  <c:v>Roy Hardison</c:v>
                </c:pt>
                <c:pt idx="942">
                  <c:v>Roy Rouse</c:v>
                </c:pt>
                <c:pt idx="943">
                  <c:v>Ruby Gibbons</c:v>
                </c:pt>
                <c:pt idx="944">
                  <c:v>Russell Chan</c:v>
                </c:pt>
                <c:pt idx="945">
                  <c:v>Russell W Melton</c:v>
                </c:pt>
                <c:pt idx="946">
                  <c:v>Ruth Dudley</c:v>
                </c:pt>
                <c:pt idx="947">
                  <c:v>Ruth Lamm</c:v>
                </c:pt>
                <c:pt idx="948">
                  <c:v>Ryan Foster</c:v>
                </c:pt>
                <c:pt idx="949">
                  <c:v>Ryan Herman</c:v>
                </c:pt>
                <c:pt idx="950">
                  <c:v>Sally Dunn</c:v>
                </c:pt>
                <c:pt idx="951">
                  <c:v>Sally House</c:v>
                </c:pt>
                <c:pt idx="952">
                  <c:v>Sally Liu</c:v>
                </c:pt>
                <c:pt idx="953">
                  <c:v>Sam Oh</c:v>
                </c:pt>
                <c:pt idx="954">
                  <c:v>Sam Rouse</c:v>
                </c:pt>
                <c:pt idx="955">
                  <c:v>Sam Woodward</c:v>
                </c:pt>
                <c:pt idx="956">
                  <c:v>Samantha Koch</c:v>
                </c:pt>
                <c:pt idx="957">
                  <c:v>Samantha Weaver</c:v>
                </c:pt>
                <c:pt idx="958">
                  <c:v>Samuel Newman</c:v>
                </c:pt>
                <c:pt idx="959">
                  <c:v>Sandra Berry</c:v>
                </c:pt>
                <c:pt idx="960">
                  <c:v>Sandra Faulkner</c:v>
                </c:pt>
                <c:pt idx="961">
                  <c:v>Sandra Sharma</c:v>
                </c:pt>
                <c:pt idx="962">
                  <c:v>Sandy Cannon</c:v>
                </c:pt>
                <c:pt idx="963">
                  <c:v>Sandy Ellington</c:v>
                </c:pt>
                <c:pt idx="964">
                  <c:v>Sandy Hunt</c:v>
                </c:pt>
                <c:pt idx="965">
                  <c:v>Sandy Mueller</c:v>
                </c:pt>
                <c:pt idx="966">
                  <c:v>Sara Faulkner</c:v>
                </c:pt>
                <c:pt idx="967">
                  <c:v>Sara O'Connor</c:v>
                </c:pt>
                <c:pt idx="968">
                  <c:v>Sarah N Becker</c:v>
                </c:pt>
                <c:pt idx="969">
                  <c:v>Sarah Ramsey</c:v>
                </c:pt>
                <c:pt idx="970">
                  <c:v>Scott Bunn</c:v>
                </c:pt>
                <c:pt idx="971">
                  <c:v>Scott Feldman</c:v>
                </c:pt>
                <c:pt idx="972">
                  <c:v>Scott McKenna</c:v>
                </c:pt>
                <c:pt idx="973">
                  <c:v>Scott Moore</c:v>
                </c:pt>
                <c:pt idx="974">
                  <c:v>Sean Burton</c:v>
                </c:pt>
                <c:pt idx="975">
                  <c:v>Sean Herbert</c:v>
                </c:pt>
                <c:pt idx="976">
                  <c:v>Sean McKenna</c:v>
                </c:pt>
                <c:pt idx="977">
                  <c:v>Sean N Boyer</c:v>
                </c:pt>
                <c:pt idx="978">
                  <c:v>Sean Pugh</c:v>
                </c:pt>
                <c:pt idx="979">
                  <c:v>Sean Stephenson</c:v>
                </c:pt>
                <c:pt idx="980">
                  <c:v>Seth Matthews</c:v>
                </c:pt>
                <c:pt idx="981">
                  <c:v>Seth Merrill</c:v>
                </c:pt>
                <c:pt idx="982">
                  <c:v>Shannon Aldridge</c:v>
                </c:pt>
                <c:pt idx="983">
                  <c:v>Sharon Ellis</c:v>
                </c:pt>
                <c:pt idx="984">
                  <c:v>Sharon Kessler</c:v>
                </c:pt>
                <c:pt idx="985">
                  <c:v>Sharon Long</c:v>
                </c:pt>
                <c:pt idx="986">
                  <c:v>Sharon Marcus</c:v>
                </c:pt>
                <c:pt idx="987">
                  <c:v>Sharon Thomas</c:v>
                </c:pt>
                <c:pt idx="988">
                  <c:v>Shawn Combs</c:v>
                </c:pt>
                <c:pt idx="989">
                  <c:v>Shawn McIntyre</c:v>
                </c:pt>
                <c:pt idx="990">
                  <c:v>Shawn Meyer</c:v>
                </c:pt>
                <c:pt idx="991">
                  <c:v>Shawn Stern</c:v>
                </c:pt>
                <c:pt idx="992">
                  <c:v>Sherri F Vogel</c:v>
                </c:pt>
                <c:pt idx="993">
                  <c:v>Sherri Kramer</c:v>
                </c:pt>
                <c:pt idx="994">
                  <c:v>Sherri McIntosh</c:v>
                </c:pt>
                <c:pt idx="995">
                  <c:v>Sherri P Stephens</c:v>
                </c:pt>
                <c:pt idx="996">
                  <c:v>Sherry Hurley</c:v>
                </c:pt>
                <c:pt idx="997">
                  <c:v>Sheryl Marsh</c:v>
                </c:pt>
                <c:pt idx="998">
                  <c:v>Sheryl Reese</c:v>
                </c:pt>
                <c:pt idx="999">
                  <c:v>Shirley Riley</c:v>
                </c:pt>
                <c:pt idx="1000">
                  <c:v>Sidney Bowling</c:v>
                </c:pt>
                <c:pt idx="1001">
                  <c:v>Sidney Brewer</c:v>
                </c:pt>
                <c:pt idx="1002">
                  <c:v>Sidney Gilliam</c:v>
                </c:pt>
                <c:pt idx="1003">
                  <c:v>Sidney Greenberg</c:v>
                </c:pt>
                <c:pt idx="1004">
                  <c:v>Sidney Larson</c:v>
                </c:pt>
                <c:pt idx="1005">
                  <c:v>Sidney Russell Austin</c:v>
                </c:pt>
                <c:pt idx="1006">
                  <c:v>Sidney Scarborough</c:v>
                </c:pt>
                <c:pt idx="1007">
                  <c:v>Stacey Hale</c:v>
                </c:pt>
                <c:pt idx="1008">
                  <c:v>Stacey Lucas</c:v>
                </c:pt>
                <c:pt idx="1009">
                  <c:v>Stacy Byrne</c:v>
                </c:pt>
                <c:pt idx="1010">
                  <c:v>Stacy Chang</c:v>
                </c:pt>
                <c:pt idx="1011">
                  <c:v>Stacy Gould</c:v>
                </c:pt>
                <c:pt idx="1012">
                  <c:v>Stanley Steele</c:v>
                </c:pt>
                <c:pt idx="1013">
                  <c:v>Stephanie Hawkins</c:v>
                </c:pt>
                <c:pt idx="1014">
                  <c:v>Stephanie Sun Perry</c:v>
                </c:pt>
                <c:pt idx="1015">
                  <c:v>Stephen Lam</c:v>
                </c:pt>
                <c:pt idx="1016">
                  <c:v>Steve McKee</c:v>
                </c:pt>
                <c:pt idx="1017">
                  <c:v>Steve O'Brien</c:v>
                </c:pt>
                <c:pt idx="1018">
                  <c:v>Steve Raynor</c:v>
                </c:pt>
                <c:pt idx="1019">
                  <c:v>Steven Long</c:v>
                </c:pt>
                <c:pt idx="1020">
                  <c:v>Stuart C Robinson</c:v>
                </c:pt>
                <c:pt idx="1021">
                  <c:v>Stuart Holloway</c:v>
                </c:pt>
                <c:pt idx="1022">
                  <c:v>Stuart Sharma</c:v>
                </c:pt>
                <c:pt idx="1023">
                  <c:v>Sue Drake</c:v>
                </c:pt>
                <c:pt idx="1024">
                  <c:v>Susan Carroll Berman</c:v>
                </c:pt>
                <c:pt idx="1025">
                  <c:v>Suzanne Cochran</c:v>
                </c:pt>
                <c:pt idx="1026">
                  <c:v>Sylvia Bush</c:v>
                </c:pt>
                <c:pt idx="1027">
                  <c:v>Sylvia Kumar</c:v>
                </c:pt>
                <c:pt idx="1028">
                  <c:v>Tamara Dickinson</c:v>
                </c:pt>
                <c:pt idx="1029">
                  <c:v>Tammy Buckley</c:v>
                </c:pt>
                <c:pt idx="1030">
                  <c:v>Tammy Goldman</c:v>
                </c:pt>
                <c:pt idx="1031">
                  <c:v>Tammy Raynor</c:v>
                </c:pt>
                <c:pt idx="1032">
                  <c:v>Tara Gold</c:v>
                </c:pt>
                <c:pt idx="1033">
                  <c:v>Tara Powers Underwood</c:v>
                </c:pt>
                <c:pt idx="1034">
                  <c:v>Ted Crowder</c:v>
                </c:pt>
                <c:pt idx="1035">
                  <c:v>Ted Dunlap</c:v>
                </c:pt>
                <c:pt idx="1036">
                  <c:v>Ted Durham</c:v>
                </c:pt>
                <c:pt idx="1037">
                  <c:v>Teresa Bishop</c:v>
                </c:pt>
                <c:pt idx="1038">
                  <c:v>Teresa Hill</c:v>
                </c:pt>
                <c:pt idx="1039">
                  <c:v>Teresa Wallace</c:v>
                </c:pt>
                <c:pt idx="1040">
                  <c:v>Teresa Watts</c:v>
                </c:pt>
                <c:pt idx="1041">
                  <c:v>Terry Klein</c:v>
                </c:pt>
                <c:pt idx="1042">
                  <c:v>Thelma Abrams</c:v>
                </c:pt>
                <c:pt idx="1043">
                  <c:v>Thelma Murray</c:v>
                </c:pt>
                <c:pt idx="1044">
                  <c:v>Theodore Moran</c:v>
                </c:pt>
                <c:pt idx="1045">
                  <c:v>Theodore Rubin</c:v>
                </c:pt>
                <c:pt idx="1046">
                  <c:v>Theodore Tyson</c:v>
                </c:pt>
                <c:pt idx="1047">
                  <c:v>Theresa Winters</c:v>
                </c:pt>
                <c:pt idx="1048">
                  <c:v>Thomas McAllister</c:v>
                </c:pt>
                <c:pt idx="1049">
                  <c:v>Thomas Spence</c:v>
                </c:pt>
                <c:pt idx="1050">
                  <c:v>Tiffany Grossman Hardin</c:v>
                </c:pt>
                <c:pt idx="1051">
                  <c:v>Tiffany Merrill</c:v>
                </c:pt>
                <c:pt idx="1052">
                  <c:v>Tim Connolly</c:v>
                </c:pt>
                <c:pt idx="1053">
                  <c:v>Timothy Currie</c:v>
                </c:pt>
                <c:pt idx="1054">
                  <c:v>Timothy Reese</c:v>
                </c:pt>
                <c:pt idx="1055">
                  <c:v>Timothy Ross</c:v>
                </c:pt>
                <c:pt idx="1056">
                  <c:v>Tina Evans</c:v>
                </c:pt>
                <c:pt idx="1057">
                  <c:v>Tina Monroe</c:v>
                </c:pt>
                <c:pt idx="1058">
                  <c:v>Todd D Norris</c:v>
                </c:pt>
                <c:pt idx="1059">
                  <c:v>Tom Hoyle Honeycutt</c:v>
                </c:pt>
                <c:pt idx="1060">
                  <c:v>Tom McFarland</c:v>
                </c:pt>
                <c:pt idx="1061">
                  <c:v>Tommy Ellis Ritchie</c:v>
                </c:pt>
                <c:pt idx="1062">
                  <c:v>Tommy Honeycutt</c:v>
                </c:pt>
                <c:pt idx="1063">
                  <c:v>Tommy Lutz</c:v>
                </c:pt>
                <c:pt idx="1064">
                  <c:v>Toni Owens Poe</c:v>
                </c:pt>
                <c:pt idx="1065">
                  <c:v>Toni Swanson</c:v>
                </c:pt>
                <c:pt idx="1066">
                  <c:v>Tony Chandler</c:v>
                </c:pt>
                <c:pt idx="1067">
                  <c:v>Tony Doyle</c:v>
                </c:pt>
                <c:pt idx="1068">
                  <c:v>Tony Wilkins Winters</c:v>
                </c:pt>
                <c:pt idx="1069">
                  <c:v>Tonya Miller</c:v>
                </c:pt>
                <c:pt idx="1070">
                  <c:v>Tonya Proctor</c:v>
                </c:pt>
                <c:pt idx="1071">
                  <c:v>Tracy Buckley</c:v>
                </c:pt>
                <c:pt idx="1072">
                  <c:v>Tracy Dyer</c:v>
                </c:pt>
                <c:pt idx="1073">
                  <c:v>Tracy G Starr</c:v>
                </c:pt>
                <c:pt idx="1074">
                  <c:v>Tracy Livingston</c:v>
                </c:pt>
                <c:pt idx="1075">
                  <c:v>Tracy Schultz</c:v>
                </c:pt>
                <c:pt idx="1076">
                  <c:v>Troy Casey</c:v>
                </c:pt>
                <c:pt idx="1077">
                  <c:v>Troy Cassidy</c:v>
                </c:pt>
                <c:pt idx="1078">
                  <c:v>Troy Moon</c:v>
                </c:pt>
                <c:pt idx="1079">
                  <c:v>Valerie Moon</c:v>
                </c:pt>
                <c:pt idx="1080">
                  <c:v>Valerie Siegel</c:v>
                </c:pt>
                <c:pt idx="1081">
                  <c:v>Vanessa Boyer</c:v>
                </c:pt>
                <c:pt idx="1082">
                  <c:v>Vanessa Day</c:v>
                </c:pt>
                <c:pt idx="1083">
                  <c:v>Vanessa Winstead</c:v>
                </c:pt>
                <c:pt idx="1084">
                  <c:v>Vernon Hirsch Singleton</c:v>
                </c:pt>
                <c:pt idx="1085">
                  <c:v>Veronica Peck</c:v>
                </c:pt>
                <c:pt idx="1086">
                  <c:v>Vicki Bond</c:v>
                </c:pt>
                <c:pt idx="1087">
                  <c:v>Vicki Hauser</c:v>
                </c:pt>
                <c:pt idx="1088">
                  <c:v>Vicki Womble</c:v>
                </c:pt>
                <c:pt idx="1089">
                  <c:v>Vicki Zhu Daniels</c:v>
                </c:pt>
                <c:pt idx="1090">
                  <c:v>Vickie Andrews</c:v>
                </c:pt>
                <c:pt idx="1091">
                  <c:v>Vickie Coates</c:v>
                </c:pt>
                <c:pt idx="1092">
                  <c:v>Vickie Gonzalez</c:v>
                </c:pt>
                <c:pt idx="1093">
                  <c:v>Vickie Martinez</c:v>
                </c:pt>
                <c:pt idx="1094">
                  <c:v>Vickie Morse</c:v>
                </c:pt>
                <c:pt idx="1095">
                  <c:v>Victor Cherry</c:v>
                </c:pt>
                <c:pt idx="1096">
                  <c:v>Victoria Baker Hoover</c:v>
                </c:pt>
                <c:pt idx="1097">
                  <c:v>Vincent Daniel</c:v>
                </c:pt>
                <c:pt idx="1098">
                  <c:v>Vincent Hale</c:v>
                </c:pt>
                <c:pt idx="1099">
                  <c:v>Virginia Gay</c:v>
                </c:pt>
                <c:pt idx="1100">
                  <c:v>Virginia McNeill</c:v>
                </c:pt>
                <c:pt idx="1101">
                  <c:v>Vivian Clarke</c:v>
                </c:pt>
                <c:pt idx="1102">
                  <c:v>Vivian Goldstein</c:v>
                </c:pt>
                <c:pt idx="1103">
                  <c:v>Wallace Pugh</c:v>
                </c:pt>
                <c:pt idx="1104">
                  <c:v>Wallace Werner</c:v>
                </c:pt>
                <c:pt idx="1105">
                  <c:v>Walter Young</c:v>
                </c:pt>
                <c:pt idx="1106">
                  <c:v>Wanda Harris</c:v>
                </c:pt>
                <c:pt idx="1107">
                  <c:v>Wayne Bass</c:v>
                </c:pt>
                <c:pt idx="1108">
                  <c:v>Wayne Bean</c:v>
                </c:pt>
                <c:pt idx="1109">
                  <c:v>Wayne English</c:v>
                </c:pt>
                <c:pt idx="1110">
                  <c:v>Wayne Lutz</c:v>
                </c:pt>
                <c:pt idx="1111">
                  <c:v>Wayne Sutherland</c:v>
                </c:pt>
                <c:pt idx="1112">
                  <c:v>Wendy Pridgen Pearce</c:v>
                </c:pt>
                <c:pt idx="1113">
                  <c:v>Wesley Cho</c:v>
                </c:pt>
                <c:pt idx="1114">
                  <c:v>Wesley Corbett</c:v>
                </c:pt>
                <c:pt idx="1115">
                  <c:v>Wesley Field</c:v>
                </c:pt>
                <c:pt idx="1116">
                  <c:v>Wesley Reid</c:v>
                </c:pt>
                <c:pt idx="1117">
                  <c:v>Wesley Tate</c:v>
                </c:pt>
                <c:pt idx="1118">
                  <c:v>Wesley Waller</c:v>
                </c:pt>
                <c:pt idx="1119">
                  <c:v>William Crawford</c:v>
                </c:pt>
                <c:pt idx="1120">
                  <c:v>William Larson</c:v>
                </c:pt>
                <c:pt idx="1121">
                  <c:v>William Sharma</c:v>
                </c:pt>
                <c:pt idx="1122">
                  <c:v>William Woodard</c:v>
                </c:pt>
                <c:pt idx="1123">
                  <c:v>Willie Robinson</c:v>
                </c:pt>
                <c:pt idx="1124">
                  <c:v>Yvonne Clarke</c:v>
                </c:pt>
                <c:pt idx="1125">
                  <c:v>Yvonne Collier</c:v>
                </c:pt>
                <c:pt idx="1126">
                  <c:v>Yvonne Fox</c:v>
                </c:pt>
                <c:pt idx="1127">
                  <c:v>Yvonne Mann</c:v>
                </c:pt>
                <c:pt idx="1128">
                  <c:v>Yvonne Stephens</c:v>
                </c:pt>
                <c:pt idx="1129">
                  <c:v>Zachary Maynard</c:v>
                </c:pt>
              </c:strCache>
            </c:strRef>
          </c:cat>
          <c:val>
            <c:numRef>
              <c:f>'Customer name '!$B$4:$B$1134</c:f>
              <c:numCache>
                <c:formatCode>General</c:formatCode>
                <c:ptCount val="1130"/>
                <c:pt idx="0">
                  <c:v>710.16</c:v>
                </c:pt>
                <c:pt idx="1">
                  <c:v>18.34</c:v>
                </c:pt>
                <c:pt idx="2">
                  <c:v>3598.26</c:v>
                </c:pt>
                <c:pt idx="3">
                  <c:v>894.64</c:v>
                </c:pt>
                <c:pt idx="4">
                  <c:v>1638.5</c:v>
                </c:pt>
                <c:pt idx="5">
                  <c:v>48.3</c:v>
                </c:pt>
                <c:pt idx="6">
                  <c:v>485.01</c:v>
                </c:pt>
                <c:pt idx="7">
                  <c:v>396.19</c:v>
                </c:pt>
                <c:pt idx="8">
                  <c:v>1338.6</c:v>
                </c:pt>
                <c:pt idx="9">
                  <c:v>267.89</c:v>
                </c:pt>
                <c:pt idx="10">
                  <c:v>191.68</c:v>
                </c:pt>
                <c:pt idx="11">
                  <c:v>205.76</c:v>
                </c:pt>
                <c:pt idx="12">
                  <c:v>5584.7</c:v>
                </c:pt>
                <c:pt idx="13">
                  <c:v>116.8</c:v>
                </c:pt>
                <c:pt idx="14">
                  <c:v>33.65</c:v>
                </c:pt>
                <c:pt idx="15">
                  <c:v>10.72</c:v>
                </c:pt>
                <c:pt idx="16">
                  <c:v>10925.98</c:v>
                </c:pt>
                <c:pt idx="17">
                  <c:v>952.26</c:v>
                </c:pt>
                <c:pt idx="18">
                  <c:v>414.49</c:v>
                </c:pt>
                <c:pt idx="19">
                  <c:v>49.81</c:v>
                </c:pt>
                <c:pt idx="20">
                  <c:v>881.94</c:v>
                </c:pt>
                <c:pt idx="21">
                  <c:v>1277.49</c:v>
                </c:pt>
                <c:pt idx="22">
                  <c:v>2956.6299999999997</c:v>
                </c:pt>
                <c:pt idx="23">
                  <c:v>1494.63</c:v>
                </c:pt>
                <c:pt idx="24">
                  <c:v>2353.5500000000002</c:v>
                </c:pt>
                <c:pt idx="25">
                  <c:v>1455.1499999999999</c:v>
                </c:pt>
                <c:pt idx="26">
                  <c:v>379.72</c:v>
                </c:pt>
                <c:pt idx="27">
                  <c:v>52.47</c:v>
                </c:pt>
                <c:pt idx="28">
                  <c:v>657.61</c:v>
                </c:pt>
                <c:pt idx="29">
                  <c:v>1053.2</c:v>
                </c:pt>
                <c:pt idx="30">
                  <c:v>51.41</c:v>
                </c:pt>
                <c:pt idx="31">
                  <c:v>56.4</c:v>
                </c:pt>
                <c:pt idx="32">
                  <c:v>94.89</c:v>
                </c:pt>
                <c:pt idx="33">
                  <c:v>3762.9799999999996</c:v>
                </c:pt>
                <c:pt idx="34">
                  <c:v>8.34</c:v>
                </c:pt>
                <c:pt idx="35">
                  <c:v>2338.1799999999998</c:v>
                </c:pt>
                <c:pt idx="36">
                  <c:v>159.73000000000002</c:v>
                </c:pt>
                <c:pt idx="37">
                  <c:v>384.22</c:v>
                </c:pt>
                <c:pt idx="38">
                  <c:v>9603.24</c:v>
                </c:pt>
                <c:pt idx="39">
                  <c:v>12417.560000000001</c:v>
                </c:pt>
                <c:pt idx="40">
                  <c:v>16792.21</c:v>
                </c:pt>
                <c:pt idx="41">
                  <c:v>251.06</c:v>
                </c:pt>
                <c:pt idx="42">
                  <c:v>126.9</c:v>
                </c:pt>
                <c:pt idx="43">
                  <c:v>185.58</c:v>
                </c:pt>
                <c:pt idx="44">
                  <c:v>193.88</c:v>
                </c:pt>
                <c:pt idx="45">
                  <c:v>2902.14</c:v>
                </c:pt>
                <c:pt idx="46">
                  <c:v>11.35</c:v>
                </c:pt>
                <c:pt idx="47">
                  <c:v>29.92</c:v>
                </c:pt>
                <c:pt idx="48">
                  <c:v>2779.6</c:v>
                </c:pt>
                <c:pt idx="49">
                  <c:v>65.69</c:v>
                </c:pt>
                <c:pt idx="50">
                  <c:v>7415.64</c:v>
                </c:pt>
                <c:pt idx="51">
                  <c:v>236.80999999999997</c:v>
                </c:pt>
                <c:pt idx="52">
                  <c:v>492.9</c:v>
                </c:pt>
                <c:pt idx="53">
                  <c:v>226.22</c:v>
                </c:pt>
                <c:pt idx="54">
                  <c:v>4500.72</c:v>
                </c:pt>
                <c:pt idx="55">
                  <c:v>1400.53</c:v>
                </c:pt>
                <c:pt idx="56">
                  <c:v>308.28999999999996</c:v>
                </c:pt>
                <c:pt idx="57">
                  <c:v>53.42</c:v>
                </c:pt>
                <c:pt idx="58">
                  <c:v>4597.8900000000003</c:v>
                </c:pt>
                <c:pt idx="59">
                  <c:v>13424.37</c:v>
                </c:pt>
                <c:pt idx="60">
                  <c:v>1042.54</c:v>
                </c:pt>
                <c:pt idx="61">
                  <c:v>117.87</c:v>
                </c:pt>
                <c:pt idx="62">
                  <c:v>68.45</c:v>
                </c:pt>
                <c:pt idx="63">
                  <c:v>1634.67</c:v>
                </c:pt>
                <c:pt idx="64">
                  <c:v>3916.27</c:v>
                </c:pt>
                <c:pt idx="65">
                  <c:v>323.78999999999996</c:v>
                </c:pt>
                <c:pt idx="66">
                  <c:v>119.29</c:v>
                </c:pt>
                <c:pt idx="67">
                  <c:v>12808.029999999999</c:v>
                </c:pt>
                <c:pt idx="68">
                  <c:v>110.75</c:v>
                </c:pt>
                <c:pt idx="69">
                  <c:v>1899.6399999999999</c:v>
                </c:pt>
                <c:pt idx="70">
                  <c:v>374.6</c:v>
                </c:pt>
                <c:pt idx="71">
                  <c:v>2591.09</c:v>
                </c:pt>
                <c:pt idx="72">
                  <c:v>120.81</c:v>
                </c:pt>
                <c:pt idx="73">
                  <c:v>64.89</c:v>
                </c:pt>
                <c:pt idx="74">
                  <c:v>470.06</c:v>
                </c:pt>
                <c:pt idx="75">
                  <c:v>89.76</c:v>
                </c:pt>
                <c:pt idx="76">
                  <c:v>2737.4300000000003</c:v>
                </c:pt>
                <c:pt idx="77">
                  <c:v>1714.93</c:v>
                </c:pt>
                <c:pt idx="78">
                  <c:v>31.96</c:v>
                </c:pt>
                <c:pt idx="79">
                  <c:v>266.95</c:v>
                </c:pt>
                <c:pt idx="80">
                  <c:v>52.09</c:v>
                </c:pt>
                <c:pt idx="81">
                  <c:v>120.12</c:v>
                </c:pt>
                <c:pt idx="82">
                  <c:v>2306.12</c:v>
                </c:pt>
                <c:pt idx="83">
                  <c:v>43.08</c:v>
                </c:pt>
                <c:pt idx="84">
                  <c:v>541.13</c:v>
                </c:pt>
                <c:pt idx="85">
                  <c:v>2125.12</c:v>
                </c:pt>
                <c:pt idx="86">
                  <c:v>101.73</c:v>
                </c:pt>
                <c:pt idx="87">
                  <c:v>91.92</c:v>
                </c:pt>
                <c:pt idx="88">
                  <c:v>92.96</c:v>
                </c:pt>
                <c:pt idx="89">
                  <c:v>2814.94</c:v>
                </c:pt>
                <c:pt idx="90">
                  <c:v>1125.76</c:v>
                </c:pt>
                <c:pt idx="91">
                  <c:v>653.81999999999994</c:v>
                </c:pt>
                <c:pt idx="92">
                  <c:v>4542.16</c:v>
                </c:pt>
                <c:pt idx="93">
                  <c:v>920.56</c:v>
                </c:pt>
                <c:pt idx="94">
                  <c:v>650.70000000000005</c:v>
                </c:pt>
                <c:pt idx="95">
                  <c:v>100.38</c:v>
                </c:pt>
                <c:pt idx="96">
                  <c:v>904.31</c:v>
                </c:pt>
                <c:pt idx="97">
                  <c:v>680</c:v>
                </c:pt>
                <c:pt idx="98">
                  <c:v>765.04</c:v>
                </c:pt>
                <c:pt idx="99">
                  <c:v>498.31</c:v>
                </c:pt>
                <c:pt idx="100">
                  <c:v>5258.94</c:v>
                </c:pt>
                <c:pt idx="101">
                  <c:v>938.44999999999993</c:v>
                </c:pt>
                <c:pt idx="102">
                  <c:v>383.21999999999997</c:v>
                </c:pt>
                <c:pt idx="103">
                  <c:v>152.18</c:v>
                </c:pt>
                <c:pt idx="104">
                  <c:v>606.47</c:v>
                </c:pt>
                <c:pt idx="105">
                  <c:v>189.60000000000002</c:v>
                </c:pt>
                <c:pt idx="106">
                  <c:v>4321.5000000000009</c:v>
                </c:pt>
                <c:pt idx="107">
                  <c:v>13.01</c:v>
                </c:pt>
                <c:pt idx="108">
                  <c:v>3292.02</c:v>
                </c:pt>
                <c:pt idx="109">
                  <c:v>4920.8100000000004</c:v>
                </c:pt>
                <c:pt idx="110">
                  <c:v>243.32</c:v>
                </c:pt>
                <c:pt idx="111">
                  <c:v>10629.55</c:v>
                </c:pt>
                <c:pt idx="112">
                  <c:v>283.56</c:v>
                </c:pt>
                <c:pt idx="113">
                  <c:v>145.22</c:v>
                </c:pt>
                <c:pt idx="114">
                  <c:v>7727.12</c:v>
                </c:pt>
                <c:pt idx="115">
                  <c:v>28.46</c:v>
                </c:pt>
                <c:pt idx="116">
                  <c:v>1653.29</c:v>
                </c:pt>
                <c:pt idx="117">
                  <c:v>94.2</c:v>
                </c:pt>
                <c:pt idx="118">
                  <c:v>1332.82</c:v>
                </c:pt>
                <c:pt idx="119">
                  <c:v>78.08</c:v>
                </c:pt>
                <c:pt idx="120">
                  <c:v>325.51</c:v>
                </c:pt>
                <c:pt idx="121">
                  <c:v>825.46</c:v>
                </c:pt>
                <c:pt idx="122">
                  <c:v>10514.6</c:v>
                </c:pt>
                <c:pt idx="123">
                  <c:v>343.83000000000004</c:v>
                </c:pt>
                <c:pt idx="124">
                  <c:v>2376.12</c:v>
                </c:pt>
                <c:pt idx="125">
                  <c:v>1549.1</c:v>
                </c:pt>
                <c:pt idx="126">
                  <c:v>312.58999999999997</c:v>
                </c:pt>
                <c:pt idx="127">
                  <c:v>1989.32</c:v>
                </c:pt>
                <c:pt idx="128">
                  <c:v>1542.46</c:v>
                </c:pt>
                <c:pt idx="129">
                  <c:v>1719.07</c:v>
                </c:pt>
                <c:pt idx="130">
                  <c:v>400.47</c:v>
                </c:pt>
                <c:pt idx="131">
                  <c:v>87.25</c:v>
                </c:pt>
                <c:pt idx="132">
                  <c:v>677.08</c:v>
                </c:pt>
                <c:pt idx="133">
                  <c:v>85.26</c:v>
                </c:pt>
                <c:pt idx="134">
                  <c:v>4086.5</c:v>
                </c:pt>
                <c:pt idx="135">
                  <c:v>614.99</c:v>
                </c:pt>
                <c:pt idx="136">
                  <c:v>204.79000000000002</c:v>
                </c:pt>
                <c:pt idx="137">
                  <c:v>304.33999999999997</c:v>
                </c:pt>
                <c:pt idx="138">
                  <c:v>889.64</c:v>
                </c:pt>
                <c:pt idx="139">
                  <c:v>3855.28</c:v>
                </c:pt>
                <c:pt idx="140">
                  <c:v>1593.26</c:v>
                </c:pt>
                <c:pt idx="141">
                  <c:v>346.52</c:v>
                </c:pt>
                <c:pt idx="142">
                  <c:v>211.82999999999998</c:v>
                </c:pt>
                <c:pt idx="143">
                  <c:v>200.64</c:v>
                </c:pt>
                <c:pt idx="144">
                  <c:v>5086.08</c:v>
                </c:pt>
                <c:pt idx="145">
                  <c:v>127.35999999999999</c:v>
                </c:pt>
                <c:pt idx="146">
                  <c:v>10740.57</c:v>
                </c:pt>
                <c:pt idx="147">
                  <c:v>98.17</c:v>
                </c:pt>
                <c:pt idx="148">
                  <c:v>1943.87</c:v>
                </c:pt>
                <c:pt idx="149">
                  <c:v>799.76</c:v>
                </c:pt>
                <c:pt idx="150">
                  <c:v>397.54999999999995</c:v>
                </c:pt>
                <c:pt idx="151">
                  <c:v>641.11</c:v>
                </c:pt>
                <c:pt idx="152">
                  <c:v>1531.31</c:v>
                </c:pt>
                <c:pt idx="153">
                  <c:v>1211.6000000000001</c:v>
                </c:pt>
                <c:pt idx="154">
                  <c:v>110.71</c:v>
                </c:pt>
                <c:pt idx="155">
                  <c:v>546.21</c:v>
                </c:pt>
                <c:pt idx="156">
                  <c:v>150.6</c:v>
                </c:pt>
                <c:pt idx="157">
                  <c:v>4093.16</c:v>
                </c:pt>
                <c:pt idx="158">
                  <c:v>5.9</c:v>
                </c:pt>
                <c:pt idx="159">
                  <c:v>31.98</c:v>
                </c:pt>
                <c:pt idx="160">
                  <c:v>236.71</c:v>
                </c:pt>
                <c:pt idx="161">
                  <c:v>7584.2300000000005</c:v>
                </c:pt>
                <c:pt idx="162">
                  <c:v>1254.1199999999999</c:v>
                </c:pt>
                <c:pt idx="163">
                  <c:v>536.23</c:v>
                </c:pt>
                <c:pt idx="164">
                  <c:v>787.36</c:v>
                </c:pt>
                <c:pt idx="165">
                  <c:v>1635.0800000000002</c:v>
                </c:pt>
                <c:pt idx="166">
                  <c:v>106.57</c:v>
                </c:pt>
                <c:pt idx="167">
                  <c:v>694.91</c:v>
                </c:pt>
                <c:pt idx="168">
                  <c:v>107.95</c:v>
                </c:pt>
                <c:pt idx="169">
                  <c:v>57.34</c:v>
                </c:pt>
                <c:pt idx="170">
                  <c:v>182.33</c:v>
                </c:pt>
                <c:pt idx="171">
                  <c:v>80.23</c:v>
                </c:pt>
                <c:pt idx="172">
                  <c:v>28.66</c:v>
                </c:pt>
                <c:pt idx="173">
                  <c:v>3.42</c:v>
                </c:pt>
                <c:pt idx="174">
                  <c:v>10.96</c:v>
                </c:pt>
                <c:pt idx="175">
                  <c:v>1232.01</c:v>
                </c:pt>
                <c:pt idx="176">
                  <c:v>14.76</c:v>
                </c:pt>
                <c:pt idx="177">
                  <c:v>15224.63</c:v>
                </c:pt>
                <c:pt idx="178">
                  <c:v>538.64</c:v>
                </c:pt>
                <c:pt idx="179">
                  <c:v>996.45</c:v>
                </c:pt>
                <c:pt idx="180">
                  <c:v>386.61</c:v>
                </c:pt>
                <c:pt idx="181">
                  <c:v>17.62</c:v>
                </c:pt>
                <c:pt idx="182">
                  <c:v>875.85</c:v>
                </c:pt>
                <c:pt idx="183">
                  <c:v>56.71</c:v>
                </c:pt>
                <c:pt idx="184">
                  <c:v>303.58999999999997</c:v>
                </c:pt>
                <c:pt idx="185">
                  <c:v>219.64</c:v>
                </c:pt>
                <c:pt idx="186">
                  <c:v>125.9</c:v>
                </c:pt>
                <c:pt idx="187">
                  <c:v>535.08000000000004</c:v>
                </c:pt>
                <c:pt idx="188">
                  <c:v>2395.79</c:v>
                </c:pt>
                <c:pt idx="189">
                  <c:v>450.49</c:v>
                </c:pt>
                <c:pt idx="190">
                  <c:v>196.41</c:v>
                </c:pt>
                <c:pt idx="191">
                  <c:v>2117.31</c:v>
                </c:pt>
                <c:pt idx="192">
                  <c:v>28.130000000000003</c:v>
                </c:pt>
                <c:pt idx="193">
                  <c:v>4605.45</c:v>
                </c:pt>
                <c:pt idx="194">
                  <c:v>45</c:v>
                </c:pt>
                <c:pt idx="195">
                  <c:v>53.02</c:v>
                </c:pt>
                <c:pt idx="196">
                  <c:v>295.18</c:v>
                </c:pt>
                <c:pt idx="197">
                  <c:v>73.040000000000006</c:v>
                </c:pt>
                <c:pt idx="198">
                  <c:v>6270.61</c:v>
                </c:pt>
                <c:pt idx="199">
                  <c:v>64.48</c:v>
                </c:pt>
                <c:pt idx="200">
                  <c:v>467.17999999999995</c:v>
                </c:pt>
                <c:pt idx="201">
                  <c:v>3833.8500000000004</c:v>
                </c:pt>
                <c:pt idx="202">
                  <c:v>88.22</c:v>
                </c:pt>
                <c:pt idx="203">
                  <c:v>186.26</c:v>
                </c:pt>
                <c:pt idx="204">
                  <c:v>593.95000000000005</c:v>
                </c:pt>
                <c:pt idx="205">
                  <c:v>893.79000000000008</c:v>
                </c:pt>
                <c:pt idx="206">
                  <c:v>353.99</c:v>
                </c:pt>
                <c:pt idx="207">
                  <c:v>2547.96</c:v>
                </c:pt>
                <c:pt idx="208">
                  <c:v>11084.08</c:v>
                </c:pt>
                <c:pt idx="209">
                  <c:v>226.88</c:v>
                </c:pt>
                <c:pt idx="210">
                  <c:v>4935.22</c:v>
                </c:pt>
                <c:pt idx="211">
                  <c:v>2642.48</c:v>
                </c:pt>
                <c:pt idx="212">
                  <c:v>27.37</c:v>
                </c:pt>
                <c:pt idx="213">
                  <c:v>696.35</c:v>
                </c:pt>
                <c:pt idx="214">
                  <c:v>365.55</c:v>
                </c:pt>
                <c:pt idx="215">
                  <c:v>4410.1899999999996</c:v>
                </c:pt>
                <c:pt idx="216">
                  <c:v>7.15</c:v>
                </c:pt>
                <c:pt idx="217">
                  <c:v>472.07</c:v>
                </c:pt>
                <c:pt idx="218">
                  <c:v>448.47</c:v>
                </c:pt>
                <c:pt idx="219">
                  <c:v>202.38</c:v>
                </c:pt>
                <c:pt idx="220">
                  <c:v>394.51</c:v>
                </c:pt>
                <c:pt idx="221">
                  <c:v>364.42</c:v>
                </c:pt>
                <c:pt idx="222">
                  <c:v>769.53</c:v>
                </c:pt>
                <c:pt idx="223">
                  <c:v>612.25</c:v>
                </c:pt>
                <c:pt idx="224">
                  <c:v>27.96</c:v>
                </c:pt>
                <c:pt idx="225">
                  <c:v>7974.21</c:v>
                </c:pt>
                <c:pt idx="226">
                  <c:v>3702.4</c:v>
                </c:pt>
                <c:pt idx="227">
                  <c:v>411.64</c:v>
                </c:pt>
                <c:pt idx="228">
                  <c:v>19.29</c:v>
                </c:pt>
                <c:pt idx="229">
                  <c:v>1892.6</c:v>
                </c:pt>
                <c:pt idx="230">
                  <c:v>1219.1600000000001</c:v>
                </c:pt>
                <c:pt idx="231">
                  <c:v>1029.4099999999999</c:v>
                </c:pt>
                <c:pt idx="232">
                  <c:v>1081.54</c:v>
                </c:pt>
                <c:pt idx="233">
                  <c:v>1664.6100000000001</c:v>
                </c:pt>
                <c:pt idx="234">
                  <c:v>170.44</c:v>
                </c:pt>
                <c:pt idx="235">
                  <c:v>2215.2000000000003</c:v>
                </c:pt>
                <c:pt idx="236">
                  <c:v>47.4</c:v>
                </c:pt>
                <c:pt idx="237">
                  <c:v>13.05</c:v>
                </c:pt>
                <c:pt idx="238">
                  <c:v>1216.32</c:v>
                </c:pt>
                <c:pt idx="239">
                  <c:v>761.16</c:v>
                </c:pt>
                <c:pt idx="240">
                  <c:v>1782.44</c:v>
                </c:pt>
                <c:pt idx="241">
                  <c:v>3846.06</c:v>
                </c:pt>
                <c:pt idx="242">
                  <c:v>3282.2000000000003</c:v>
                </c:pt>
                <c:pt idx="243">
                  <c:v>66.319999999999993</c:v>
                </c:pt>
                <c:pt idx="244">
                  <c:v>108.99</c:v>
                </c:pt>
                <c:pt idx="245">
                  <c:v>6968.9</c:v>
                </c:pt>
                <c:pt idx="246">
                  <c:v>19.73</c:v>
                </c:pt>
                <c:pt idx="247">
                  <c:v>58.05</c:v>
                </c:pt>
                <c:pt idx="248">
                  <c:v>2665.54</c:v>
                </c:pt>
                <c:pt idx="249">
                  <c:v>1083.8999999999999</c:v>
                </c:pt>
                <c:pt idx="250">
                  <c:v>253.07999999999998</c:v>
                </c:pt>
                <c:pt idx="251">
                  <c:v>479.78000000000003</c:v>
                </c:pt>
                <c:pt idx="252">
                  <c:v>782</c:v>
                </c:pt>
                <c:pt idx="253">
                  <c:v>739.07</c:v>
                </c:pt>
                <c:pt idx="254">
                  <c:v>1858.04</c:v>
                </c:pt>
                <c:pt idx="255">
                  <c:v>13831.16</c:v>
                </c:pt>
                <c:pt idx="256">
                  <c:v>1414.13</c:v>
                </c:pt>
                <c:pt idx="257">
                  <c:v>264.95</c:v>
                </c:pt>
                <c:pt idx="258">
                  <c:v>3550.28</c:v>
                </c:pt>
                <c:pt idx="259">
                  <c:v>179.51</c:v>
                </c:pt>
                <c:pt idx="260">
                  <c:v>4973.5200000000004</c:v>
                </c:pt>
                <c:pt idx="261">
                  <c:v>72.11</c:v>
                </c:pt>
                <c:pt idx="262">
                  <c:v>462.39</c:v>
                </c:pt>
                <c:pt idx="263">
                  <c:v>153.87</c:v>
                </c:pt>
                <c:pt idx="264">
                  <c:v>89.91</c:v>
                </c:pt>
                <c:pt idx="265">
                  <c:v>675.83</c:v>
                </c:pt>
                <c:pt idx="266">
                  <c:v>829.96</c:v>
                </c:pt>
                <c:pt idx="267">
                  <c:v>26.07</c:v>
                </c:pt>
                <c:pt idx="268">
                  <c:v>199.43</c:v>
                </c:pt>
                <c:pt idx="269">
                  <c:v>361.49</c:v>
                </c:pt>
                <c:pt idx="270">
                  <c:v>1757.15</c:v>
                </c:pt>
                <c:pt idx="271">
                  <c:v>46.94</c:v>
                </c:pt>
                <c:pt idx="272">
                  <c:v>47.12</c:v>
                </c:pt>
                <c:pt idx="273">
                  <c:v>79.81</c:v>
                </c:pt>
                <c:pt idx="274">
                  <c:v>2026.91</c:v>
                </c:pt>
                <c:pt idx="275">
                  <c:v>8940.74</c:v>
                </c:pt>
                <c:pt idx="276">
                  <c:v>1924.66</c:v>
                </c:pt>
                <c:pt idx="277">
                  <c:v>1794.88</c:v>
                </c:pt>
                <c:pt idx="278">
                  <c:v>6058.09</c:v>
                </c:pt>
                <c:pt idx="279">
                  <c:v>1821.89</c:v>
                </c:pt>
                <c:pt idx="280">
                  <c:v>1013.84</c:v>
                </c:pt>
                <c:pt idx="281">
                  <c:v>4294.47</c:v>
                </c:pt>
                <c:pt idx="282">
                  <c:v>10.86</c:v>
                </c:pt>
                <c:pt idx="283">
                  <c:v>8.83</c:v>
                </c:pt>
                <c:pt idx="284">
                  <c:v>1326.3500000000001</c:v>
                </c:pt>
                <c:pt idx="285">
                  <c:v>7030.35</c:v>
                </c:pt>
                <c:pt idx="286">
                  <c:v>5835.41</c:v>
                </c:pt>
                <c:pt idx="287">
                  <c:v>69.739999999999995</c:v>
                </c:pt>
                <c:pt idx="288">
                  <c:v>175.3</c:v>
                </c:pt>
                <c:pt idx="289">
                  <c:v>75.17</c:v>
                </c:pt>
                <c:pt idx="290">
                  <c:v>8.77</c:v>
                </c:pt>
                <c:pt idx="291">
                  <c:v>81.14</c:v>
                </c:pt>
                <c:pt idx="292">
                  <c:v>26.38</c:v>
                </c:pt>
                <c:pt idx="293">
                  <c:v>80.58</c:v>
                </c:pt>
                <c:pt idx="294">
                  <c:v>25.31</c:v>
                </c:pt>
                <c:pt idx="295">
                  <c:v>169.68</c:v>
                </c:pt>
                <c:pt idx="296">
                  <c:v>229.57</c:v>
                </c:pt>
                <c:pt idx="297">
                  <c:v>832.97</c:v>
                </c:pt>
                <c:pt idx="298">
                  <c:v>3731.8399999999997</c:v>
                </c:pt>
                <c:pt idx="299">
                  <c:v>1784.34</c:v>
                </c:pt>
                <c:pt idx="300">
                  <c:v>903.55000000000007</c:v>
                </c:pt>
                <c:pt idx="301">
                  <c:v>12602.909999999998</c:v>
                </c:pt>
                <c:pt idx="302">
                  <c:v>1979.99</c:v>
                </c:pt>
                <c:pt idx="303">
                  <c:v>159.13</c:v>
                </c:pt>
                <c:pt idx="304">
                  <c:v>116.56</c:v>
                </c:pt>
                <c:pt idx="305">
                  <c:v>54.69</c:v>
                </c:pt>
                <c:pt idx="306">
                  <c:v>1225.5999999999999</c:v>
                </c:pt>
                <c:pt idx="307">
                  <c:v>326.02999999999997</c:v>
                </c:pt>
                <c:pt idx="308">
                  <c:v>120.34</c:v>
                </c:pt>
                <c:pt idx="309">
                  <c:v>44.24</c:v>
                </c:pt>
                <c:pt idx="310">
                  <c:v>1282.67</c:v>
                </c:pt>
                <c:pt idx="311">
                  <c:v>59.75</c:v>
                </c:pt>
                <c:pt idx="312">
                  <c:v>6.97</c:v>
                </c:pt>
                <c:pt idx="313">
                  <c:v>54.04</c:v>
                </c:pt>
                <c:pt idx="314">
                  <c:v>668.38</c:v>
                </c:pt>
                <c:pt idx="315">
                  <c:v>460.81</c:v>
                </c:pt>
                <c:pt idx="316">
                  <c:v>101.13</c:v>
                </c:pt>
                <c:pt idx="317">
                  <c:v>80.81</c:v>
                </c:pt>
                <c:pt idx="318">
                  <c:v>286.39999999999998</c:v>
                </c:pt>
                <c:pt idx="319">
                  <c:v>176.01</c:v>
                </c:pt>
                <c:pt idx="320">
                  <c:v>575.70000000000005</c:v>
                </c:pt>
                <c:pt idx="321">
                  <c:v>1370.99</c:v>
                </c:pt>
                <c:pt idx="322">
                  <c:v>522.22</c:v>
                </c:pt>
                <c:pt idx="323">
                  <c:v>20565.990000000002</c:v>
                </c:pt>
                <c:pt idx="324">
                  <c:v>553.39</c:v>
                </c:pt>
                <c:pt idx="325">
                  <c:v>1006.1300000000001</c:v>
                </c:pt>
                <c:pt idx="326">
                  <c:v>1068.5999999999999</c:v>
                </c:pt>
                <c:pt idx="327">
                  <c:v>1331.94</c:v>
                </c:pt>
                <c:pt idx="328">
                  <c:v>35.97</c:v>
                </c:pt>
                <c:pt idx="329">
                  <c:v>5399.94</c:v>
                </c:pt>
                <c:pt idx="330">
                  <c:v>417.71</c:v>
                </c:pt>
                <c:pt idx="331">
                  <c:v>1346.1799999999998</c:v>
                </c:pt>
                <c:pt idx="332">
                  <c:v>9036.0600000000013</c:v>
                </c:pt>
                <c:pt idx="333">
                  <c:v>285.87</c:v>
                </c:pt>
                <c:pt idx="334">
                  <c:v>8824.17</c:v>
                </c:pt>
                <c:pt idx="335">
                  <c:v>241.97</c:v>
                </c:pt>
                <c:pt idx="336">
                  <c:v>515.88</c:v>
                </c:pt>
                <c:pt idx="337">
                  <c:v>1818.41</c:v>
                </c:pt>
                <c:pt idx="338">
                  <c:v>1170.21</c:v>
                </c:pt>
                <c:pt idx="339">
                  <c:v>135.77000000000001</c:v>
                </c:pt>
                <c:pt idx="340">
                  <c:v>1829.25</c:v>
                </c:pt>
                <c:pt idx="341">
                  <c:v>80.86</c:v>
                </c:pt>
                <c:pt idx="342">
                  <c:v>746.03</c:v>
                </c:pt>
                <c:pt idx="343">
                  <c:v>135.78</c:v>
                </c:pt>
                <c:pt idx="344">
                  <c:v>172.64</c:v>
                </c:pt>
                <c:pt idx="345">
                  <c:v>125.37</c:v>
                </c:pt>
                <c:pt idx="346">
                  <c:v>4942.08</c:v>
                </c:pt>
                <c:pt idx="347">
                  <c:v>34.909999999999997</c:v>
                </c:pt>
                <c:pt idx="348">
                  <c:v>364.26</c:v>
                </c:pt>
                <c:pt idx="349">
                  <c:v>730.37</c:v>
                </c:pt>
                <c:pt idx="350">
                  <c:v>8.8000000000000007</c:v>
                </c:pt>
                <c:pt idx="351">
                  <c:v>137.76</c:v>
                </c:pt>
                <c:pt idx="352">
                  <c:v>981.22</c:v>
                </c:pt>
                <c:pt idx="353">
                  <c:v>11.41</c:v>
                </c:pt>
                <c:pt idx="354">
                  <c:v>116.92</c:v>
                </c:pt>
                <c:pt idx="355">
                  <c:v>381.91</c:v>
                </c:pt>
                <c:pt idx="356">
                  <c:v>17.420000000000002</c:v>
                </c:pt>
                <c:pt idx="357">
                  <c:v>558.16999999999996</c:v>
                </c:pt>
                <c:pt idx="358">
                  <c:v>1278.96</c:v>
                </c:pt>
                <c:pt idx="359">
                  <c:v>38.58</c:v>
                </c:pt>
                <c:pt idx="360">
                  <c:v>307.11</c:v>
                </c:pt>
                <c:pt idx="361">
                  <c:v>318.18</c:v>
                </c:pt>
                <c:pt idx="362">
                  <c:v>1847.4099999999999</c:v>
                </c:pt>
                <c:pt idx="363">
                  <c:v>723.54</c:v>
                </c:pt>
                <c:pt idx="364">
                  <c:v>157.78</c:v>
                </c:pt>
                <c:pt idx="365">
                  <c:v>2649.66</c:v>
                </c:pt>
                <c:pt idx="366">
                  <c:v>5218.7700000000004</c:v>
                </c:pt>
                <c:pt idx="367">
                  <c:v>723.76</c:v>
                </c:pt>
                <c:pt idx="368">
                  <c:v>2814.57</c:v>
                </c:pt>
                <c:pt idx="369">
                  <c:v>455.27</c:v>
                </c:pt>
                <c:pt idx="370">
                  <c:v>10671.060000000001</c:v>
                </c:pt>
                <c:pt idx="371">
                  <c:v>90.57</c:v>
                </c:pt>
                <c:pt idx="372">
                  <c:v>1656.77</c:v>
                </c:pt>
                <c:pt idx="373">
                  <c:v>32.4</c:v>
                </c:pt>
                <c:pt idx="374">
                  <c:v>40.69</c:v>
                </c:pt>
                <c:pt idx="375">
                  <c:v>2692.44</c:v>
                </c:pt>
                <c:pt idx="376">
                  <c:v>138.51</c:v>
                </c:pt>
                <c:pt idx="377">
                  <c:v>163.01</c:v>
                </c:pt>
                <c:pt idx="378">
                  <c:v>38.54</c:v>
                </c:pt>
                <c:pt idx="379">
                  <c:v>429.33</c:v>
                </c:pt>
                <c:pt idx="380">
                  <c:v>491.21</c:v>
                </c:pt>
                <c:pt idx="381">
                  <c:v>57.41</c:v>
                </c:pt>
                <c:pt idx="382">
                  <c:v>28.01</c:v>
                </c:pt>
                <c:pt idx="383">
                  <c:v>945.36</c:v>
                </c:pt>
                <c:pt idx="384">
                  <c:v>4482.9400000000005</c:v>
                </c:pt>
                <c:pt idx="385">
                  <c:v>31.71</c:v>
                </c:pt>
                <c:pt idx="386">
                  <c:v>280.62</c:v>
                </c:pt>
                <c:pt idx="387">
                  <c:v>1300.31</c:v>
                </c:pt>
                <c:pt idx="388">
                  <c:v>1978.3000000000002</c:v>
                </c:pt>
                <c:pt idx="389">
                  <c:v>3741.39</c:v>
                </c:pt>
                <c:pt idx="390">
                  <c:v>5665.6900000000005</c:v>
                </c:pt>
                <c:pt idx="391">
                  <c:v>1280.26</c:v>
                </c:pt>
                <c:pt idx="392">
                  <c:v>270.81</c:v>
                </c:pt>
                <c:pt idx="393">
                  <c:v>73.959999999999994</c:v>
                </c:pt>
                <c:pt idx="394">
                  <c:v>84.6</c:v>
                </c:pt>
                <c:pt idx="395">
                  <c:v>32.6</c:v>
                </c:pt>
                <c:pt idx="396">
                  <c:v>370.1</c:v>
                </c:pt>
                <c:pt idx="397">
                  <c:v>5665.09</c:v>
                </c:pt>
                <c:pt idx="398">
                  <c:v>1350.94</c:v>
                </c:pt>
                <c:pt idx="399">
                  <c:v>2013.67</c:v>
                </c:pt>
                <c:pt idx="400">
                  <c:v>638.07000000000005</c:v>
                </c:pt>
                <c:pt idx="401">
                  <c:v>1786.04</c:v>
                </c:pt>
                <c:pt idx="402">
                  <c:v>242.32999999999998</c:v>
                </c:pt>
                <c:pt idx="403">
                  <c:v>227.79</c:v>
                </c:pt>
                <c:pt idx="404">
                  <c:v>646.88</c:v>
                </c:pt>
                <c:pt idx="405">
                  <c:v>2233.46</c:v>
                </c:pt>
                <c:pt idx="406">
                  <c:v>174.45999999999998</c:v>
                </c:pt>
                <c:pt idx="407">
                  <c:v>68.64</c:v>
                </c:pt>
                <c:pt idx="408">
                  <c:v>54.78</c:v>
                </c:pt>
                <c:pt idx="409">
                  <c:v>233.58</c:v>
                </c:pt>
                <c:pt idx="410">
                  <c:v>1214.93</c:v>
                </c:pt>
                <c:pt idx="411">
                  <c:v>674.39</c:v>
                </c:pt>
                <c:pt idx="412">
                  <c:v>168.04</c:v>
                </c:pt>
                <c:pt idx="413">
                  <c:v>327.61</c:v>
                </c:pt>
                <c:pt idx="414">
                  <c:v>564.25</c:v>
                </c:pt>
                <c:pt idx="415">
                  <c:v>1536.48</c:v>
                </c:pt>
                <c:pt idx="416">
                  <c:v>1952.43</c:v>
                </c:pt>
                <c:pt idx="417">
                  <c:v>7303.05</c:v>
                </c:pt>
                <c:pt idx="418">
                  <c:v>2722.43</c:v>
                </c:pt>
                <c:pt idx="419">
                  <c:v>54.98</c:v>
                </c:pt>
                <c:pt idx="420">
                  <c:v>54.08</c:v>
                </c:pt>
                <c:pt idx="421">
                  <c:v>566.66</c:v>
                </c:pt>
                <c:pt idx="422">
                  <c:v>3761.88</c:v>
                </c:pt>
                <c:pt idx="423">
                  <c:v>948.97</c:v>
                </c:pt>
                <c:pt idx="424">
                  <c:v>31.46</c:v>
                </c:pt>
                <c:pt idx="425">
                  <c:v>577.75</c:v>
                </c:pt>
                <c:pt idx="426">
                  <c:v>193.81</c:v>
                </c:pt>
                <c:pt idx="427">
                  <c:v>620.45000000000005</c:v>
                </c:pt>
                <c:pt idx="428">
                  <c:v>1768.58</c:v>
                </c:pt>
                <c:pt idx="429">
                  <c:v>1149.26</c:v>
                </c:pt>
                <c:pt idx="430">
                  <c:v>151.46</c:v>
                </c:pt>
                <c:pt idx="431">
                  <c:v>10818.98</c:v>
                </c:pt>
                <c:pt idx="432">
                  <c:v>57.37</c:v>
                </c:pt>
                <c:pt idx="433">
                  <c:v>188.08</c:v>
                </c:pt>
                <c:pt idx="434">
                  <c:v>1554.91</c:v>
                </c:pt>
                <c:pt idx="435">
                  <c:v>92.57</c:v>
                </c:pt>
                <c:pt idx="436">
                  <c:v>2477.46</c:v>
                </c:pt>
                <c:pt idx="437">
                  <c:v>28</c:v>
                </c:pt>
                <c:pt idx="438">
                  <c:v>261.33999999999997</c:v>
                </c:pt>
                <c:pt idx="439">
                  <c:v>129.54</c:v>
                </c:pt>
                <c:pt idx="440">
                  <c:v>99.92</c:v>
                </c:pt>
                <c:pt idx="441">
                  <c:v>477.2</c:v>
                </c:pt>
                <c:pt idx="442">
                  <c:v>205.98</c:v>
                </c:pt>
                <c:pt idx="443">
                  <c:v>175.51</c:v>
                </c:pt>
                <c:pt idx="444">
                  <c:v>34.64</c:v>
                </c:pt>
                <c:pt idx="445">
                  <c:v>790.56000000000006</c:v>
                </c:pt>
                <c:pt idx="446">
                  <c:v>8412.6200000000008</c:v>
                </c:pt>
                <c:pt idx="447">
                  <c:v>2498.1999999999998</c:v>
                </c:pt>
                <c:pt idx="448">
                  <c:v>41.29</c:v>
                </c:pt>
                <c:pt idx="449">
                  <c:v>56.24</c:v>
                </c:pt>
                <c:pt idx="450">
                  <c:v>680.58</c:v>
                </c:pt>
                <c:pt idx="451">
                  <c:v>57.14</c:v>
                </c:pt>
                <c:pt idx="452">
                  <c:v>1932.11</c:v>
                </c:pt>
                <c:pt idx="453">
                  <c:v>345.07</c:v>
                </c:pt>
                <c:pt idx="454">
                  <c:v>7029.1</c:v>
                </c:pt>
                <c:pt idx="455">
                  <c:v>606.51</c:v>
                </c:pt>
                <c:pt idx="456">
                  <c:v>1458.67</c:v>
                </c:pt>
                <c:pt idx="457">
                  <c:v>69.89</c:v>
                </c:pt>
                <c:pt idx="458">
                  <c:v>73.97</c:v>
                </c:pt>
                <c:pt idx="459">
                  <c:v>229.44</c:v>
                </c:pt>
                <c:pt idx="460">
                  <c:v>125.85999999999999</c:v>
                </c:pt>
                <c:pt idx="461">
                  <c:v>6614.07</c:v>
                </c:pt>
                <c:pt idx="462">
                  <c:v>79.02</c:v>
                </c:pt>
                <c:pt idx="463">
                  <c:v>1240.81</c:v>
                </c:pt>
                <c:pt idx="464">
                  <c:v>61.5</c:v>
                </c:pt>
                <c:pt idx="465">
                  <c:v>2154</c:v>
                </c:pt>
                <c:pt idx="466">
                  <c:v>1788.1799999999998</c:v>
                </c:pt>
                <c:pt idx="467">
                  <c:v>627.78</c:v>
                </c:pt>
                <c:pt idx="468">
                  <c:v>277.07</c:v>
                </c:pt>
                <c:pt idx="469">
                  <c:v>14.66</c:v>
                </c:pt>
                <c:pt idx="470">
                  <c:v>7106.7199999999993</c:v>
                </c:pt>
                <c:pt idx="471">
                  <c:v>2259.9899999999998</c:v>
                </c:pt>
                <c:pt idx="472">
                  <c:v>76.23</c:v>
                </c:pt>
                <c:pt idx="473">
                  <c:v>3772.19</c:v>
                </c:pt>
                <c:pt idx="474">
                  <c:v>100.11</c:v>
                </c:pt>
                <c:pt idx="475">
                  <c:v>76.900000000000006</c:v>
                </c:pt>
                <c:pt idx="476">
                  <c:v>522.15</c:v>
                </c:pt>
                <c:pt idx="477">
                  <c:v>267.83</c:v>
                </c:pt>
                <c:pt idx="478">
                  <c:v>10180.01</c:v>
                </c:pt>
                <c:pt idx="479">
                  <c:v>276.64</c:v>
                </c:pt>
                <c:pt idx="480">
                  <c:v>26.18</c:v>
                </c:pt>
                <c:pt idx="481">
                  <c:v>11075.970000000001</c:v>
                </c:pt>
                <c:pt idx="482">
                  <c:v>765.22</c:v>
                </c:pt>
                <c:pt idx="483">
                  <c:v>410.17</c:v>
                </c:pt>
                <c:pt idx="484">
                  <c:v>157.33000000000001</c:v>
                </c:pt>
                <c:pt idx="485">
                  <c:v>1377.46</c:v>
                </c:pt>
                <c:pt idx="486">
                  <c:v>336.64</c:v>
                </c:pt>
                <c:pt idx="487">
                  <c:v>599.03</c:v>
                </c:pt>
                <c:pt idx="488">
                  <c:v>584.07999999999993</c:v>
                </c:pt>
                <c:pt idx="489">
                  <c:v>55.08</c:v>
                </c:pt>
                <c:pt idx="490">
                  <c:v>464.94</c:v>
                </c:pt>
                <c:pt idx="491">
                  <c:v>8066.13</c:v>
                </c:pt>
                <c:pt idx="492">
                  <c:v>406.03000000000003</c:v>
                </c:pt>
                <c:pt idx="493">
                  <c:v>136.99</c:v>
                </c:pt>
                <c:pt idx="494">
                  <c:v>429.82</c:v>
                </c:pt>
                <c:pt idx="495">
                  <c:v>98.96</c:v>
                </c:pt>
                <c:pt idx="496">
                  <c:v>823.96</c:v>
                </c:pt>
                <c:pt idx="497">
                  <c:v>40.869999999999997</c:v>
                </c:pt>
                <c:pt idx="498">
                  <c:v>7435.77</c:v>
                </c:pt>
                <c:pt idx="499">
                  <c:v>41.96</c:v>
                </c:pt>
                <c:pt idx="500">
                  <c:v>39.15</c:v>
                </c:pt>
                <c:pt idx="501">
                  <c:v>598.38</c:v>
                </c:pt>
                <c:pt idx="502">
                  <c:v>1257.76</c:v>
                </c:pt>
                <c:pt idx="503">
                  <c:v>211.14999999999998</c:v>
                </c:pt>
                <c:pt idx="504">
                  <c:v>403.25</c:v>
                </c:pt>
                <c:pt idx="505">
                  <c:v>2239.0300000000002</c:v>
                </c:pt>
                <c:pt idx="506">
                  <c:v>231.79</c:v>
                </c:pt>
                <c:pt idx="507">
                  <c:v>8868.9800000000014</c:v>
                </c:pt>
                <c:pt idx="508">
                  <c:v>284.33999999999997</c:v>
                </c:pt>
                <c:pt idx="509">
                  <c:v>86.12</c:v>
                </c:pt>
                <c:pt idx="510">
                  <c:v>2198.56</c:v>
                </c:pt>
                <c:pt idx="511">
                  <c:v>385.45</c:v>
                </c:pt>
                <c:pt idx="512">
                  <c:v>1067.0999999999999</c:v>
                </c:pt>
                <c:pt idx="513">
                  <c:v>2044.9</c:v>
                </c:pt>
                <c:pt idx="514">
                  <c:v>144.33000000000001</c:v>
                </c:pt>
                <c:pt idx="515">
                  <c:v>596.49999999999989</c:v>
                </c:pt>
                <c:pt idx="516">
                  <c:v>759.88</c:v>
                </c:pt>
                <c:pt idx="517">
                  <c:v>1072.19</c:v>
                </c:pt>
                <c:pt idx="518">
                  <c:v>86.8</c:v>
                </c:pt>
                <c:pt idx="519">
                  <c:v>10608.119999999999</c:v>
                </c:pt>
                <c:pt idx="520">
                  <c:v>110.72</c:v>
                </c:pt>
                <c:pt idx="521">
                  <c:v>2940.62</c:v>
                </c:pt>
                <c:pt idx="522">
                  <c:v>1845.23</c:v>
                </c:pt>
                <c:pt idx="523">
                  <c:v>159.53</c:v>
                </c:pt>
                <c:pt idx="524">
                  <c:v>20.37</c:v>
                </c:pt>
                <c:pt idx="525">
                  <c:v>11015.82</c:v>
                </c:pt>
                <c:pt idx="526">
                  <c:v>885.65</c:v>
                </c:pt>
                <c:pt idx="527">
                  <c:v>88.84</c:v>
                </c:pt>
                <c:pt idx="528">
                  <c:v>1039.48</c:v>
                </c:pt>
                <c:pt idx="529">
                  <c:v>28.22</c:v>
                </c:pt>
                <c:pt idx="530">
                  <c:v>39.36</c:v>
                </c:pt>
                <c:pt idx="531">
                  <c:v>4845.2700000000004</c:v>
                </c:pt>
                <c:pt idx="532">
                  <c:v>36.72</c:v>
                </c:pt>
                <c:pt idx="533">
                  <c:v>472.19</c:v>
                </c:pt>
                <c:pt idx="534">
                  <c:v>84.04</c:v>
                </c:pt>
                <c:pt idx="535">
                  <c:v>428.05</c:v>
                </c:pt>
                <c:pt idx="536">
                  <c:v>257.52</c:v>
                </c:pt>
                <c:pt idx="537">
                  <c:v>2629.15</c:v>
                </c:pt>
                <c:pt idx="538">
                  <c:v>288.67</c:v>
                </c:pt>
                <c:pt idx="539">
                  <c:v>87.89</c:v>
                </c:pt>
                <c:pt idx="540">
                  <c:v>63.73</c:v>
                </c:pt>
                <c:pt idx="541">
                  <c:v>3452.47</c:v>
                </c:pt>
                <c:pt idx="542">
                  <c:v>2425.2400000000002</c:v>
                </c:pt>
                <c:pt idx="543">
                  <c:v>68.34</c:v>
                </c:pt>
                <c:pt idx="544">
                  <c:v>3761.6899999999996</c:v>
                </c:pt>
                <c:pt idx="545">
                  <c:v>33.950000000000003</c:v>
                </c:pt>
                <c:pt idx="546">
                  <c:v>88.64</c:v>
                </c:pt>
                <c:pt idx="547">
                  <c:v>512.91000000000008</c:v>
                </c:pt>
                <c:pt idx="548">
                  <c:v>74.680000000000007</c:v>
                </c:pt>
                <c:pt idx="549">
                  <c:v>2337.81</c:v>
                </c:pt>
                <c:pt idx="550">
                  <c:v>114.81</c:v>
                </c:pt>
                <c:pt idx="551">
                  <c:v>1495.8799999999999</c:v>
                </c:pt>
                <c:pt idx="552">
                  <c:v>260</c:v>
                </c:pt>
                <c:pt idx="553">
                  <c:v>1897.41</c:v>
                </c:pt>
                <c:pt idx="554">
                  <c:v>14.85</c:v>
                </c:pt>
                <c:pt idx="555">
                  <c:v>25.35</c:v>
                </c:pt>
                <c:pt idx="556">
                  <c:v>593.33000000000004</c:v>
                </c:pt>
                <c:pt idx="557">
                  <c:v>8332.91</c:v>
                </c:pt>
                <c:pt idx="558">
                  <c:v>302.01</c:v>
                </c:pt>
                <c:pt idx="559">
                  <c:v>96.86</c:v>
                </c:pt>
                <c:pt idx="560">
                  <c:v>4568.8999999999996</c:v>
                </c:pt>
                <c:pt idx="561">
                  <c:v>510.46000000000004</c:v>
                </c:pt>
                <c:pt idx="562">
                  <c:v>2498.7399999999998</c:v>
                </c:pt>
                <c:pt idx="563">
                  <c:v>72.760000000000005</c:v>
                </c:pt>
                <c:pt idx="564">
                  <c:v>1178.32</c:v>
                </c:pt>
                <c:pt idx="565">
                  <c:v>158.13</c:v>
                </c:pt>
                <c:pt idx="566">
                  <c:v>746.91</c:v>
                </c:pt>
                <c:pt idx="567">
                  <c:v>227.45999999999998</c:v>
                </c:pt>
                <c:pt idx="568">
                  <c:v>134.09</c:v>
                </c:pt>
                <c:pt idx="569">
                  <c:v>2819.41</c:v>
                </c:pt>
                <c:pt idx="570">
                  <c:v>39.26</c:v>
                </c:pt>
                <c:pt idx="571">
                  <c:v>922.37</c:v>
                </c:pt>
                <c:pt idx="572">
                  <c:v>39.17</c:v>
                </c:pt>
                <c:pt idx="573">
                  <c:v>334.1</c:v>
                </c:pt>
                <c:pt idx="574">
                  <c:v>199.79999999999998</c:v>
                </c:pt>
                <c:pt idx="575">
                  <c:v>207.12</c:v>
                </c:pt>
                <c:pt idx="576">
                  <c:v>348.23999999999995</c:v>
                </c:pt>
                <c:pt idx="577">
                  <c:v>65.739999999999995</c:v>
                </c:pt>
                <c:pt idx="578">
                  <c:v>282.38</c:v>
                </c:pt>
                <c:pt idx="579">
                  <c:v>362.22</c:v>
                </c:pt>
                <c:pt idx="580">
                  <c:v>1483.16</c:v>
                </c:pt>
                <c:pt idx="581">
                  <c:v>229.28</c:v>
                </c:pt>
                <c:pt idx="582">
                  <c:v>495.82</c:v>
                </c:pt>
                <c:pt idx="583">
                  <c:v>578.24</c:v>
                </c:pt>
                <c:pt idx="584">
                  <c:v>45.05</c:v>
                </c:pt>
                <c:pt idx="585">
                  <c:v>17.64</c:v>
                </c:pt>
                <c:pt idx="586">
                  <c:v>47.04</c:v>
                </c:pt>
                <c:pt idx="587">
                  <c:v>974.14</c:v>
                </c:pt>
                <c:pt idx="588">
                  <c:v>162.49</c:v>
                </c:pt>
                <c:pt idx="589">
                  <c:v>6631.28</c:v>
                </c:pt>
                <c:pt idx="590">
                  <c:v>464.86</c:v>
                </c:pt>
                <c:pt idx="591">
                  <c:v>38.65</c:v>
                </c:pt>
                <c:pt idx="592">
                  <c:v>11542.68</c:v>
                </c:pt>
                <c:pt idx="593">
                  <c:v>253.92000000000002</c:v>
                </c:pt>
                <c:pt idx="594">
                  <c:v>8229.48</c:v>
                </c:pt>
                <c:pt idx="595">
                  <c:v>153.61000000000001</c:v>
                </c:pt>
                <c:pt idx="596">
                  <c:v>163.76</c:v>
                </c:pt>
                <c:pt idx="597">
                  <c:v>79.61</c:v>
                </c:pt>
                <c:pt idx="598">
                  <c:v>166.59</c:v>
                </c:pt>
                <c:pt idx="599">
                  <c:v>66.739999999999995</c:v>
                </c:pt>
                <c:pt idx="600">
                  <c:v>765.65</c:v>
                </c:pt>
                <c:pt idx="601">
                  <c:v>709.7</c:v>
                </c:pt>
                <c:pt idx="602">
                  <c:v>312.75</c:v>
                </c:pt>
                <c:pt idx="603">
                  <c:v>100.59</c:v>
                </c:pt>
                <c:pt idx="604">
                  <c:v>2834.91</c:v>
                </c:pt>
                <c:pt idx="605">
                  <c:v>1738.13</c:v>
                </c:pt>
                <c:pt idx="606">
                  <c:v>3031.73</c:v>
                </c:pt>
                <c:pt idx="607">
                  <c:v>272.86</c:v>
                </c:pt>
                <c:pt idx="608">
                  <c:v>237.83</c:v>
                </c:pt>
                <c:pt idx="609">
                  <c:v>2188.16</c:v>
                </c:pt>
                <c:pt idx="610">
                  <c:v>272.86</c:v>
                </c:pt>
                <c:pt idx="611">
                  <c:v>88.85</c:v>
                </c:pt>
                <c:pt idx="612">
                  <c:v>536.29</c:v>
                </c:pt>
                <c:pt idx="613">
                  <c:v>56.19</c:v>
                </c:pt>
                <c:pt idx="614">
                  <c:v>5768.4900000000007</c:v>
                </c:pt>
                <c:pt idx="615">
                  <c:v>51.02</c:v>
                </c:pt>
                <c:pt idx="616">
                  <c:v>447.59000000000003</c:v>
                </c:pt>
                <c:pt idx="617">
                  <c:v>6963.67</c:v>
                </c:pt>
                <c:pt idx="618">
                  <c:v>1218.26</c:v>
                </c:pt>
                <c:pt idx="619">
                  <c:v>341.79</c:v>
                </c:pt>
                <c:pt idx="620">
                  <c:v>50475.31</c:v>
                </c:pt>
                <c:pt idx="621">
                  <c:v>3272.49</c:v>
                </c:pt>
                <c:pt idx="622">
                  <c:v>3108.68</c:v>
                </c:pt>
                <c:pt idx="623">
                  <c:v>55.97</c:v>
                </c:pt>
                <c:pt idx="624">
                  <c:v>6392.5</c:v>
                </c:pt>
                <c:pt idx="625">
                  <c:v>21.46</c:v>
                </c:pt>
                <c:pt idx="626">
                  <c:v>514.79</c:v>
                </c:pt>
                <c:pt idx="627">
                  <c:v>115.53</c:v>
                </c:pt>
                <c:pt idx="628">
                  <c:v>132.31</c:v>
                </c:pt>
                <c:pt idx="629">
                  <c:v>1569.19</c:v>
                </c:pt>
                <c:pt idx="630">
                  <c:v>300.67</c:v>
                </c:pt>
                <c:pt idx="631">
                  <c:v>44.75</c:v>
                </c:pt>
                <c:pt idx="632">
                  <c:v>253.78</c:v>
                </c:pt>
                <c:pt idx="633">
                  <c:v>395.43</c:v>
                </c:pt>
                <c:pt idx="634">
                  <c:v>931.87</c:v>
                </c:pt>
                <c:pt idx="635">
                  <c:v>455.77</c:v>
                </c:pt>
                <c:pt idx="636">
                  <c:v>1733.91</c:v>
                </c:pt>
                <c:pt idx="637">
                  <c:v>2005.18</c:v>
                </c:pt>
                <c:pt idx="638">
                  <c:v>520.22</c:v>
                </c:pt>
                <c:pt idx="639">
                  <c:v>24.57</c:v>
                </c:pt>
                <c:pt idx="640">
                  <c:v>83.14</c:v>
                </c:pt>
                <c:pt idx="641">
                  <c:v>1421.69</c:v>
                </c:pt>
                <c:pt idx="642">
                  <c:v>7443.2</c:v>
                </c:pt>
                <c:pt idx="643">
                  <c:v>50.83</c:v>
                </c:pt>
                <c:pt idx="644">
                  <c:v>21.41</c:v>
                </c:pt>
                <c:pt idx="645">
                  <c:v>3596.03</c:v>
                </c:pt>
                <c:pt idx="646">
                  <c:v>1358.1599999999999</c:v>
                </c:pt>
                <c:pt idx="647">
                  <c:v>20640.349999999999</c:v>
                </c:pt>
                <c:pt idx="648">
                  <c:v>9801.2999999999993</c:v>
                </c:pt>
                <c:pt idx="649">
                  <c:v>190.85</c:v>
                </c:pt>
                <c:pt idx="650">
                  <c:v>203.29</c:v>
                </c:pt>
                <c:pt idx="651">
                  <c:v>426.77</c:v>
                </c:pt>
                <c:pt idx="652">
                  <c:v>45.24</c:v>
                </c:pt>
                <c:pt idx="653">
                  <c:v>48.33</c:v>
                </c:pt>
                <c:pt idx="654">
                  <c:v>12599.55</c:v>
                </c:pt>
                <c:pt idx="655">
                  <c:v>139.49</c:v>
                </c:pt>
                <c:pt idx="656">
                  <c:v>869.53</c:v>
                </c:pt>
                <c:pt idx="657">
                  <c:v>58.5</c:v>
                </c:pt>
                <c:pt idx="658">
                  <c:v>51.83</c:v>
                </c:pt>
                <c:pt idx="659">
                  <c:v>51.03</c:v>
                </c:pt>
                <c:pt idx="660">
                  <c:v>2181.6999999999998</c:v>
                </c:pt>
                <c:pt idx="661">
                  <c:v>212.89000000000001</c:v>
                </c:pt>
                <c:pt idx="662">
                  <c:v>200.61</c:v>
                </c:pt>
                <c:pt idx="663">
                  <c:v>771.3900000000001</c:v>
                </c:pt>
                <c:pt idx="664">
                  <c:v>1429.81</c:v>
                </c:pt>
                <c:pt idx="665">
                  <c:v>5374.83</c:v>
                </c:pt>
                <c:pt idx="666">
                  <c:v>237.8</c:v>
                </c:pt>
                <c:pt idx="667">
                  <c:v>261.56</c:v>
                </c:pt>
                <c:pt idx="668">
                  <c:v>528.24</c:v>
                </c:pt>
                <c:pt idx="669">
                  <c:v>66.319999999999993</c:v>
                </c:pt>
                <c:pt idx="670">
                  <c:v>5368.34</c:v>
                </c:pt>
                <c:pt idx="671">
                  <c:v>5781.91</c:v>
                </c:pt>
                <c:pt idx="672">
                  <c:v>474.32</c:v>
                </c:pt>
                <c:pt idx="673">
                  <c:v>203.05</c:v>
                </c:pt>
                <c:pt idx="674">
                  <c:v>1191.54</c:v>
                </c:pt>
                <c:pt idx="675">
                  <c:v>252.18</c:v>
                </c:pt>
                <c:pt idx="676">
                  <c:v>627.19000000000005</c:v>
                </c:pt>
                <c:pt idx="677">
                  <c:v>962.6099999999999</c:v>
                </c:pt>
                <c:pt idx="678">
                  <c:v>331.37</c:v>
                </c:pt>
                <c:pt idx="679">
                  <c:v>6938.19</c:v>
                </c:pt>
                <c:pt idx="680">
                  <c:v>1735.19</c:v>
                </c:pt>
                <c:pt idx="681">
                  <c:v>164.71</c:v>
                </c:pt>
                <c:pt idx="682">
                  <c:v>72.83</c:v>
                </c:pt>
                <c:pt idx="683">
                  <c:v>2441.27</c:v>
                </c:pt>
                <c:pt idx="684">
                  <c:v>8910.7400000000016</c:v>
                </c:pt>
                <c:pt idx="685">
                  <c:v>1769.91</c:v>
                </c:pt>
                <c:pt idx="686">
                  <c:v>291.49</c:v>
                </c:pt>
                <c:pt idx="687">
                  <c:v>493.7</c:v>
                </c:pt>
                <c:pt idx="688">
                  <c:v>627.04</c:v>
                </c:pt>
                <c:pt idx="689">
                  <c:v>11568.51</c:v>
                </c:pt>
                <c:pt idx="690">
                  <c:v>32.76</c:v>
                </c:pt>
                <c:pt idx="691">
                  <c:v>144.03</c:v>
                </c:pt>
                <c:pt idx="692">
                  <c:v>515.39</c:v>
                </c:pt>
                <c:pt idx="693">
                  <c:v>35.93</c:v>
                </c:pt>
                <c:pt idx="694">
                  <c:v>8.3000000000000007</c:v>
                </c:pt>
                <c:pt idx="695">
                  <c:v>8226.0300000000007</c:v>
                </c:pt>
                <c:pt idx="696">
                  <c:v>761.42</c:v>
                </c:pt>
                <c:pt idx="697">
                  <c:v>305.70999999999998</c:v>
                </c:pt>
                <c:pt idx="698">
                  <c:v>419.99</c:v>
                </c:pt>
                <c:pt idx="699">
                  <c:v>432.44</c:v>
                </c:pt>
                <c:pt idx="700">
                  <c:v>111.86</c:v>
                </c:pt>
                <c:pt idx="701">
                  <c:v>105.36</c:v>
                </c:pt>
                <c:pt idx="702">
                  <c:v>593.79999999999995</c:v>
                </c:pt>
                <c:pt idx="703">
                  <c:v>19.670000000000002</c:v>
                </c:pt>
                <c:pt idx="704">
                  <c:v>1452.18</c:v>
                </c:pt>
                <c:pt idx="705">
                  <c:v>99.75</c:v>
                </c:pt>
                <c:pt idx="706">
                  <c:v>582.20000000000005</c:v>
                </c:pt>
                <c:pt idx="707">
                  <c:v>269.33</c:v>
                </c:pt>
                <c:pt idx="708">
                  <c:v>192.49</c:v>
                </c:pt>
                <c:pt idx="709">
                  <c:v>42.02</c:v>
                </c:pt>
                <c:pt idx="710">
                  <c:v>1033.56</c:v>
                </c:pt>
                <c:pt idx="711">
                  <c:v>3837.6499999999996</c:v>
                </c:pt>
                <c:pt idx="712">
                  <c:v>1132.8399999999999</c:v>
                </c:pt>
                <c:pt idx="713">
                  <c:v>38.81</c:v>
                </c:pt>
                <c:pt idx="714">
                  <c:v>1095.1600000000001</c:v>
                </c:pt>
                <c:pt idx="715">
                  <c:v>1424.32</c:v>
                </c:pt>
                <c:pt idx="716">
                  <c:v>211.15</c:v>
                </c:pt>
                <c:pt idx="717">
                  <c:v>64.400000000000006</c:v>
                </c:pt>
                <c:pt idx="718">
                  <c:v>1764.1499999999999</c:v>
                </c:pt>
                <c:pt idx="719">
                  <c:v>2730.34</c:v>
                </c:pt>
                <c:pt idx="720">
                  <c:v>8.66</c:v>
                </c:pt>
                <c:pt idx="721">
                  <c:v>143.63</c:v>
                </c:pt>
                <c:pt idx="722">
                  <c:v>6499.1500000000005</c:v>
                </c:pt>
                <c:pt idx="723">
                  <c:v>260.66000000000003</c:v>
                </c:pt>
                <c:pt idx="724">
                  <c:v>14.2</c:v>
                </c:pt>
                <c:pt idx="725">
                  <c:v>93.82</c:v>
                </c:pt>
                <c:pt idx="726">
                  <c:v>72.75</c:v>
                </c:pt>
                <c:pt idx="727">
                  <c:v>4036.04</c:v>
                </c:pt>
                <c:pt idx="728">
                  <c:v>380</c:v>
                </c:pt>
                <c:pt idx="729">
                  <c:v>33.35</c:v>
                </c:pt>
                <c:pt idx="730">
                  <c:v>2900.01</c:v>
                </c:pt>
                <c:pt idx="731">
                  <c:v>473.53</c:v>
                </c:pt>
                <c:pt idx="732">
                  <c:v>499.31</c:v>
                </c:pt>
                <c:pt idx="733">
                  <c:v>615.54</c:v>
                </c:pt>
                <c:pt idx="734">
                  <c:v>364.92</c:v>
                </c:pt>
                <c:pt idx="735">
                  <c:v>27.76</c:v>
                </c:pt>
                <c:pt idx="736">
                  <c:v>199.76</c:v>
                </c:pt>
                <c:pt idx="737">
                  <c:v>25.06</c:v>
                </c:pt>
                <c:pt idx="738">
                  <c:v>431.43</c:v>
                </c:pt>
                <c:pt idx="739">
                  <c:v>74.23</c:v>
                </c:pt>
                <c:pt idx="740">
                  <c:v>298.51</c:v>
                </c:pt>
                <c:pt idx="741">
                  <c:v>269.54000000000002</c:v>
                </c:pt>
                <c:pt idx="742">
                  <c:v>24.44</c:v>
                </c:pt>
                <c:pt idx="743">
                  <c:v>2815.5299999999997</c:v>
                </c:pt>
                <c:pt idx="744">
                  <c:v>35.479999999999997</c:v>
                </c:pt>
                <c:pt idx="745">
                  <c:v>1619.5300000000002</c:v>
                </c:pt>
                <c:pt idx="746">
                  <c:v>200.51</c:v>
                </c:pt>
                <c:pt idx="747">
                  <c:v>2210.8299999999995</c:v>
                </c:pt>
                <c:pt idx="748">
                  <c:v>320.75</c:v>
                </c:pt>
                <c:pt idx="749">
                  <c:v>53.3</c:v>
                </c:pt>
                <c:pt idx="750">
                  <c:v>307.64999999999998</c:v>
                </c:pt>
                <c:pt idx="751">
                  <c:v>7.2</c:v>
                </c:pt>
                <c:pt idx="752">
                  <c:v>5775.74</c:v>
                </c:pt>
                <c:pt idx="753">
                  <c:v>59.98</c:v>
                </c:pt>
                <c:pt idx="754">
                  <c:v>214.14</c:v>
                </c:pt>
                <c:pt idx="755">
                  <c:v>1263.3499999999999</c:v>
                </c:pt>
                <c:pt idx="756">
                  <c:v>302.33999999999997</c:v>
                </c:pt>
                <c:pt idx="757">
                  <c:v>511.42</c:v>
                </c:pt>
                <c:pt idx="758">
                  <c:v>353.1</c:v>
                </c:pt>
                <c:pt idx="759">
                  <c:v>5086.54</c:v>
                </c:pt>
                <c:pt idx="760">
                  <c:v>8.9499999999999993</c:v>
                </c:pt>
                <c:pt idx="761">
                  <c:v>4192.66</c:v>
                </c:pt>
                <c:pt idx="762">
                  <c:v>54.54</c:v>
                </c:pt>
                <c:pt idx="763">
                  <c:v>97.96</c:v>
                </c:pt>
                <c:pt idx="764">
                  <c:v>738.94</c:v>
                </c:pt>
                <c:pt idx="765">
                  <c:v>99.75</c:v>
                </c:pt>
                <c:pt idx="766">
                  <c:v>61.1</c:v>
                </c:pt>
                <c:pt idx="767">
                  <c:v>240.05</c:v>
                </c:pt>
                <c:pt idx="768">
                  <c:v>3479.24</c:v>
                </c:pt>
                <c:pt idx="769">
                  <c:v>120.44</c:v>
                </c:pt>
                <c:pt idx="770">
                  <c:v>12178.2</c:v>
                </c:pt>
                <c:pt idx="771">
                  <c:v>191.73</c:v>
                </c:pt>
                <c:pt idx="772">
                  <c:v>316.27999999999997</c:v>
                </c:pt>
                <c:pt idx="773">
                  <c:v>928.92</c:v>
                </c:pt>
                <c:pt idx="774">
                  <c:v>16.03</c:v>
                </c:pt>
                <c:pt idx="775">
                  <c:v>96.96</c:v>
                </c:pt>
                <c:pt idx="776">
                  <c:v>256.05</c:v>
                </c:pt>
                <c:pt idx="777">
                  <c:v>531.88</c:v>
                </c:pt>
                <c:pt idx="778">
                  <c:v>56.379999999999995</c:v>
                </c:pt>
                <c:pt idx="779">
                  <c:v>121.24000000000001</c:v>
                </c:pt>
                <c:pt idx="780">
                  <c:v>556.61</c:v>
                </c:pt>
                <c:pt idx="781">
                  <c:v>755.91</c:v>
                </c:pt>
                <c:pt idx="782">
                  <c:v>2016.32</c:v>
                </c:pt>
                <c:pt idx="783">
                  <c:v>3076.53</c:v>
                </c:pt>
                <c:pt idx="784">
                  <c:v>119.78</c:v>
                </c:pt>
                <c:pt idx="785">
                  <c:v>228.25</c:v>
                </c:pt>
                <c:pt idx="786">
                  <c:v>1304.01</c:v>
                </c:pt>
                <c:pt idx="787">
                  <c:v>179.26999999999998</c:v>
                </c:pt>
                <c:pt idx="788">
                  <c:v>1230.78</c:v>
                </c:pt>
                <c:pt idx="789">
                  <c:v>443.23</c:v>
                </c:pt>
                <c:pt idx="790">
                  <c:v>77.42</c:v>
                </c:pt>
                <c:pt idx="791">
                  <c:v>2914.81</c:v>
                </c:pt>
                <c:pt idx="792">
                  <c:v>1477.84</c:v>
                </c:pt>
                <c:pt idx="793">
                  <c:v>387.86</c:v>
                </c:pt>
                <c:pt idx="794">
                  <c:v>117.7</c:v>
                </c:pt>
                <c:pt idx="795">
                  <c:v>991.24</c:v>
                </c:pt>
                <c:pt idx="796">
                  <c:v>1087.19</c:v>
                </c:pt>
                <c:pt idx="797">
                  <c:v>421.36</c:v>
                </c:pt>
                <c:pt idx="798">
                  <c:v>995.8</c:v>
                </c:pt>
                <c:pt idx="799">
                  <c:v>149.66999999999999</c:v>
                </c:pt>
                <c:pt idx="800">
                  <c:v>4934</c:v>
                </c:pt>
                <c:pt idx="801">
                  <c:v>4841.07</c:v>
                </c:pt>
                <c:pt idx="802">
                  <c:v>20.87</c:v>
                </c:pt>
                <c:pt idx="803">
                  <c:v>10215.6</c:v>
                </c:pt>
                <c:pt idx="804">
                  <c:v>1610.84</c:v>
                </c:pt>
                <c:pt idx="805">
                  <c:v>557.49</c:v>
                </c:pt>
                <c:pt idx="806">
                  <c:v>28.46</c:v>
                </c:pt>
                <c:pt idx="807">
                  <c:v>526.53</c:v>
                </c:pt>
                <c:pt idx="808">
                  <c:v>1207.0899999999999</c:v>
                </c:pt>
                <c:pt idx="809">
                  <c:v>76.87</c:v>
                </c:pt>
                <c:pt idx="810">
                  <c:v>27.42</c:v>
                </c:pt>
                <c:pt idx="811">
                  <c:v>1736.3400000000001</c:v>
                </c:pt>
                <c:pt idx="812">
                  <c:v>84.59</c:v>
                </c:pt>
                <c:pt idx="813">
                  <c:v>882.93</c:v>
                </c:pt>
                <c:pt idx="814">
                  <c:v>1386.35</c:v>
                </c:pt>
                <c:pt idx="815">
                  <c:v>258.07</c:v>
                </c:pt>
                <c:pt idx="816">
                  <c:v>810.47</c:v>
                </c:pt>
                <c:pt idx="817">
                  <c:v>17390.239999999998</c:v>
                </c:pt>
                <c:pt idx="818">
                  <c:v>2947.13</c:v>
                </c:pt>
                <c:pt idx="819">
                  <c:v>1276.8800000000001</c:v>
                </c:pt>
                <c:pt idx="820">
                  <c:v>39.97</c:v>
                </c:pt>
                <c:pt idx="821">
                  <c:v>2873.83</c:v>
                </c:pt>
                <c:pt idx="822">
                  <c:v>33.840000000000003</c:v>
                </c:pt>
                <c:pt idx="823">
                  <c:v>10621</c:v>
                </c:pt>
                <c:pt idx="824">
                  <c:v>825.31999999999994</c:v>
                </c:pt>
                <c:pt idx="825">
                  <c:v>414.91</c:v>
                </c:pt>
                <c:pt idx="826">
                  <c:v>670.9</c:v>
                </c:pt>
                <c:pt idx="827">
                  <c:v>3034.61</c:v>
                </c:pt>
                <c:pt idx="828">
                  <c:v>122.11000000000001</c:v>
                </c:pt>
                <c:pt idx="829">
                  <c:v>961.29000000000008</c:v>
                </c:pt>
                <c:pt idx="830">
                  <c:v>48295.12</c:v>
                </c:pt>
                <c:pt idx="831">
                  <c:v>252.36</c:v>
                </c:pt>
                <c:pt idx="832">
                  <c:v>6045.23</c:v>
                </c:pt>
                <c:pt idx="833">
                  <c:v>1059.3800000000001</c:v>
                </c:pt>
                <c:pt idx="834">
                  <c:v>5937.58</c:v>
                </c:pt>
                <c:pt idx="835">
                  <c:v>309.27</c:v>
                </c:pt>
                <c:pt idx="836">
                  <c:v>52.1</c:v>
                </c:pt>
                <c:pt idx="837">
                  <c:v>746.2</c:v>
                </c:pt>
                <c:pt idx="838">
                  <c:v>3371.03</c:v>
                </c:pt>
                <c:pt idx="839">
                  <c:v>40.369999999999997</c:v>
                </c:pt>
                <c:pt idx="840">
                  <c:v>664.34</c:v>
                </c:pt>
                <c:pt idx="841">
                  <c:v>529.24</c:v>
                </c:pt>
                <c:pt idx="842">
                  <c:v>12196.08</c:v>
                </c:pt>
                <c:pt idx="843">
                  <c:v>2629.48</c:v>
                </c:pt>
                <c:pt idx="844">
                  <c:v>493.08000000000004</c:v>
                </c:pt>
                <c:pt idx="845">
                  <c:v>1159.79</c:v>
                </c:pt>
                <c:pt idx="846">
                  <c:v>940.40000000000009</c:v>
                </c:pt>
                <c:pt idx="847">
                  <c:v>824.21</c:v>
                </c:pt>
                <c:pt idx="848">
                  <c:v>55.68</c:v>
                </c:pt>
                <c:pt idx="849">
                  <c:v>167.12</c:v>
                </c:pt>
                <c:pt idx="850">
                  <c:v>1967.98</c:v>
                </c:pt>
                <c:pt idx="851">
                  <c:v>25.45</c:v>
                </c:pt>
                <c:pt idx="852">
                  <c:v>1094.33</c:v>
                </c:pt>
                <c:pt idx="853">
                  <c:v>88.83</c:v>
                </c:pt>
                <c:pt idx="854">
                  <c:v>8549.0400000000009</c:v>
                </c:pt>
                <c:pt idx="855">
                  <c:v>159.72</c:v>
                </c:pt>
                <c:pt idx="856">
                  <c:v>925.19</c:v>
                </c:pt>
                <c:pt idx="857">
                  <c:v>18.71</c:v>
                </c:pt>
                <c:pt idx="858">
                  <c:v>42.44</c:v>
                </c:pt>
                <c:pt idx="859">
                  <c:v>2829.19</c:v>
                </c:pt>
                <c:pt idx="860">
                  <c:v>782.66</c:v>
                </c:pt>
                <c:pt idx="861">
                  <c:v>31.18</c:v>
                </c:pt>
                <c:pt idx="862">
                  <c:v>3248.17</c:v>
                </c:pt>
                <c:pt idx="863">
                  <c:v>313.63</c:v>
                </c:pt>
                <c:pt idx="864">
                  <c:v>3705.14</c:v>
                </c:pt>
                <c:pt idx="865">
                  <c:v>924.8</c:v>
                </c:pt>
                <c:pt idx="866">
                  <c:v>364.03</c:v>
                </c:pt>
                <c:pt idx="867">
                  <c:v>3627.08</c:v>
                </c:pt>
                <c:pt idx="868">
                  <c:v>277.12</c:v>
                </c:pt>
                <c:pt idx="869">
                  <c:v>412.72</c:v>
                </c:pt>
                <c:pt idx="870">
                  <c:v>296.75</c:v>
                </c:pt>
                <c:pt idx="871">
                  <c:v>3001.27</c:v>
                </c:pt>
                <c:pt idx="872">
                  <c:v>334.44</c:v>
                </c:pt>
                <c:pt idx="873">
                  <c:v>1434.51</c:v>
                </c:pt>
                <c:pt idx="874">
                  <c:v>3.51</c:v>
                </c:pt>
                <c:pt idx="875">
                  <c:v>250.5</c:v>
                </c:pt>
                <c:pt idx="876">
                  <c:v>63.66</c:v>
                </c:pt>
                <c:pt idx="877">
                  <c:v>55.43</c:v>
                </c:pt>
                <c:pt idx="878">
                  <c:v>257.92</c:v>
                </c:pt>
                <c:pt idx="879">
                  <c:v>40.799999999999997</c:v>
                </c:pt>
                <c:pt idx="880">
                  <c:v>2212.84</c:v>
                </c:pt>
                <c:pt idx="881">
                  <c:v>25.37</c:v>
                </c:pt>
                <c:pt idx="882">
                  <c:v>1015.25</c:v>
                </c:pt>
                <c:pt idx="883">
                  <c:v>183.32999999999998</c:v>
                </c:pt>
                <c:pt idx="884">
                  <c:v>52.43</c:v>
                </c:pt>
                <c:pt idx="885">
                  <c:v>1030.51</c:v>
                </c:pt>
                <c:pt idx="886">
                  <c:v>103.12</c:v>
                </c:pt>
                <c:pt idx="887">
                  <c:v>2653.02</c:v>
                </c:pt>
                <c:pt idx="888">
                  <c:v>157.32999999999998</c:v>
                </c:pt>
                <c:pt idx="889">
                  <c:v>334.85</c:v>
                </c:pt>
                <c:pt idx="890">
                  <c:v>4057.38</c:v>
                </c:pt>
                <c:pt idx="891">
                  <c:v>36.58</c:v>
                </c:pt>
                <c:pt idx="892">
                  <c:v>267.32</c:v>
                </c:pt>
                <c:pt idx="893">
                  <c:v>318.47999999999996</c:v>
                </c:pt>
                <c:pt idx="894">
                  <c:v>2626.34</c:v>
                </c:pt>
                <c:pt idx="895">
                  <c:v>843.41000000000008</c:v>
                </c:pt>
                <c:pt idx="896">
                  <c:v>1010.11</c:v>
                </c:pt>
                <c:pt idx="897">
                  <c:v>468.27</c:v>
                </c:pt>
                <c:pt idx="898">
                  <c:v>37.89</c:v>
                </c:pt>
                <c:pt idx="899">
                  <c:v>894.03000000000009</c:v>
                </c:pt>
                <c:pt idx="900">
                  <c:v>15269.7</c:v>
                </c:pt>
                <c:pt idx="901">
                  <c:v>3877.69</c:v>
                </c:pt>
                <c:pt idx="902">
                  <c:v>202.98</c:v>
                </c:pt>
                <c:pt idx="903">
                  <c:v>8717.75</c:v>
                </c:pt>
                <c:pt idx="904">
                  <c:v>51.99</c:v>
                </c:pt>
                <c:pt idx="905">
                  <c:v>1862.3200000000002</c:v>
                </c:pt>
                <c:pt idx="906">
                  <c:v>300.57</c:v>
                </c:pt>
                <c:pt idx="907">
                  <c:v>111.78</c:v>
                </c:pt>
                <c:pt idx="908">
                  <c:v>51.13</c:v>
                </c:pt>
                <c:pt idx="909">
                  <c:v>2598.65</c:v>
                </c:pt>
                <c:pt idx="910">
                  <c:v>127.22</c:v>
                </c:pt>
                <c:pt idx="911">
                  <c:v>145.41999999999999</c:v>
                </c:pt>
                <c:pt idx="912">
                  <c:v>165.04</c:v>
                </c:pt>
                <c:pt idx="913">
                  <c:v>818.49</c:v>
                </c:pt>
                <c:pt idx="914">
                  <c:v>80.349999999999994</c:v>
                </c:pt>
                <c:pt idx="915">
                  <c:v>330.02</c:v>
                </c:pt>
                <c:pt idx="916">
                  <c:v>51.82</c:v>
                </c:pt>
                <c:pt idx="917">
                  <c:v>818.81</c:v>
                </c:pt>
                <c:pt idx="918">
                  <c:v>761.18</c:v>
                </c:pt>
                <c:pt idx="919">
                  <c:v>1173.76</c:v>
                </c:pt>
                <c:pt idx="920">
                  <c:v>768.81</c:v>
                </c:pt>
                <c:pt idx="921">
                  <c:v>113.36</c:v>
                </c:pt>
                <c:pt idx="922">
                  <c:v>207.22</c:v>
                </c:pt>
                <c:pt idx="923">
                  <c:v>649.94000000000005</c:v>
                </c:pt>
                <c:pt idx="924">
                  <c:v>1229.2299999999998</c:v>
                </c:pt>
                <c:pt idx="925">
                  <c:v>3322.82</c:v>
                </c:pt>
                <c:pt idx="926">
                  <c:v>393.98</c:v>
                </c:pt>
                <c:pt idx="927">
                  <c:v>61.52</c:v>
                </c:pt>
                <c:pt idx="928">
                  <c:v>154.71</c:v>
                </c:pt>
                <c:pt idx="929">
                  <c:v>211.48</c:v>
                </c:pt>
                <c:pt idx="930">
                  <c:v>108.25</c:v>
                </c:pt>
                <c:pt idx="931">
                  <c:v>48.81</c:v>
                </c:pt>
                <c:pt idx="932">
                  <c:v>25.7</c:v>
                </c:pt>
                <c:pt idx="933">
                  <c:v>14.53</c:v>
                </c:pt>
                <c:pt idx="934">
                  <c:v>6362.85</c:v>
                </c:pt>
                <c:pt idx="935">
                  <c:v>466.04</c:v>
                </c:pt>
                <c:pt idx="936">
                  <c:v>18.489999999999998</c:v>
                </c:pt>
                <c:pt idx="937">
                  <c:v>29916.01</c:v>
                </c:pt>
                <c:pt idx="938">
                  <c:v>284.39</c:v>
                </c:pt>
                <c:pt idx="939">
                  <c:v>2115.9499999999998</c:v>
                </c:pt>
                <c:pt idx="940">
                  <c:v>718.03</c:v>
                </c:pt>
                <c:pt idx="941">
                  <c:v>145.12</c:v>
                </c:pt>
                <c:pt idx="942">
                  <c:v>1503.05</c:v>
                </c:pt>
                <c:pt idx="943">
                  <c:v>3206.94</c:v>
                </c:pt>
                <c:pt idx="944">
                  <c:v>2788.2200000000003</c:v>
                </c:pt>
                <c:pt idx="945">
                  <c:v>128.13</c:v>
                </c:pt>
                <c:pt idx="946">
                  <c:v>15.73</c:v>
                </c:pt>
                <c:pt idx="947">
                  <c:v>9055.36</c:v>
                </c:pt>
                <c:pt idx="948">
                  <c:v>607.48</c:v>
                </c:pt>
                <c:pt idx="949">
                  <c:v>136.25</c:v>
                </c:pt>
                <c:pt idx="950">
                  <c:v>612.91999999999996</c:v>
                </c:pt>
                <c:pt idx="951">
                  <c:v>1214.03</c:v>
                </c:pt>
                <c:pt idx="952">
                  <c:v>5359.17</c:v>
                </c:pt>
                <c:pt idx="953">
                  <c:v>266.39</c:v>
                </c:pt>
                <c:pt idx="954">
                  <c:v>899.81</c:v>
                </c:pt>
                <c:pt idx="955">
                  <c:v>100.79</c:v>
                </c:pt>
                <c:pt idx="956">
                  <c:v>277.60000000000002</c:v>
                </c:pt>
                <c:pt idx="957">
                  <c:v>3108.98</c:v>
                </c:pt>
                <c:pt idx="958">
                  <c:v>1125.75</c:v>
                </c:pt>
                <c:pt idx="959">
                  <c:v>58.85</c:v>
                </c:pt>
                <c:pt idx="960">
                  <c:v>1184.52</c:v>
                </c:pt>
                <c:pt idx="961">
                  <c:v>2359.37</c:v>
                </c:pt>
                <c:pt idx="962">
                  <c:v>281.82</c:v>
                </c:pt>
                <c:pt idx="963">
                  <c:v>233.82</c:v>
                </c:pt>
                <c:pt idx="964">
                  <c:v>6103.1900000000005</c:v>
                </c:pt>
                <c:pt idx="965">
                  <c:v>370.68</c:v>
                </c:pt>
                <c:pt idx="966">
                  <c:v>305.45999999999998</c:v>
                </c:pt>
                <c:pt idx="967">
                  <c:v>102.54</c:v>
                </c:pt>
                <c:pt idx="968">
                  <c:v>279.01</c:v>
                </c:pt>
                <c:pt idx="969">
                  <c:v>964.79</c:v>
                </c:pt>
                <c:pt idx="970">
                  <c:v>15943.480000000001</c:v>
                </c:pt>
                <c:pt idx="971">
                  <c:v>919.09</c:v>
                </c:pt>
                <c:pt idx="972">
                  <c:v>9580</c:v>
                </c:pt>
                <c:pt idx="973">
                  <c:v>561.65</c:v>
                </c:pt>
                <c:pt idx="974">
                  <c:v>883.63</c:v>
                </c:pt>
                <c:pt idx="975">
                  <c:v>141.59</c:v>
                </c:pt>
                <c:pt idx="976">
                  <c:v>1608.11</c:v>
                </c:pt>
                <c:pt idx="977">
                  <c:v>14645.449999999999</c:v>
                </c:pt>
                <c:pt idx="978">
                  <c:v>48.32</c:v>
                </c:pt>
                <c:pt idx="979">
                  <c:v>63.32</c:v>
                </c:pt>
                <c:pt idx="980">
                  <c:v>97.98</c:v>
                </c:pt>
                <c:pt idx="981">
                  <c:v>69.959999999999994</c:v>
                </c:pt>
                <c:pt idx="982">
                  <c:v>107.51</c:v>
                </c:pt>
                <c:pt idx="983">
                  <c:v>5019.91</c:v>
                </c:pt>
                <c:pt idx="984">
                  <c:v>378.82</c:v>
                </c:pt>
                <c:pt idx="985">
                  <c:v>22.48</c:v>
                </c:pt>
                <c:pt idx="986">
                  <c:v>6119.82</c:v>
                </c:pt>
                <c:pt idx="987">
                  <c:v>83.93</c:v>
                </c:pt>
                <c:pt idx="988">
                  <c:v>31.44</c:v>
                </c:pt>
                <c:pt idx="989">
                  <c:v>4775.1099999999997</c:v>
                </c:pt>
                <c:pt idx="990">
                  <c:v>2400.9499999999998</c:v>
                </c:pt>
                <c:pt idx="991">
                  <c:v>94.97</c:v>
                </c:pt>
                <c:pt idx="992">
                  <c:v>1279.3800000000001</c:v>
                </c:pt>
                <c:pt idx="993">
                  <c:v>237.77</c:v>
                </c:pt>
                <c:pt idx="994">
                  <c:v>8.74</c:v>
                </c:pt>
                <c:pt idx="995">
                  <c:v>74.38</c:v>
                </c:pt>
                <c:pt idx="996">
                  <c:v>391.4</c:v>
                </c:pt>
                <c:pt idx="997">
                  <c:v>21.93</c:v>
                </c:pt>
                <c:pt idx="998">
                  <c:v>19.32</c:v>
                </c:pt>
                <c:pt idx="999">
                  <c:v>20.46</c:v>
                </c:pt>
                <c:pt idx="1000">
                  <c:v>2291.39</c:v>
                </c:pt>
                <c:pt idx="1001">
                  <c:v>127.94</c:v>
                </c:pt>
                <c:pt idx="1002">
                  <c:v>199.48</c:v>
                </c:pt>
                <c:pt idx="1003">
                  <c:v>2226.2399999999998</c:v>
                </c:pt>
                <c:pt idx="1004">
                  <c:v>462.57</c:v>
                </c:pt>
                <c:pt idx="1005">
                  <c:v>3377.7400000000002</c:v>
                </c:pt>
                <c:pt idx="1006">
                  <c:v>1868.83</c:v>
                </c:pt>
                <c:pt idx="1007">
                  <c:v>397.17</c:v>
                </c:pt>
                <c:pt idx="1008">
                  <c:v>287.85000000000002</c:v>
                </c:pt>
                <c:pt idx="1009">
                  <c:v>29.99</c:v>
                </c:pt>
                <c:pt idx="1010">
                  <c:v>990.25</c:v>
                </c:pt>
                <c:pt idx="1011">
                  <c:v>1824.33</c:v>
                </c:pt>
                <c:pt idx="1012">
                  <c:v>1483.55</c:v>
                </c:pt>
                <c:pt idx="1013">
                  <c:v>799.05000000000007</c:v>
                </c:pt>
                <c:pt idx="1014">
                  <c:v>98.7</c:v>
                </c:pt>
                <c:pt idx="1015">
                  <c:v>328.34000000000003</c:v>
                </c:pt>
                <c:pt idx="1016">
                  <c:v>5062.49</c:v>
                </c:pt>
                <c:pt idx="1017">
                  <c:v>34.11</c:v>
                </c:pt>
                <c:pt idx="1018">
                  <c:v>291.64</c:v>
                </c:pt>
                <c:pt idx="1019">
                  <c:v>1029.96</c:v>
                </c:pt>
                <c:pt idx="1020">
                  <c:v>2025.22</c:v>
                </c:pt>
                <c:pt idx="1021">
                  <c:v>1362.2</c:v>
                </c:pt>
                <c:pt idx="1022">
                  <c:v>59.79</c:v>
                </c:pt>
                <c:pt idx="1023">
                  <c:v>2848.38</c:v>
                </c:pt>
                <c:pt idx="1024">
                  <c:v>421.08</c:v>
                </c:pt>
                <c:pt idx="1025">
                  <c:v>459.47</c:v>
                </c:pt>
                <c:pt idx="1026">
                  <c:v>460.87</c:v>
                </c:pt>
                <c:pt idx="1027">
                  <c:v>6512.23</c:v>
                </c:pt>
                <c:pt idx="1028">
                  <c:v>5347.1</c:v>
                </c:pt>
                <c:pt idx="1029">
                  <c:v>506.5</c:v>
                </c:pt>
                <c:pt idx="1030">
                  <c:v>99.75</c:v>
                </c:pt>
                <c:pt idx="1031">
                  <c:v>18642.71</c:v>
                </c:pt>
                <c:pt idx="1032">
                  <c:v>171.33</c:v>
                </c:pt>
                <c:pt idx="1033">
                  <c:v>87.53</c:v>
                </c:pt>
                <c:pt idx="1034">
                  <c:v>77.47</c:v>
                </c:pt>
                <c:pt idx="1035">
                  <c:v>686.40000000000009</c:v>
                </c:pt>
                <c:pt idx="1036">
                  <c:v>130.91</c:v>
                </c:pt>
                <c:pt idx="1037">
                  <c:v>222.53</c:v>
                </c:pt>
                <c:pt idx="1038">
                  <c:v>131.26</c:v>
                </c:pt>
                <c:pt idx="1039">
                  <c:v>1076.6699999999998</c:v>
                </c:pt>
                <c:pt idx="1040">
                  <c:v>1506.89</c:v>
                </c:pt>
                <c:pt idx="1041">
                  <c:v>99.36</c:v>
                </c:pt>
                <c:pt idx="1042">
                  <c:v>355.92</c:v>
                </c:pt>
                <c:pt idx="1043">
                  <c:v>70.03</c:v>
                </c:pt>
                <c:pt idx="1044">
                  <c:v>647.07000000000005</c:v>
                </c:pt>
                <c:pt idx="1045">
                  <c:v>4146.28</c:v>
                </c:pt>
                <c:pt idx="1046">
                  <c:v>220.92</c:v>
                </c:pt>
                <c:pt idx="1047">
                  <c:v>658.44</c:v>
                </c:pt>
                <c:pt idx="1048">
                  <c:v>1310.73</c:v>
                </c:pt>
                <c:pt idx="1049">
                  <c:v>174.58</c:v>
                </c:pt>
                <c:pt idx="1050">
                  <c:v>369.78</c:v>
                </c:pt>
                <c:pt idx="1051">
                  <c:v>2131.9900000000002</c:v>
                </c:pt>
                <c:pt idx="1052">
                  <c:v>1417.42</c:v>
                </c:pt>
                <c:pt idx="1053">
                  <c:v>116.93</c:v>
                </c:pt>
                <c:pt idx="1054">
                  <c:v>413</c:v>
                </c:pt>
                <c:pt idx="1055">
                  <c:v>9492.92</c:v>
                </c:pt>
                <c:pt idx="1056">
                  <c:v>128.54</c:v>
                </c:pt>
                <c:pt idx="1057">
                  <c:v>236.97</c:v>
                </c:pt>
                <c:pt idx="1058">
                  <c:v>291.39999999999998</c:v>
                </c:pt>
                <c:pt idx="1059">
                  <c:v>12584.99</c:v>
                </c:pt>
                <c:pt idx="1060">
                  <c:v>11.13</c:v>
                </c:pt>
                <c:pt idx="1061">
                  <c:v>1174.4499999999998</c:v>
                </c:pt>
                <c:pt idx="1062">
                  <c:v>17.420000000000002</c:v>
                </c:pt>
                <c:pt idx="1063">
                  <c:v>49.24</c:v>
                </c:pt>
                <c:pt idx="1064">
                  <c:v>161.26</c:v>
                </c:pt>
                <c:pt idx="1065">
                  <c:v>32194.12</c:v>
                </c:pt>
                <c:pt idx="1066">
                  <c:v>58.84</c:v>
                </c:pt>
                <c:pt idx="1067">
                  <c:v>60.24</c:v>
                </c:pt>
                <c:pt idx="1068">
                  <c:v>3084.04</c:v>
                </c:pt>
                <c:pt idx="1069">
                  <c:v>4.21</c:v>
                </c:pt>
                <c:pt idx="1070">
                  <c:v>871.5</c:v>
                </c:pt>
                <c:pt idx="1071">
                  <c:v>342.56</c:v>
                </c:pt>
                <c:pt idx="1072">
                  <c:v>389.97</c:v>
                </c:pt>
                <c:pt idx="1073">
                  <c:v>2610.56</c:v>
                </c:pt>
                <c:pt idx="1074">
                  <c:v>47.95</c:v>
                </c:pt>
                <c:pt idx="1075">
                  <c:v>41.4</c:v>
                </c:pt>
                <c:pt idx="1076">
                  <c:v>58.3</c:v>
                </c:pt>
                <c:pt idx="1077">
                  <c:v>2238.15</c:v>
                </c:pt>
                <c:pt idx="1078">
                  <c:v>394.1</c:v>
                </c:pt>
                <c:pt idx="1079">
                  <c:v>1998.36</c:v>
                </c:pt>
                <c:pt idx="1080">
                  <c:v>1008.53</c:v>
                </c:pt>
                <c:pt idx="1081">
                  <c:v>4454.7299999999996</c:v>
                </c:pt>
                <c:pt idx="1082">
                  <c:v>393.94</c:v>
                </c:pt>
                <c:pt idx="1083">
                  <c:v>411.40999999999997</c:v>
                </c:pt>
                <c:pt idx="1084">
                  <c:v>7840.04</c:v>
                </c:pt>
                <c:pt idx="1085">
                  <c:v>2366.5100000000002</c:v>
                </c:pt>
                <c:pt idx="1086">
                  <c:v>377.44</c:v>
                </c:pt>
                <c:pt idx="1087">
                  <c:v>1839.91</c:v>
                </c:pt>
                <c:pt idx="1088">
                  <c:v>7410.3</c:v>
                </c:pt>
                <c:pt idx="1089">
                  <c:v>1379.9099999999999</c:v>
                </c:pt>
                <c:pt idx="1090">
                  <c:v>416.95</c:v>
                </c:pt>
                <c:pt idx="1091">
                  <c:v>3655.92</c:v>
                </c:pt>
                <c:pt idx="1092">
                  <c:v>378.23</c:v>
                </c:pt>
                <c:pt idx="1093">
                  <c:v>204.34</c:v>
                </c:pt>
                <c:pt idx="1094">
                  <c:v>32.39</c:v>
                </c:pt>
                <c:pt idx="1095">
                  <c:v>2512.3200000000002</c:v>
                </c:pt>
                <c:pt idx="1096">
                  <c:v>393.46000000000004</c:v>
                </c:pt>
                <c:pt idx="1097">
                  <c:v>8.49</c:v>
                </c:pt>
                <c:pt idx="1098">
                  <c:v>653.29999999999995</c:v>
                </c:pt>
                <c:pt idx="1099">
                  <c:v>1196.68</c:v>
                </c:pt>
                <c:pt idx="1100">
                  <c:v>19.32</c:v>
                </c:pt>
                <c:pt idx="1101">
                  <c:v>283.44</c:v>
                </c:pt>
                <c:pt idx="1102">
                  <c:v>51.86</c:v>
                </c:pt>
                <c:pt idx="1103">
                  <c:v>2230.12</c:v>
                </c:pt>
                <c:pt idx="1104">
                  <c:v>3587.8700000000003</c:v>
                </c:pt>
                <c:pt idx="1105">
                  <c:v>12122.79</c:v>
                </c:pt>
                <c:pt idx="1106">
                  <c:v>21.86</c:v>
                </c:pt>
                <c:pt idx="1107">
                  <c:v>10574.04</c:v>
                </c:pt>
                <c:pt idx="1108">
                  <c:v>40.29</c:v>
                </c:pt>
                <c:pt idx="1109">
                  <c:v>1146.77</c:v>
                </c:pt>
                <c:pt idx="1110">
                  <c:v>494.49</c:v>
                </c:pt>
                <c:pt idx="1111">
                  <c:v>4813.88</c:v>
                </c:pt>
                <c:pt idx="1112">
                  <c:v>1638.83</c:v>
                </c:pt>
                <c:pt idx="1113">
                  <c:v>100.87</c:v>
                </c:pt>
                <c:pt idx="1114">
                  <c:v>130.47</c:v>
                </c:pt>
                <c:pt idx="1115">
                  <c:v>727.2</c:v>
                </c:pt>
                <c:pt idx="1116">
                  <c:v>2356.73</c:v>
                </c:pt>
                <c:pt idx="1117">
                  <c:v>1868.73</c:v>
                </c:pt>
                <c:pt idx="1118">
                  <c:v>1088.3999999999999</c:v>
                </c:pt>
                <c:pt idx="1119">
                  <c:v>34.76</c:v>
                </c:pt>
                <c:pt idx="1120">
                  <c:v>170.45</c:v>
                </c:pt>
                <c:pt idx="1121">
                  <c:v>102.43</c:v>
                </c:pt>
                <c:pt idx="1122">
                  <c:v>2404.84</c:v>
                </c:pt>
                <c:pt idx="1123">
                  <c:v>1118.1199999999999</c:v>
                </c:pt>
                <c:pt idx="1124">
                  <c:v>7.01</c:v>
                </c:pt>
                <c:pt idx="1125">
                  <c:v>140.69999999999999</c:v>
                </c:pt>
                <c:pt idx="1126">
                  <c:v>1123.1600000000001</c:v>
                </c:pt>
                <c:pt idx="1127">
                  <c:v>28779.129999999997</c:v>
                </c:pt>
                <c:pt idx="1128">
                  <c:v>7792.97</c:v>
                </c:pt>
                <c:pt idx="1129">
                  <c:v>1088.26</c:v>
                </c:pt>
              </c:numCache>
            </c:numRef>
          </c:val>
          <c:extLst>
            <c:ext xmlns:c16="http://schemas.microsoft.com/office/drawing/2014/chart" uri="{C3380CC4-5D6E-409C-BE32-E72D297353CC}">
              <c16:uniqueId val="{00000000-355A-488D-A550-664B659BD300}"/>
            </c:ext>
          </c:extLst>
        </c:ser>
        <c:dLbls>
          <c:showLegendKey val="0"/>
          <c:showVal val="0"/>
          <c:showCatName val="0"/>
          <c:showSerName val="0"/>
          <c:showPercent val="0"/>
          <c:showBubbleSize val="0"/>
        </c:dLbls>
        <c:gapWidth val="182"/>
        <c:axId val="786798848"/>
        <c:axId val="786780128"/>
      </c:barChart>
      <c:catAx>
        <c:axId val="78679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780128"/>
        <c:crosses val="autoZero"/>
        <c:auto val="1"/>
        <c:lblAlgn val="ctr"/>
        <c:lblOffset val="100"/>
        <c:noMultiLvlLbl val="0"/>
      </c:catAx>
      <c:valAx>
        <c:axId val="786780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79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2.svg"/><Relationship Id="rId2" Type="http://schemas.openxmlformats.org/officeDocument/2006/relationships/chart" Target="../charts/chart1.xml"/><Relationship Id="rId1" Type="http://schemas.openxmlformats.org/officeDocument/2006/relationships/hyperlink" Target="#Orders!A1"/><Relationship Id="rId6" Type="http://schemas.openxmlformats.org/officeDocument/2006/relationships/chart" Target="../charts/chart5.xml"/><Relationship Id="rId11" Type="http://schemas.openxmlformats.org/officeDocument/2006/relationships/image" Target="../media/image1.png"/><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image" Target="../media/image4.svg"/></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hyperlink" Target="#'Pivot Tables'!A1"/></Relationships>
</file>

<file path=xl/drawings/drawing1.xml><?xml version="1.0" encoding="utf-8"?>
<xdr:wsDr xmlns:xdr="http://schemas.openxmlformats.org/drawingml/2006/spreadsheetDrawing" xmlns:a="http://schemas.openxmlformats.org/drawingml/2006/main">
  <xdr:twoCellAnchor>
    <xdr:from>
      <xdr:col>2</xdr:col>
      <xdr:colOff>241299</xdr:colOff>
      <xdr:row>1</xdr:row>
      <xdr:rowOff>15874</xdr:rowOff>
    </xdr:from>
    <xdr:to>
      <xdr:col>31</xdr:col>
      <xdr:colOff>192911</xdr:colOff>
      <xdr:row>68</xdr:row>
      <xdr:rowOff>34637</xdr:rowOff>
    </xdr:to>
    <xdr:sp macro="" textlink="">
      <xdr:nvSpPr>
        <xdr:cNvPr id="4" name="Rounded Rectangle 3">
          <a:extLst>
            <a:ext uri="{FF2B5EF4-FFF2-40B4-BE49-F238E27FC236}">
              <a16:creationId xmlns:a16="http://schemas.microsoft.com/office/drawing/2014/main" id="{189ACE20-5DA6-1F41-9A51-AD7227F7F912}"/>
            </a:ext>
          </a:extLst>
        </xdr:cNvPr>
        <xdr:cNvSpPr/>
      </xdr:nvSpPr>
      <xdr:spPr>
        <a:xfrm>
          <a:off x="847435" y="171738"/>
          <a:ext cx="21045158" cy="10461626"/>
        </a:xfrm>
        <a:prstGeom prst="roundRect">
          <a:avLst>
            <a:gd name="adj" fmla="val 3413"/>
          </a:avLst>
        </a:prstGeom>
        <a:solidFill>
          <a:schemeClr val="bg1">
            <a:alpha val="1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266700</xdr:colOff>
      <xdr:row>3</xdr:row>
      <xdr:rowOff>139700</xdr:rowOff>
    </xdr:from>
    <xdr:ext cx="1562100" cy="328295"/>
    <xdr:sp macro="" textlink="">
      <xdr:nvSpPr>
        <xdr:cNvPr id="3" name="TextBox 2">
          <a:extLst>
            <a:ext uri="{FF2B5EF4-FFF2-40B4-BE49-F238E27FC236}">
              <a16:creationId xmlns:a16="http://schemas.microsoft.com/office/drawing/2014/main" id="{2E5D98F7-B3C8-324D-84CF-A47914A50111}"/>
            </a:ext>
          </a:extLst>
        </xdr:cNvPr>
        <xdr:cNvSpPr txBox="1"/>
      </xdr:nvSpPr>
      <xdr:spPr>
        <a:xfrm>
          <a:off x="1612106" y="639763"/>
          <a:ext cx="156210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600" b="0">
            <a:solidFill>
              <a:schemeClr val="bg1"/>
            </a:solidFill>
            <a:latin typeface="Futura Medium" panose="020B0602020204020303" pitchFamily="34" charset="-79"/>
            <a:ea typeface="Helvetica Neue" panose="02000503000000020004" pitchFamily="2" charset="0"/>
            <a:cs typeface="Futura Medium" panose="020B0602020204020303" pitchFamily="34" charset="-79"/>
          </a:endParaRPr>
        </a:p>
      </xdr:txBody>
    </xdr:sp>
    <xdr:clientData/>
  </xdr:oneCellAnchor>
  <xdr:twoCellAnchor>
    <xdr:from>
      <xdr:col>6</xdr:col>
      <xdr:colOff>125845</xdr:colOff>
      <xdr:row>1</xdr:row>
      <xdr:rowOff>69272</xdr:rowOff>
    </xdr:from>
    <xdr:to>
      <xdr:col>30</xdr:col>
      <xdr:colOff>526779</xdr:colOff>
      <xdr:row>65</xdr:row>
      <xdr:rowOff>51955</xdr:rowOff>
    </xdr:to>
    <xdr:sp macro="" textlink="">
      <xdr:nvSpPr>
        <xdr:cNvPr id="6" name="Rounded Rectangle 5">
          <a:extLst>
            <a:ext uri="{FF2B5EF4-FFF2-40B4-BE49-F238E27FC236}">
              <a16:creationId xmlns:a16="http://schemas.microsoft.com/office/drawing/2014/main" id="{B044C41F-437A-9147-882B-056CC0DFC3AC}"/>
            </a:ext>
          </a:extLst>
        </xdr:cNvPr>
        <xdr:cNvSpPr/>
      </xdr:nvSpPr>
      <xdr:spPr>
        <a:xfrm>
          <a:off x="3641436" y="225136"/>
          <a:ext cx="17857661" cy="9957955"/>
        </a:xfrm>
        <a:prstGeom prst="roundRect">
          <a:avLst>
            <a:gd name="adj" fmla="val 3618"/>
          </a:avLst>
        </a:prstGeom>
        <a:solidFill>
          <a:srgbClr val="0B1A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322263</xdr:colOff>
      <xdr:row>2</xdr:row>
      <xdr:rowOff>30954</xdr:rowOff>
    </xdr:from>
    <xdr:to>
      <xdr:col>5</xdr:col>
      <xdr:colOff>679451</xdr:colOff>
      <xdr:row>65</xdr:row>
      <xdr:rowOff>34636</xdr:rowOff>
    </xdr:to>
    <xdr:sp macro="" textlink="">
      <xdr:nvSpPr>
        <xdr:cNvPr id="7" name="Rounded Rectangle 6">
          <a:extLst>
            <a:ext uri="{FF2B5EF4-FFF2-40B4-BE49-F238E27FC236}">
              <a16:creationId xmlns:a16="http://schemas.microsoft.com/office/drawing/2014/main" id="{0CDF2EFD-D07E-B94C-9A67-025F357C6C0B}"/>
            </a:ext>
          </a:extLst>
        </xdr:cNvPr>
        <xdr:cNvSpPr/>
      </xdr:nvSpPr>
      <xdr:spPr>
        <a:xfrm>
          <a:off x="928399" y="342681"/>
          <a:ext cx="2539279" cy="9823091"/>
        </a:xfrm>
        <a:prstGeom prst="roundRect">
          <a:avLst>
            <a:gd name="adj" fmla="val 4534"/>
          </a:avLst>
        </a:prstGeom>
        <a:solidFill>
          <a:srgbClr val="0B1A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292100</xdr:colOff>
      <xdr:row>6</xdr:row>
      <xdr:rowOff>127000</xdr:rowOff>
    </xdr:from>
    <xdr:ext cx="1562100" cy="328295"/>
    <xdr:sp macro="" textlink="">
      <xdr:nvSpPr>
        <xdr:cNvPr id="9" name="TextBox 8">
          <a:hlinkClick xmlns:r="http://schemas.openxmlformats.org/officeDocument/2006/relationships" r:id="rId1"/>
          <a:extLst>
            <a:ext uri="{FF2B5EF4-FFF2-40B4-BE49-F238E27FC236}">
              <a16:creationId xmlns:a16="http://schemas.microsoft.com/office/drawing/2014/main" id="{98606C31-CA37-6347-B70F-4145CCE027AC}"/>
            </a:ext>
          </a:extLst>
        </xdr:cNvPr>
        <xdr:cNvSpPr txBox="1"/>
      </xdr:nvSpPr>
      <xdr:spPr>
        <a:xfrm>
          <a:off x="1637506" y="1127125"/>
          <a:ext cx="156210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600" b="0">
            <a:solidFill>
              <a:schemeClr val="bg1"/>
            </a:solidFill>
            <a:latin typeface="Futura Medium" panose="020B0602020204020303" pitchFamily="34" charset="-79"/>
            <a:ea typeface="Helvetica Neue" panose="02000503000000020004" pitchFamily="2" charset="0"/>
            <a:cs typeface="Futura Medium" panose="020B0602020204020303" pitchFamily="34" charset="-79"/>
          </a:endParaRPr>
        </a:p>
      </xdr:txBody>
    </xdr:sp>
    <xdr:clientData/>
  </xdr:oneCellAnchor>
  <xdr:oneCellAnchor>
    <xdr:from>
      <xdr:col>3</xdr:col>
      <xdr:colOff>279400</xdr:colOff>
      <xdr:row>9</xdr:row>
      <xdr:rowOff>0</xdr:rowOff>
    </xdr:from>
    <xdr:ext cx="1562100" cy="328295"/>
    <xdr:sp macro="" textlink="">
      <xdr:nvSpPr>
        <xdr:cNvPr id="10" name="TextBox 9">
          <a:extLst>
            <a:ext uri="{FF2B5EF4-FFF2-40B4-BE49-F238E27FC236}">
              <a16:creationId xmlns:a16="http://schemas.microsoft.com/office/drawing/2014/main" id="{4D9C80BC-C940-1F47-A085-29568B802A1E}"/>
            </a:ext>
          </a:extLst>
        </xdr:cNvPr>
        <xdr:cNvSpPr txBox="1"/>
      </xdr:nvSpPr>
      <xdr:spPr>
        <a:xfrm>
          <a:off x="1624806" y="1500188"/>
          <a:ext cx="156210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600" b="0">
            <a:solidFill>
              <a:schemeClr val="bg1"/>
            </a:solidFill>
            <a:latin typeface="Futura Medium" panose="020B0602020204020303" pitchFamily="34" charset="-79"/>
            <a:ea typeface="Helvetica Neue" panose="02000503000000020004" pitchFamily="2" charset="0"/>
            <a:cs typeface="Futura Medium" panose="020B0602020204020303" pitchFamily="34" charset="-79"/>
          </a:endParaRPr>
        </a:p>
      </xdr:txBody>
    </xdr:sp>
    <xdr:clientData/>
  </xdr:oneCellAnchor>
  <xdr:twoCellAnchor>
    <xdr:from>
      <xdr:col>6</xdr:col>
      <xdr:colOff>482600</xdr:colOff>
      <xdr:row>2</xdr:row>
      <xdr:rowOff>86592</xdr:rowOff>
    </xdr:from>
    <xdr:to>
      <xdr:col>29</xdr:col>
      <xdr:colOff>71438</xdr:colOff>
      <xdr:row>6</xdr:row>
      <xdr:rowOff>17319</xdr:rowOff>
    </xdr:to>
    <xdr:sp macro="" textlink="">
      <xdr:nvSpPr>
        <xdr:cNvPr id="18" name="TextBox 17">
          <a:extLst>
            <a:ext uri="{FF2B5EF4-FFF2-40B4-BE49-F238E27FC236}">
              <a16:creationId xmlns:a16="http://schemas.microsoft.com/office/drawing/2014/main" id="{5A09BD27-D7B0-EF4B-94F3-F82B56F70732}"/>
            </a:ext>
          </a:extLst>
        </xdr:cNvPr>
        <xdr:cNvSpPr txBox="1"/>
      </xdr:nvSpPr>
      <xdr:spPr>
        <a:xfrm>
          <a:off x="3998191" y="398319"/>
          <a:ext cx="16318202"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0" cap="none" spc="0">
              <a:ln w="0"/>
              <a:solidFill>
                <a:schemeClr val="tx1"/>
              </a:solidFill>
              <a:effectLst>
                <a:glow rad="139700">
                  <a:schemeClr val="accent4">
                    <a:satMod val="175000"/>
                    <a:alpha val="40000"/>
                  </a:schemeClr>
                </a:glow>
                <a:outerShdw blurRad="38100" dist="19050" dir="2700000" algn="tl" rotWithShape="0">
                  <a:schemeClr val="dk1">
                    <a:alpha val="40000"/>
                  </a:schemeClr>
                </a:outerShdw>
              </a:effectLst>
              <a:latin typeface="Futura Medium" panose="020B0602020204020303" pitchFamily="34" charset="-79"/>
              <a:cs typeface="Futura Medium" panose="020B0602020204020303" pitchFamily="34" charset="-79"/>
            </a:rPr>
            <a:t>Super</a:t>
          </a:r>
          <a:r>
            <a:rPr lang="en-US" sz="3200" b="0" cap="none" spc="0" baseline="0">
              <a:ln w="0"/>
              <a:solidFill>
                <a:schemeClr val="tx1"/>
              </a:solidFill>
              <a:effectLst>
                <a:glow rad="139700">
                  <a:schemeClr val="accent4">
                    <a:satMod val="175000"/>
                    <a:alpha val="40000"/>
                  </a:schemeClr>
                </a:glow>
                <a:outerShdw blurRad="38100" dist="19050" dir="2700000" algn="tl" rotWithShape="0">
                  <a:schemeClr val="dk1">
                    <a:alpha val="40000"/>
                  </a:schemeClr>
                </a:outerShdw>
              </a:effectLst>
              <a:latin typeface="Futura Medium" panose="020B0602020204020303" pitchFamily="34" charset="-79"/>
              <a:cs typeface="Futura Medium" panose="020B0602020204020303" pitchFamily="34" charset="-79"/>
            </a:rPr>
            <a:t> Store Sales Dashboard</a:t>
          </a:r>
          <a:endParaRPr lang="en-US" sz="3200" b="0" cap="none" spc="0">
            <a:ln w="0"/>
            <a:solidFill>
              <a:schemeClr val="tx1"/>
            </a:solidFill>
            <a:effectLst>
              <a:glow rad="139700">
                <a:schemeClr val="accent4">
                  <a:satMod val="175000"/>
                  <a:alpha val="40000"/>
                </a:schemeClr>
              </a:glow>
              <a:outerShdw blurRad="38100" dist="19050" dir="2700000" algn="tl" rotWithShape="0">
                <a:schemeClr val="dk1">
                  <a:alpha val="40000"/>
                </a:schemeClr>
              </a:outerShdw>
            </a:effectLst>
            <a:latin typeface="Futura Medium" panose="020B0602020204020303" pitchFamily="34" charset="-79"/>
            <a:cs typeface="Futura Medium" panose="020B0602020204020303" pitchFamily="34" charset="-79"/>
          </a:endParaRPr>
        </a:p>
      </xdr:txBody>
    </xdr:sp>
    <xdr:clientData/>
  </xdr:twoCellAnchor>
  <xdr:twoCellAnchor>
    <xdr:from>
      <xdr:col>6</xdr:col>
      <xdr:colOff>607024</xdr:colOff>
      <xdr:row>8</xdr:row>
      <xdr:rowOff>12700</xdr:rowOff>
    </xdr:from>
    <xdr:to>
      <xdr:col>12</xdr:col>
      <xdr:colOff>318139</xdr:colOff>
      <xdr:row>14</xdr:row>
      <xdr:rowOff>63500</xdr:rowOff>
    </xdr:to>
    <xdr:sp macro="" textlink="">
      <xdr:nvSpPr>
        <xdr:cNvPr id="19" name="Rounded Rectangle 18">
          <a:extLst>
            <a:ext uri="{FF2B5EF4-FFF2-40B4-BE49-F238E27FC236}">
              <a16:creationId xmlns:a16="http://schemas.microsoft.com/office/drawing/2014/main" id="{83953C19-5455-5342-8562-A6FED4AC005A}"/>
            </a:ext>
          </a:extLst>
        </xdr:cNvPr>
        <xdr:cNvSpPr/>
      </xdr:nvSpPr>
      <xdr:spPr>
        <a:xfrm>
          <a:off x="3404705" y="1337917"/>
          <a:ext cx="3907637" cy="1044713"/>
        </a:xfrm>
        <a:prstGeom prst="roundRect">
          <a:avLst>
            <a:gd name="adj" fmla="val 7778"/>
          </a:avLst>
        </a:prstGeom>
        <a:solidFill>
          <a:srgbClr val="2E405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607023</xdr:colOff>
      <xdr:row>8</xdr:row>
      <xdr:rowOff>0</xdr:rowOff>
    </xdr:from>
    <xdr:to>
      <xdr:col>18</xdr:col>
      <xdr:colOff>318139</xdr:colOff>
      <xdr:row>14</xdr:row>
      <xdr:rowOff>50800</xdr:rowOff>
    </xdr:to>
    <xdr:sp macro="" textlink="">
      <xdr:nvSpPr>
        <xdr:cNvPr id="20" name="Rounded Rectangle 19">
          <a:extLst>
            <a:ext uri="{FF2B5EF4-FFF2-40B4-BE49-F238E27FC236}">
              <a16:creationId xmlns:a16="http://schemas.microsoft.com/office/drawing/2014/main" id="{EE2E1F37-3617-0346-996D-CADAB73E6E3E}"/>
            </a:ext>
          </a:extLst>
        </xdr:cNvPr>
        <xdr:cNvSpPr/>
      </xdr:nvSpPr>
      <xdr:spPr>
        <a:xfrm>
          <a:off x="7601226" y="1325217"/>
          <a:ext cx="3907638" cy="1044713"/>
        </a:xfrm>
        <a:prstGeom prst="roundRect">
          <a:avLst>
            <a:gd name="adj" fmla="val 7778"/>
          </a:avLst>
        </a:prstGeom>
        <a:solidFill>
          <a:srgbClr val="2E405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594328</xdr:colOff>
      <xdr:row>8</xdr:row>
      <xdr:rowOff>1521</xdr:rowOff>
    </xdr:from>
    <xdr:to>
      <xdr:col>24</xdr:col>
      <xdr:colOff>305443</xdr:colOff>
      <xdr:row>14</xdr:row>
      <xdr:rowOff>47425</xdr:rowOff>
    </xdr:to>
    <xdr:sp macro="" textlink="">
      <xdr:nvSpPr>
        <xdr:cNvPr id="22" name="Rounded Rectangle 21">
          <a:extLst>
            <a:ext uri="{FF2B5EF4-FFF2-40B4-BE49-F238E27FC236}">
              <a16:creationId xmlns:a16="http://schemas.microsoft.com/office/drawing/2014/main" id="{E2006DB6-2CDA-C043-B329-BEBBF2812E0C}"/>
            </a:ext>
          </a:extLst>
        </xdr:cNvPr>
        <xdr:cNvSpPr/>
      </xdr:nvSpPr>
      <xdr:spPr>
        <a:xfrm>
          <a:off x="12838283" y="1248430"/>
          <a:ext cx="4075296" cy="981086"/>
        </a:xfrm>
        <a:prstGeom prst="roundRect">
          <a:avLst>
            <a:gd name="adj" fmla="val 7778"/>
          </a:avLst>
        </a:prstGeom>
        <a:solidFill>
          <a:srgbClr val="2E405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607024</xdr:colOff>
      <xdr:row>8</xdr:row>
      <xdr:rowOff>12700</xdr:rowOff>
    </xdr:from>
    <xdr:to>
      <xdr:col>12</xdr:col>
      <xdr:colOff>302775</xdr:colOff>
      <xdr:row>10</xdr:row>
      <xdr:rowOff>63500</xdr:rowOff>
    </xdr:to>
    <xdr:sp macro="" textlink="">
      <xdr:nvSpPr>
        <xdr:cNvPr id="34" name="Round Same Side Corner Rectangle 33">
          <a:extLst>
            <a:ext uri="{FF2B5EF4-FFF2-40B4-BE49-F238E27FC236}">
              <a16:creationId xmlns:a16="http://schemas.microsoft.com/office/drawing/2014/main" id="{2D5CE5DD-7CDE-8943-BE6A-62E41A76312E}"/>
            </a:ext>
          </a:extLst>
        </xdr:cNvPr>
        <xdr:cNvSpPr/>
      </xdr:nvSpPr>
      <xdr:spPr>
        <a:xfrm>
          <a:off x="4122615" y="1259609"/>
          <a:ext cx="4059933" cy="362527"/>
        </a:xfrm>
        <a:prstGeom prst="round2SameRect">
          <a:avLst/>
        </a:prstGeom>
        <a:gradFill>
          <a:gsLst>
            <a:gs pos="4000">
              <a:schemeClr val="accent4">
                <a:lumMod val="50000"/>
              </a:schemeClr>
            </a:gs>
            <a:gs pos="100000">
              <a:srgbClr val="0B1A2E">
                <a:alpha val="0"/>
              </a:srgbClr>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47303</xdr:colOff>
      <xdr:row>8</xdr:row>
      <xdr:rowOff>38100</xdr:rowOff>
    </xdr:from>
    <xdr:ext cx="3883923" cy="357790"/>
    <xdr:sp macro="" textlink="">
      <xdr:nvSpPr>
        <xdr:cNvPr id="29" name="TextBox 28">
          <a:extLst>
            <a:ext uri="{FF2B5EF4-FFF2-40B4-BE49-F238E27FC236}">
              <a16:creationId xmlns:a16="http://schemas.microsoft.com/office/drawing/2014/main" id="{1033AFDE-46DC-4A4E-A079-132A701D2447}"/>
            </a:ext>
          </a:extLst>
        </xdr:cNvPr>
        <xdr:cNvSpPr txBox="1"/>
      </xdr:nvSpPr>
      <xdr:spPr>
        <a:xfrm>
          <a:off x="4290258" y="1285009"/>
          <a:ext cx="388392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cap="none" spc="0">
              <a:ln w="6600">
                <a:solidFill>
                  <a:schemeClr val="accent2"/>
                </a:solidFill>
                <a:prstDash val="solid"/>
              </a:ln>
              <a:solidFill>
                <a:srgbClr val="FFFFFF"/>
              </a:solidFill>
              <a:effectLst>
                <a:outerShdw dist="38100" dir="2700000" algn="tl" rotWithShape="0">
                  <a:schemeClr val="accent2"/>
                </a:outerShdw>
              </a:effectLst>
              <a:latin typeface="Futura Medium" panose="020B0602020204020303" pitchFamily="34" charset="-79"/>
              <a:cs typeface="Futura Medium" panose="020B0602020204020303" pitchFamily="34" charset="-79"/>
            </a:rPr>
            <a:t>Region</a:t>
          </a:r>
          <a:r>
            <a:rPr lang="en-US" sz="1800" b="1" cap="none" spc="0" baseline="0">
              <a:ln w="6600">
                <a:solidFill>
                  <a:schemeClr val="accent2"/>
                </a:solidFill>
                <a:prstDash val="solid"/>
              </a:ln>
              <a:solidFill>
                <a:srgbClr val="FFFFFF"/>
              </a:solidFill>
              <a:effectLst>
                <a:outerShdw dist="38100" dir="2700000" algn="tl" rotWithShape="0">
                  <a:schemeClr val="accent2"/>
                </a:outerShdw>
              </a:effectLst>
              <a:latin typeface="Futura Medium" panose="020B0602020204020303" pitchFamily="34" charset="-79"/>
              <a:cs typeface="Futura Medium" panose="020B0602020204020303" pitchFamily="34" charset="-79"/>
            </a:rPr>
            <a:t> Salse</a:t>
          </a:r>
          <a:endParaRPr lang="en-US" sz="1800" b="1" cap="none" spc="0">
            <a:ln w="6600">
              <a:solidFill>
                <a:schemeClr val="accent2"/>
              </a:solidFill>
              <a:prstDash val="solid"/>
            </a:ln>
            <a:solidFill>
              <a:srgbClr val="FFFFFF"/>
            </a:solidFill>
            <a:effectLst>
              <a:outerShdw dist="38100" dir="2700000" algn="tl" rotWithShape="0">
                <a:schemeClr val="accent2"/>
              </a:outerShdw>
            </a:effectLst>
            <a:latin typeface="Futura Medium" panose="020B0602020204020303" pitchFamily="34" charset="-79"/>
            <a:cs typeface="Futura Medium" panose="020B0602020204020303" pitchFamily="34" charset="-79"/>
          </a:endParaRPr>
        </a:p>
      </xdr:txBody>
    </xdr:sp>
    <xdr:clientData/>
  </xdr:oneCellAnchor>
  <xdr:oneCellAnchor>
    <xdr:from>
      <xdr:col>12</xdr:col>
      <xdr:colOff>675409</xdr:colOff>
      <xdr:row>8</xdr:row>
      <xdr:rowOff>38100</xdr:rowOff>
    </xdr:from>
    <xdr:ext cx="3879273" cy="357790"/>
    <xdr:sp macro="" textlink="">
      <xdr:nvSpPr>
        <xdr:cNvPr id="30" name="TextBox 29">
          <a:extLst>
            <a:ext uri="{FF2B5EF4-FFF2-40B4-BE49-F238E27FC236}">
              <a16:creationId xmlns:a16="http://schemas.microsoft.com/office/drawing/2014/main" id="{86D27C3B-08DF-E54B-ABA9-19DE0B442C81}"/>
            </a:ext>
          </a:extLst>
        </xdr:cNvPr>
        <xdr:cNvSpPr txBox="1"/>
      </xdr:nvSpPr>
      <xdr:spPr>
        <a:xfrm>
          <a:off x="8555182" y="1285009"/>
          <a:ext cx="38792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cap="none" spc="0">
              <a:ln w="6600">
                <a:solidFill>
                  <a:schemeClr val="accent2"/>
                </a:solidFill>
                <a:prstDash val="solid"/>
              </a:ln>
              <a:solidFill>
                <a:srgbClr val="FFFFFF"/>
              </a:solidFill>
              <a:effectLst>
                <a:outerShdw dist="38100" dir="2700000" algn="tl" rotWithShape="0">
                  <a:schemeClr val="accent2"/>
                </a:outerShdw>
              </a:effectLst>
              <a:latin typeface="Futura Medium" panose="020B0602020204020303" pitchFamily="34" charset="-79"/>
              <a:cs typeface="Futura Medium" panose="020B0602020204020303" pitchFamily="34" charset="-79"/>
            </a:rPr>
            <a:t>Ship</a:t>
          </a:r>
          <a:r>
            <a:rPr lang="en-US" sz="1800" b="1" cap="none" spc="0" baseline="0">
              <a:ln w="6600">
                <a:solidFill>
                  <a:schemeClr val="accent2"/>
                </a:solidFill>
                <a:prstDash val="solid"/>
              </a:ln>
              <a:solidFill>
                <a:srgbClr val="FFFFFF"/>
              </a:solidFill>
              <a:effectLst>
                <a:outerShdw dist="38100" dir="2700000" algn="tl" rotWithShape="0">
                  <a:schemeClr val="accent2"/>
                </a:outerShdw>
              </a:effectLst>
              <a:latin typeface="Futura Medium" panose="020B0602020204020303" pitchFamily="34" charset="-79"/>
              <a:cs typeface="Futura Medium" panose="020B0602020204020303" pitchFamily="34" charset="-79"/>
            </a:rPr>
            <a:t> Mode Sales</a:t>
          </a:r>
          <a:endParaRPr lang="en-US" sz="1800" b="1" cap="none" spc="0">
            <a:ln w="6600">
              <a:solidFill>
                <a:schemeClr val="accent2"/>
              </a:solidFill>
              <a:prstDash val="solid"/>
            </a:ln>
            <a:solidFill>
              <a:srgbClr val="FFFFFF"/>
            </a:solidFill>
            <a:effectLst>
              <a:outerShdw dist="38100" dir="2700000" algn="tl" rotWithShape="0">
                <a:schemeClr val="accent2"/>
              </a:outerShdw>
            </a:effectLst>
            <a:latin typeface="Futura Medium" panose="020B0602020204020303" pitchFamily="34" charset="-79"/>
            <a:cs typeface="Futura Medium" panose="020B0602020204020303" pitchFamily="34" charset="-79"/>
          </a:endParaRPr>
        </a:p>
      </xdr:txBody>
    </xdr:sp>
    <xdr:clientData/>
  </xdr:oneCellAnchor>
  <xdr:twoCellAnchor>
    <xdr:from>
      <xdr:col>18</xdr:col>
      <xdr:colOff>594328</xdr:colOff>
      <xdr:row>7</xdr:row>
      <xdr:rowOff>157385</xdr:rowOff>
    </xdr:from>
    <xdr:to>
      <xdr:col>24</xdr:col>
      <xdr:colOff>290079</xdr:colOff>
      <xdr:row>10</xdr:row>
      <xdr:rowOff>47425</xdr:rowOff>
    </xdr:to>
    <xdr:sp macro="" textlink="">
      <xdr:nvSpPr>
        <xdr:cNvPr id="36" name="Round Same Side Corner Rectangle 35">
          <a:extLst>
            <a:ext uri="{FF2B5EF4-FFF2-40B4-BE49-F238E27FC236}">
              <a16:creationId xmlns:a16="http://schemas.microsoft.com/office/drawing/2014/main" id="{12FF6610-EDD2-6848-ADF1-70EA5B103FCA}"/>
            </a:ext>
          </a:extLst>
        </xdr:cNvPr>
        <xdr:cNvSpPr/>
      </xdr:nvSpPr>
      <xdr:spPr>
        <a:xfrm>
          <a:off x="11654581" y="1282701"/>
          <a:ext cx="3843346" cy="372319"/>
        </a:xfrm>
        <a:prstGeom prst="round2SameRect">
          <a:avLst/>
        </a:prstGeom>
        <a:gradFill>
          <a:gsLst>
            <a:gs pos="4000">
              <a:schemeClr val="accent4">
                <a:lumMod val="50000"/>
              </a:schemeClr>
            </a:gs>
            <a:gs pos="100000">
              <a:srgbClr val="0B1A2E">
                <a:alpha val="0"/>
              </a:srgbClr>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18</xdr:col>
      <xdr:colOff>675410</xdr:colOff>
      <xdr:row>8</xdr:row>
      <xdr:rowOff>34724</xdr:rowOff>
    </xdr:from>
    <xdr:ext cx="3913908" cy="357790"/>
    <xdr:sp macro="" textlink="">
      <xdr:nvSpPr>
        <xdr:cNvPr id="31" name="TextBox 30">
          <a:extLst>
            <a:ext uri="{FF2B5EF4-FFF2-40B4-BE49-F238E27FC236}">
              <a16:creationId xmlns:a16="http://schemas.microsoft.com/office/drawing/2014/main" id="{252716EE-98C2-954B-B4B6-86FBA304DCB3}"/>
            </a:ext>
          </a:extLst>
        </xdr:cNvPr>
        <xdr:cNvSpPr txBox="1"/>
      </xdr:nvSpPr>
      <xdr:spPr>
        <a:xfrm>
          <a:off x="12919365" y="1281633"/>
          <a:ext cx="3913908"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cap="none" spc="0">
              <a:ln w="22225">
                <a:solidFill>
                  <a:schemeClr val="accent2"/>
                </a:solidFill>
                <a:prstDash val="solid"/>
              </a:ln>
              <a:solidFill>
                <a:schemeClr val="accent2">
                  <a:lumMod val="40000"/>
                  <a:lumOff val="60000"/>
                </a:schemeClr>
              </a:solidFill>
              <a:effectLst/>
              <a:latin typeface="Futura Medium" panose="020B0602020204020303" pitchFamily="34" charset="-79"/>
              <a:cs typeface="Futura Medium" panose="020B0602020204020303" pitchFamily="34" charset="-79"/>
            </a:rPr>
            <a:t>Product</a:t>
          </a:r>
          <a:r>
            <a:rPr lang="en-US" sz="1400" b="1" cap="none" spc="0" baseline="0">
              <a:ln w="22225">
                <a:solidFill>
                  <a:schemeClr val="accent2"/>
                </a:solidFill>
                <a:prstDash val="solid"/>
              </a:ln>
              <a:solidFill>
                <a:schemeClr val="accent2">
                  <a:lumMod val="40000"/>
                  <a:lumOff val="60000"/>
                </a:schemeClr>
              </a:solidFill>
              <a:effectLst/>
              <a:latin typeface="Futura Medium" panose="020B0602020204020303" pitchFamily="34" charset="-79"/>
              <a:cs typeface="Futura Medium" panose="020B0602020204020303" pitchFamily="34" charset="-79"/>
            </a:rPr>
            <a:t> Sales</a:t>
          </a:r>
          <a:endParaRPr lang="en-US" sz="1400" b="1" cap="none" spc="0">
            <a:ln w="22225">
              <a:solidFill>
                <a:schemeClr val="accent2"/>
              </a:solidFill>
              <a:prstDash val="solid"/>
            </a:ln>
            <a:solidFill>
              <a:schemeClr val="accent2">
                <a:lumMod val="40000"/>
                <a:lumOff val="60000"/>
              </a:schemeClr>
            </a:solidFill>
            <a:effectLst/>
            <a:latin typeface="Futura Medium" panose="020B0602020204020303" pitchFamily="34" charset="-79"/>
            <a:cs typeface="Futura Medium" panose="020B0602020204020303" pitchFamily="34" charset="-79"/>
          </a:endParaRPr>
        </a:p>
      </xdr:txBody>
    </xdr:sp>
    <xdr:clientData/>
  </xdr:oneCellAnchor>
  <xdr:oneCellAnchor>
    <xdr:from>
      <xdr:col>25</xdr:col>
      <xdr:colOff>17362</xdr:colOff>
      <xdr:row>8</xdr:row>
      <xdr:rowOff>34724</xdr:rowOff>
    </xdr:from>
    <xdr:ext cx="184731" cy="298800"/>
    <xdr:sp macro="" textlink="">
      <xdr:nvSpPr>
        <xdr:cNvPr id="32" name="TextBox 31">
          <a:extLst>
            <a:ext uri="{FF2B5EF4-FFF2-40B4-BE49-F238E27FC236}">
              <a16:creationId xmlns:a16="http://schemas.microsoft.com/office/drawing/2014/main" id="{F3D107C7-F740-4B46-9FC6-597ACEE96FBD}"/>
            </a:ext>
          </a:extLst>
        </xdr:cNvPr>
        <xdr:cNvSpPr txBox="1"/>
      </xdr:nvSpPr>
      <xdr:spPr>
        <a:xfrm>
          <a:off x="17352862" y="1281633"/>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400">
            <a:solidFill>
              <a:schemeClr val="bg1"/>
            </a:solidFill>
            <a:latin typeface="Futura Medium" panose="020B0602020204020303" pitchFamily="34" charset="-79"/>
            <a:cs typeface="Futura Medium" panose="020B0602020204020303" pitchFamily="34" charset="-79"/>
          </a:endParaRPr>
        </a:p>
      </xdr:txBody>
    </xdr:sp>
    <xdr:clientData/>
  </xdr:oneCellAnchor>
  <xdr:oneCellAnchor>
    <xdr:from>
      <xdr:col>7</xdr:col>
      <xdr:colOff>587240</xdr:colOff>
      <xdr:row>11</xdr:row>
      <xdr:rowOff>1</xdr:rowOff>
    </xdr:from>
    <xdr:ext cx="2578100" cy="450272"/>
    <xdr:sp macro="" textlink="'Region vs Salse'!A11">
      <xdr:nvSpPr>
        <xdr:cNvPr id="12" name="TextBox 11">
          <a:extLst>
            <a:ext uri="{FF2B5EF4-FFF2-40B4-BE49-F238E27FC236}">
              <a16:creationId xmlns:a16="http://schemas.microsoft.com/office/drawing/2014/main" id="{090BFBA1-7017-8E4D-A0A9-DF53254C70B7}"/>
            </a:ext>
          </a:extLst>
        </xdr:cNvPr>
        <xdr:cNvSpPr txBox="1"/>
      </xdr:nvSpPr>
      <xdr:spPr>
        <a:xfrm>
          <a:off x="4830195" y="1714501"/>
          <a:ext cx="2578100" cy="450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D5AC736-21E6-4CF6-B5EE-991529CB6CCE}" type="TxLink">
            <a:rPr lang="en-US" sz="24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MS Sans Serif"/>
              <a:cs typeface="Futura Medium" panose="020B0602020204020303" pitchFamily="34" charset="-79"/>
            </a:rPr>
            <a:t>₹ 19,24,338</a:t>
          </a:fld>
          <a:endParaRPr lang="en-US" sz="2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cs typeface="Futura Medium" panose="020B0602020204020303" pitchFamily="34" charset="-79"/>
          </a:endParaRPr>
        </a:p>
      </xdr:txBody>
    </xdr:sp>
    <xdr:clientData/>
  </xdr:oneCellAnchor>
  <xdr:oneCellAnchor>
    <xdr:from>
      <xdr:col>13</xdr:col>
      <xdr:colOff>663440</xdr:colOff>
      <xdr:row>10</xdr:row>
      <xdr:rowOff>148109</xdr:rowOff>
    </xdr:from>
    <xdr:ext cx="2324100" cy="468013"/>
    <xdr:sp macro="" textlink="'Ship Mode Vs Salse'!A12">
      <xdr:nvSpPr>
        <xdr:cNvPr id="45" name="TextBox 44">
          <a:extLst>
            <a:ext uri="{FF2B5EF4-FFF2-40B4-BE49-F238E27FC236}">
              <a16:creationId xmlns:a16="http://schemas.microsoft.com/office/drawing/2014/main" id="{CE1734E6-FC27-9942-9571-3765F1F081D0}"/>
            </a:ext>
          </a:extLst>
        </xdr:cNvPr>
        <xdr:cNvSpPr txBox="1"/>
      </xdr:nvSpPr>
      <xdr:spPr>
        <a:xfrm>
          <a:off x="9270576" y="1706745"/>
          <a:ext cx="23241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52589542-9DED-4689-8E05-1EB39BCA9EBC}" type="TxLink">
            <a:rPr lang="en-US" sz="2400" b="0" i="0" u="none" strike="noStrike" cap="none" spc="0">
              <a:ln w="9525">
                <a:solidFill>
                  <a:schemeClr val="bg1"/>
                </a:solidFill>
                <a:prstDash val="solid"/>
              </a:ln>
              <a:solidFill>
                <a:srgbClr val="000000"/>
              </a:solidFill>
              <a:effectLst>
                <a:outerShdw blurRad="12700" dist="38100" dir="2700000" algn="tl" rotWithShape="0">
                  <a:schemeClr val="bg1">
                    <a:lumMod val="50000"/>
                  </a:schemeClr>
                </a:outerShdw>
              </a:effectLst>
              <a:latin typeface="MS Sans Serif"/>
              <a:ea typeface="+mn-ea"/>
              <a:cs typeface="Futura Medium" panose="020B0602020204020303" pitchFamily="34" charset="-79"/>
            </a:rPr>
            <a:t>₹ 19,24,338</a:t>
          </a:fld>
          <a:endParaRPr lang="en-US" sz="6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ea typeface="+mn-ea"/>
            <a:cs typeface="Futura Medium" panose="020B0602020204020303" pitchFamily="34" charset="-79"/>
          </a:endParaRPr>
        </a:p>
      </xdr:txBody>
    </xdr:sp>
    <xdr:clientData/>
  </xdr:oneCellAnchor>
  <xdr:oneCellAnchor>
    <xdr:from>
      <xdr:col>20</xdr:col>
      <xdr:colOff>113203</xdr:colOff>
      <xdr:row>10</xdr:row>
      <xdr:rowOff>132034</xdr:rowOff>
    </xdr:from>
    <xdr:ext cx="1841500" cy="468013"/>
    <xdr:sp macro="" textlink="Product!B23">
      <xdr:nvSpPr>
        <xdr:cNvPr id="46" name="TextBox 45">
          <a:extLst>
            <a:ext uri="{FF2B5EF4-FFF2-40B4-BE49-F238E27FC236}">
              <a16:creationId xmlns:a16="http://schemas.microsoft.com/office/drawing/2014/main" id="{B5F786C3-37D3-394B-8573-4B0CF5FA4EC2}"/>
            </a:ext>
          </a:extLst>
        </xdr:cNvPr>
        <xdr:cNvSpPr txBox="1"/>
      </xdr:nvSpPr>
      <xdr:spPr>
        <a:xfrm>
          <a:off x="13811885" y="1690670"/>
          <a:ext cx="18415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C5E635EF-DAC0-4B51-A0D7-6C016F4202A1}" type="TxLink">
            <a:rPr lang="en-US" sz="24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MS Sans Serif"/>
              <a:ea typeface="+mn-ea"/>
              <a:cs typeface="Futura Medium" panose="020B0602020204020303" pitchFamily="34" charset="-79"/>
            </a:rPr>
            <a:t>₹ 19,24,338</a:t>
          </a:fld>
          <a:endParaRPr lang="en-US" sz="60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a typeface="+mn-ea"/>
            <a:cs typeface="Futura Medium" panose="020B0602020204020303" pitchFamily="34" charset="-79"/>
          </a:endParaRPr>
        </a:p>
      </xdr:txBody>
    </xdr:sp>
    <xdr:clientData/>
  </xdr:oneCellAnchor>
  <xdr:oneCellAnchor>
    <xdr:from>
      <xdr:col>2</xdr:col>
      <xdr:colOff>654050</xdr:colOff>
      <xdr:row>2</xdr:row>
      <xdr:rowOff>50800</xdr:rowOff>
    </xdr:from>
    <xdr:ext cx="653705" cy="330732"/>
    <xdr:sp macro="" textlink="">
      <xdr:nvSpPr>
        <xdr:cNvPr id="48" name="TextBox 47">
          <a:extLst>
            <a:ext uri="{FF2B5EF4-FFF2-40B4-BE49-F238E27FC236}">
              <a16:creationId xmlns:a16="http://schemas.microsoft.com/office/drawing/2014/main" id="{3E10F8CA-4D7B-C344-8667-ABEF192CEEEF}"/>
            </a:ext>
          </a:extLst>
        </xdr:cNvPr>
        <xdr:cNvSpPr txBox="1"/>
      </xdr:nvSpPr>
      <xdr:spPr>
        <a:xfrm>
          <a:off x="1261269" y="384175"/>
          <a:ext cx="653705" cy="330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chemeClr val="bg1"/>
              </a:solidFill>
              <a:latin typeface="Futura Medium" panose="020B0602020204020303" pitchFamily="34" charset="-79"/>
              <a:cs typeface="Futura Medium" panose="020B0602020204020303" pitchFamily="34" charset="-79"/>
            </a:rPr>
            <a:t>Filters</a:t>
          </a:r>
        </a:p>
      </xdr:txBody>
    </xdr:sp>
    <xdr:clientData/>
  </xdr:oneCellAnchor>
  <xdr:oneCellAnchor>
    <xdr:from>
      <xdr:col>19</xdr:col>
      <xdr:colOff>58087</xdr:colOff>
      <xdr:row>16</xdr:row>
      <xdr:rowOff>41512</xdr:rowOff>
    </xdr:from>
    <xdr:ext cx="2210979" cy="298800"/>
    <xdr:sp macro="" textlink="">
      <xdr:nvSpPr>
        <xdr:cNvPr id="49" name="TextBox 48">
          <a:extLst>
            <a:ext uri="{FF2B5EF4-FFF2-40B4-BE49-F238E27FC236}">
              <a16:creationId xmlns:a16="http://schemas.microsoft.com/office/drawing/2014/main" id="{BB063390-AEA7-0F47-84DA-2D4FA893204E}"/>
            </a:ext>
          </a:extLst>
        </xdr:cNvPr>
        <xdr:cNvSpPr txBox="1"/>
      </xdr:nvSpPr>
      <xdr:spPr>
        <a:xfrm>
          <a:off x="13029405" y="2535330"/>
          <a:ext cx="221097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400">
            <a:solidFill>
              <a:schemeClr val="bg1"/>
            </a:solidFill>
            <a:latin typeface="Futura Medium" panose="020B0602020204020303" pitchFamily="34" charset="-79"/>
            <a:cs typeface="Futura Medium" panose="020B0602020204020303" pitchFamily="34" charset="-79"/>
          </a:endParaRPr>
        </a:p>
      </xdr:txBody>
    </xdr:sp>
    <xdr:clientData/>
  </xdr:oneCellAnchor>
  <xdr:twoCellAnchor>
    <xdr:from>
      <xdr:col>7</xdr:col>
      <xdr:colOff>192617</xdr:colOff>
      <xdr:row>43</xdr:row>
      <xdr:rowOff>109166</xdr:rowOff>
    </xdr:from>
    <xdr:to>
      <xdr:col>12</xdr:col>
      <xdr:colOff>244539</xdr:colOff>
      <xdr:row>52</xdr:row>
      <xdr:rowOff>152460</xdr:rowOff>
    </xdr:to>
    <xdr:graphicFrame macro="">
      <xdr:nvGraphicFramePr>
        <xdr:cNvPr id="5" name="Chart 4">
          <a:extLst>
            <a:ext uri="{FF2B5EF4-FFF2-40B4-BE49-F238E27FC236}">
              <a16:creationId xmlns:a16="http://schemas.microsoft.com/office/drawing/2014/main" id="{0C20342E-E37C-074D-930A-1373D0C64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644052</xdr:colOff>
      <xdr:row>44</xdr:row>
      <xdr:rowOff>5290</xdr:rowOff>
    </xdr:from>
    <xdr:to>
      <xdr:col>17</xdr:col>
      <xdr:colOff>268551</xdr:colOff>
      <xdr:row>53</xdr:row>
      <xdr:rowOff>69644</xdr:rowOff>
    </xdr:to>
    <xdr:graphicFrame macro="">
      <xdr:nvGraphicFramePr>
        <xdr:cNvPr id="8" name="Chart 7">
          <a:extLst>
            <a:ext uri="{FF2B5EF4-FFF2-40B4-BE49-F238E27FC236}">
              <a16:creationId xmlns:a16="http://schemas.microsoft.com/office/drawing/2014/main" id="{7663B155-E5DE-884F-AA20-F48CA2C1B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270515</xdr:colOff>
      <xdr:row>42</xdr:row>
      <xdr:rowOff>2955</xdr:rowOff>
    </xdr:from>
    <xdr:ext cx="184731" cy="298800"/>
    <xdr:sp macro="" textlink="">
      <xdr:nvSpPr>
        <xdr:cNvPr id="14" name="TextBox 13">
          <a:extLst>
            <a:ext uri="{FF2B5EF4-FFF2-40B4-BE49-F238E27FC236}">
              <a16:creationId xmlns:a16="http://schemas.microsoft.com/office/drawing/2014/main" id="{823BB11D-9D32-1B43-B1DA-283212A051E3}"/>
            </a:ext>
          </a:extLst>
        </xdr:cNvPr>
        <xdr:cNvSpPr txBox="1"/>
      </xdr:nvSpPr>
      <xdr:spPr>
        <a:xfrm>
          <a:off x="5240833" y="6549228"/>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400">
            <a:solidFill>
              <a:schemeClr val="bg1"/>
            </a:solidFill>
            <a:latin typeface="Futura Medium" panose="020B0602020204020303" pitchFamily="34" charset="-79"/>
            <a:cs typeface="Futura Medium" panose="020B0602020204020303" pitchFamily="34" charset="-79"/>
          </a:endParaRPr>
        </a:p>
      </xdr:txBody>
    </xdr:sp>
    <xdr:clientData/>
  </xdr:oneCellAnchor>
  <xdr:twoCellAnchor>
    <xdr:from>
      <xdr:col>19</xdr:col>
      <xdr:colOff>239276</xdr:colOff>
      <xdr:row>19</xdr:row>
      <xdr:rowOff>128841</xdr:rowOff>
    </xdr:from>
    <xdr:to>
      <xdr:col>29</xdr:col>
      <xdr:colOff>607392</xdr:colOff>
      <xdr:row>34</xdr:row>
      <xdr:rowOff>36812</xdr:rowOff>
    </xdr:to>
    <xdr:graphicFrame macro="">
      <xdr:nvGraphicFramePr>
        <xdr:cNvPr id="53" name="Chart 52">
          <a:extLst>
            <a:ext uri="{FF2B5EF4-FFF2-40B4-BE49-F238E27FC236}">
              <a16:creationId xmlns:a16="http://schemas.microsoft.com/office/drawing/2014/main" id="{D46198DE-2080-CC41-847F-E46F74E7B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682048</xdr:colOff>
      <xdr:row>39</xdr:row>
      <xdr:rowOff>149224</xdr:rowOff>
    </xdr:from>
    <xdr:to>
      <xdr:col>30</xdr:col>
      <xdr:colOff>332798</xdr:colOff>
      <xdr:row>58</xdr:row>
      <xdr:rowOff>133350</xdr:rowOff>
    </xdr:to>
    <xdr:graphicFrame macro="">
      <xdr:nvGraphicFramePr>
        <xdr:cNvPr id="54" name="Chart 53">
          <a:extLst>
            <a:ext uri="{FF2B5EF4-FFF2-40B4-BE49-F238E27FC236}">
              <a16:creationId xmlns:a16="http://schemas.microsoft.com/office/drawing/2014/main" id="{2EE9855E-E104-0E45-AB94-DA8CD0D5A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479210</xdr:colOff>
      <xdr:row>5</xdr:row>
      <xdr:rowOff>649</xdr:rowOff>
    </xdr:from>
    <xdr:to>
      <xdr:col>5</xdr:col>
      <xdr:colOff>259773</xdr:colOff>
      <xdr:row>15</xdr:row>
      <xdr:rowOff>138545</xdr:rowOff>
    </xdr:to>
    <mc:AlternateContent xmlns:mc="http://schemas.openxmlformats.org/markup-compatibility/2006">
      <mc:Choice xmlns:a14="http://schemas.microsoft.com/office/drawing/2010/main" Requires="a14">
        <xdr:graphicFrame macro="">
          <xdr:nvGraphicFramePr>
            <xdr:cNvPr id="52" name="Region 3">
              <a:extLst>
                <a:ext uri="{FF2B5EF4-FFF2-40B4-BE49-F238E27FC236}">
                  <a16:creationId xmlns:a16="http://schemas.microsoft.com/office/drawing/2014/main" id="{F7B3283B-5D36-473A-B03F-BF1226D30DA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098335" y="834087"/>
              <a:ext cx="1995126" cy="1804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450273</xdr:colOff>
      <xdr:row>16</xdr:row>
      <xdr:rowOff>103909</xdr:rowOff>
    </xdr:from>
    <xdr:to>
      <xdr:col>5</xdr:col>
      <xdr:colOff>263381</xdr:colOff>
      <xdr:row>25</xdr:row>
      <xdr:rowOff>138545</xdr:rowOff>
    </xdr:to>
    <mc:AlternateContent xmlns:mc="http://schemas.openxmlformats.org/markup-compatibility/2006">
      <mc:Choice xmlns:a14="http://schemas.microsoft.com/office/drawing/2010/main" Requires="a14">
        <xdr:graphicFrame macro="">
          <xdr:nvGraphicFramePr>
            <xdr:cNvPr id="55" name="Ship Mode 1">
              <a:extLst>
                <a:ext uri="{FF2B5EF4-FFF2-40B4-BE49-F238E27FC236}">
                  <a16:creationId xmlns:a16="http://schemas.microsoft.com/office/drawing/2014/main" id="{C1A6A042-C6AC-4C10-B231-D222DB315E5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069398" y="2770909"/>
              <a:ext cx="2027671" cy="1534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512763</xdr:colOff>
      <xdr:row>26</xdr:row>
      <xdr:rowOff>48273</xdr:rowOff>
    </xdr:from>
    <xdr:to>
      <xdr:col>5</xdr:col>
      <xdr:colOff>159472</xdr:colOff>
      <xdr:row>36</xdr:row>
      <xdr:rowOff>138546</xdr:rowOff>
    </xdr:to>
    <mc:AlternateContent xmlns:mc="http://schemas.openxmlformats.org/markup-compatibility/2006">
      <mc:Choice xmlns:a14="http://schemas.microsoft.com/office/drawing/2010/main" Requires="a14">
        <xdr:graphicFrame macro="">
          <xdr:nvGraphicFramePr>
            <xdr:cNvPr id="56" name="Product Sub-Category 1">
              <a:extLst>
                <a:ext uri="{FF2B5EF4-FFF2-40B4-BE49-F238E27FC236}">
                  <a16:creationId xmlns:a16="http://schemas.microsoft.com/office/drawing/2014/main" id="{69F848B4-267C-4767-B602-254E78C38B58}"/>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dr:sp macro="" textlink="">
          <xdr:nvSpPr>
            <xdr:cNvPr id="0" name=""/>
            <xdr:cNvSpPr>
              <a:spLocks noTextEdit="1"/>
            </xdr:cNvSpPr>
          </xdr:nvSpPr>
          <xdr:spPr>
            <a:xfrm>
              <a:off x="1131888" y="4382148"/>
              <a:ext cx="1861272" cy="1757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495445</xdr:colOff>
      <xdr:row>37</xdr:row>
      <xdr:rowOff>117545</xdr:rowOff>
    </xdr:from>
    <xdr:to>
      <xdr:col>5</xdr:col>
      <xdr:colOff>142154</xdr:colOff>
      <xdr:row>47</xdr:row>
      <xdr:rowOff>34637</xdr:rowOff>
    </xdr:to>
    <mc:AlternateContent xmlns:mc="http://schemas.openxmlformats.org/markup-compatibility/2006">
      <mc:Choice xmlns:a14="http://schemas.microsoft.com/office/drawing/2010/main" Requires="a14">
        <xdr:graphicFrame macro="">
          <xdr:nvGraphicFramePr>
            <xdr:cNvPr id="57" name="City 1">
              <a:extLst>
                <a:ext uri="{FF2B5EF4-FFF2-40B4-BE49-F238E27FC236}">
                  <a16:creationId xmlns:a16="http://schemas.microsoft.com/office/drawing/2014/main" id="{B976C923-765B-472E-881B-5CB35FB4E95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14570" y="6284983"/>
              <a:ext cx="1861272" cy="1583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512764</xdr:colOff>
      <xdr:row>48</xdr:row>
      <xdr:rowOff>34636</xdr:rowOff>
    </xdr:from>
    <xdr:to>
      <xdr:col>5</xdr:col>
      <xdr:colOff>159473</xdr:colOff>
      <xdr:row>63</xdr:row>
      <xdr:rowOff>86591</xdr:rowOff>
    </xdr:to>
    <mc:AlternateContent xmlns:mc="http://schemas.openxmlformats.org/markup-compatibility/2006">
      <mc:Choice xmlns:a14="http://schemas.microsoft.com/office/drawing/2010/main" Requires="a14">
        <xdr:graphicFrame macro="">
          <xdr:nvGraphicFramePr>
            <xdr:cNvPr id="58" name="Months 1">
              <a:extLst>
                <a:ext uri="{FF2B5EF4-FFF2-40B4-BE49-F238E27FC236}">
                  <a16:creationId xmlns:a16="http://schemas.microsoft.com/office/drawing/2014/main" id="{7895E6A1-5D80-4A3A-995B-E47975CC1969}"/>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131889" y="8035636"/>
              <a:ext cx="1861272" cy="2552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502227</xdr:colOff>
      <xdr:row>15</xdr:row>
      <xdr:rowOff>62900</xdr:rowOff>
    </xdr:from>
    <xdr:to>
      <xdr:col>15</xdr:col>
      <xdr:colOff>225135</xdr:colOff>
      <xdr:row>37</xdr:row>
      <xdr:rowOff>17318</xdr:rowOff>
    </xdr:to>
    <xdr:graphicFrame macro="">
      <xdr:nvGraphicFramePr>
        <xdr:cNvPr id="59" name="Chart 58">
          <a:extLst>
            <a:ext uri="{FF2B5EF4-FFF2-40B4-BE49-F238E27FC236}">
              <a16:creationId xmlns:a16="http://schemas.microsoft.com/office/drawing/2014/main" id="{23CE179C-FA74-4C4C-90A9-1B64D954A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329046</xdr:colOff>
      <xdr:row>15</xdr:row>
      <xdr:rowOff>34636</xdr:rowOff>
    </xdr:from>
    <xdr:to>
      <xdr:col>23</xdr:col>
      <xdr:colOff>450273</xdr:colOff>
      <xdr:row>38</xdr:row>
      <xdr:rowOff>34637</xdr:rowOff>
    </xdr:to>
    <xdr:graphicFrame macro="">
      <xdr:nvGraphicFramePr>
        <xdr:cNvPr id="60" name="Chart 59">
          <a:extLst>
            <a:ext uri="{FF2B5EF4-FFF2-40B4-BE49-F238E27FC236}">
              <a16:creationId xmlns:a16="http://schemas.microsoft.com/office/drawing/2014/main" id="{C5DE652C-7DB5-4960-BF2F-1A58CE1BB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437573</xdr:colOff>
      <xdr:row>37</xdr:row>
      <xdr:rowOff>122379</xdr:rowOff>
    </xdr:from>
    <xdr:to>
      <xdr:col>15</xdr:col>
      <xdr:colOff>225136</xdr:colOff>
      <xdr:row>63</xdr:row>
      <xdr:rowOff>103908</xdr:rowOff>
    </xdr:to>
    <xdr:graphicFrame macro="">
      <xdr:nvGraphicFramePr>
        <xdr:cNvPr id="61" name="Chart 60">
          <a:extLst>
            <a:ext uri="{FF2B5EF4-FFF2-40B4-BE49-F238E27FC236}">
              <a16:creationId xmlns:a16="http://schemas.microsoft.com/office/drawing/2014/main" id="{1624C820-C697-4CF6-8A9A-01C8DBC26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346364</xdr:colOff>
      <xdr:row>38</xdr:row>
      <xdr:rowOff>138546</xdr:rowOff>
    </xdr:from>
    <xdr:to>
      <xdr:col>23</xdr:col>
      <xdr:colOff>519545</xdr:colOff>
      <xdr:row>63</xdr:row>
      <xdr:rowOff>103909</xdr:rowOff>
    </xdr:to>
    <xdr:graphicFrame macro="">
      <xdr:nvGraphicFramePr>
        <xdr:cNvPr id="62" name="Chart 61">
          <a:extLst>
            <a:ext uri="{FF2B5EF4-FFF2-40B4-BE49-F238E27FC236}">
              <a16:creationId xmlns:a16="http://schemas.microsoft.com/office/drawing/2014/main" id="{EE349238-8197-45FE-A11E-CE516CA50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571500</xdr:colOff>
      <xdr:row>15</xdr:row>
      <xdr:rowOff>17318</xdr:rowOff>
    </xdr:from>
    <xdr:to>
      <xdr:col>30</xdr:col>
      <xdr:colOff>225137</xdr:colOff>
      <xdr:row>63</xdr:row>
      <xdr:rowOff>103909</xdr:rowOff>
    </xdr:to>
    <xdr:graphicFrame macro="">
      <xdr:nvGraphicFramePr>
        <xdr:cNvPr id="63" name="Chart 62">
          <a:extLst>
            <a:ext uri="{FF2B5EF4-FFF2-40B4-BE49-F238E27FC236}">
              <a16:creationId xmlns:a16="http://schemas.microsoft.com/office/drawing/2014/main" id="{7B691CCC-DF32-4325-9136-902C77944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277091</xdr:colOff>
      <xdr:row>15</xdr:row>
      <xdr:rowOff>103909</xdr:rowOff>
    </xdr:from>
    <xdr:to>
      <xdr:col>13</xdr:col>
      <xdr:colOff>69273</xdr:colOff>
      <xdr:row>18</xdr:row>
      <xdr:rowOff>51955</xdr:rowOff>
    </xdr:to>
    <xdr:sp macro="" textlink="">
      <xdr:nvSpPr>
        <xdr:cNvPr id="64" name="TextBox 63">
          <a:extLst>
            <a:ext uri="{FF2B5EF4-FFF2-40B4-BE49-F238E27FC236}">
              <a16:creationId xmlns:a16="http://schemas.microsoft.com/office/drawing/2014/main" id="{028A4001-AA85-3C0C-D405-E310015B853F}"/>
            </a:ext>
          </a:extLst>
        </xdr:cNvPr>
        <xdr:cNvSpPr txBox="1"/>
      </xdr:nvSpPr>
      <xdr:spPr>
        <a:xfrm>
          <a:off x="5247409" y="2441864"/>
          <a:ext cx="3429000" cy="415636"/>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Region</a:t>
          </a:r>
        </a:p>
      </xdr:txBody>
    </xdr:sp>
    <xdr:clientData/>
  </xdr:twoCellAnchor>
  <xdr:twoCellAnchor>
    <xdr:from>
      <xdr:col>15</xdr:col>
      <xdr:colOff>710045</xdr:colOff>
      <xdr:row>15</xdr:row>
      <xdr:rowOff>103908</xdr:rowOff>
    </xdr:from>
    <xdr:to>
      <xdr:col>18</xdr:col>
      <xdr:colOff>571500</xdr:colOff>
      <xdr:row>19</xdr:row>
      <xdr:rowOff>51955</xdr:rowOff>
    </xdr:to>
    <xdr:sp macro="" textlink="">
      <xdr:nvSpPr>
        <xdr:cNvPr id="65" name="TextBox 64">
          <a:extLst>
            <a:ext uri="{FF2B5EF4-FFF2-40B4-BE49-F238E27FC236}">
              <a16:creationId xmlns:a16="http://schemas.microsoft.com/office/drawing/2014/main" id="{6CE2E74E-225A-01A9-29BF-3ED450FBCAAA}"/>
            </a:ext>
          </a:extLst>
        </xdr:cNvPr>
        <xdr:cNvSpPr txBox="1"/>
      </xdr:nvSpPr>
      <xdr:spPr>
        <a:xfrm>
          <a:off x="10771909" y="2441863"/>
          <a:ext cx="2043546" cy="571501"/>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t>Ship</a:t>
          </a:r>
        </a:p>
      </xdr:txBody>
    </xdr:sp>
    <xdr:clientData/>
  </xdr:twoCellAnchor>
  <xdr:twoCellAnchor>
    <xdr:from>
      <xdr:col>16</xdr:col>
      <xdr:colOff>329047</xdr:colOff>
      <xdr:row>39</xdr:row>
      <xdr:rowOff>34638</xdr:rowOff>
    </xdr:from>
    <xdr:to>
      <xdr:col>20</xdr:col>
      <xdr:colOff>398318</xdr:colOff>
      <xdr:row>43</xdr:row>
      <xdr:rowOff>2</xdr:rowOff>
    </xdr:to>
    <xdr:sp macro="" textlink="">
      <xdr:nvSpPr>
        <xdr:cNvPr id="66" name="TextBox 65">
          <a:extLst>
            <a:ext uri="{FF2B5EF4-FFF2-40B4-BE49-F238E27FC236}">
              <a16:creationId xmlns:a16="http://schemas.microsoft.com/office/drawing/2014/main" id="{A4ACC5F8-AEC4-F86D-817C-D88B07E9FF0E}"/>
            </a:ext>
          </a:extLst>
        </xdr:cNvPr>
        <xdr:cNvSpPr txBox="1"/>
      </xdr:nvSpPr>
      <xdr:spPr>
        <a:xfrm>
          <a:off x="11118274" y="6113320"/>
          <a:ext cx="2978726" cy="588818"/>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cap="none" spc="0">
              <a:ln w="0"/>
              <a:solidFill>
                <a:schemeClr val="tx1"/>
              </a:solidFill>
              <a:effectLst>
                <a:outerShdw blurRad="38100" dist="19050" dir="2700000" algn="tl" rotWithShape="0">
                  <a:schemeClr val="dk1">
                    <a:alpha val="40000"/>
                  </a:schemeClr>
                </a:outerShdw>
              </a:effectLst>
            </a:rPr>
            <a:t>Month</a:t>
          </a:r>
        </a:p>
      </xdr:txBody>
    </xdr:sp>
    <xdr:clientData/>
  </xdr:twoCellAnchor>
  <xdr:twoCellAnchor editAs="oneCell">
    <xdr:from>
      <xdr:col>7</xdr:col>
      <xdr:colOff>119062</xdr:colOff>
      <xdr:row>15</xdr:row>
      <xdr:rowOff>0</xdr:rowOff>
    </xdr:from>
    <xdr:to>
      <xdr:col>8</xdr:col>
      <xdr:colOff>295275</xdr:colOff>
      <xdr:row>19</xdr:row>
      <xdr:rowOff>47624</xdr:rowOff>
    </xdr:to>
    <xdr:pic>
      <xdr:nvPicPr>
        <xdr:cNvPr id="68" name="Graphic 67" descr="Bar chart with solid fill">
          <a:extLst>
            <a:ext uri="{FF2B5EF4-FFF2-40B4-BE49-F238E27FC236}">
              <a16:creationId xmlns:a16="http://schemas.microsoft.com/office/drawing/2014/main" id="{AF9522C4-455E-B6D7-F8F7-E99DEF1B63F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29125" y="2500313"/>
          <a:ext cx="914400" cy="714374"/>
        </a:xfrm>
        <a:prstGeom prst="rect">
          <a:avLst/>
        </a:prstGeom>
      </xdr:spPr>
    </xdr:pic>
    <xdr:clientData/>
  </xdr:twoCellAnchor>
  <xdr:twoCellAnchor editAs="oneCell">
    <xdr:from>
      <xdr:col>16</xdr:col>
      <xdr:colOff>357187</xdr:colOff>
      <xdr:row>38</xdr:row>
      <xdr:rowOff>95250</xdr:rowOff>
    </xdr:from>
    <xdr:to>
      <xdr:col>17</xdr:col>
      <xdr:colOff>414337</xdr:colOff>
      <xdr:row>43</xdr:row>
      <xdr:rowOff>57150</xdr:rowOff>
    </xdr:to>
    <xdr:pic>
      <xdr:nvPicPr>
        <xdr:cNvPr id="70" name="Graphic 69" descr="Downward trend graph with solid fill">
          <a:extLst>
            <a:ext uri="{FF2B5EF4-FFF2-40B4-BE49-F238E27FC236}">
              <a16:creationId xmlns:a16="http://schemas.microsoft.com/office/drawing/2014/main" id="{DB325F6E-54B6-FE60-64DB-4776A99F87A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310937" y="6429375"/>
          <a:ext cx="795338" cy="795338"/>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0.32361</cdr:x>
      <cdr:y>0.30918</cdr:y>
    </cdr:from>
    <cdr:to>
      <cdr:x>1</cdr:x>
      <cdr:y>0.72947</cdr:y>
    </cdr:to>
    <cdr:sp macro="" textlink="">
      <cdr:nvSpPr>
        <cdr:cNvPr id="2" name="TextBox 1">
          <a:extLst xmlns:a="http://schemas.openxmlformats.org/drawingml/2006/main">
            <a:ext uri="{FF2B5EF4-FFF2-40B4-BE49-F238E27FC236}">
              <a16:creationId xmlns:a16="http://schemas.microsoft.com/office/drawing/2014/main" id="{912A6518-1FB8-5DF5-05D6-7729C46FF9AB}"/>
            </a:ext>
          </a:extLst>
        </cdr:cNvPr>
        <cdr:cNvSpPr txBox="1"/>
      </cdr:nvSpPr>
      <cdr:spPr>
        <a:xfrm xmlns:a="http://schemas.openxmlformats.org/drawingml/2006/main">
          <a:off x="5368635" y="1108364"/>
          <a:ext cx="4017819" cy="15066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xdr:col>
      <xdr:colOff>228600</xdr:colOff>
      <xdr:row>1</xdr:row>
      <xdr:rowOff>133350</xdr:rowOff>
    </xdr:from>
    <xdr:to>
      <xdr:col>5</xdr:col>
      <xdr:colOff>228600</xdr:colOff>
      <xdr:row>10</xdr:row>
      <xdr:rowOff>57150</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C357DECD-5011-9381-839A-D77D2E11502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200275" y="295275"/>
              <a:ext cx="18288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523875</xdr:colOff>
      <xdr:row>2</xdr:row>
      <xdr:rowOff>95250</xdr:rowOff>
    </xdr:from>
    <xdr:to>
      <xdr:col>14</xdr:col>
      <xdr:colOff>219075</xdr:colOff>
      <xdr:row>19</xdr:row>
      <xdr:rowOff>85725</xdr:rowOff>
    </xdr:to>
    <xdr:graphicFrame macro="">
      <xdr:nvGraphicFramePr>
        <xdr:cNvPr id="5" name="Chart 4">
          <a:extLst>
            <a:ext uri="{FF2B5EF4-FFF2-40B4-BE49-F238E27FC236}">
              <a16:creationId xmlns:a16="http://schemas.microsoft.com/office/drawing/2014/main" id="{DE374249-FA63-0438-0442-075732759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285750</xdr:colOff>
      <xdr:row>0</xdr:row>
      <xdr:rowOff>123825</xdr:rowOff>
    </xdr:from>
    <xdr:to>
      <xdr:col>5</xdr:col>
      <xdr:colOff>285750</xdr:colOff>
      <xdr:row>7</xdr:row>
      <xdr:rowOff>123825</xdr:rowOff>
    </xdr:to>
    <mc:AlternateContent xmlns:mc="http://schemas.openxmlformats.org/markup-compatibility/2006">
      <mc:Choice xmlns:a14="http://schemas.microsoft.com/office/drawing/2010/main" Requires="a14">
        <xdr:graphicFrame macro="">
          <xdr:nvGraphicFramePr>
            <xdr:cNvPr id="2" name="Ship Mode">
              <a:extLst>
                <a:ext uri="{FF2B5EF4-FFF2-40B4-BE49-F238E27FC236}">
                  <a16:creationId xmlns:a16="http://schemas.microsoft.com/office/drawing/2014/main" id="{8D4A41FF-D15E-6B30-F6E4-82664176865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257425" y="123825"/>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95250</xdr:colOff>
      <xdr:row>2</xdr:row>
      <xdr:rowOff>0</xdr:rowOff>
    </xdr:from>
    <xdr:to>
      <xdr:col>11</xdr:col>
      <xdr:colOff>590550</xdr:colOff>
      <xdr:row>14</xdr:row>
      <xdr:rowOff>104775</xdr:rowOff>
    </xdr:to>
    <xdr:graphicFrame macro="">
      <xdr:nvGraphicFramePr>
        <xdr:cNvPr id="3" name="Chart 2">
          <a:extLst>
            <a:ext uri="{FF2B5EF4-FFF2-40B4-BE49-F238E27FC236}">
              <a16:creationId xmlns:a16="http://schemas.microsoft.com/office/drawing/2014/main" id="{02C9C617-B7A3-7A1A-3EBD-D931E435E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19050</xdr:colOff>
      <xdr:row>2</xdr:row>
      <xdr:rowOff>104775</xdr:rowOff>
    </xdr:from>
    <xdr:to>
      <xdr:col>14</xdr:col>
      <xdr:colOff>104775</xdr:colOff>
      <xdr:row>19</xdr:row>
      <xdr:rowOff>95250</xdr:rowOff>
    </xdr:to>
    <xdr:graphicFrame macro="">
      <xdr:nvGraphicFramePr>
        <xdr:cNvPr id="2" name="Chart 1">
          <a:extLst>
            <a:ext uri="{FF2B5EF4-FFF2-40B4-BE49-F238E27FC236}">
              <a16:creationId xmlns:a16="http://schemas.microsoft.com/office/drawing/2014/main" id="{4DFA351A-5F54-FA7E-47AC-E43BA10CA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342900</xdr:colOff>
      <xdr:row>1</xdr:row>
      <xdr:rowOff>47624</xdr:rowOff>
    </xdr:from>
    <xdr:to>
      <xdr:col>6</xdr:col>
      <xdr:colOff>342900</xdr:colOff>
      <xdr:row>18</xdr:row>
      <xdr:rowOff>9525</xdr:rowOff>
    </xdr:to>
    <mc:AlternateContent xmlns:mc="http://schemas.openxmlformats.org/markup-compatibility/2006">
      <mc:Choice xmlns:a14="http://schemas.microsoft.com/office/drawing/2010/main" Requires="a14">
        <xdr:graphicFrame macro="">
          <xdr:nvGraphicFramePr>
            <xdr:cNvPr id="3" name="Product Sub-Category">
              <a:extLst>
                <a:ext uri="{FF2B5EF4-FFF2-40B4-BE49-F238E27FC236}">
                  <a16:creationId xmlns:a16="http://schemas.microsoft.com/office/drawing/2014/main" id="{D2D8F602-229D-8197-40D9-2B88C093E8B2}"/>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dr:sp macro="" textlink="">
          <xdr:nvSpPr>
            <xdr:cNvPr id="0" name=""/>
            <xdr:cNvSpPr>
              <a:spLocks noTextEdit="1"/>
            </xdr:cNvSpPr>
          </xdr:nvSpPr>
          <xdr:spPr>
            <a:xfrm>
              <a:off x="3867150" y="209549"/>
              <a:ext cx="1828800" cy="2714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542925</xdr:colOff>
      <xdr:row>0</xdr:row>
      <xdr:rowOff>57150</xdr:rowOff>
    </xdr:from>
    <xdr:to>
      <xdr:col>5</xdr:col>
      <xdr:colOff>542925</xdr:colOff>
      <xdr:row>15</xdr:row>
      <xdr:rowOff>9525</xdr:rowOff>
    </xdr:to>
    <mc:AlternateContent xmlns:mc="http://schemas.openxmlformats.org/markup-compatibility/2006">
      <mc:Choice xmlns:a14="http://schemas.microsoft.com/office/drawing/2010/main" Requires="a14">
        <xdr:graphicFrame macro="">
          <xdr:nvGraphicFramePr>
            <xdr:cNvPr id="3" name="Months">
              <a:extLst>
                <a:ext uri="{FF2B5EF4-FFF2-40B4-BE49-F238E27FC236}">
                  <a16:creationId xmlns:a16="http://schemas.microsoft.com/office/drawing/2014/main" id="{939B9436-6BBD-A6D8-4132-F0D9FA897A76}"/>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2514600" y="571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371475</xdr:colOff>
      <xdr:row>1</xdr:row>
      <xdr:rowOff>95250</xdr:rowOff>
    </xdr:from>
    <xdr:to>
      <xdr:col>15</xdr:col>
      <xdr:colOff>66675</xdr:colOff>
      <xdr:row>18</xdr:row>
      <xdr:rowOff>85725</xdr:rowOff>
    </xdr:to>
    <xdr:graphicFrame macro="">
      <xdr:nvGraphicFramePr>
        <xdr:cNvPr id="4" name="Chart 3">
          <a:extLst>
            <a:ext uri="{FF2B5EF4-FFF2-40B4-BE49-F238E27FC236}">
              <a16:creationId xmlns:a16="http://schemas.microsoft.com/office/drawing/2014/main" id="{169C2281-B608-5195-9405-095FC22BD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647700</xdr:colOff>
      <xdr:row>2</xdr:row>
      <xdr:rowOff>95250</xdr:rowOff>
    </xdr:from>
    <xdr:to>
      <xdr:col>4</xdr:col>
      <xdr:colOff>352425</xdr:colOff>
      <xdr:row>17</xdr:row>
      <xdr:rowOff>47625</xdr:rowOff>
    </xdr:to>
    <mc:AlternateContent xmlns:mc="http://schemas.openxmlformats.org/markup-compatibility/2006">
      <mc:Choice xmlns:a14="http://schemas.microsoft.com/office/drawing/2010/main" Requires="a14">
        <xdr:graphicFrame macro="">
          <xdr:nvGraphicFramePr>
            <xdr:cNvPr id="4" name="Customer Name">
              <a:extLst>
                <a:ext uri="{FF2B5EF4-FFF2-40B4-BE49-F238E27FC236}">
                  <a16:creationId xmlns:a16="http://schemas.microsoft.com/office/drawing/2014/main" id="{21A50C00-74A3-C6FC-ECEA-14673F0E2C92}"/>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3343275" y="41910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295274</xdr:colOff>
      <xdr:row>0</xdr:row>
      <xdr:rowOff>57150</xdr:rowOff>
    </xdr:from>
    <xdr:to>
      <xdr:col>12</xdr:col>
      <xdr:colOff>28575</xdr:colOff>
      <xdr:row>17</xdr:row>
      <xdr:rowOff>47625</xdr:rowOff>
    </xdr:to>
    <xdr:graphicFrame macro="">
      <xdr:nvGraphicFramePr>
        <xdr:cNvPr id="6" name="Chart 5">
          <a:extLst>
            <a:ext uri="{FF2B5EF4-FFF2-40B4-BE49-F238E27FC236}">
              <a16:creationId xmlns:a16="http://schemas.microsoft.com/office/drawing/2014/main" id="{75526383-003D-C94A-1566-62588DF3C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3</xdr:row>
      <xdr:rowOff>139700</xdr:rowOff>
    </xdr:from>
    <xdr:ext cx="1562100" cy="328295"/>
    <xdr:sp macro="" textlink="">
      <xdr:nvSpPr>
        <xdr:cNvPr id="3" name="TextBox 2">
          <a:extLst>
            <a:ext uri="{FF2B5EF4-FFF2-40B4-BE49-F238E27FC236}">
              <a16:creationId xmlns:a16="http://schemas.microsoft.com/office/drawing/2014/main" id="{37859B13-4C53-1745-8EED-FADCE6D61864}"/>
            </a:ext>
          </a:extLst>
        </xdr:cNvPr>
        <xdr:cNvSpPr txBox="1"/>
      </xdr:nvSpPr>
      <xdr:spPr>
        <a:xfrm>
          <a:off x="628650" y="635000"/>
          <a:ext cx="156210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600" b="0">
            <a:solidFill>
              <a:schemeClr val="bg1"/>
            </a:solidFill>
            <a:latin typeface="Futura Medium" panose="020B0602020204020303" pitchFamily="34" charset="-79"/>
            <a:ea typeface="Helvetica Neue" panose="02000503000000020004" pitchFamily="2" charset="0"/>
            <a:cs typeface="Futura Medium" panose="020B0602020204020303" pitchFamily="34" charset="-79"/>
          </a:endParaRPr>
        </a:p>
      </xdr:txBody>
    </xdr:sp>
    <xdr:clientData/>
  </xdr:oneCellAnchor>
  <xdr:oneCellAnchor>
    <xdr:from>
      <xdr:col>0</xdr:col>
      <xdr:colOff>0</xdr:colOff>
      <xdr:row>6</xdr:row>
      <xdr:rowOff>127000</xdr:rowOff>
    </xdr:from>
    <xdr:ext cx="1562100" cy="328295"/>
    <xdr:sp macro="" textlink="">
      <xdr:nvSpPr>
        <xdr:cNvPr id="4" name="TextBox 3">
          <a:extLst>
            <a:ext uri="{FF2B5EF4-FFF2-40B4-BE49-F238E27FC236}">
              <a16:creationId xmlns:a16="http://schemas.microsoft.com/office/drawing/2014/main" id="{120EA48D-253D-7D49-BC32-E478587B5D6A}"/>
            </a:ext>
          </a:extLst>
        </xdr:cNvPr>
        <xdr:cNvSpPr txBox="1"/>
      </xdr:nvSpPr>
      <xdr:spPr>
        <a:xfrm>
          <a:off x="654050" y="1108075"/>
          <a:ext cx="156210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600" b="0">
            <a:solidFill>
              <a:schemeClr val="bg1"/>
            </a:solidFill>
            <a:latin typeface="Futura Medium" panose="020B0602020204020303" pitchFamily="34" charset="-79"/>
            <a:ea typeface="Helvetica Neue" panose="02000503000000020004" pitchFamily="2" charset="0"/>
            <a:cs typeface="Futura Medium" panose="020B0602020204020303" pitchFamily="34" charset="-79"/>
          </a:endParaRPr>
        </a:p>
      </xdr:txBody>
    </xdr:sp>
    <xdr:clientData/>
  </xdr:oneCellAnchor>
  <xdr:oneCellAnchor>
    <xdr:from>
      <xdr:col>0</xdr:col>
      <xdr:colOff>0</xdr:colOff>
      <xdr:row>9</xdr:row>
      <xdr:rowOff>121920</xdr:rowOff>
    </xdr:from>
    <xdr:ext cx="1562100" cy="328295"/>
    <xdr:sp macro="" textlink="">
      <xdr:nvSpPr>
        <xdr:cNvPr id="5" name="TextBox 4">
          <a:hlinkClick xmlns:r="http://schemas.openxmlformats.org/officeDocument/2006/relationships" r:id="rId1"/>
          <a:extLst>
            <a:ext uri="{FF2B5EF4-FFF2-40B4-BE49-F238E27FC236}">
              <a16:creationId xmlns:a16="http://schemas.microsoft.com/office/drawing/2014/main" id="{893CCFE2-5AFE-A14F-A88A-39A0CE5DEF66}"/>
            </a:ext>
          </a:extLst>
        </xdr:cNvPr>
        <xdr:cNvSpPr txBox="1"/>
      </xdr:nvSpPr>
      <xdr:spPr>
        <a:xfrm>
          <a:off x="641350" y="1588770"/>
          <a:ext cx="156210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600" b="0">
            <a:solidFill>
              <a:schemeClr val="bg1"/>
            </a:solidFill>
            <a:latin typeface="Futura Medium" panose="020B0602020204020303" pitchFamily="34" charset="-79"/>
            <a:ea typeface="Helvetica Neue" panose="02000503000000020004" pitchFamily="2" charset="0"/>
            <a:cs typeface="Futura Medium" panose="020B0602020204020303" pitchFamily="34" charset="-79"/>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090.711154861114" createdVersion="6" refreshedVersion="8" minRefreshableVersion="3" recordCount="1952" xr:uid="{45C5FBF7-85A6-6D48-8BB1-E76EB4B8B142}">
  <cacheSource type="worksheet">
    <worksheetSource name="Table1"/>
  </cacheSource>
  <cacheFields count="31">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ount="497">
        <n v="0.93"/>
        <n v="26"/>
        <n v="7.29"/>
        <n v="19.989999999999998"/>
        <n v="2.31"/>
        <n v="4.2"/>
        <n v="1.63"/>
        <n v="4.99"/>
        <n v="6.66"/>
        <n v="1.58"/>
        <n v="2.5"/>
        <n v="6.93"/>
        <n v="9.44"/>
        <n v="3.39"/>
        <n v="14.3"/>
        <n v="1.57"/>
        <n v="6.6"/>
        <n v="7.73"/>
        <n v="8.51"/>
        <n v="7.69"/>
        <n v="8.99"/>
        <n v="5.41"/>
        <n v="0.7"/>
        <n v="8.73"/>
        <n v="5.79"/>
        <n v="1.49"/>
        <n v="5.15"/>
        <n v="4.8600000000000003"/>
        <n v="0.5"/>
        <n v="7.07"/>
        <n v="48.8"/>
        <n v="45"/>
        <n v="70.2"/>
        <n v="54.12"/>
        <n v="7.96"/>
        <n v="4.0999999999999996"/>
        <n v="2.04"/>
        <n v="1.43"/>
        <n v="6.07"/>
        <n v="3.14"/>
        <n v="30"/>
        <n v="4"/>
        <n v="54.92"/>
        <n v="1.2"/>
        <n v="1.3"/>
        <n v="1.99"/>
        <n v="3"/>
        <n v="6.14"/>
        <n v="4.08"/>
        <n v="1.39"/>
        <n v="9.5399999999999991"/>
        <n v="3.37"/>
        <n v="11.54"/>
        <n v="2.17"/>
        <n v="69"/>
        <n v="4.8"/>
        <n v="26.2"/>
        <n v="5.5"/>
        <n v="48.2"/>
        <n v="4.9000000000000004"/>
        <n v="4.5"/>
        <n v="35.840000000000003"/>
        <n v="5.49"/>
        <n v="12.06"/>
        <n v="16.71"/>
        <n v="24.49"/>
        <n v="2.27"/>
        <n v="2.06"/>
        <n v="8.08"/>
        <n v="14.7"/>
        <n v="5.27"/>
        <n v="9.17"/>
        <n v="1.35"/>
        <n v="5.53"/>
        <n v="2.58"/>
        <n v="7.78"/>
        <n v="6.68"/>
        <n v="2.36"/>
        <n v="5.92"/>
        <n v="2.56"/>
        <n v="56.14"/>
        <n v="32.409999999999997"/>
        <n v="8.49"/>
        <n v="6.22"/>
        <n v="23.19"/>
        <n v="7.49"/>
        <n v="5.77"/>
        <n v="66.67"/>
        <n v="9.92"/>
        <n v="80.2"/>
        <n v="0.99"/>
        <n v="3.9"/>
        <n v="35.67"/>
        <n v="2.64"/>
        <n v="45.51"/>
        <n v="12.14"/>
        <n v="7.03"/>
        <n v="35"/>
        <n v="5.3"/>
        <n v="18.98"/>
        <n v="13.99"/>
        <n v="7.44"/>
        <n v="30.06"/>
        <n v="10.91"/>
        <n v="5"/>
        <n v="5.34"/>
        <n v="54.74"/>
        <n v="4.62"/>
        <n v="5.21"/>
        <n v="10.68"/>
        <n v="5.03"/>
        <n v="5.29"/>
        <n v="9.23"/>
        <n v="1.86"/>
        <n v="27.75"/>
        <n v="4.93"/>
        <n v="6.92"/>
        <n v="51.94"/>
        <n v="91.05"/>
        <n v="6.15"/>
        <n v="4.8099999999999996"/>
        <n v="55.96"/>
        <n v="5.17"/>
        <n v="5.37"/>
        <n v="11.37"/>
        <n v="5.63"/>
        <n v="5.26"/>
        <n v="6.28"/>
        <n v="5.66"/>
        <n v="7.53"/>
        <n v="11.17"/>
        <n v="9.4499999999999993"/>
        <n v="5.47"/>
        <n v="14.48"/>
        <n v="0.8"/>
        <n v="6.27"/>
        <n v="3.3"/>
        <n v="0.97"/>
        <n v="11.28"/>
        <n v="2.99"/>
        <n v="7.87"/>
        <n v="6.25"/>
        <n v="14.37"/>
        <n v="6.75"/>
        <n v="5.01"/>
        <n v="4.9800000000000004"/>
        <n v="0.96"/>
        <n v="9.86"/>
        <n v="4.96"/>
        <n v="2.38"/>
        <n v="6.5"/>
        <n v="53.03"/>
        <n v="12.65"/>
        <n v="5.09"/>
        <n v="5.19"/>
        <n v="0.95"/>
        <n v="29.21"/>
        <n v="5.67"/>
        <n v="13.18"/>
        <n v="10.29"/>
        <n v="1.25"/>
        <n v="6.85"/>
        <n v="6.05"/>
        <n v="69.64"/>
        <n v="49"/>
        <n v="5.99"/>
        <n v="1.97"/>
        <n v="2"/>
        <n v="57"/>
        <n v="3.5"/>
        <n v="5.04"/>
        <n v="5.72"/>
        <n v="17.78"/>
        <n v="7.59"/>
        <n v="8.7799999999999994"/>
        <n v="1.61"/>
        <n v="75.23"/>
        <n v="5.9"/>
        <n v="7.37"/>
        <n v="11.52"/>
        <n v="5.24"/>
        <n v="5.96"/>
        <n v="8.4"/>
        <n v="5.33"/>
        <n v="99"/>
        <n v="35.020000000000003"/>
        <n v="8.8000000000000007"/>
        <n v="59.24"/>
        <n v="0.71"/>
        <n v="44.55"/>
        <n v="4.95"/>
        <n v="9.0299999999999994"/>
        <n v="7.4"/>
        <n v="5.42"/>
        <n v="5.81"/>
        <n v="1.01"/>
        <n v="3.99"/>
        <n v="5.13"/>
        <n v="6.35"/>
        <n v="41.44"/>
        <n v="53.48"/>
        <n v="23.78"/>
        <n v="2.83"/>
        <n v="18.45"/>
        <n v="13.32"/>
        <n v="5.61"/>
        <n v="1.22"/>
        <n v="2.82"/>
        <n v="1.32"/>
        <n v="5.14"/>
        <n v="5.16"/>
        <n v="1.34"/>
        <n v="11.15"/>
        <n v="46.74"/>
        <n v="5.74"/>
        <n v="1.02"/>
        <n v="14"/>
        <n v="5.08"/>
        <n v="11.64"/>
        <n v="6.89"/>
        <n v="5.76"/>
        <n v="4.82"/>
        <n v="9.68"/>
        <n v="6.19"/>
        <n v="2.25"/>
        <n v="6.86"/>
        <n v="1.1000000000000001"/>
        <n v="0.83"/>
        <n v="5.22"/>
        <n v="41.91"/>
        <n v="1.6"/>
        <n v="0.91"/>
        <n v="22.24"/>
        <n v="8.7899999999999991"/>
        <n v="8.5500000000000007"/>
        <n v="8.8800000000000008"/>
        <n v="60"/>
        <n v="5.1100000000000003"/>
        <n v="14.36"/>
        <n v="0.75"/>
        <n v="3.97"/>
        <n v="3.61"/>
        <n v="28"/>
        <n v="0.49"/>
        <n v="2.4"/>
        <n v="5.83"/>
        <n v="9.7100000000000009"/>
        <n v="6.31"/>
        <n v="36.61"/>
        <n v="8.94"/>
        <n v="1.38"/>
        <n v="35.89"/>
        <n v="2.14"/>
        <n v="5.46"/>
        <n v="12.62"/>
        <n v="56.2"/>
        <n v="29.7"/>
        <n v="1.56"/>
        <n v="17.850000000000001"/>
        <n v="69.55"/>
        <n v="12.9"/>
        <n v="7.18"/>
        <n v="76.37"/>
        <n v="17.48"/>
        <n v="45.7"/>
        <n v="7.86"/>
        <n v="14.72"/>
        <n v="5.43"/>
        <n v="16.63"/>
        <n v="10.55"/>
        <n v="3.85"/>
        <n v="10.17"/>
        <n v="2.35"/>
        <n v="6.13"/>
        <n v="21.21"/>
        <n v="7.46"/>
        <n v="5.58"/>
        <n v="52.42"/>
        <n v="15.1"/>
        <n v="16.87"/>
        <n v="5.45"/>
        <n v="60.2"/>
        <n v="8.65"/>
        <n v="7.27"/>
        <n v="4.53"/>
        <n v="3.98"/>
        <n v="10.16"/>
        <n v="8.68"/>
        <n v="7.72"/>
        <n v="2.2599999999999998"/>
        <n v="7.64"/>
        <n v="28.06"/>
        <n v="2.15"/>
        <n v="39"/>
        <n v="6.96"/>
        <n v="48.26"/>
        <n v="16.11"/>
        <n v="13.89"/>
        <n v="58.92"/>
        <n v="4.97"/>
        <n v="9.07"/>
        <n v="15.59"/>
        <n v="11.25"/>
        <n v="7.01"/>
        <n v="5.0999999999999996"/>
        <n v="36.090000000000003"/>
        <n v="110.2"/>
        <n v="1.92"/>
        <n v="14.52"/>
        <n v="6.26"/>
        <n v="7.51"/>
        <n v="4.38"/>
        <n v="5.0199999999999996"/>
        <n v="7.47"/>
        <n v="11.87"/>
        <n v="5.31"/>
        <n v="10.84"/>
        <n v="5.68"/>
        <n v="4.6900000000000004"/>
        <n v="6.02"/>
        <n v="16.8"/>
        <n v="5.35"/>
        <n v="4.57"/>
        <n v="1.69"/>
        <n v="0.85"/>
        <n v="64.73"/>
        <n v="6.77"/>
        <n v="18.059999999999999"/>
        <n v="10.119999999999999"/>
        <n v="2.0099999999999998"/>
        <n v="7.19"/>
        <n v="28.66"/>
        <n v="1"/>
        <n v="4.8499999999999996"/>
        <n v="9.4700000000000006"/>
        <n v="40.19"/>
        <n v="28.16"/>
        <n v="6.97"/>
        <n v="6.38"/>
        <n v="6.98"/>
        <n v="0.98"/>
        <n v="0.78"/>
        <n v="4.7699999999999996"/>
        <n v="15.09"/>
        <n v="3.6"/>
        <n v="4.59"/>
        <n v="13.88"/>
        <n v="8.34"/>
        <n v="16.36"/>
        <n v="0.94"/>
        <n v="6.79"/>
        <n v="2.74"/>
        <n v="2.2000000000000002"/>
        <n v="15.01"/>
        <n v="19.510000000000002"/>
        <n v="10.25"/>
        <n v="4.7"/>
        <n v="8.3699999999999992"/>
        <n v="5.4"/>
        <n v="7.95"/>
        <n v="6.3"/>
        <n v="17.079999999999998"/>
        <n v="3.92"/>
        <n v="12.23"/>
        <n v="9.4"/>
        <n v="10.49"/>
        <n v="2.0299999999999998"/>
        <n v="2.89"/>
        <n v="4.78"/>
        <n v="3.77"/>
        <n v="4.3899999999999997"/>
        <n v="57.38"/>
        <n v="6.83"/>
        <n v="8.18"/>
        <n v="29.2"/>
        <n v="164.73"/>
        <n v="3.63"/>
        <n v="5.75"/>
        <n v="4.91"/>
        <n v="14.39"/>
        <n v="11.59"/>
        <n v="6.32"/>
        <n v="21.2"/>
        <n v="1.29"/>
        <n v="5.86"/>
        <n v="12.98"/>
        <n v="58.64"/>
        <n v="7.11"/>
        <n v="0.76"/>
        <n v="85.63"/>
        <n v="1.79"/>
        <n v="7.94"/>
        <n v="7.5"/>
        <n v="2.97"/>
        <n v="42.52"/>
        <n v="3.04"/>
        <n v="1.5"/>
        <n v="74.349999999999994"/>
        <n v="33.6"/>
        <n v="66.27"/>
        <n v="8.59"/>
        <n v="8.2200000000000006"/>
        <n v="43.32"/>
        <n v="52.2"/>
        <n v="8.74"/>
        <n v="7.57"/>
        <n v="12.39"/>
        <n v="4.2300000000000004"/>
        <n v="13.56"/>
        <n v="19.190000000000001"/>
        <n v="154.12"/>
        <n v="42"/>
        <n v="5.97"/>
        <n v="6.12"/>
        <n v="7.42"/>
        <n v="15.68"/>
        <n v="5.94"/>
        <n v="50"/>
        <n v="43.75"/>
        <n v="23.76"/>
        <n v="1.77"/>
        <n v="9.69"/>
        <n v="2.39"/>
        <n v="8.23"/>
        <n v="7.91"/>
        <n v="11.79"/>
        <n v="4.71"/>
        <n v="43.71"/>
        <n v="5.6"/>
        <n v="5.2"/>
        <n v="1.17"/>
        <n v="39.61"/>
        <n v="9.73"/>
        <n v="1.0900000000000001"/>
        <n v="32.479999999999997"/>
        <n v="5.36"/>
        <n v="8.64"/>
        <n v="6.17"/>
        <n v="9.18"/>
        <n v="3.73"/>
        <n v="1.67"/>
        <n v="7.17"/>
        <n v="2.85"/>
        <n v="56"/>
        <n v="3.68"/>
        <n v="41.64"/>
        <n v="3.01"/>
        <n v="6.57"/>
        <n v="13.66"/>
        <n v="9.1999999999999993"/>
        <n v="0.81"/>
        <n v="4.79"/>
        <n v="58.66"/>
        <n v="5.71"/>
        <n v="11.51"/>
        <n v="26.74"/>
        <n v="4.51"/>
        <n v="1.72"/>
        <n v="64.66"/>
        <n v="12.52"/>
        <n v="6.64"/>
        <n v="55.3"/>
        <n v="8.19"/>
        <n v="0.88"/>
        <n v="4.17"/>
        <n v="8.17"/>
        <n v="28.14"/>
        <n v="2.87"/>
        <n v="13.26"/>
        <n v="29.1"/>
        <n v="13.04"/>
        <n v="16.920000000000002"/>
        <n v="10.050000000000001"/>
        <n v="89.3"/>
        <n v="16.010000000000002"/>
        <n v="6.81"/>
        <n v="6.47"/>
        <n v="4.6500000000000004"/>
        <n v="4.75"/>
        <n v="6.46"/>
        <n v="32.18"/>
        <n v="7.2"/>
        <n v="62.74"/>
        <n v="26.3"/>
        <n v="1.93"/>
        <n v="58.95"/>
        <n v="46.2"/>
        <n v="3.26"/>
        <n v="7.54"/>
        <n v="68.02"/>
        <n v="3.52"/>
        <n v="6.55"/>
        <n v="7.04"/>
        <n v="54.95"/>
        <n v="8.2899999999999991"/>
        <n v="6.16"/>
        <n v="7.15"/>
      </sharedItems>
    </cacheField>
    <cacheField name="Customer ID" numFmtId="0">
      <sharedItems containsSemiMixedTypes="0" containsString="0" containsNumber="1" containsInteger="1" minValue="3" maxValue="3403" count="1130">
        <n v="3"/>
        <n v="5"/>
        <n v="11"/>
        <n v="14"/>
        <n v="15"/>
        <n v="16"/>
        <n v="18"/>
        <n v="19"/>
        <n v="21"/>
        <n v="24"/>
        <n v="27"/>
        <n v="32"/>
        <n v="33"/>
        <n v="43"/>
        <n v="52"/>
        <n v="53"/>
        <n v="56"/>
        <n v="62"/>
        <n v="64"/>
        <n v="67"/>
        <n v="68"/>
        <n v="70"/>
        <n v="83"/>
        <n v="84"/>
        <n v="87"/>
        <n v="91"/>
        <n v="92"/>
        <n v="94"/>
        <n v="97"/>
        <n v="101"/>
        <n v="102"/>
        <n v="107"/>
        <n v="109"/>
        <n v="114"/>
        <n v="115"/>
        <n v="117"/>
        <n v="120"/>
        <n v="123"/>
        <n v="129"/>
        <n v="136"/>
        <n v="142"/>
        <n v="144"/>
        <n v="145"/>
        <n v="146"/>
        <n v="151"/>
        <n v="152"/>
        <n v="156"/>
        <n v="164"/>
        <n v="166"/>
        <n v="169"/>
        <n v="171"/>
        <n v="181"/>
        <n v="184"/>
        <n v="188"/>
        <n v="190"/>
        <n v="191"/>
        <n v="193"/>
        <n v="194"/>
        <n v="197"/>
        <n v="198"/>
        <n v="202"/>
        <n v="210"/>
        <n v="211"/>
        <n v="218"/>
        <n v="228"/>
        <n v="233"/>
        <n v="234"/>
        <n v="236"/>
        <n v="240"/>
        <n v="241"/>
        <n v="247"/>
        <n v="250"/>
        <n v="254"/>
        <n v="256"/>
        <n v="258"/>
        <n v="259"/>
        <n v="263"/>
        <n v="266"/>
        <n v="268"/>
        <n v="269"/>
        <n v="271"/>
        <n v="272"/>
        <n v="275"/>
        <n v="276"/>
        <n v="282"/>
        <n v="283"/>
        <n v="286"/>
        <n v="288"/>
        <n v="290"/>
        <n v="306"/>
        <n v="308"/>
        <n v="314"/>
        <n v="315"/>
        <n v="317"/>
        <n v="321"/>
        <n v="326"/>
        <n v="329"/>
        <n v="331"/>
        <n v="335"/>
        <n v="339"/>
        <n v="342"/>
        <n v="343"/>
        <n v="344"/>
        <n v="349"/>
        <n v="351"/>
        <n v="353"/>
        <n v="357"/>
        <n v="358"/>
        <n v="366"/>
        <n v="369"/>
        <n v="370"/>
        <n v="371"/>
        <n v="373"/>
        <n v="375"/>
        <n v="377"/>
        <n v="381"/>
        <n v="383"/>
        <n v="387"/>
        <n v="388"/>
        <n v="389"/>
        <n v="392"/>
        <n v="393"/>
        <n v="395"/>
        <n v="397"/>
        <n v="398"/>
        <n v="406"/>
        <n v="408"/>
        <n v="411"/>
        <n v="421"/>
        <n v="428"/>
        <n v="437"/>
        <n v="444"/>
        <n v="445"/>
        <n v="447"/>
        <n v="451"/>
        <n v="452"/>
        <n v="453"/>
        <n v="460"/>
        <n v="463"/>
        <n v="466"/>
        <n v="467"/>
        <n v="468"/>
        <n v="469"/>
        <n v="470"/>
        <n v="471"/>
        <n v="472"/>
        <n v="483"/>
        <n v="485"/>
        <n v="487"/>
        <n v="488"/>
        <n v="489"/>
        <n v="491"/>
        <n v="493"/>
        <n v="494"/>
        <n v="497"/>
        <n v="507"/>
        <n v="508"/>
        <n v="510"/>
        <n v="518"/>
        <n v="522"/>
        <n v="524"/>
        <n v="526"/>
        <n v="535"/>
        <n v="539"/>
        <n v="540"/>
        <n v="547"/>
        <n v="549"/>
        <n v="550"/>
        <n v="551"/>
        <n v="553"/>
        <n v="555"/>
        <n v="556"/>
        <n v="568"/>
        <n v="570"/>
        <n v="573"/>
        <n v="576"/>
        <n v="578"/>
        <n v="579"/>
        <n v="580"/>
        <n v="584"/>
        <n v="585"/>
        <n v="592"/>
        <n v="593"/>
        <n v="594"/>
        <n v="596"/>
        <n v="597"/>
        <n v="600"/>
        <n v="603"/>
        <n v="604"/>
        <n v="605"/>
        <n v="617"/>
        <n v="618"/>
        <n v="619"/>
        <n v="621"/>
        <n v="622"/>
        <n v="623"/>
        <n v="624"/>
        <n v="627"/>
        <n v="635"/>
        <n v="637"/>
        <n v="638"/>
        <n v="639"/>
        <n v="640"/>
        <n v="646"/>
        <n v="648"/>
        <n v="649"/>
        <n v="651"/>
        <n v="653"/>
        <n v="657"/>
        <n v="659"/>
        <n v="663"/>
        <n v="665"/>
        <n v="666"/>
        <n v="667"/>
        <n v="669"/>
        <n v="670"/>
        <n v="672"/>
        <n v="674"/>
        <n v="678"/>
        <n v="679"/>
        <n v="680"/>
        <n v="683"/>
        <n v="688"/>
        <n v="689"/>
        <n v="691"/>
        <n v="693"/>
        <n v="696"/>
        <n v="697"/>
        <n v="698"/>
        <n v="699"/>
        <n v="700"/>
        <n v="702"/>
        <n v="711"/>
        <n v="719"/>
        <n v="721"/>
        <n v="724"/>
        <n v="727"/>
        <n v="731"/>
        <n v="736"/>
        <n v="737"/>
        <n v="738"/>
        <n v="741"/>
        <n v="744"/>
        <n v="745"/>
        <n v="750"/>
        <n v="751"/>
        <n v="753"/>
        <n v="754"/>
        <n v="757"/>
        <n v="759"/>
        <n v="762"/>
        <n v="767"/>
        <n v="770"/>
        <n v="771"/>
        <n v="772"/>
        <n v="782"/>
        <n v="783"/>
        <n v="786"/>
        <n v="792"/>
        <n v="796"/>
        <n v="797"/>
        <n v="799"/>
        <n v="800"/>
        <n v="803"/>
        <n v="806"/>
        <n v="820"/>
        <n v="823"/>
        <n v="824"/>
        <n v="825"/>
        <n v="827"/>
        <n v="829"/>
        <n v="830"/>
        <n v="833"/>
        <n v="850"/>
        <n v="851"/>
        <n v="853"/>
        <n v="854"/>
        <n v="855"/>
        <n v="858"/>
        <n v="865"/>
        <n v="868"/>
        <n v="871"/>
        <n v="875"/>
        <n v="880"/>
        <n v="885"/>
        <n v="890"/>
        <n v="894"/>
        <n v="896"/>
        <n v="898"/>
        <n v="899"/>
        <n v="903"/>
        <n v="907"/>
        <n v="910"/>
        <n v="911"/>
        <n v="915"/>
        <n v="916"/>
        <n v="918"/>
        <n v="919"/>
        <n v="920"/>
        <n v="922"/>
        <n v="925"/>
        <n v="929"/>
        <n v="936"/>
        <n v="937"/>
        <n v="940"/>
        <n v="945"/>
        <n v="946"/>
        <n v="947"/>
        <n v="949"/>
        <n v="950"/>
        <n v="954"/>
        <n v="959"/>
        <n v="960"/>
        <n v="961"/>
        <n v="962"/>
        <n v="970"/>
        <n v="972"/>
        <n v="975"/>
        <n v="980"/>
        <n v="983"/>
        <n v="993"/>
        <n v="994"/>
        <n v="995"/>
        <n v="997"/>
        <n v="999"/>
        <n v="1000"/>
        <n v="1005"/>
        <n v="1008"/>
        <n v="1009"/>
        <n v="1014"/>
        <n v="1015"/>
        <n v="1016"/>
        <n v="1018"/>
        <n v="1020"/>
        <n v="1023"/>
        <n v="1026"/>
        <n v="1027"/>
        <n v="1028"/>
        <n v="1035"/>
        <n v="1036"/>
        <n v="1038"/>
        <n v="1041"/>
        <n v="1042"/>
        <n v="1044"/>
        <n v="1047"/>
        <n v="1054"/>
        <n v="1060"/>
        <n v="1062"/>
        <n v="1065"/>
        <n v="1068"/>
        <n v="1069"/>
        <n v="1072"/>
        <n v="1075"/>
        <n v="1080"/>
        <n v="1083"/>
        <n v="1085"/>
        <n v="1086"/>
        <n v="1101"/>
        <n v="1103"/>
        <n v="1104"/>
        <n v="1106"/>
        <n v="1107"/>
        <n v="1108"/>
        <n v="1109"/>
        <n v="1112"/>
        <n v="1113"/>
        <n v="1117"/>
        <n v="1121"/>
        <n v="1123"/>
        <n v="1124"/>
        <n v="1127"/>
        <n v="1128"/>
        <n v="1129"/>
        <n v="1131"/>
        <n v="1132"/>
        <n v="1133"/>
        <n v="1136"/>
        <n v="1138"/>
        <n v="1142"/>
        <n v="1151"/>
        <n v="1155"/>
        <n v="1156"/>
        <n v="1159"/>
        <n v="1170"/>
        <n v="1178"/>
        <n v="1182"/>
        <n v="1183"/>
        <n v="1185"/>
        <n v="1186"/>
        <n v="1189"/>
        <n v="1191"/>
        <n v="1193"/>
        <n v="1194"/>
        <n v="1197"/>
        <n v="1199"/>
        <n v="1200"/>
        <n v="1202"/>
        <n v="1203"/>
        <n v="1211"/>
        <n v="1212"/>
        <n v="1213"/>
        <n v="1217"/>
        <n v="1226"/>
        <n v="1227"/>
        <n v="1228"/>
        <n v="1229"/>
        <n v="1233"/>
        <n v="1237"/>
        <n v="1238"/>
        <n v="1241"/>
        <n v="1246"/>
        <n v="1247"/>
        <n v="1250"/>
        <n v="1253"/>
        <n v="1254"/>
        <n v="1257"/>
        <n v="1259"/>
        <n v="1261"/>
        <n v="1265"/>
        <n v="1267"/>
        <n v="1271"/>
        <n v="1279"/>
        <n v="1280"/>
        <n v="1281"/>
        <n v="1282"/>
        <n v="1298"/>
        <n v="1303"/>
        <n v="1304"/>
        <n v="1305"/>
        <n v="1307"/>
        <n v="1314"/>
        <n v="1315"/>
        <n v="1316"/>
        <n v="1338"/>
        <n v="1340"/>
        <n v="1341"/>
        <n v="1347"/>
        <n v="1350"/>
        <n v="1351"/>
        <n v="1352"/>
        <n v="1354"/>
        <n v="1357"/>
        <n v="1360"/>
        <n v="1361"/>
        <n v="1363"/>
        <n v="1364"/>
        <n v="1367"/>
        <n v="1368"/>
        <n v="1369"/>
        <n v="1374"/>
        <n v="1380"/>
        <n v="1383"/>
        <n v="1384"/>
        <n v="1389"/>
        <n v="1390"/>
        <n v="1391"/>
        <n v="1402"/>
        <n v="1405"/>
        <n v="1410"/>
        <n v="1412"/>
        <n v="1413"/>
        <n v="1416"/>
        <n v="1418"/>
        <n v="1419"/>
        <n v="1424"/>
        <n v="1425"/>
        <n v="1427"/>
        <n v="1432"/>
        <n v="1433"/>
        <n v="1438"/>
        <n v="1439"/>
        <n v="1442"/>
        <n v="1450"/>
        <n v="1459"/>
        <n v="1461"/>
        <n v="1466"/>
        <n v="1469"/>
        <n v="1471"/>
        <n v="1472"/>
        <n v="1473"/>
        <n v="1481"/>
        <n v="1482"/>
        <n v="1484"/>
        <n v="1485"/>
        <n v="1492"/>
        <n v="1494"/>
        <n v="1497"/>
        <n v="1499"/>
        <n v="1502"/>
        <n v="1505"/>
        <n v="1511"/>
        <n v="1519"/>
        <n v="1522"/>
        <n v="1526"/>
        <n v="1527"/>
        <n v="1528"/>
        <n v="1531"/>
        <n v="1533"/>
        <n v="1548"/>
        <n v="1551"/>
        <n v="1552"/>
        <n v="1553"/>
        <n v="1554"/>
        <n v="1556"/>
        <n v="1557"/>
        <n v="1559"/>
        <n v="1561"/>
        <n v="1574"/>
        <n v="1580"/>
        <n v="1590"/>
        <n v="1593"/>
        <n v="1595"/>
        <n v="1602"/>
        <n v="1603"/>
        <n v="1606"/>
        <n v="1607"/>
        <n v="1609"/>
        <n v="1614"/>
        <n v="1618"/>
        <n v="1620"/>
        <n v="1623"/>
        <n v="1625"/>
        <n v="1627"/>
        <n v="1632"/>
        <n v="1633"/>
        <n v="1634"/>
        <n v="1636"/>
        <n v="1639"/>
        <n v="1644"/>
        <n v="1646"/>
        <n v="1648"/>
        <n v="1649"/>
        <n v="1650"/>
        <n v="1653"/>
        <n v="1665"/>
        <n v="1670"/>
        <n v="1671"/>
        <n v="1672"/>
        <n v="1679"/>
        <n v="1680"/>
        <n v="1682"/>
        <n v="1683"/>
        <n v="1686"/>
        <n v="1689"/>
        <n v="1690"/>
        <n v="1692"/>
        <n v="1693"/>
        <n v="1697"/>
        <n v="1699"/>
        <n v="1702"/>
        <n v="1708"/>
        <n v="1709"/>
        <n v="1711"/>
        <n v="1712"/>
        <n v="1713"/>
        <n v="1718"/>
        <n v="1719"/>
        <n v="1721"/>
        <n v="1723"/>
        <n v="1725"/>
        <n v="1727"/>
        <n v="1728"/>
        <n v="1730"/>
        <n v="1733"/>
        <n v="1734"/>
        <n v="1735"/>
        <n v="1737"/>
        <n v="1738"/>
        <n v="1739"/>
        <n v="1743"/>
        <n v="1745"/>
        <n v="1748"/>
        <n v="1749"/>
        <n v="1754"/>
        <n v="1764"/>
        <n v="1765"/>
        <n v="1767"/>
        <n v="1771"/>
        <n v="1775"/>
        <n v="1776"/>
        <n v="1777"/>
        <n v="1778"/>
        <n v="1781"/>
        <n v="1782"/>
        <n v="1788"/>
        <n v="1793"/>
        <n v="1802"/>
        <n v="1808"/>
        <n v="1814"/>
        <n v="1815"/>
        <n v="1816"/>
        <n v="1818"/>
        <n v="1821"/>
        <n v="1826"/>
        <n v="1827"/>
        <n v="1828"/>
        <n v="1829"/>
        <n v="1836"/>
        <n v="1837"/>
        <n v="1840"/>
        <n v="1849"/>
        <n v="1852"/>
        <n v="1854"/>
        <n v="1860"/>
        <n v="1869"/>
        <n v="1873"/>
        <n v="1875"/>
        <n v="1882"/>
        <n v="1885"/>
        <n v="1889"/>
        <n v="1891"/>
        <n v="1893"/>
        <n v="1894"/>
        <n v="1906"/>
        <n v="1907"/>
        <n v="1910"/>
        <n v="1916"/>
        <n v="1917"/>
        <n v="1918"/>
        <n v="1919"/>
        <n v="1927"/>
        <n v="1928"/>
        <n v="1933"/>
        <n v="1934"/>
        <n v="1935"/>
        <n v="1938"/>
        <n v="1940"/>
        <n v="1946"/>
        <n v="1949"/>
        <n v="1950"/>
        <n v="1956"/>
        <n v="1957"/>
        <n v="1958"/>
        <n v="1959"/>
        <n v="1962"/>
        <n v="1967"/>
        <n v="1971"/>
        <n v="1972"/>
        <n v="1974"/>
        <n v="1976"/>
        <n v="1979"/>
        <n v="1984"/>
        <n v="1986"/>
        <n v="1988"/>
        <n v="1989"/>
        <n v="1991"/>
        <n v="1997"/>
        <n v="1998"/>
        <n v="2004"/>
        <n v="2006"/>
        <n v="2016"/>
        <n v="2014"/>
        <n v="2020"/>
        <n v="2030"/>
        <n v="2035"/>
        <n v="2037"/>
        <n v="2038"/>
        <n v="2044"/>
        <n v="2046"/>
        <n v="2049"/>
        <n v="2052"/>
        <n v="2058"/>
        <n v="2059"/>
        <n v="2061"/>
        <n v="2062"/>
        <n v="2063"/>
        <n v="2066"/>
        <n v="2069"/>
        <n v="2070"/>
        <n v="2071"/>
        <n v="2072"/>
        <n v="2073"/>
        <n v="2081"/>
        <n v="2089"/>
        <n v="2094"/>
        <n v="2097"/>
        <n v="2098"/>
        <n v="2099"/>
        <n v="2107"/>
        <n v="2108"/>
        <n v="2114"/>
        <n v="2115"/>
        <n v="2117"/>
        <n v="2122"/>
        <n v="2124"/>
        <n v="2127"/>
        <n v="2131"/>
        <n v="2132"/>
        <n v="2135"/>
        <n v="2137"/>
        <n v="2139"/>
        <n v="2141"/>
        <n v="2143"/>
        <n v="2145"/>
        <n v="2146"/>
        <n v="2151"/>
        <n v="2157"/>
        <n v="2159"/>
        <n v="2162"/>
        <n v="2164"/>
        <n v="2165"/>
        <n v="2178"/>
        <n v="2183"/>
        <n v="2187"/>
        <n v="2189"/>
        <n v="2190"/>
        <n v="2193"/>
        <n v="2196"/>
        <n v="2197"/>
        <n v="2198"/>
        <n v="2201"/>
        <n v="2202"/>
        <n v="2203"/>
        <n v="2204"/>
        <n v="2206"/>
        <n v="2209"/>
        <n v="2211"/>
        <n v="2212"/>
        <n v="2215"/>
        <n v="2216"/>
        <n v="2220"/>
        <n v="2225"/>
        <n v="2240"/>
        <n v="2250"/>
        <n v="2254"/>
        <n v="2256"/>
        <n v="2257"/>
        <n v="2258"/>
        <n v="2260"/>
        <n v="2264"/>
        <n v="2265"/>
        <n v="2266"/>
        <n v="2268"/>
        <n v="2270"/>
        <n v="2272"/>
        <n v="2273"/>
        <n v="2274"/>
        <n v="2276"/>
        <n v="2279"/>
        <n v="2281"/>
        <n v="2282"/>
        <n v="2283"/>
        <n v="2285"/>
        <n v="2286"/>
        <n v="2287"/>
        <n v="2289"/>
        <n v="2290"/>
        <n v="2302"/>
        <n v="2303"/>
        <n v="2305"/>
        <n v="2308"/>
        <n v="2323"/>
        <n v="2330"/>
        <n v="2333"/>
        <n v="2334"/>
        <n v="2338"/>
        <n v="2339"/>
        <n v="2345"/>
        <n v="2346"/>
        <n v="2351"/>
        <n v="2352"/>
        <n v="2353"/>
        <n v="2355"/>
        <n v="2356"/>
        <n v="2358"/>
        <n v="2359"/>
        <n v="2361"/>
        <n v="2363"/>
        <n v="2369"/>
        <n v="2372"/>
        <n v="2376"/>
        <n v="2379"/>
        <n v="2380"/>
        <n v="2382"/>
        <n v="2385"/>
        <n v="2391"/>
        <n v="2393"/>
        <n v="2394"/>
        <n v="2395"/>
        <n v="2398"/>
        <n v="2417"/>
        <n v="2418"/>
        <n v="2419"/>
        <n v="2420"/>
        <n v="2422"/>
        <n v="2423"/>
        <n v="2426"/>
        <n v="2427"/>
        <n v="2430"/>
        <n v="2431"/>
        <n v="2432"/>
        <n v="2433"/>
        <n v="2437"/>
        <n v="2441"/>
        <n v="2442"/>
        <n v="2443"/>
        <n v="2448"/>
        <n v="2450"/>
        <n v="2454"/>
        <n v="2456"/>
        <n v="2457"/>
        <n v="2458"/>
        <n v="2460"/>
        <n v="2464"/>
        <n v="2466"/>
        <n v="2468"/>
        <n v="2472"/>
        <n v="2481"/>
        <n v="2484"/>
        <n v="2486"/>
        <n v="2487"/>
        <n v="2488"/>
        <n v="2489"/>
        <n v="2490"/>
        <n v="2491"/>
        <n v="2495"/>
        <n v="2498"/>
        <n v="2499"/>
        <n v="2500"/>
        <n v="2502"/>
        <n v="2506"/>
        <n v="2507"/>
        <n v="2508"/>
        <n v="2509"/>
        <n v="2512"/>
        <n v="2516"/>
        <n v="2520"/>
        <n v="2521"/>
        <n v="2522"/>
        <n v="2526"/>
        <n v="2527"/>
        <n v="2530"/>
        <n v="2531"/>
        <n v="2534"/>
        <n v="2539"/>
        <n v="2540"/>
        <n v="2543"/>
        <n v="2545"/>
        <n v="2547"/>
        <n v="2548"/>
        <n v="2549"/>
        <n v="2551"/>
        <n v="2553"/>
        <n v="2555"/>
        <n v="2561"/>
        <n v="2563"/>
        <n v="2570"/>
        <n v="2571"/>
        <n v="2578"/>
        <n v="2579"/>
        <n v="2583"/>
        <n v="2584"/>
        <n v="2587"/>
        <n v="2593"/>
        <n v="2601"/>
        <n v="2603"/>
        <n v="2604"/>
        <n v="2610"/>
        <n v="2613"/>
        <n v="2616"/>
        <n v="2617"/>
        <n v="2618"/>
        <n v="2619"/>
        <n v="2620"/>
        <n v="2621"/>
        <n v="2626"/>
        <n v="2628"/>
        <n v="2630"/>
        <n v="2638"/>
        <n v="2639"/>
        <n v="2647"/>
        <n v="2649"/>
        <n v="2650"/>
        <n v="2652"/>
        <n v="2653"/>
        <n v="2655"/>
        <n v="2660"/>
        <n v="2667"/>
        <n v="2668"/>
        <n v="2670"/>
        <n v="2671"/>
        <n v="2677"/>
        <n v="2684"/>
        <n v="2685"/>
        <n v="2689"/>
        <n v="2693"/>
        <n v="2696"/>
        <n v="2697"/>
        <n v="2699"/>
        <n v="2704"/>
        <n v="2709"/>
        <n v="2713"/>
        <n v="2715"/>
        <n v="2718"/>
        <n v="2720"/>
        <n v="2724"/>
        <n v="2725"/>
        <n v="2729"/>
        <n v="2737"/>
        <n v="2738"/>
        <n v="2741"/>
        <n v="2745"/>
        <n v="2747"/>
        <n v="2750"/>
        <n v="2760"/>
        <n v="2764"/>
        <n v="2765"/>
        <n v="2770"/>
        <n v="2771"/>
        <n v="2773"/>
        <n v="2775"/>
        <n v="2776"/>
        <n v="2778"/>
        <n v="2779"/>
        <n v="2781"/>
        <n v="2787"/>
        <n v="2791"/>
        <n v="2794"/>
        <n v="2795"/>
        <n v="2796"/>
        <n v="2797"/>
        <n v="2801"/>
        <n v="2803"/>
        <n v="2813"/>
        <n v="2817"/>
        <n v="2820"/>
        <n v="2823"/>
        <n v="2825"/>
        <n v="2828"/>
        <n v="2833"/>
        <n v="2837"/>
        <n v="2840"/>
        <n v="2847"/>
        <n v="2848"/>
        <n v="2851"/>
        <n v="2855"/>
        <n v="2858"/>
        <n v="2859"/>
        <n v="2861"/>
        <n v="2862"/>
        <n v="2865"/>
        <n v="2867"/>
        <n v="2868"/>
        <n v="2873"/>
        <n v="2874"/>
        <n v="2877"/>
        <n v="2878"/>
        <n v="2880"/>
        <n v="2882"/>
        <n v="2883"/>
        <n v="2884"/>
        <n v="2885"/>
        <n v="2886"/>
        <n v="2892"/>
        <n v="2893"/>
        <n v="2896"/>
        <n v="2897"/>
        <n v="2903"/>
        <n v="2908"/>
        <n v="2912"/>
        <n v="2920"/>
        <n v="2923"/>
        <n v="2924"/>
        <n v="2928"/>
        <n v="2931"/>
        <n v="2932"/>
        <n v="2935"/>
        <n v="2938"/>
        <n v="2941"/>
        <n v="2944"/>
        <n v="2947"/>
        <n v="2951"/>
        <n v="2952"/>
        <n v="2954"/>
        <n v="2957"/>
        <n v="2958"/>
        <n v="2960"/>
        <n v="2962"/>
        <n v="2963"/>
        <n v="2964"/>
        <n v="2968"/>
        <n v="2973"/>
        <n v="2976"/>
        <n v="2979"/>
        <n v="2980"/>
        <n v="2987"/>
        <n v="2991"/>
        <n v="2992"/>
        <n v="2999"/>
        <n v="3000"/>
        <n v="3001"/>
        <n v="3003"/>
        <n v="3004"/>
        <n v="3005"/>
        <n v="3006"/>
        <n v="3008"/>
        <n v="3011"/>
        <n v="3012"/>
        <n v="3017"/>
        <n v="3035"/>
        <n v="3036"/>
        <n v="3041"/>
        <n v="3042"/>
        <n v="3045"/>
        <n v="3046"/>
        <n v="3048"/>
        <n v="3053"/>
        <n v="3063"/>
        <n v="3064"/>
        <n v="3067"/>
        <n v="3069"/>
        <n v="3075"/>
        <n v="3076"/>
        <n v="3077"/>
        <n v="3078"/>
        <n v="3079"/>
        <n v="3084"/>
        <n v="3086"/>
        <n v="3089"/>
        <n v="3095"/>
        <n v="3096"/>
        <n v="3098"/>
        <n v="3100"/>
        <n v="3105"/>
        <n v="3106"/>
        <n v="3113"/>
        <n v="3119"/>
        <n v="3120"/>
        <n v="3123"/>
        <n v="3124"/>
        <n v="3125"/>
        <n v="3128"/>
        <n v="3132"/>
        <n v="3133"/>
        <n v="3136"/>
        <n v="3137"/>
        <n v="3138"/>
        <n v="3139"/>
        <n v="3141"/>
        <n v="3143"/>
        <n v="3146"/>
        <n v="3148"/>
        <n v="3149"/>
        <n v="3151"/>
        <n v="3154"/>
        <n v="3155"/>
        <n v="3167"/>
        <n v="3169"/>
        <n v="3170"/>
        <n v="3176"/>
        <n v="3177"/>
        <n v="3179"/>
        <n v="3187"/>
        <n v="3191"/>
        <n v="3194"/>
        <n v="3196"/>
        <n v="3197"/>
        <n v="3205"/>
        <n v="3206"/>
        <n v="3209"/>
        <n v="3211"/>
        <n v="3221"/>
        <n v="3222"/>
        <n v="3224"/>
        <n v="3225"/>
        <n v="3226"/>
        <n v="3229"/>
        <n v="3230"/>
        <n v="3238"/>
        <n v="3243"/>
        <n v="3246"/>
        <n v="3248"/>
        <n v="3249"/>
        <n v="3251"/>
        <n v="3252"/>
        <n v="3255"/>
        <n v="3257"/>
        <n v="3258"/>
        <n v="3261"/>
        <n v="3264"/>
        <n v="3266"/>
        <n v="3269"/>
        <n v="3275"/>
        <n v="3279"/>
        <n v="3283"/>
        <n v="3284"/>
        <n v="3285"/>
        <n v="3287"/>
        <n v="3303"/>
        <n v="3306"/>
        <n v="3307"/>
        <n v="3309"/>
        <n v="3310"/>
        <n v="3311"/>
        <n v="3314"/>
        <n v="3319"/>
        <n v="3320"/>
        <n v="3324"/>
        <n v="3325"/>
        <n v="3327"/>
        <n v="3331"/>
        <n v="3338"/>
        <n v="3339"/>
        <n v="3340"/>
        <n v="3342"/>
        <n v="3344"/>
        <n v="3347"/>
        <n v="3350"/>
        <n v="3351"/>
        <n v="3354"/>
        <n v="3355"/>
        <n v="3356"/>
        <n v="3359"/>
        <n v="3360"/>
        <n v="3361"/>
        <n v="3366"/>
        <n v="3367"/>
        <n v="3369"/>
        <n v="3374"/>
        <n v="3379"/>
        <n v="3380"/>
        <n v="3381"/>
        <n v="3385"/>
        <n v="3386"/>
        <n v="3388"/>
        <n v="3393"/>
        <n v="3397"/>
        <n v="3399"/>
        <n v="3400"/>
        <n v="3403"/>
      </sharedItems>
    </cacheField>
    <cacheField name="Repeat Customers" numFmtId="0">
      <sharedItems count="3">
        <s v="One-Time Customer"/>
        <s v="Repeat Customer"/>
        <s v="On-Time Customer" u="1"/>
      </sharedItems>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Profit Margin" numFmtId="0">
      <sharedItems containsSemiMixedTypes="0" containsString="0" containsNumber="1" minValue="-169.02591743119265" maxValue="999.98303030303032"/>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30" base="21">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Order Month" numFmtId="165">
      <sharedItems count="6">
        <s v="January"/>
        <s v="June"/>
        <s v="February"/>
        <s v="May"/>
        <s v="April"/>
        <s v="March"/>
      </sharedItems>
    </cacheField>
    <cacheField name="Order Year" numFmtId="14">
      <sharedItems count="1">
        <s v="2015"/>
      </sharedItems>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13.01"/>
        <n v="6362.85"/>
        <n v="211.15"/>
        <n v="1164.45"/>
        <n v="22.23"/>
        <n v="13.99"/>
        <n v="14.26"/>
        <n v="33.47"/>
        <n v="379.53"/>
        <n v="18.8"/>
        <n v="945.99"/>
        <n v="455.77"/>
        <n v="231.79"/>
        <n v="1876.69"/>
        <n v="293.06"/>
        <n v="914.29"/>
        <n v="67.489999999999995"/>
        <n v="2.25"/>
        <n v="54.78"/>
        <n v="424.68"/>
        <n v="40.17"/>
        <n v="783.55"/>
        <n v="3838.14"/>
        <n v="58.68"/>
        <n v="53.1"/>
        <n v="647.07000000000005"/>
        <n v="627.04"/>
        <n v="3267.55"/>
        <n v="110.19"/>
        <n v="73.55"/>
        <n v="29.57"/>
        <n v="22.85"/>
        <n v="506.39"/>
        <n v="4"/>
        <n v="589.79999999999995"/>
        <n v="1225.5999999999999"/>
        <n v="1239.06"/>
        <n v="4083.19"/>
        <n v="4902.38"/>
        <n v="5718.85"/>
        <n v="1400.53"/>
        <n v="1821.89"/>
        <n v="90.98"/>
        <n v="10728"/>
        <n v="3127.69"/>
        <n v="41.82"/>
        <n v="2875.72"/>
        <n v="170.8"/>
        <n v="53.54"/>
        <n v="3363.53"/>
        <n v="132.08000000000001"/>
        <n v="45.34"/>
        <n v="216.04"/>
        <n v="6276.34"/>
        <n v="2664.4"/>
        <n v="1526.68"/>
        <n v="1952.56"/>
        <n v="303.58999999999997"/>
        <n v="9459.94"/>
        <n v="1233.32"/>
        <n v="47.31"/>
        <n v="2441.27"/>
        <n v="11.13"/>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28.2"/>
        <n v="71.55"/>
        <n v="3108.98"/>
        <n v="12599.55"/>
        <n v="34.65"/>
        <n v="85.79"/>
        <n v="17.61"/>
        <n v="27.3"/>
        <n v="64.75"/>
        <n v="62.98"/>
        <n v="21.2"/>
        <n v="173.32"/>
        <n v="42.29"/>
        <n v="730.37"/>
        <n v="450.49"/>
        <n v="58.8"/>
        <n v="120.47"/>
        <n v="1599.96"/>
        <n v="197.59"/>
        <n v="33.04"/>
        <n v="27.45"/>
        <n v="4775.1099999999997"/>
        <n v="57.41"/>
        <n v="2809.87"/>
        <n v="79.930000000000007"/>
        <n v="873.18"/>
        <n v="798.69"/>
        <n v="792.11"/>
        <n v="28.73"/>
        <n v="109.74"/>
        <n v="1543.55"/>
        <n v="1332.82"/>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19.86"/>
        <n v="23.26"/>
        <n v="51.83"/>
        <n v="32.4"/>
        <n v="492.9"/>
        <n v="1081.54"/>
        <n v="1132.8399999999999"/>
        <n v="143.63"/>
        <n v="73.040000000000006"/>
        <n v="33.35"/>
        <n v="60.24"/>
        <n v="718.03"/>
        <n v="179.51"/>
        <n v="73.180000000000007"/>
        <n v="8.82"/>
        <n v="5976.09"/>
        <n v="8.77"/>
        <n v="20.87"/>
        <n v="25.7"/>
        <n v="229.57"/>
        <n v="66.7"/>
        <n v="217"/>
        <n v="31670.6"/>
        <n v="239.82"/>
        <n v="66.709999999999994"/>
        <n v="87.16"/>
        <n v="101.26"/>
        <n v="17.399999999999999"/>
        <n v="52.93"/>
        <n v="8637.44"/>
        <n v="59.95"/>
        <n v="5062.49"/>
        <n v="646.97"/>
        <n v="946.29"/>
        <n v="123"/>
        <n v="554.08000000000004"/>
        <n v="152.54"/>
        <n v="89.79"/>
        <n v="199.76"/>
        <n v="480.37"/>
        <n v="5.76"/>
        <n v="3112.13"/>
        <n v="2589.0100000000002"/>
        <n v="1893.93"/>
        <n v="211.13"/>
        <n v="25.39"/>
        <n v="87.27"/>
        <n v="403.25"/>
        <n v="414.49"/>
        <n v="469.69"/>
        <n v="8585.67"/>
        <n v="57.37"/>
        <n v="66.319999999999993"/>
        <n v="18.75"/>
        <n v="188.51"/>
        <n v="6720.88"/>
        <n v="102.21"/>
        <n v="31.18"/>
        <n v="267.52999999999997"/>
        <n v="43046.2"/>
        <n v="330.21"/>
        <n v="6831.37"/>
        <n v="10331.09"/>
        <n v="83.86"/>
        <n v="1707.84"/>
        <n v="66.88"/>
        <n v="274.91000000000003"/>
        <n v="1128.74"/>
        <n v="805.99"/>
        <n v="1066.54"/>
        <n v="65.739999999999995"/>
        <n v="5.84"/>
        <n v="405.57"/>
        <n v="32.6"/>
        <n v="515.88"/>
        <n v="25.06"/>
        <n v="578.24"/>
        <n v="116.93"/>
        <n v="170.45"/>
        <n v="285.87"/>
        <n v="20.37"/>
        <n v="17.440000000000001"/>
        <n v="702.68"/>
        <n v="67.239999999999995"/>
        <n v="24.27"/>
        <n v="38.53"/>
        <n v="4910.72"/>
        <n v="116.8"/>
        <n v="32.39"/>
        <n v="227.79"/>
        <n v="5679.59"/>
        <n v="102.32"/>
        <n v="1494.63"/>
        <n v="46.23"/>
        <n v="279.27999999999997"/>
        <n v="70.06"/>
        <n v="81.819999999999993"/>
        <n v="13.1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355.84"/>
        <n v="1346.32"/>
        <n v="292.18"/>
        <n v="322.02999999999997"/>
        <n v="2470.84"/>
        <n v="5250.66"/>
        <n v="1423.35"/>
        <n v="1154.1199999999999"/>
        <n v="32.5"/>
        <n v="193.95"/>
        <n v="158.80000000000001"/>
        <n v="274.26"/>
        <n v="83.16"/>
        <n v="261.93"/>
        <n v="210.1"/>
        <n v="6499.87"/>
        <n v="351.56"/>
        <n v="87.89"/>
        <n v="6.5"/>
        <n v="68.56"/>
        <n v="20.79"/>
        <n v="67.91"/>
        <n v="40.369999999999997"/>
        <n v="122.25"/>
        <n v="206.09"/>
        <n v="66.900000000000006"/>
        <n v="43.13"/>
        <n v="11.21"/>
        <n v="100.38"/>
        <n v="1178.32"/>
        <n v="2016.32"/>
        <n v="612.25"/>
        <n v="313.63"/>
        <n v="397.17"/>
        <n v="63.48"/>
        <n v="47.64"/>
        <n v="1545.58"/>
        <n v="2104.9899999999998"/>
        <n v="353.1"/>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7999999999995"/>
        <n v="573.30999999999995"/>
        <n v="140.22999999999999"/>
        <n v="594.44000000000005"/>
        <n v="228.5"/>
        <n v="191.1"/>
        <n v="28.05"/>
        <n v="151.77000000000001"/>
        <n v="57.13"/>
        <n v="116.92"/>
        <n v="151.6"/>
        <n v="31.73"/>
        <n v="85.26"/>
        <n v="16.600000000000001"/>
        <n v="2285.41"/>
        <n v="513.52"/>
        <n v="346.52"/>
        <n v="499.31"/>
        <n v="73.099999999999994"/>
        <n v="2115.06"/>
        <n v="47.95"/>
        <n v="134.38"/>
        <n v="76.77"/>
        <n v="782"/>
        <n v="15.73"/>
        <n v="1719.07"/>
        <n v="8.41"/>
        <n v="104.95"/>
        <n v="166.59"/>
        <n v="396.19"/>
        <n v="98.7"/>
        <n v="1782.44"/>
        <n v="72.11"/>
        <n v="124.81"/>
        <n v="881.32"/>
        <n v="41.6"/>
        <n v="1497.22"/>
        <n v="244.81"/>
        <n v="4.55"/>
        <n v="27.63"/>
        <n v="31.21"/>
        <n v="1214.03"/>
        <n v="3.51"/>
        <n v="120.12"/>
        <n v="7.01"/>
        <n v="1452.18"/>
        <n v="619.38"/>
        <n v="18.690000000000001"/>
        <n v="8.8000000000000007"/>
        <n v="477.2"/>
        <n v="2848.38"/>
        <n v="38.58"/>
        <n v="810.47"/>
        <n v="72.83"/>
        <n v="63.66"/>
        <n v="127.22"/>
        <n v="432.44"/>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617.4"/>
        <n v="157.78"/>
        <n v="26.31"/>
        <n v="209.78"/>
        <n v="17.829999999999998"/>
        <n v="2527.79"/>
        <n v="121.87"/>
        <n v="659.42"/>
        <n v="403.53"/>
        <n v="55.17"/>
        <n v="377.44"/>
        <n v="286.39999999999998"/>
        <n v="664.34"/>
        <n v="473.53"/>
        <n v="220.92"/>
        <n v="196.41"/>
        <n v="54.08"/>
        <n v="47.18"/>
        <n v="30.87"/>
        <n v="309.05"/>
        <n v="299.3"/>
        <n v="45.24"/>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696.96"/>
        <n v="149.41"/>
        <n v="4556.63"/>
        <n v="2948.61"/>
        <n v="517.85"/>
        <n v="2373.3200000000002"/>
        <n v="325.73"/>
        <n v="127.94"/>
        <n v="1350.94"/>
        <n v="75.17"/>
        <n v="1125.76"/>
        <n v="746.03"/>
        <n v="593.33000000000004"/>
        <n v="13.05"/>
        <n v="58.95"/>
        <n v="3672.89"/>
        <n v="374.81"/>
        <n v="43.27"/>
        <n v="11.74"/>
        <n v="5258.94"/>
        <n v="66.739999999999995"/>
        <n v="1282.67"/>
        <n v="208.83"/>
        <n v="228.3"/>
        <n v="129.53"/>
        <n v="55.68"/>
        <n v="568.24"/>
        <n v="162.91"/>
        <n v="97.65"/>
        <n v="1018.61"/>
        <n v="1145.5999999999999"/>
        <n v="24.52"/>
        <n v="5775.81"/>
        <n v="1878.24"/>
        <n v="1634.67"/>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682.68"/>
        <n v="73.44"/>
        <n v="2997.07"/>
        <n v="282.85000000000002"/>
        <n v="20.03"/>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36.58"/>
        <n v="2376.12"/>
        <n v="1020.08"/>
        <n v="65.2"/>
        <n v="22.59"/>
        <n v="121.36"/>
        <n v="2013.67"/>
        <n v="1824.33"/>
        <n v="107.65"/>
        <n v="165.21"/>
        <n v="25.15"/>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1316.03"/>
        <n v="1395.41"/>
        <n v="4920.8100000000004"/>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438.25"/>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10.65"/>
        <n v="55.13"/>
        <n v="215.32"/>
        <n v="382.85"/>
        <n v="44.8"/>
        <n v="100.99"/>
        <n v="142.06"/>
        <n v="58.52"/>
        <n v="363.74"/>
        <n v="15.93"/>
        <n v="21.28"/>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413.73"/>
        <n v="55.6"/>
        <n v="2099.61"/>
        <n v="96.6"/>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414.88"/>
        <n v="33.630000000000003"/>
        <n v="1063.81"/>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381.91"/>
        <n v="761.67"/>
        <n v="5014.07"/>
        <n v="186.19"/>
        <n v="1227.94"/>
        <n v="294.97000000000003"/>
        <n v="2458.0500000000002"/>
        <n v="2465.75"/>
        <n v="650.25"/>
        <n v="272.12"/>
        <n v="428.85"/>
        <n v="342.54"/>
        <n v="27.96"/>
        <n v="1635.38"/>
        <n v="58.48"/>
        <n v="40.049999999999997"/>
        <n v="1117.6600000000001"/>
        <n v="807"/>
        <n v="169.46"/>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29.08"/>
        <n v="1162.46"/>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471.66"/>
        <n v="662.8"/>
        <n v="119.86"/>
        <n v="2651.21"/>
        <n v="38.96"/>
        <n v="8048.45"/>
        <n v="1939.03"/>
        <n v="457.63"/>
        <n v="170.75"/>
        <n v="1339.42"/>
        <n v="8.66"/>
        <n v="10554.63"/>
        <n v="1749.64"/>
        <n v="355.4"/>
        <n v="148.36000000000001"/>
        <n v="2814.57"/>
        <n v="88.85"/>
        <n v="70.819999999999993"/>
        <n v="90.44"/>
        <n v="10.72"/>
        <n v="10180.01"/>
        <n v="42.44"/>
        <n v="462.57"/>
        <n v="125.37"/>
        <n v="190.85"/>
        <n v="370.68"/>
        <n v="2400.9499999999998"/>
        <n v="7303.05"/>
        <n v="58.05"/>
        <n v="68.64"/>
        <n v="277.07"/>
        <n v="51.99"/>
        <n v="149.669999999999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27587.55"/>
        <n v="1191.5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94"/>
        <n v="43.31"/>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cacheField>
    <cacheField name="Order ID" numFmtId="0">
      <sharedItems containsSemiMixedTypes="0" containsString="0" containsNumber="1" containsInteger="1" minValue="359" maxValue="91586"/>
    </cacheField>
    <cacheField name="Return Status" numFmtId="0">
      <sharedItems count="3">
        <s v="Not Returned"/>
        <s v="Returned"/>
        <s v="" u="1"/>
      </sharedItems>
    </cacheField>
    <cacheField name="Months" numFmtId="0" databaseField="0">
      <fieldGroup base="21">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1075748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x v="0"/>
    <x v="0"/>
    <x v="0"/>
    <x v="0"/>
    <x v="0"/>
    <x v="0"/>
    <x v="0"/>
    <x v="0"/>
    <x v="0"/>
    <x v="0"/>
    <n v="0.54"/>
    <n v="0.35049961568024596"/>
    <s v="United States"/>
    <x v="0"/>
    <x v="0"/>
    <x v="0"/>
    <n v="98221"/>
    <x v="0"/>
    <x v="0"/>
    <x v="0"/>
    <d v="2015-01-08T00:00:00"/>
    <n v="4.5599999999999996"/>
    <n v="4"/>
    <x v="0"/>
    <n v="88522"/>
    <x v="0"/>
  </r>
  <r>
    <n v="20228"/>
    <s v="Not Specified"/>
    <n v="0.02"/>
    <n v="500.98"/>
    <x v="1"/>
    <x v="1"/>
    <x v="0"/>
    <x v="1"/>
    <x v="1"/>
    <x v="1"/>
    <x v="1"/>
    <x v="1"/>
    <x v="1"/>
    <x v="1"/>
    <n v="0.6"/>
    <n v="0.69"/>
    <s v="United States"/>
    <x v="0"/>
    <x v="1"/>
    <x v="1"/>
    <n v="91776"/>
    <x v="1"/>
    <x v="1"/>
    <x v="0"/>
    <d v="2015-06-15T00:00:00"/>
    <n v="4390.3665000000001"/>
    <n v="12"/>
    <x v="1"/>
    <n v="90193"/>
    <x v="0"/>
  </r>
  <r>
    <n v="21776"/>
    <s v="Critical"/>
    <n v="0.06"/>
    <n v="9.48"/>
    <x v="2"/>
    <x v="2"/>
    <x v="0"/>
    <x v="2"/>
    <x v="2"/>
    <x v="1"/>
    <x v="1"/>
    <x v="2"/>
    <x v="2"/>
    <x v="2"/>
    <n v="0.45"/>
    <n v="-0.25484063461993844"/>
    <s v="United States"/>
    <x v="1"/>
    <x v="2"/>
    <x v="2"/>
    <n v="7203"/>
    <x v="2"/>
    <x v="2"/>
    <x v="0"/>
    <d v="2015-02-17T00:00:00"/>
    <n v="-53.809600000000003"/>
    <n v="22"/>
    <x v="2"/>
    <n v="90192"/>
    <x v="0"/>
  </r>
  <r>
    <n v="24844"/>
    <s v="Medium"/>
    <n v="0.09"/>
    <n v="78.69"/>
    <x v="3"/>
    <x v="3"/>
    <x v="1"/>
    <x v="3"/>
    <x v="2"/>
    <x v="2"/>
    <x v="1"/>
    <x v="2"/>
    <x v="3"/>
    <x v="3"/>
    <n v="0.43"/>
    <n v="0.69"/>
    <s v="United States"/>
    <x v="2"/>
    <x v="3"/>
    <x v="3"/>
    <n v="55372"/>
    <x v="3"/>
    <x v="3"/>
    <x v="0"/>
    <d v="2015-05-14T00:00:00"/>
    <n v="803.47050000000002"/>
    <n v="16"/>
    <x v="3"/>
    <n v="86838"/>
    <x v="0"/>
  </r>
  <r>
    <n v="24846"/>
    <s v="Medium"/>
    <n v="0.08"/>
    <n v="3.28"/>
    <x v="4"/>
    <x v="3"/>
    <x v="1"/>
    <x v="3"/>
    <x v="2"/>
    <x v="2"/>
    <x v="0"/>
    <x v="0"/>
    <x v="0"/>
    <x v="4"/>
    <n v="0.56000000000000005"/>
    <n v="-1.0809716599190284"/>
    <s v="United States"/>
    <x v="2"/>
    <x v="3"/>
    <x v="3"/>
    <n v="55372"/>
    <x v="3"/>
    <x v="3"/>
    <x v="0"/>
    <d v="2015-05-13T00:00:00"/>
    <n v="-24.03"/>
    <n v="7"/>
    <x v="4"/>
    <n v="86838"/>
    <x v="0"/>
  </r>
  <r>
    <n v="24847"/>
    <s v="Medium"/>
    <n v="0.05"/>
    <n v="3.28"/>
    <x v="5"/>
    <x v="3"/>
    <x v="1"/>
    <x v="3"/>
    <x v="2"/>
    <x v="2"/>
    <x v="0"/>
    <x v="0"/>
    <x v="0"/>
    <x v="5"/>
    <n v="0.56000000000000005"/>
    <n v="-2.6468906361686919"/>
    <s v="United States"/>
    <x v="2"/>
    <x v="3"/>
    <x v="3"/>
    <n v="55372"/>
    <x v="3"/>
    <x v="3"/>
    <x v="0"/>
    <d v="2015-05-13T00:00:00"/>
    <n v="-37.03"/>
    <n v="4"/>
    <x v="5"/>
    <n v="86838"/>
    <x v="0"/>
  </r>
  <r>
    <n v="24848"/>
    <s v="Medium"/>
    <n v="0.05"/>
    <n v="3.58"/>
    <x v="6"/>
    <x v="3"/>
    <x v="1"/>
    <x v="3"/>
    <x v="2"/>
    <x v="2"/>
    <x v="0"/>
    <x v="3"/>
    <x v="0"/>
    <x v="6"/>
    <n v="0.36"/>
    <n v="-4.978962131837307E-2"/>
    <s v="United States"/>
    <x v="2"/>
    <x v="3"/>
    <x v="3"/>
    <n v="55372"/>
    <x v="3"/>
    <x v="3"/>
    <x v="0"/>
    <d v="2015-05-13T00:00:00"/>
    <n v="-0.71"/>
    <n v="4"/>
    <x v="6"/>
    <n v="86838"/>
    <x v="0"/>
  </r>
  <r>
    <n v="18181"/>
    <s v="Critical"/>
    <n v="0"/>
    <n v="4.42"/>
    <x v="7"/>
    <x v="4"/>
    <x v="1"/>
    <x v="4"/>
    <x v="2"/>
    <x v="2"/>
    <x v="0"/>
    <x v="4"/>
    <x v="3"/>
    <x v="7"/>
    <n v="0.38"/>
    <n v="-1.7872721840454138"/>
    <s v="United States"/>
    <x v="1"/>
    <x v="4"/>
    <x v="4"/>
    <n v="11787"/>
    <x v="4"/>
    <x v="4"/>
    <x v="0"/>
    <d v="2015-04-09T00:00:00"/>
    <n v="-59.82"/>
    <n v="7"/>
    <x v="7"/>
    <n v="86837"/>
    <x v="0"/>
  </r>
  <r>
    <n v="20925"/>
    <s v="Medium"/>
    <n v="0.01"/>
    <n v="35.94"/>
    <x v="8"/>
    <x v="4"/>
    <x v="1"/>
    <x v="4"/>
    <x v="2"/>
    <x v="2"/>
    <x v="0"/>
    <x v="4"/>
    <x v="3"/>
    <x v="8"/>
    <n v="0.4"/>
    <n v="0.68999999999999984"/>
    <s v="United States"/>
    <x v="1"/>
    <x v="4"/>
    <x v="4"/>
    <n v="11787"/>
    <x v="5"/>
    <x v="3"/>
    <x v="0"/>
    <d v="2015-05-28T00:00:00"/>
    <n v="261.87569999999994"/>
    <n v="10"/>
    <x v="8"/>
    <n v="86839"/>
    <x v="0"/>
  </r>
  <r>
    <n v="26267"/>
    <s v="High"/>
    <n v="0.04"/>
    <n v="2.98"/>
    <x v="9"/>
    <x v="5"/>
    <x v="1"/>
    <x v="5"/>
    <x v="2"/>
    <x v="2"/>
    <x v="0"/>
    <x v="3"/>
    <x v="0"/>
    <x v="9"/>
    <n v="0.39"/>
    <n v="0.13989361702127659"/>
    <s v="United States"/>
    <x v="1"/>
    <x v="4"/>
    <x v="5"/>
    <n v="13210"/>
    <x v="6"/>
    <x v="2"/>
    <x v="0"/>
    <d v="2015-02-15T00:00:00"/>
    <n v="2.63"/>
    <n v="6"/>
    <x v="9"/>
    <n v="86836"/>
    <x v="0"/>
  </r>
  <r>
    <n v="26268"/>
    <s v="High"/>
    <n v="0.05"/>
    <n v="115.99"/>
    <x v="10"/>
    <x v="5"/>
    <x v="1"/>
    <x v="5"/>
    <x v="2"/>
    <x v="2"/>
    <x v="2"/>
    <x v="5"/>
    <x v="3"/>
    <x v="10"/>
    <n v="0.55000000000000004"/>
    <n v="0.69"/>
    <s v="United States"/>
    <x v="1"/>
    <x v="4"/>
    <x v="5"/>
    <n v="13210"/>
    <x v="6"/>
    <x v="2"/>
    <x v="0"/>
    <d v="2015-02-14T00:00:00"/>
    <n v="652.73309999999992"/>
    <n v="10"/>
    <x v="10"/>
    <n v="86836"/>
    <x v="0"/>
  </r>
  <r>
    <n v="23890"/>
    <s v="High"/>
    <n v="0.05"/>
    <n v="26.48"/>
    <x v="11"/>
    <x v="6"/>
    <x v="0"/>
    <x v="6"/>
    <x v="2"/>
    <x v="2"/>
    <x v="1"/>
    <x v="2"/>
    <x v="3"/>
    <x v="11"/>
    <n v="0.49"/>
    <n v="0.69"/>
    <s v="United States"/>
    <x v="0"/>
    <x v="5"/>
    <x v="6"/>
    <n v="59601"/>
    <x v="7"/>
    <x v="3"/>
    <x v="0"/>
    <d v="2015-05-16T00:00:00"/>
    <n v="314.48129999999998"/>
    <n v="17"/>
    <x v="11"/>
    <n v="90031"/>
    <x v="0"/>
  </r>
  <r>
    <n v="24063"/>
    <s v="Not Specified"/>
    <n v="7.0000000000000007E-2"/>
    <n v="12.99"/>
    <x v="12"/>
    <x v="7"/>
    <x v="0"/>
    <x v="7"/>
    <x v="2"/>
    <x v="2"/>
    <x v="2"/>
    <x v="6"/>
    <x v="4"/>
    <x v="12"/>
    <n v="0.39"/>
    <n v="-0.4945851848656112"/>
    <s v="United States"/>
    <x v="0"/>
    <x v="5"/>
    <x v="7"/>
    <n v="59801"/>
    <x v="8"/>
    <x v="3"/>
    <x v="0"/>
    <d v="2015-05-23T00:00:00"/>
    <n v="-114.63990000000001"/>
    <n v="18"/>
    <x v="12"/>
    <n v="90032"/>
    <x v="0"/>
  </r>
  <r>
    <n v="5890"/>
    <s v="High"/>
    <n v="0.05"/>
    <n v="26.48"/>
    <x v="11"/>
    <x v="8"/>
    <x v="1"/>
    <x v="8"/>
    <x v="2"/>
    <x v="2"/>
    <x v="1"/>
    <x v="2"/>
    <x v="3"/>
    <x v="11"/>
    <n v="0.49"/>
    <n v="0.20481805732433167"/>
    <s v="United States"/>
    <x v="1"/>
    <x v="4"/>
    <x v="8"/>
    <n v="10012"/>
    <x v="7"/>
    <x v="3"/>
    <x v="0"/>
    <d v="2015-05-16T00:00:00"/>
    <n v="384.38"/>
    <n v="70"/>
    <x v="13"/>
    <n v="41793"/>
    <x v="0"/>
  </r>
  <r>
    <n v="6062"/>
    <s v="Not Specified"/>
    <n v="0.08"/>
    <n v="5"/>
    <x v="13"/>
    <x v="8"/>
    <x v="1"/>
    <x v="8"/>
    <x v="2"/>
    <x v="2"/>
    <x v="0"/>
    <x v="3"/>
    <x v="0"/>
    <x v="13"/>
    <n v="0.37"/>
    <n v="-5.9680611478878043E-2"/>
    <s v="United States"/>
    <x v="1"/>
    <x v="4"/>
    <x v="8"/>
    <n v="10012"/>
    <x v="8"/>
    <x v="3"/>
    <x v="0"/>
    <d v="2015-05-22T00:00:00"/>
    <n v="-17.489999999999998"/>
    <n v="58"/>
    <x v="14"/>
    <n v="42949"/>
    <x v="0"/>
  </r>
  <r>
    <n v="6063"/>
    <s v="Not Specified"/>
    <n v="7.0000000000000007E-2"/>
    <n v="12.99"/>
    <x v="12"/>
    <x v="8"/>
    <x v="1"/>
    <x v="8"/>
    <x v="2"/>
    <x v="2"/>
    <x v="2"/>
    <x v="6"/>
    <x v="4"/>
    <x v="12"/>
    <n v="0.39"/>
    <n v="-0.12538680287436155"/>
    <s v="United States"/>
    <x v="1"/>
    <x v="4"/>
    <x v="8"/>
    <n v="10012"/>
    <x v="8"/>
    <x v="3"/>
    <x v="0"/>
    <d v="2015-05-23T00:00:00"/>
    <n v="-114.63990000000001"/>
    <n v="71"/>
    <x v="15"/>
    <n v="42949"/>
    <x v="0"/>
  </r>
  <r>
    <n v="20631"/>
    <s v="High"/>
    <n v="0.06"/>
    <n v="55.48"/>
    <x v="14"/>
    <x v="9"/>
    <x v="1"/>
    <x v="9"/>
    <x v="2"/>
    <x v="0"/>
    <x v="0"/>
    <x v="7"/>
    <x v="3"/>
    <x v="14"/>
    <n v="0.37"/>
    <n v="-0.41927396651355764"/>
    <s v="United States"/>
    <x v="0"/>
    <x v="1"/>
    <x v="9"/>
    <n v="92677"/>
    <x v="9"/>
    <x v="0"/>
    <x v="0"/>
    <d v="2015-01-29T00:00:00"/>
    <n v="-28.296800000000001"/>
    <n v="1"/>
    <x v="16"/>
    <n v="87651"/>
    <x v="0"/>
  </r>
  <r>
    <n v="20632"/>
    <s v="High"/>
    <n v="0.02"/>
    <n v="1.68"/>
    <x v="15"/>
    <x v="9"/>
    <x v="1"/>
    <x v="9"/>
    <x v="2"/>
    <x v="0"/>
    <x v="0"/>
    <x v="0"/>
    <x v="0"/>
    <x v="15"/>
    <n v="0.59"/>
    <n v="-2.3587555555555557"/>
    <s v="United States"/>
    <x v="0"/>
    <x v="1"/>
    <x v="9"/>
    <n v="92677"/>
    <x v="9"/>
    <x v="0"/>
    <x v="0"/>
    <d v="2015-01-30T00:00:00"/>
    <n v="-5.3071999999999999"/>
    <n v="1"/>
    <x v="17"/>
    <n v="87651"/>
    <x v="0"/>
  </r>
  <r>
    <n v="23967"/>
    <s v="Not Specified"/>
    <n v="0.04"/>
    <n v="4.1399999999999997"/>
    <x v="16"/>
    <x v="10"/>
    <x v="0"/>
    <x v="10"/>
    <x v="2"/>
    <x v="0"/>
    <x v="1"/>
    <x v="2"/>
    <x v="3"/>
    <x v="16"/>
    <n v="0.49"/>
    <n v="0.16235852500912751"/>
    <s v="United States"/>
    <x v="0"/>
    <x v="1"/>
    <x v="10"/>
    <n v="90712"/>
    <x v="10"/>
    <x v="3"/>
    <x v="0"/>
    <d v="2015-05-04T00:00:00"/>
    <n v="8.8940000000000055"/>
    <n v="12"/>
    <x v="18"/>
    <n v="87652"/>
    <x v="0"/>
  </r>
  <r>
    <n v="23509"/>
    <s v="High"/>
    <n v="0.08"/>
    <n v="34.99"/>
    <x v="17"/>
    <x v="11"/>
    <x v="1"/>
    <x v="11"/>
    <x v="2"/>
    <x v="0"/>
    <x v="0"/>
    <x v="0"/>
    <x v="3"/>
    <x v="17"/>
    <n v="0.59"/>
    <n v="0.34070358858434585"/>
    <s v="United States"/>
    <x v="0"/>
    <x v="6"/>
    <x v="11"/>
    <n v="97526"/>
    <x v="11"/>
    <x v="2"/>
    <x v="0"/>
    <d v="2015-02-23T00:00:00"/>
    <n v="144.69"/>
    <n v="13"/>
    <x v="19"/>
    <n v="89199"/>
    <x v="0"/>
  </r>
  <r>
    <n v="23612"/>
    <s v="High"/>
    <n v="0.01"/>
    <n v="17.98"/>
    <x v="18"/>
    <x v="11"/>
    <x v="1"/>
    <x v="11"/>
    <x v="2"/>
    <x v="0"/>
    <x v="2"/>
    <x v="6"/>
    <x v="4"/>
    <x v="18"/>
    <n v="0.4"/>
    <n v="-0.89317401045556377"/>
    <s v="United States"/>
    <x v="0"/>
    <x v="6"/>
    <x v="11"/>
    <n v="97526"/>
    <x v="12"/>
    <x v="5"/>
    <x v="0"/>
    <d v="2015-03-28T00:00:00"/>
    <n v="-35.878799999999998"/>
    <n v="2"/>
    <x v="20"/>
    <n v="89200"/>
    <x v="0"/>
  </r>
  <r>
    <n v="23278"/>
    <s v="Medium"/>
    <n v="0.09"/>
    <n v="125.99"/>
    <x v="19"/>
    <x v="11"/>
    <x v="1"/>
    <x v="11"/>
    <x v="0"/>
    <x v="0"/>
    <x v="2"/>
    <x v="5"/>
    <x v="3"/>
    <x v="19"/>
    <n v="0.59"/>
    <n v="0.26800714695935168"/>
    <s v="United States"/>
    <x v="0"/>
    <x v="6"/>
    <x v="11"/>
    <n v="97526"/>
    <x v="13"/>
    <x v="0"/>
    <x v="0"/>
    <d v="2015-01-22T00:00:00"/>
    <n v="209.99700000000001"/>
    <n v="8"/>
    <x v="21"/>
    <n v="89202"/>
    <x v="0"/>
  </r>
  <r>
    <n v="19355"/>
    <s v="Low"/>
    <n v="0.06"/>
    <n v="205.99"/>
    <x v="20"/>
    <x v="11"/>
    <x v="1"/>
    <x v="11"/>
    <x v="2"/>
    <x v="0"/>
    <x v="2"/>
    <x v="5"/>
    <x v="3"/>
    <x v="20"/>
    <n v="0.56000000000000005"/>
    <n v="0.92964196199200655"/>
    <s v="United States"/>
    <x v="0"/>
    <x v="6"/>
    <x v="11"/>
    <n v="97526"/>
    <x v="14"/>
    <x v="5"/>
    <x v="0"/>
    <d v="2015-03-19T00:00:00"/>
    <n v="3568.096"/>
    <n v="22"/>
    <x v="22"/>
    <n v="89203"/>
    <x v="0"/>
  </r>
  <r>
    <n v="23654"/>
    <s v="Not Specified"/>
    <n v="0.03"/>
    <n v="4.24"/>
    <x v="21"/>
    <x v="12"/>
    <x v="1"/>
    <x v="12"/>
    <x v="2"/>
    <x v="0"/>
    <x v="0"/>
    <x v="8"/>
    <x v="3"/>
    <x v="21"/>
    <n v="0.35"/>
    <n v="-1.4389502385821404"/>
    <s v="United States"/>
    <x v="0"/>
    <x v="6"/>
    <x v="12"/>
    <n v="97030"/>
    <x v="15"/>
    <x v="1"/>
    <x v="0"/>
    <d v="2015-06-17T00:00:00"/>
    <n v="-84.437600000000003"/>
    <n v="13"/>
    <x v="23"/>
    <n v="89201"/>
    <x v="0"/>
  </r>
  <r>
    <n v="23655"/>
    <s v="Not Specified"/>
    <n v="0.04"/>
    <n v="2.94"/>
    <x v="22"/>
    <x v="12"/>
    <x v="1"/>
    <x v="12"/>
    <x v="2"/>
    <x v="0"/>
    <x v="0"/>
    <x v="0"/>
    <x v="0"/>
    <x v="22"/>
    <n v="0.57999999999999996"/>
    <n v="0.4578531073446328"/>
    <s v="United States"/>
    <x v="0"/>
    <x v="6"/>
    <x v="12"/>
    <n v="97030"/>
    <x v="15"/>
    <x v="1"/>
    <x v="0"/>
    <d v="2015-06-16T00:00:00"/>
    <n v="24.312000000000001"/>
    <n v="18"/>
    <x v="24"/>
    <n v="89201"/>
    <x v="0"/>
  </r>
  <r>
    <n v="25933"/>
    <s v="High"/>
    <n v="0"/>
    <n v="99.99"/>
    <x v="3"/>
    <x v="13"/>
    <x v="0"/>
    <x v="13"/>
    <x v="2"/>
    <x v="3"/>
    <x v="2"/>
    <x v="6"/>
    <x v="3"/>
    <x v="23"/>
    <n v="0.52"/>
    <n v="4.0047939171959777E-2"/>
    <s v="United States"/>
    <x v="0"/>
    <x v="0"/>
    <x v="13"/>
    <n v="98052"/>
    <x v="16"/>
    <x v="3"/>
    <x v="0"/>
    <d v="2015-05-11T00:00:00"/>
    <n v="25.913820000000015"/>
    <n v="6"/>
    <x v="25"/>
    <n v="91454"/>
    <x v="0"/>
  </r>
  <r>
    <n v="18551"/>
    <s v="Not Specified"/>
    <n v="0"/>
    <n v="115.99"/>
    <x v="10"/>
    <x v="14"/>
    <x v="0"/>
    <x v="14"/>
    <x v="2"/>
    <x v="0"/>
    <x v="2"/>
    <x v="5"/>
    <x v="3"/>
    <x v="24"/>
    <n v="0.56999999999999995"/>
    <n v="0.25941885685123756"/>
    <s v="United States"/>
    <x v="0"/>
    <x v="0"/>
    <x v="14"/>
    <n v="98373"/>
    <x v="17"/>
    <x v="5"/>
    <x v="0"/>
    <d v="2015-03-10T00:00:00"/>
    <n v="162.666"/>
    <n v="6"/>
    <x v="26"/>
    <n v="88426"/>
    <x v="0"/>
  </r>
  <r>
    <n v="22117"/>
    <s v="Critical"/>
    <n v="7.0000000000000007E-2"/>
    <n v="3502.14"/>
    <x v="23"/>
    <x v="15"/>
    <x v="1"/>
    <x v="15"/>
    <x v="1"/>
    <x v="0"/>
    <x v="2"/>
    <x v="6"/>
    <x v="5"/>
    <x v="25"/>
    <n v="0.56999999999999995"/>
    <n v="-2.1188961760340312"/>
    <s v="United States"/>
    <x v="0"/>
    <x v="0"/>
    <x v="13"/>
    <n v="98052"/>
    <x v="9"/>
    <x v="0"/>
    <x v="0"/>
    <d v="2015-01-30T00:00:00"/>
    <n v="-6923.5991999999997"/>
    <n v="1"/>
    <x v="27"/>
    <n v="88425"/>
    <x v="0"/>
  </r>
  <r>
    <n v="18552"/>
    <s v="Not Specified"/>
    <n v="0.02"/>
    <n v="5.98"/>
    <x v="24"/>
    <x v="15"/>
    <x v="1"/>
    <x v="15"/>
    <x v="2"/>
    <x v="0"/>
    <x v="0"/>
    <x v="7"/>
    <x v="3"/>
    <x v="26"/>
    <n v="0.36"/>
    <n v="-0.61248752155368003"/>
    <s v="United States"/>
    <x v="0"/>
    <x v="0"/>
    <x v="13"/>
    <n v="98052"/>
    <x v="17"/>
    <x v="5"/>
    <x v="0"/>
    <d v="2015-03-11T00:00:00"/>
    <n v="-67.489999999999995"/>
    <n v="17"/>
    <x v="28"/>
    <n v="88426"/>
    <x v="0"/>
  </r>
  <r>
    <n v="20697"/>
    <s v="Medium"/>
    <n v="0.06"/>
    <n v="3.8"/>
    <x v="25"/>
    <x v="16"/>
    <x v="1"/>
    <x v="16"/>
    <x v="2"/>
    <x v="3"/>
    <x v="0"/>
    <x v="8"/>
    <x v="3"/>
    <x v="27"/>
    <n v="0.38"/>
    <n v="0.26686879673691366"/>
    <s v="United States"/>
    <x v="1"/>
    <x v="4"/>
    <x v="15"/>
    <n v="14150"/>
    <x v="18"/>
    <x v="4"/>
    <x v="0"/>
    <d v="2015-04-21T00:00:00"/>
    <n v="19.6282"/>
    <n v="20"/>
    <x v="29"/>
    <n v="88075"/>
    <x v="0"/>
  </r>
  <r>
    <n v="20698"/>
    <s v="Medium"/>
    <n v="0.06"/>
    <n v="1.76"/>
    <x v="22"/>
    <x v="16"/>
    <x v="1"/>
    <x v="16"/>
    <x v="2"/>
    <x v="3"/>
    <x v="0"/>
    <x v="0"/>
    <x v="0"/>
    <x v="28"/>
    <n v="0.56000000000000005"/>
    <n v="-5.5880960432871156E-2"/>
    <s v="United States"/>
    <x v="1"/>
    <x v="4"/>
    <x v="15"/>
    <n v="14150"/>
    <x v="18"/>
    <x v="4"/>
    <x v="0"/>
    <d v="2015-04-21T00:00:00"/>
    <n v="-1.6524000000000001"/>
    <n v="17"/>
    <x v="30"/>
    <n v="88075"/>
    <x v="0"/>
  </r>
  <r>
    <n v="22890"/>
    <s v="High"/>
    <n v="0.02"/>
    <n v="5.98"/>
    <x v="26"/>
    <x v="17"/>
    <x v="1"/>
    <x v="17"/>
    <x v="2"/>
    <x v="0"/>
    <x v="0"/>
    <x v="7"/>
    <x v="3"/>
    <x v="29"/>
    <n v="0.36"/>
    <n v="9.3654266958424603E-2"/>
    <s v="United States"/>
    <x v="2"/>
    <x v="7"/>
    <x v="16"/>
    <n v="78664"/>
    <x v="19"/>
    <x v="3"/>
    <x v="0"/>
    <d v="2015-05-11T00:00:00"/>
    <n v="2.1400000000000023"/>
    <n v="3"/>
    <x v="31"/>
    <n v="87407"/>
    <x v="0"/>
  </r>
  <r>
    <n v="25354"/>
    <s v="High"/>
    <n v="0.04"/>
    <n v="29.14"/>
    <x v="27"/>
    <x v="17"/>
    <x v="1"/>
    <x v="17"/>
    <x v="2"/>
    <x v="0"/>
    <x v="0"/>
    <x v="7"/>
    <x v="0"/>
    <x v="30"/>
    <n v="0.38"/>
    <n v="0.69"/>
    <s v="United States"/>
    <x v="2"/>
    <x v="7"/>
    <x v="16"/>
    <n v="78664"/>
    <x v="20"/>
    <x v="1"/>
    <x v="0"/>
    <d v="2015-06-14T00:00:00"/>
    <n v="349.40909999999997"/>
    <n v="17"/>
    <x v="32"/>
    <n v="87408"/>
    <x v="0"/>
  </r>
  <r>
    <n v="21017"/>
    <s v="Not Specified"/>
    <n v="0"/>
    <n v="3.69"/>
    <x v="28"/>
    <x v="18"/>
    <x v="1"/>
    <x v="18"/>
    <x v="2"/>
    <x v="2"/>
    <x v="0"/>
    <x v="9"/>
    <x v="3"/>
    <x v="31"/>
    <n v="0.38"/>
    <n v="-9.3822749999999999"/>
    <s v="United States"/>
    <x v="3"/>
    <x v="8"/>
    <x v="17"/>
    <n v="24153"/>
    <x v="21"/>
    <x v="5"/>
    <x v="0"/>
    <d v="2015-03-04T00:00:00"/>
    <n v="-37.5291"/>
    <n v="1"/>
    <x v="33"/>
    <n v="87406"/>
    <x v="0"/>
  </r>
  <r>
    <n v="21019"/>
    <s v="Not Specified"/>
    <n v="0.02"/>
    <n v="175.99"/>
    <x v="7"/>
    <x v="18"/>
    <x v="1"/>
    <x v="18"/>
    <x v="0"/>
    <x v="2"/>
    <x v="2"/>
    <x v="5"/>
    <x v="3"/>
    <x v="32"/>
    <n v="0.59"/>
    <n v="0.17207527975584944"/>
    <s v="United States"/>
    <x v="3"/>
    <x v="8"/>
    <x v="17"/>
    <n v="24153"/>
    <x v="21"/>
    <x v="5"/>
    <x v="0"/>
    <d v="2015-03-02T00:00:00"/>
    <n v="101.49"/>
    <n v="4"/>
    <x v="34"/>
    <n v="87406"/>
    <x v="0"/>
  </r>
  <r>
    <n v="23274"/>
    <s v="Low"/>
    <n v="0.05"/>
    <n v="155.06"/>
    <x v="29"/>
    <x v="19"/>
    <x v="0"/>
    <x v="19"/>
    <x v="2"/>
    <x v="0"/>
    <x v="0"/>
    <x v="10"/>
    <x v="3"/>
    <x v="33"/>
    <n v="0.59"/>
    <n v="0.69"/>
    <s v="United States"/>
    <x v="0"/>
    <x v="1"/>
    <x v="18"/>
    <n v="94559"/>
    <x v="22"/>
    <x v="0"/>
    <x v="0"/>
    <d v="2015-01-09T00:00:00"/>
    <n v="845.66399999999987"/>
    <n v="8"/>
    <x v="35"/>
    <n v="87946"/>
    <x v="0"/>
  </r>
  <r>
    <n v="5272"/>
    <s v="Low"/>
    <n v="0"/>
    <n v="291.73"/>
    <x v="30"/>
    <x v="20"/>
    <x v="1"/>
    <x v="20"/>
    <x v="1"/>
    <x v="0"/>
    <x v="1"/>
    <x v="1"/>
    <x v="1"/>
    <x v="34"/>
    <n v="0.56000000000000005"/>
    <n v="-0.24932448791826062"/>
    <s v="United States"/>
    <x v="1"/>
    <x v="4"/>
    <x v="8"/>
    <n v="10177"/>
    <x v="22"/>
    <x v="0"/>
    <x v="0"/>
    <d v="2015-01-02T00:00:00"/>
    <n v="-308.928"/>
    <n v="4"/>
    <x v="36"/>
    <n v="37537"/>
    <x v="0"/>
  </r>
  <r>
    <n v="5273"/>
    <s v="Low"/>
    <n v="7.0000000000000007E-2"/>
    <n v="100.98"/>
    <x v="31"/>
    <x v="20"/>
    <x v="1"/>
    <x v="20"/>
    <x v="1"/>
    <x v="0"/>
    <x v="1"/>
    <x v="1"/>
    <x v="1"/>
    <x v="35"/>
    <n v="0.69"/>
    <n v="-0.41138423634462262"/>
    <s v="United States"/>
    <x v="1"/>
    <x v="4"/>
    <x v="8"/>
    <n v="10177"/>
    <x v="22"/>
    <x v="0"/>
    <x v="0"/>
    <d v="2015-01-04T00:00:00"/>
    <n v="-1679.7599999999998"/>
    <n v="43"/>
    <x v="37"/>
    <n v="37537"/>
    <x v="0"/>
  </r>
  <r>
    <n v="5274"/>
    <s v="Low"/>
    <n v="0.05"/>
    <n v="155.06"/>
    <x v="29"/>
    <x v="20"/>
    <x v="1"/>
    <x v="20"/>
    <x v="2"/>
    <x v="0"/>
    <x v="0"/>
    <x v="10"/>
    <x v="3"/>
    <x v="33"/>
    <n v="0.59"/>
    <n v="0.11737074645376329"/>
    <s v="United States"/>
    <x v="1"/>
    <x v="4"/>
    <x v="8"/>
    <n v="10177"/>
    <x v="22"/>
    <x v="0"/>
    <x v="0"/>
    <d v="2015-01-09T00:00:00"/>
    <n v="575.39600000000007"/>
    <n v="32"/>
    <x v="38"/>
    <n v="37537"/>
    <x v="0"/>
  </r>
  <r>
    <n v="7786"/>
    <s v="High"/>
    <n v="0.09"/>
    <n v="122.99"/>
    <x v="32"/>
    <x v="20"/>
    <x v="1"/>
    <x v="20"/>
    <x v="1"/>
    <x v="0"/>
    <x v="1"/>
    <x v="1"/>
    <x v="1"/>
    <x v="36"/>
    <n v="0.74"/>
    <n v="-0.42430733451655489"/>
    <s v="United States"/>
    <x v="1"/>
    <x v="4"/>
    <x v="8"/>
    <n v="10177"/>
    <x v="23"/>
    <x v="2"/>
    <x v="0"/>
    <d v="2015-02-04T00:00:00"/>
    <n v="-2426.5500000000002"/>
    <n v="49"/>
    <x v="39"/>
    <n v="55713"/>
    <x v="0"/>
  </r>
  <r>
    <n v="25786"/>
    <s v="High"/>
    <n v="0.09"/>
    <n v="122.99"/>
    <x v="32"/>
    <x v="21"/>
    <x v="0"/>
    <x v="21"/>
    <x v="1"/>
    <x v="0"/>
    <x v="1"/>
    <x v="1"/>
    <x v="1"/>
    <x v="36"/>
    <n v="0.74"/>
    <n v="-1.732594089380449"/>
    <s v="United States"/>
    <x v="1"/>
    <x v="9"/>
    <x v="19"/>
    <n v="5401"/>
    <x v="23"/>
    <x v="2"/>
    <x v="0"/>
    <d v="2015-02-04T00:00:00"/>
    <n v="-2426.5500000000002"/>
    <n v="12"/>
    <x v="40"/>
    <n v="87947"/>
    <x v="0"/>
  </r>
  <r>
    <n v="18281"/>
    <s v="High"/>
    <n v="0.04"/>
    <n v="296.18"/>
    <x v="33"/>
    <x v="22"/>
    <x v="0"/>
    <x v="22"/>
    <x v="1"/>
    <x v="0"/>
    <x v="1"/>
    <x v="11"/>
    <x v="5"/>
    <x v="37"/>
    <n v="0.76"/>
    <n v="-0.39287674118635058"/>
    <s v="United States"/>
    <x v="1"/>
    <x v="10"/>
    <x v="20"/>
    <n v="44708"/>
    <x v="24"/>
    <x v="5"/>
    <x v="0"/>
    <d v="2015-03-15T00:00:00"/>
    <n v="-715.7782060000003"/>
    <n v="6"/>
    <x v="41"/>
    <n v="87365"/>
    <x v="0"/>
  </r>
  <r>
    <n v="23639"/>
    <s v="Not Specified"/>
    <n v="0"/>
    <n v="8.09"/>
    <x v="34"/>
    <x v="23"/>
    <x v="1"/>
    <x v="23"/>
    <x v="2"/>
    <x v="3"/>
    <x v="1"/>
    <x v="2"/>
    <x v="3"/>
    <x v="38"/>
    <n v="0.49"/>
    <n v="-1.5889206418993185"/>
    <s v="United States"/>
    <x v="1"/>
    <x v="10"/>
    <x v="21"/>
    <n v="45231"/>
    <x v="23"/>
    <x v="2"/>
    <x v="0"/>
    <d v="2015-02-03T00:00:00"/>
    <n v="-144.56"/>
    <n v="11"/>
    <x v="42"/>
    <n v="87364"/>
    <x v="0"/>
  </r>
  <r>
    <n v="23880"/>
    <s v="High"/>
    <n v="0.08"/>
    <n v="896.99"/>
    <x v="3"/>
    <x v="23"/>
    <x v="1"/>
    <x v="23"/>
    <x v="2"/>
    <x v="0"/>
    <x v="0"/>
    <x v="8"/>
    <x v="3"/>
    <x v="39"/>
    <n v="0.38"/>
    <n v="0.69"/>
    <s v="United States"/>
    <x v="1"/>
    <x v="10"/>
    <x v="21"/>
    <n v="45231"/>
    <x v="25"/>
    <x v="5"/>
    <x v="0"/>
    <d v="2015-04-02T00:00:00"/>
    <n v="7402.32"/>
    <n v="13"/>
    <x v="43"/>
    <n v="87366"/>
    <x v="0"/>
  </r>
  <r>
    <n v="24663"/>
    <s v="Low"/>
    <n v="0.05"/>
    <n v="161.55000000000001"/>
    <x v="3"/>
    <x v="24"/>
    <x v="1"/>
    <x v="24"/>
    <x v="2"/>
    <x v="0"/>
    <x v="0"/>
    <x v="10"/>
    <x v="3"/>
    <x v="40"/>
    <n v="0.66"/>
    <n v="0.60505484878616489"/>
    <s v="United States"/>
    <x v="0"/>
    <x v="1"/>
    <x v="22"/>
    <n v="95687"/>
    <x v="26"/>
    <x v="1"/>
    <x v="0"/>
    <d v="2015-06-08T00:00:00"/>
    <n v="1892.424"/>
    <n v="19"/>
    <x v="44"/>
    <n v="90596"/>
    <x v="0"/>
  </r>
  <r>
    <n v="23841"/>
    <s v="High"/>
    <n v="0.09"/>
    <n v="4.91"/>
    <x v="28"/>
    <x v="24"/>
    <x v="1"/>
    <x v="24"/>
    <x v="2"/>
    <x v="0"/>
    <x v="0"/>
    <x v="9"/>
    <x v="3"/>
    <x v="41"/>
    <n v="0.36"/>
    <n v="0.69"/>
    <s v="United States"/>
    <x v="0"/>
    <x v="1"/>
    <x v="22"/>
    <n v="95687"/>
    <x v="27"/>
    <x v="5"/>
    <x v="0"/>
    <d v="2015-03-23T00:00:00"/>
    <n v="28.855799999999999"/>
    <n v="9"/>
    <x v="45"/>
    <n v="90597"/>
    <x v="0"/>
  </r>
  <r>
    <n v="23842"/>
    <s v="High"/>
    <n v="0.01"/>
    <n v="296.18"/>
    <x v="33"/>
    <x v="24"/>
    <x v="1"/>
    <x v="24"/>
    <x v="1"/>
    <x v="0"/>
    <x v="1"/>
    <x v="11"/>
    <x v="5"/>
    <x v="37"/>
    <n v="0.76"/>
    <n v="6.0325761896151228E-2"/>
    <s v="United States"/>
    <x v="0"/>
    <x v="1"/>
    <x v="22"/>
    <n v="95687"/>
    <x v="27"/>
    <x v="5"/>
    <x v="0"/>
    <d v="2015-03-25T00:00:00"/>
    <n v="173.48"/>
    <n v="9"/>
    <x v="46"/>
    <n v="90597"/>
    <x v="0"/>
  </r>
  <r>
    <n v="23071"/>
    <s v="High"/>
    <n v="7.0000000000000007E-2"/>
    <n v="19.84"/>
    <x v="35"/>
    <x v="25"/>
    <x v="1"/>
    <x v="25"/>
    <x v="2"/>
    <x v="1"/>
    <x v="0"/>
    <x v="0"/>
    <x v="0"/>
    <x v="42"/>
    <n v="0.44"/>
    <n v="0.69"/>
    <s v="United States"/>
    <x v="0"/>
    <x v="1"/>
    <x v="23"/>
    <n v="94591"/>
    <x v="28"/>
    <x v="3"/>
    <x v="0"/>
    <d v="2015-05-18T00:00:00"/>
    <n v="117.852"/>
    <n v="9"/>
    <x v="47"/>
    <n v="87175"/>
    <x v="0"/>
  </r>
  <r>
    <n v="19877"/>
    <s v="Medium"/>
    <n v="0.05"/>
    <n v="5.18"/>
    <x v="36"/>
    <x v="25"/>
    <x v="1"/>
    <x v="25"/>
    <x v="2"/>
    <x v="1"/>
    <x v="0"/>
    <x v="7"/>
    <x v="0"/>
    <x v="43"/>
    <n v="0.36"/>
    <n v="0.6352334703025776"/>
    <s v="United States"/>
    <x v="0"/>
    <x v="1"/>
    <x v="23"/>
    <n v="94591"/>
    <x v="29"/>
    <x v="2"/>
    <x v="0"/>
    <d v="2015-02-20T00:00:00"/>
    <n v="34.010400000000004"/>
    <n v="10"/>
    <x v="48"/>
    <n v="87176"/>
    <x v="0"/>
  </r>
  <r>
    <n v="19611"/>
    <s v="Medium"/>
    <n v="0.06"/>
    <n v="175.99"/>
    <x v="20"/>
    <x v="25"/>
    <x v="1"/>
    <x v="25"/>
    <x v="2"/>
    <x v="0"/>
    <x v="2"/>
    <x v="5"/>
    <x v="3"/>
    <x v="44"/>
    <n v="0.56999999999999995"/>
    <n v="0.60398063938778601"/>
    <s v="United States"/>
    <x v="0"/>
    <x v="1"/>
    <x v="23"/>
    <n v="94591"/>
    <x v="30"/>
    <x v="5"/>
    <x v="0"/>
    <d v="2015-03-06T00:00:00"/>
    <n v="2031.5070000000001"/>
    <n v="23"/>
    <x v="49"/>
    <n v="87177"/>
    <x v="0"/>
  </r>
  <r>
    <n v="23069"/>
    <s v="High"/>
    <n v="7.0000000000000007E-2"/>
    <n v="8.34"/>
    <x v="37"/>
    <x v="26"/>
    <x v="1"/>
    <x v="26"/>
    <x v="2"/>
    <x v="1"/>
    <x v="0"/>
    <x v="7"/>
    <x v="0"/>
    <x v="45"/>
    <n v="0.35"/>
    <n v="-1.4436705027256205"/>
    <s v="United States"/>
    <x v="3"/>
    <x v="11"/>
    <x v="24"/>
    <n v="70056"/>
    <x v="28"/>
    <x v="3"/>
    <x v="0"/>
    <d v="2015-05-19T00:00:00"/>
    <n v="-190.67999999999998"/>
    <n v="16"/>
    <x v="50"/>
    <n v="87175"/>
    <x v="0"/>
  </r>
  <r>
    <n v="23070"/>
    <s v="High"/>
    <n v="0.09"/>
    <n v="4.9800000000000004"/>
    <x v="38"/>
    <x v="26"/>
    <x v="1"/>
    <x v="26"/>
    <x v="2"/>
    <x v="1"/>
    <x v="0"/>
    <x v="7"/>
    <x v="3"/>
    <x v="46"/>
    <n v="0.36"/>
    <n v="7.176841640935157"/>
    <s v="United States"/>
    <x v="3"/>
    <x v="11"/>
    <x v="24"/>
    <n v="70056"/>
    <x v="28"/>
    <x v="3"/>
    <x v="0"/>
    <d v="2015-05-18T00:00:00"/>
    <n v="325.39800000000002"/>
    <n v="9"/>
    <x v="51"/>
    <n v="87175"/>
    <x v="0"/>
  </r>
  <r>
    <n v="23203"/>
    <s v="Medium"/>
    <n v="0.04"/>
    <n v="12.98"/>
    <x v="39"/>
    <x v="26"/>
    <x v="1"/>
    <x v="26"/>
    <x v="0"/>
    <x v="0"/>
    <x v="0"/>
    <x v="12"/>
    <x v="2"/>
    <x v="47"/>
    <n v="0.6"/>
    <n v="0.1056193297537493"/>
    <s v="United States"/>
    <x v="3"/>
    <x v="11"/>
    <x v="24"/>
    <n v="70056"/>
    <x v="31"/>
    <x v="1"/>
    <x v="0"/>
    <d v="2015-06-09T00:00:00"/>
    <n v="22.817999999999998"/>
    <n v="16"/>
    <x v="52"/>
    <n v="87178"/>
    <x v="0"/>
  </r>
  <r>
    <n v="6243"/>
    <s v="Not Specified"/>
    <n v="0.04"/>
    <n v="160.97999999999999"/>
    <x v="40"/>
    <x v="27"/>
    <x v="1"/>
    <x v="27"/>
    <x v="1"/>
    <x v="1"/>
    <x v="1"/>
    <x v="1"/>
    <x v="1"/>
    <x v="48"/>
    <n v="0.62"/>
    <n v="1.8498041852417171E-2"/>
    <s v="United States"/>
    <x v="2"/>
    <x v="12"/>
    <x v="25"/>
    <n v="60601"/>
    <x v="32"/>
    <x v="3"/>
    <x v="0"/>
    <d v="2015-05-05T00:00:00"/>
    <n v="116.1"/>
    <n v="37"/>
    <x v="53"/>
    <n v="44231"/>
    <x v="0"/>
  </r>
  <r>
    <n v="6244"/>
    <s v="Not Specified"/>
    <n v="0.01"/>
    <n v="17.98"/>
    <x v="41"/>
    <x v="27"/>
    <x v="1"/>
    <x v="27"/>
    <x v="2"/>
    <x v="1"/>
    <x v="2"/>
    <x v="13"/>
    <x v="3"/>
    <x v="49"/>
    <n v="0.79"/>
    <n v="-3.3013061101936643E-2"/>
    <s v="United States"/>
    <x v="2"/>
    <x v="12"/>
    <x v="25"/>
    <n v="60601"/>
    <x v="32"/>
    <x v="3"/>
    <x v="0"/>
    <d v="2015-05-05T00:00:00"/>
    <n v="-87.96"/>
    <n v="146"/>
    <x v="54"/>
    <n v="44231"/>
    <x v="0"/>
  </r>
  <r>
    <n v="24243"/>
    <s v="Not Specified"/>
    <n v="0.04"/>
    <n v="160.97999999999999"/>
    <x v="40"/>
    <x v="28"/>
    <x v="1"/>
    <x v="28"/>
    <x v="1"/>
    <x v="1"/>
    <x v="1"/>
    <x v="1"/>
    <x v="1"/>
    <x v="48"/>
    <n v="0.62"/>
    <n v="0.16730421568370582"/>
    <s v="United States"/>
    <x v="2"/>
    <x v="13"/>
    <x v="26"/>
    <n v="66502"/>
    <x v="32"/>
    <x v="3"/>
    <x v="0"/>
    <d v="2015-05-05T00:00:00"/>
    <n v="255.42000000000002"/>
    <n v="9"/>
    <x v="55"/>
    <n v="87306"/>
    <x v="0"/>
  </r>
  <r>
    <n v="24245"/>
    <s v="Not Specified"/>
    <n v="0.06"/>
    <n v="115.99"/>
    <x v="20"/>
    <x v="28"/>
    <x v="1"/>
    <x v="28"/>
    <x v="2"/>
    <x v="1"/>
    <x v="2"/>
    <x v="5"/>
    <x v="3"/>
    <x v="50"/>
    <n v="0.57999999999999996"/>
    <n v="0.35113625189494818"/>
    <s v="United States"/>
    <x v="2"/>
    <x v="13"/>
    <x v="26"/>
    <n v="66502"/>
    <x v="32"/>
    <x v="3"/>
    <x v="0"/>
    <d v="2015-05-04T00:00:00"/>
    <n v="685.6146"/>
    <n v="20"/>
    <x v="56"/>
    <n v="87306"/>
    <x v="0"/>
  </r>
  <r>
    <n v="18494"/>
    <s v="Medium"/>
    <n v="0.1"/>
    <n v="19.98"/>
    <x v="41"/>
    <x v="29"/>
    <x v="0"/>
    <x v="29"/>
    <x v="2"/>
    <x v="3"/>
    <x v="2"/>
    <x v="13"/>
    <x v="3"/>
    <x v="51"/>
    <n v="0.68"/>
    <n v="-5.3361441417701508E-2"/>
    <s v="United States"/>
    <x v="1"/>
    <x v="14"/>
    <x v="27"/>
    <n v="4005"/>
    <x v="33"/>
    <x v="1"/>
    <x v="0"/>
    <d v="2015-06-24T00:00:00"/>
    <n v="-16.2"/>
    <n v="16"/>
    <x v="57"/>
    <n v="88205"/>
    <x v="0"/>
  </r>
  <r>
    <n v="6014"/>
    <s v="Medium"/>
    <n v="0.04"/>
    <n v="300.98"/>
    <x v="42"/>
    <x v="30"/>
    <x v="1"/>
    <x v="30"/>
    <x v="1"/>
    <x v="3"/>
    <x v="1"/>
    <x v="14"/>
    <x v="5"/>
    <x v="52"/>
    <n v="0.55000000000000004"/>
    <n v="0.21392841815064365"/>
    <s v="United States"/>
    <x v="1"/>
    <x v="15"/>
    <x v="28"/>
    <n v="2129"/>
    <x v="34"/>
    <x v="4"/>
    <x v="0"/>
    <d v="2015-04-07T00:00:00"/>
    <n v="2023.75"/>
    <n v="31"/>
    <x v="58"/>
    <n v="42599"/>
    <x v="0"/>
  </r>
  <r>
    <n v="494"/>
    <s v="Medium"/>
    <n v="0.1"/>
    <n v="19.98"/>
    <x v="41"/>
    <x v="30"/>
    <x v="1"/>
    <x v="30"/>
    <x v="2"/>
    <x v="3"/>
    <x v="2"/>
    <x v="13"/>
    <x v="3"/>
    <x v="51"/>
    <n v="0.68"/>
    <n v="-1.641909642266403E-2"/>
    <s v="United States"/>
    <x v="1"/>
    <x v="15"/>
    <x v="28"/>
    <n v="2129"/>
    <x v="33"/>
    <x v="1"/>
    <x v="0"/>
    <d v="2015-06-24T00:00:00"/>
    <n v="-20.25"/>
    <n v="65"/>
    <x v="59"/>
    <n v="3397"/>
    <x v="0"/>
  </r>
  <r>
    <n v="495"/>
    <s v="Medium"/>
    <n v="0.09"/>
    <n v="2.88"/>
    <x v="25"/>
    <x v="30"/>
    <x v="1"/>
    <x v="30"/>
    <x v="2"/>
    <x v="3"/>
    <x v="0"/>
    <x v="8"/>
    <x v="3"/>
    <x v="53"/>
    <n v="0.36"/>
    <n v="-7.1464806594800243E-2"/>
    <s v="United States"/>
    <x v="1"/>
    <x v="15"/>
    <x v="28"/>
    <n v="2129"/>
    <x v="33"/>
    <x v="1"/>
    <x v="0"/>
    <d v="2015-06-23T00:00:00"/>
    <n v="-3.3809999999999998"/>
    <n v="17"/>
    <x v="60"/>
    <n v="3397"/>
    <x v="0"/>
  </r>
  <r>
    <n v="24014"/>
    <s v="Medium"/>
    <n v="0.04"/>
    <n v="300.98"/>
    <x v="42"/>
    <x v="31"/>
    <x v="0"/>
    <x v="31"/>
    <x v="1"/>
    <x v="3"/>
    <x v="1"/>
    <x v="14"/>
    <x v="5"/>
    <x v="52"/>
    <n v="0.55000000000000004"/>
    <n v="0.69"/>
    <s v="United States"/>
    <x v="1"/>
    <x v="16"/>
    <x v="29"/>
    <n v="3820"/>
    <x v="34"/>
    <x v="4"/>
    <x v="0"/>
    <d v="2015-04-07T00:00:00"/>
    <n v="1684.4762999999998"/>
    <n v="8"/>
    <x v="61"/>
    <n v="88204"/>
    <x v="0"/>
  </r>
  <r>
    <n v="18495"/>
    <s v="Medium"/>
    <n v="0.09"/>
    <n v="2.88"/>
    <x v="25"/>
    <x v="32"/>
    <x v="0"/>
    <x v="32"/>
    <x v="2"/>
    <x v="3"/>
    <x v="0"/>
    <x v="8"/>
    <x v="3"/>
    <x v="53"/>
    <n v="0.36"/>
    <n v="-0.24301886792452826"/>
    <s v="United States"/>
    <x v="1"/>
    <x v="2"/>
    <x v="30"/>
    <n v="7644"/>
    <x v="33"/>
    <x v="1"/>
    <x v="0"/>
    <d v="2015-06-23T00:00:00"/>
    <n v="-2.7047999999999996"/>
    <n v="4"/>
    <x v="62"/>
    <n v="88205"/>
    <x v="0"/>
  </r>
  <r>
    <n v="19074"/>
    <s v="High"/>
    <n v="0.03"/>
    <n v="4.26"/>
    <x v="43"/>
    <x v="33"/>
    <x v="1"/>
    <x v="33"/>
    <x v="2"/>
    <x v="1"/>
    <x v="0"/>
    <x v="0"/>
    <x v="0"/>
    <x v="54"/>
    <n v="0.44"/>
    <n v="0.63247457627118653"/>
    <s v="United States"/>
    <x v="0"/>
    <x v="6"/>
    <x v="31"/>
    <n v="97035"/>
    <x v="35"/>
    <x v="0"/>
    <x v="0"/>
    <d v="2015-01-04T00:00:00"/>
    <n v="18.658000000000001"/>
    <n v="7"/>
    <x v="63"/>
    <n v="89583"/>
    <x v="0"/>
  </r>
  <r>
    <n v="19950"/>
    <s v="Medium"/>
    <n v="0.01"/>
    <n v="4.91"/>
    <x v="28"/>
    <x v="33"/>
    <x v="1"/>
    <x v="33"/>
    <x v="2"/>
    <x v="1"/>
    <x v="0"/>
    <x v="9"/>
    <x v="3"/>
    <x v="41"/>
    <n v="0.36"/>
    <n v="0.69"/>
    <s v="United States"/>
    <x v="0"/>
    <x v="6"/>
    <x v="31"/>
    <n v="97035"/>
    <x v="36"/>
    <x v="4"/>
    <x v="0"/>
    <d v="2015-04-06T00:00:00"/>
    <n v="40.247699999999995"/>
    <n v="12"/>
    <x v="64"/>
    <n v="89584"/>
    <x v="0"/>
  </r>
  <r>
    <n v="19951"/>
    <s v="Medium"/>
    <n v="0.09"/>
    <n v="4"/>
    <x v="44"/>
    <x v="33"/>
    <x v="1"/>
    <x v="33"/>
    <x v="0"/>
    <x v="1"/>
    <x v="0"/>
    <x v="7"/>
    <x v="0"/>
    <x v="55"/>
    <n v="0.37"/>
    <n v="0.69"/>
    <s v="United States"/>
    <x v="0"/>
    <x v="6"/>
    <x v="31"/>
    <n v="97035"/>
    <x v="36"/>
    <x v="4"/>
    <x v="0"/>
    <d v="2015-04-06T00:00:00"/>
    <n v="14.0898"/>
    <n v="5"/>
    <x v="65"/>
    <n v="89584"/>
    <x v="0"/>
  </r>
  <r>
    <n v="26241"/>
    <s v="Low"/>
    <n v="7.0000000000000007E-2"/>
    <n v="2.12"/>
    <x v="45"/>
    <x v="34"/>
    <x v="0"/>
    <x v="34"/>
    <x v="2"/>
    <x v="1"/>
    <x v="2"/>
    <x v="13"/>
    <x v="2"/>
    <x v="56"/>
    <n v="0.55000000000000004"/>
    <n v="-2.1419255849635599"/>
    <s v="United States"/>
    <x v="0"/>
    <x v="6"/>
    <x v="32"/>
    <n v="97128"/>
    <x v="37"/>
    <x v="4"/>
    <x v="0"/>
    <d v="2015-04-11T00:00:00"/>
    <n v="-55.84"/>
    <n v="12"/>
    <x v="66"/>
    <n v="89585"/>
    <x v="0"/>
  </r>
  <r>
    <n v="1074"/>
    <s v="High"/>
    <n v="0.03"/>
    <n v="4.26"/>
    <x v="43"/>
    <x v="35"/>
    <x v="1"/>
    <x v="35"/>
    <x v="2"/>
    <x v="1"/>
    <x v="0"/>
    <x v="0"/>
    <x v="0"/>
    <x v="54"/>
    <n v="0.44"/>
    <n v="8.034034197823775E-2"/>
    <s v="United States"/>
    <x v="0"/>
    <x v="0"/>
    <x v="33"/>
    <n v="98103"/>
    <x v="35"/>
    <x v="0"/>
    <x v="0"/>
    <d v="2015-01-04T00:00:00"/>
    <n v="9.82"/>
    <n v="29"/>
    <x v="67"/>
    <n v="7909"/>
    <x v="0"/>
  </r>
  <r>
    <n v="1950"/>
    <s v="Medium"/>
    <n v="0.01"/>
    <n v="4.91"/>
    <x v="28"/>
    <x v="35"/>
    <x v="1"/>
    <x v="35"/>
    <x v="2"/>
    <x v="1"/>
    <x v="0"/>
    <x v="9"/>
    <x v="3"/>
    <x v="41"/>
    <n v="0.36"/>
    <n v="0.49050161953952554"/>
    <s v="United States"/>
    <x v="0"/>
    <x v="0"/>
    <x v="33"/>
    <n v="98103"/>
    <x v="36"/>
    <x v="4"/>
    <x v="0"/>
    <d v="2015-04-06T00:00:00"/>
    <n v="112.06"/>
    <n v="47"/>
    <x v="68"/>
    <n v="13959"/>
    <x v="1"/>
  </r>
  <r>
    <n v="1951"/>
    <s v="Medium"/>
    <n v="0.09"/>
    <n v="4"/>
    <x v="44"/>
    <x v="35"/>
    <x v="1"/>
    <x v="35"/>
    <x v="0"/>
    <x v="1"/>
    <x v="0"/>
    <x v="7"/>
    <x v="0"/>
    <x v="55"/>
    <n v="0.37"/>
    <n v="0.21633810076021132"/>
    <s v="United States"/>
    <x v="0"/>
    <x v="0"/>
    <x v="33"/>
    <n v="98103"/>
    <x v="36"/>
    <x v="4"/>
    <x v="0"/>
    <d v="2015-04-06T00:00:00"/>
    <n v="16.79"/>
    <n v="19"/>
    <x v="69"/>
    <n v="13959"/>
    <x v="1"/>
  </r>
  <r>
    <n v="8241"/>
    <s v="Low"/>
    <n v="7.0000000000000007E-2"/>
    <n v="2.12"/>
    <x v="45"/>
    <x v="35"/>
    <x v="1"/>
    <x v="35"/>
    <x v="2"/>
    <x v="1"/>
    <x v="2"/>
    <x v="13"/>
    <x v="2"/>
    <x v="56"/>
    <n v="0.55000000000000004"/>
    <n v="-0.55873524114468687"/>
    <s v="United States"/>
    <x v="0"/>
    <x v="0"/>
    <x v="33"/>
    <n v="98103"/>
    <x v="37"/>
    <x v="4"/>
    <x v="0"/>
    <d v="2015-04-11T00:00:00"/>
    <n v="-55.84"/>
    <n v="46"/>
    <x v="70"/>
    <n v="58914"/>
    <x v="0"/>
  </r>
  <r>
    <n v="20688"/>
    <s v="High"/>
    <n v="0.05"/>
    <n v="6.3"/>
    <x v="28"/>
    <x v="36"/>
    <x v="1"/>
    <x v="36"/>
    <x v="2"/>
    <x v="0"/>
    <x v="0"/>
    <x v="9"/>
    <x v="3"/>
    <x v="57"/>
    <n v="0.39"/>
    <n v="0.69"/>
    <s v="United States"/>
    <x v="0"/>
    <x v="17"/>
    <x v="34"/>
    <n v="84041"/>
    <x v="38"/>
    <x v="0"/>
    <x v="0"/>
    <d v="2015-01-13T00:00:00"/>
    <n v="41.296499999999995"/>
    <n v="10"/>
    <x v="71"/>
    <n v="86520"/>
    <x v="0"/>
  </r>
  <r>
    <n v="20689"/>
    <s v="High"/>
    <n v="0.09"/>
    <n v="205.99"/>
    <x v="46"/>
    <x v="36"/>
    <x v="1"/>
    <x v="36"/>
    <x v="0"/>
    <x v="0"/>
    <x v="2"/>
    <x v="5"/>
    <x v="3"/>
    <x v="58"/>
    <n v="0.57999999999999996"/>
    <n v="0.69"/>
    <s v="United States"/>
    <x v="0"/>
    <x v="17"/>
    <x v="34"/>
    <n v="84041"/>
    <x v="38"/>
    <x v="0"/>
    <x v="0"/>
    <d v="2015-01-14T00:00:00"/>
    <n v="1179.0237"/>
    <n v="10"/>
    <x v="72"/>
    <n v="86520"/>
    <x v="0"/>
  </r>
  <r>
    <n v="19942"/>
    <s v="Critical"/>
    <n v="0.06"/>
    <n v="8.57"/>
    <x v="47"/>
    <x v="37"/>
    <x v="0"/>
    <x v="37"/>
    <x v="2"/>
    <x v="1"/>
    <x v="0"/>
    <x v="12"/>
    <x v="2"/>
    <x v="59"/>
    <n v="0.59"/>
    <n v="1.1127513951774244"/>
    <s v="United States"/>
    <x v="3"/>
    <x v="8"/>
    <x v="35"/>
    <n v="22102"/>
    <x v="37"/>
    <x v="4"/>
    <x v="0"/>
    <d v="2015-04-10T00:00:00"/>
    <n v="105.678"/>
    <n v="11"/>
    <x v="73"/>
    <n v="90669"/>
    <x v="0"/>
  </r>
  <r>
    <n v="24319"/>
    <s v="Not Specified"/>
    <n v="0.02"/>
    <n v="1.74"/>
    <x v="48"/>
    <x v="38"/>
    <x v="1"/>
    <x v="38"/>
    <x v="2"/>
    <x v="2"/>
    <x v="1"/>
    <x v="2"/>
    <x v="2"/>
    <x v="60"/>
    <n v="0.53"/>
    <n v="-3.6549364613880742"/>
    <s v="United States"/>
    <x v="2"/>
    <x v="12"/>
    <x v="36"/>
    <n v="62002"/>
    <x v="39"/>
    <x v="0"/>
    <x v="0"/>
    <d v="2015-01-28T00:00:00"/>
    <n v="-37.39"/>
    <n v="5"/>
    <x v="74"/>
    <n v="86693"/>
    <x v="0"/>
  </r>
  <r>
    <n v="18161"/>
    <s v="Not Specified"/>
    <n v="7.0000000000000007E-2"/>
    <n v="15.74"/>
    <x v="49"/>
    <x v="38"/>
    <x v="1"/>
    <x v="38"/>
    <x v="2"/>
    <x v="2"/>
    <x v="0"/>
    <x v="4"/>
    <x v="3"/>
    <x v="61"/>
    <n v="0.4"/>
    <n v="0.69"/>
    <s v="United States"/>
    <x v="2"/>
    <x v="12"/>
    <x v="36"/>
    <n v="62002"/>
    <x v="40"/>
    <x v="3"/>
    <x v="0"/>
    <d v="2015-05-26T00:00:00"/>
    <n v="149.88869999999997"/>
    <n v="14"/>
    <x v="75"/>
    <n v="86694"/>
    <x v="0"/>
  </r>
  <r>
    <n v="25762"/>
    <s v="Critical"/>
    <n v="0.04"/>
    <n v="18.97"/>
    <x v="50"/>
    <x v="39"/>
    <x v="1"/>
    <x v="39"/>
    <x v="2"/>
    <x v="2"/>
    <x v="0"/>
    <x v="7"/>
    <x v="3"/>
    <x v="62"/>
    <n v="0.37"/>
    <n v="2.9880086494987249E-2"/>
    <s v="United States"/>
    <x v="0"/>
    <x v="1"/>
    <x v="37"/>
    <n v="94952"/>
    <x v="41"/>
    <x v="3"/>
    <x v="0"/>
    <d v="2015-05-17T00:00:00"/>
    <n v="3.0400000000000027"/>
    <n v="5"/>
    <x v="76"/>
    <n v="88534"/>
    <x v="0"/>
  </r>
  <r>
    <n v="25764"/>
    <s v="Critical"/>
    <n v="0.09"/>
    <n v="10.98"/>
    <x v="51"/>
    <x v="39"/>
    <x v="1"/>
    <x v="39"/>
    <x v="2"/>
    <x v="2"/>
    <x v="0"/>
    <x v="12"/>
    <x v="2"/>
    <x v="63"/>
    <n v="0.56999999999999995"/>
    <n v="3.2016090866067222E-2"/>
    <s v="United States"/>
    <x v="0"/>
    <x v="1"/>
    <x v="37"/>
    <n v="94952"/>
    <x v="41"/>
    <x v="3"/>
    <x v="0"/>
    <d v="2015-05-17T00:00:00"/>
    <n v="2.7060000000000013"/>
    <n v="8"/>
    <x v="77"/>
    <n v="88534"/>
    <x v="0"/>
  </r>
  <r>
    <n v="24803"/>
    <s v="Critical"/>
    <n v="0.03"/>
    <n v="22.84"/>
    <x v="52"/>
    <x v="40"/>
    <x v="0"/>
    <x v="40"/>
    <x v="2"/>
    <x v="2"/>
    <x v="0"/>
    <x v="7"/>
    <x v="3"/>
    <x v="64"/>
    <n v="0.39"/>
    <n v="0.29417447775040789"/>
    <s v="United States"/>
    <x v="1"/>
    <x v="18"/>
    <x v="38"/>
    <n v="6401"/>
    <x v="42"/>
    <x v="1"/>
    <x v="0"/>
    <d v="2015-06-03T00:00:00"/>
    <n v="91.955999999999989"/>
    <n v="13"/>
    <x v="78"/>
    <n v="91087"/>
    <x v="0"/>
  </r>
  <r>
    <n v="24805"/>
    <s v="Critical"/>
    <n v="0.05"/>
    <n v="10.98"/>
    <x v="51"/>
    <x v="41"/>
    <x v="0"/>
    <x v="41"/>
    <x v="2"/>
    <x v="2"/>
    <x v="0"/>
    <x v="12"/>
    <x v="2"/>
    <x v="63"/>
    <n v="0.56999999999999995"/>
    <n v="-3.9503105590062107E-2"/>
    <s v="United States"/>
    <x v="1"/>
    <x v="15"/>
    <x v="39"/>
    <n v="2664"/>
    <x v="42"/>
    <x v="1"/>
    <x v="0"/>
    <d v="2015-06-03T00:00:00"/>
    <n v="-2.544"/>
    <n v="6"/>
    <x v="79"/>
    <n v="91087"/>
    <x v="0"/>
  </r>
  <r>
    <n v="24849"/>
    <s v="Medium"/>
    <n v="0.06"/>
    <n v="7.04"/>
    <x v="53"/>
    <x v="42"/>
    <x v="1"/>
    <x v="42"/>
    <x v="2"/>
    <x v="2"/>
    <x v="0"/>
    <x v="7"/>
    <x v="0"/>
    <x v="65"/>
    <n v="0.38"/>
    <n v="0.16963822525597269"/>
    <s v="United States"/>
    <x v="1"/>
    <x v="19"/>
    <x v="40"/>
    <n v="15122"/>
    <x v="43"/>
    <x v="0"/>
    <x v="0"/>
    <d v="2015-01-17T00:00:00"/>
    <n v="2.4851999999999999"/>
    <n v="2"/>
    <x v="80"/>
    <n v="91086"/>
    <x v="0"/>
  </r>
  <r>
    <n v="25582"/>
    <s v="Low"/>
    <n v="7.0000000000000007E-2"/>
    <n v="154.13"/>
    <x v="54"/>
    <x v="42"/>
    <x v="1"/>
    <x v="42"/>
    <x v="0"/>
    <x v="1"/>
    <x v="1"/>
    <x v="11"/>
    <x v="6"/>
    <x v="66"/>
    <n v="0.68"/>
    <n v="-1.3992639213438565"/>
    <s v="United States"/>
    <x v="1"/>
    <x v="19"/>
    <x v="40"/>
    <n v="15122"/>
    <x v="44"/>
    <x v="5"/>
    <x v="0"/>
    <d v="2015-03-16T00:00:00"/>
    <n v="-634.73410000000013"/>
    <n v="3"/>
    <x v="81"/>
    <n v="91089"/>
    <x v="0"/>
  </r>
  <r>
    <n v="23365"/>
    <s v="Not Specified"/>
    <n v="0.01"/>
    <n v="45.98"/>
    <x v="55"/>
    <x v="43"/>
    <x v="1"/>
    <x v="43"/>
    <x v="2"/>
    <x v="2"/>
    <x v="1"/>
    <x v="2"/>
    <x v="0"/>
    <x v="67"/>
    <n v="0.68"/>
    <n v="0.69"/>
    <s v="United States"/>
    <x v="2"/>
    <x v="7"/>
    <x v="41"/>
    <n v="76148"/>
    <x v="14"/>
    <x v="5"/>
    <x v="0"/>
    <d v="2015-03-13T00:00:00"/>
    <n v="133.5771"/>
    <n v="4"/>
    <x v="82"/>
    <n v="91088"/>
    <x v="0"/>
  </r>
  <r>
    <n v="22907"/>
    <s v="Medium"/>
    <n v="0.06"/>
    <n v="180.98"/>
    <x v="56"/>
    <x v="43"/>
    <x v="1"/>
    <x v="43"/>
    <x v="1"/>
    <x v="0"/>
    <x v="1"/>
    <x v="1"/>
    <x v="1"/>
    <x v="68"/>
    <n v="0.59"/>
    <n v="0.27045666275804936"/>
    <s v="United States"/>
    <x v="2"/>
    <x v="7"/>
    <x v="41"/>
    <n v="76148"/>
    <x v="45"/>
    <x v="4"/>
    <x v="0"/>
    <d v="2015-04-24T00:00:00"/>
    <n v="251.40839999999997"/>
    <n v="5"/>
    <x v="83"/>
    <n v="91090"/>
    <x v="0"/>
  </r>
  <r>
    <n v="19058"/>
    <s v="Critical"/>
    <n v="0.09"/>
    <n v="32.979999999999997"/>
    <x v="57"/>
    <x v="44"/>
    <x v="1"/>
    <x v="44"/>
    <x v="2"/>
    <x v="1"/>
    <x v="2"/>
    <x v="13"/>
    <x v="3"/>
    <x v="69"/>
    <n v="0.75"/>
    <n v="-0.32433557476785146"/>
    <s v="United States"/>
    <x v="3"/>
    <x v="20"/>
    <x v="42"/>
    <n v="37664"/>
    <x v="46"/>
    <x v="0"/>
    <x v="0"/>
    <d v="2015-01-23T00:00:00"/>
    <n v="-20.258000000000003"/>
    <n v="2"/>
    <x v="84"/>
    <n v="89521"/>
    <x v="0"/>
  </r>
  <r>
    <n v="20679"/>
    <s v="High"/>
    <n v="0.09"/>
    <n v="5.98"/>
    <x v="10"/>
    <x v="44"/>
    <x v="1"/>
    <x v="44"/>
    <x v="2"/>
    <x v="1"/>
    <x v="0"/>
    <x v="4"/>
    <x v="3"/>
    <x v="70"/>
    <n v="0.36"/>
    <n v="0.49434364994663821"/>
    <s v="United States"/>
    <x v="3"/>
    <x v="20"/>
    <x v="42"/>
    <n v="37664"/>
    <x v="18"/>
    <x v="4"/>
    <x v="0"/>
    <d v="2015-04-22T00:00:00"/>
    <n v="13.895999999999999"/>
    <n v="5"/>
    <x v="85"/>
    <n v="89523"/>
    <x v="0"/>
  </r>
  <r>
    <n v="21103"/>
    <s v="Critical"/>
    <n v="0.09"/>
    <n v="2.88"/>
    <x v="22"/>
    <x v="45"/>
    <x v="1"/>
    <x v="45"/>
    <x v="2"/>
    <x v="3"/>
    <x v="0"/>
    <x v="0"/>
    <x v="0"/>
    <x v="71"/>
    <n v="0.56000000000000005"/>
    <n v="-31.403272727272732"/>
    <s v="United States"/>
    <x v="3"/>
    <x v="20"/>
    <x v="43"/>
    <n v="37918"/>
    <x v="43"/>
    <x v="0"/>
    <x v="0"/>
    <d v="2015-01-16T00:00:00"/>
    <n v="-172.71800000000002"/>
    <n v="2"/>
    <x v="86"/>
    <n v="89520"/>
    <x v="0"/>
  </r>
  <r>
    <n v="22243"/>
    <s v="Low"/>
    <n v="0.01"/>
    <n v="79.52"/>
    <x v="58"/>
    <x v="45"/>
    <x v="1"/>
    <x v="45"/>
    <x v="2"/>
    <x v="1"/>
    <x v="1"/>
    <x v="2"/>
    <x v="4"/>
    <x v="72"/>
    <n v="0.74"/>
    <n v="-6.0918782942022034E-2"/>
    <s v="United States"/>
    <x v="3"/>
    <x v="20"/>
    <x v="43"/>
    <n v="37918"/>
    <x v="47"/>
    <x v="4"/>
    <x v="0"/>
    <d v="2015-04-26T00:00:00"/>
    <n v="-40.683999999999997"/>
    <n v="8"/>
    <x v="87"/>
    <n v="89522"/>
    <x v="0"/>
  </r>
  <r>
    <n v="21767"/>
    <s v="High"/>
    <n v="0.01"/>
    <n v="65.989999999999995"/>
    <x v="20"/>
    <x v="45"/>
    <x v="1"/>
    <x v="45"/>
    <x v="2"/>
    <x v="3"/>
    <x v="2"/>
    <x v="5"/>
    <x v="3"/>
    <x v="73"/>
    <n v="0.6"/>
    <n v="0.33487321630222766"/>
    <s v="United States"/>
    <x v="3"/>
    <x v="20"/>
    <x v="43"/>
    <n v="37918"/>
    <x v="48"/>
    <x v="5"/>
    <x v="0"/>
    <d v="2015-04-01T00:00:00"/>
    <n v="97.86"/>
    <n v="5"/>
    <x v="88"/>
    <n v="89524"/>
    <x v="0"/>
  </r>
  <r>
    <n v="22470"/>
    <s v="Low"/>
    <n v="0.1"/>
    <n v="39.979999999999997"/>
    <x v="41"/>
    <x v="45"/>
    <x v="1"/>
    <x v="45"/>
    <x v="2"/>
    <x v="2"/>
    <x v="2"/>
    <x v="13"/>
    <x v="3"/>
    <x v="74"/>
    <n v="0.7"/>
    <n v="0.46629388008698358"/>
    <s v="United States"/>
    <x v="3"/>
    <x v="20"/>
    <x v="43"/>
    <n v="37918"/>
    <x v="49"/>
    <x v="1"/>
    <x v="0"/>
    <d v="2015-06-22T00:00:00"/>
    <n v="360.24"/>
    <n v="21"/>
    <x v="89"/>
    <n v="89525"/>
    <x v="0"/>
  </r>
  <r>
    <n v="22329"/>
    <s v="Critical"/>
    <n v="0.01"/>
    <n v="95.99"/>
    <x v="59"/>
    <x v="46"/>
    <x v="1"/>
    <x v="46"/>
    <x v="2"/>
    <x v="0"/>
    <x v="2"/>
    <x v="5"/>
    <x v="3"/>
    <x v="75"/>
    <n v="0.56000000000000005"/>
    <n v="0.679833917415816"/>
    <s v="United States"/>
    <x v="0"/>
    <x v="21"/>
    <x v="44"/>
    <n v="80525"/>
    <x v="50"/>
    <x v="3"/>
    <x v="0"/>
    <d v="2015-05-15T00:00:00"/>
    <n v="713.88"/>
    <n v="13"/>
    <x v="90"/>
    <n v="87671"/>
    <x v="0"/>
  </r>
  <r>
    <n v="20324"/>
    <s v="High"/>
    <n v="0.03"/>
    <n v="10.89"/>
    <x v="60"/>
    <x v="46"/>
    <x v="1"/>
    <x v="46"/>
    <x v="2"/>
    <x v="0"/>
    <x v="0"/>
    <x v="15"/>
    <x v="3"/>
    <x v="76"/>
    <n v="0.59"/>
    <n v="-0.55115316380839741"/>
    <s v="United States"/>
    <x v="0"/>
    <x v="21"/>
    <x v="44"/>
    <n v="80525"/>
    <x v="51"/>
    <x v="0"/>
    <x v="0"/>
    <d v="2015-01-26T00:00:00"/>
    <n v="-18.64"/>
    <n v="3"/>
    <x v="91"/>
    <n v="87672"/>
    <x v="0"/>
  </r>
  <r>
    <n v="26102"/>
    <s v="Medium"/>
    <n v="0.05"/>
    <n v="100.98"/>
    <x v="61"/>
    <x v="47"/>
    <x v="1"/>
    <x v="47"/>
    <x v="1"/>
    <x v="1"/>
    <x v="1"/>
    <x v="14"/>
    <x v="5"/>
    <x v="77"/>
    <n v="0.62"/>
    <n v="-0.15568443854377753"/>
    <s v="United States"/>
    <x v="0"/>
    <x v="0"/>
    <x v="45"/>
    <n v="99352"/>
    <x v="22"/>
    <x v="0"/>
    <x v="0"/>
    <d v="2015-01-04T00:00:00"/>
    <n v="-111.4"/>
    <n v="7"/>
    <x v="92"/>
    <n v="89961"/>
    <x v="0"/>
  </r>
  <r>
    <n v="26103"/>
    <s v="Medium"/>
    <n v="0.02"/>
    <n v="4.9800000000000004"/>
    <x v="62"/>
    <x v="47"/>
    <x v="1"/>
    <x v="47"/>
    <x v="2"/>
    <x v="1"/>
    <x v="0"/>
    <x v="7"/>
    <x v="3"/>
    <x v="78"/>
    <n v="0.38"/>
    <n v="-1.6881437650668418"/>
    <s v="United States"/>
    <x v="0"/>
    <x v="0"/>
    <x v="45"/>
    <n v="99352"/>
    <x v="22"/>
    <x v="0"/>
    <x v="0"/>
    <d v="2015-01-03T00:00:00"/>
    <n v="-77.03"/>
    <n v="9"/>
    <x v="93"/>
    <n v="89961"/>
    <x v="0"/>
  </r>
  <r>
    <n v="21040"/>
    <s v="Low"/>
    <n v="0.08"/>
    <n v="399.98"/>
    <x v="63"/>
    <x v="48"/>
    <x v="0"/>
    <x v="48"/>
    <x v="1"/>
    <x v="3"/>
    <x v="2"/>
    <x v="6"/>
    <x v="5"/>
    <x v="79"/>
    <n v="0.56000000000000005"/>
    <n v="1.5497551510671717E-2"/>
    <s v="United States"/>
    <x v="3"/>
    <x v="20"/>
    <x v="46"/>
    <n v="37087"/>
    <x v="52"/>
    <x v="0"/>
    <x v="0"/>
    <d v="2015-01-18T00:00:00"/>
    <n v="28.514099999999999"/>
    <n v="5"/>
    <x v="94"/>
    <n v="89426"/>
    <x v="0"/>
  </r>
  <r>
    <n v="19315"/>
    <s v="Low"/>
    <n v="0.08"/>
    <n v="43.22"/>
    <x v="64"/>
    <x v="49"/>
    <x v="1"/>
    <x v="49"/>
    <x v="2"/>
    <x v="0"/>
    <x v="2"/>
    <x v="13"/>
    <x v="3"/>
    <x v="80"/>
    <n v="0.66"/>
    <n v="2.1457248507119888"/>
    <s v="United States"/>
    <x v="3"/>
    <x v="11"/>
    <x v="47"/>
    <n v="70802"/>
    <x v="35"/>
    <x v="0"/>
    <x v="0"/>
    <d v="2015-01-05T00:00:00"/>
    <n v="280.27458000000001"/>
    <n v="3"/>
    <x v="95"/>
    <n v="87463"/>
    <x v="0"/>
  </r>
  <r>
    <n v="19316"/>
    <s v="Low"/>
    <n v="0.05"/>
    <n v="574.74"/>
    <x v="65"/>
    <x v="49"/>
    <x v="1"/>
    <x v="49"/>
    <x v="2"/>
    <x v="0"/>
    <x v="2"/>
    <x v="6"/>
    <x v="6"/>
    <x v="81"/>
    <n v="0.37"/>
    <n v="-1.6187719217411838E-2"/>
    <s v="United States"/>
    <x v="3"/>
    <x v="11"/>
    <x v="47"/>
    <n v="70802"/>
    <x v="35"/>
    <x v="0"/>
    <x v="0"/>
    <d v="2015-01-10T00:00:00"/>
    <n v="-112.4263"/>
    <n v="12"/>
    <x v="96"/>
    <n v="87463"/>
    <x v="0"/>
  </r>
  <r>
    <n v="19317"/>
    <s v="Low"/>
    <n v="0.04"/>
    <n v="10.14"/>
    <x v="66"/>
    <x v="49"/>
    <x v="1"/>
    <x v="49"/>
    <x v="2"/>
    <x v="0"/>
    <x v="0"/>
    <x v="7"/>
    <x v="0"/>
    <x v="82"/>
    <n v="0.36"/>
    <n v="0.80555914673561724"/>
    <s v="United States"/>
    <x v="3"/>
    <x v="11"/>
    <x v="47"/>
    <n v="70802"/>
    <x v="35"/>
    <x v="0"/>
    <x v="0"/>
    <d v="2015-01-07T00:00:00"/>
    <n v="24.923999999999999"/>
    <n v="3"/>
    <x v="97"/>
    <n v="87463"/>
    <x v="0"/>
  </r>
  <r>
    <n v="19314"/>
    <s v="Critical"/>
    <n v="0.05"/>
    <n v="1.88"/>
    <x v="25"/>
    <x v="50"/>
    <x v="0"/>
    <x v="50"/>
    <x v="2"/>
    <x v="0"/>
    <x v="0"/>
    <x v="8"/>
    <x v="3"/>
    <x v="83"/>
    <n v="0.37"/>
    <n v="-0.85073099415204667"/>
    <s v="United States"/>
    <x v="1"/>
    <x v="2"/>
    <x v="48"/>
    <n v="7024"/>
    <x v="53"/>
    <x v="4"/>
    <x v="0"/>
    <d v="2015-04-15T00:00:00"/>
    <n v="-2.9094999999999995"/>
    <n v="1"/>
    <x v="98"/>
    <n v="87464"/>
    <x v="0"/>
  </r>
  <r>
    <n v="5361"/>
    <s v="Critical"/>
    <n v="0.02"/>
    <n v="49.99"/>
    <x v="3"/>
    <x v="51"/>
    <x v="1"/>
    <x v="51"/>
    <x v="2"/>
    <x v="2"/>
    <x v="2"/>
    <x v="13"/>
    <x v="3"/>
    <x v="84"/>
    <n v="0.41"/>
    <n v="-8.526186225479869E-2"/>
    <s v="United States"/>
    <x v="0"/>
    <x v="1"/>
    <x v="49"/>
    <n v="94122"/>
    <x v="54"/>
    <x v="2"/>
    <x v="0"/>
    <d v="2015-02-21T00:00:00"/>
    <n v="-76.89"/>
    <n v="18"/>
    <x v="99"/>
    <n v="38087"/>
    <x v="0"/>
  </r>
  <r>
    <n v="522"/>
    <s v="High"/>
    <n v="7.0000000000000007E-2"/>
    <n v="1.68"/>
    <x v="15"/>
    <x v="51"/>
    <x v="1"/>
    <x v="51"/>
    <x v="2"/>
    <x v="0"/>
    <x v="0"/>
    <x v="0"/>
    <x v="0"/>
    <x v="15"/>
    <n v="0.59"/>
    <n v="-0.19159654858245351"/>
    <s v="United States"/>
    <x v="0"/>
    <x v="1"/>
    <x v="49"/>
    <n v="94122"/>
    <x v="55"/>
    <x v="3"/>
    <x v="0"/>
    <d v="2015-05-23T00:00:00"/>
    <n v="-35.75"/>
    <n v="116"/>
    <x v="100"/>
    <n v="3585"/>
    <x v="0"/>
  </r>
  <r>
    <n v="23361"/>
    <s v="Critical"/>
    <n v="0.02"/>
    <n v="49.99"/>
    <x v="3"/>
    <x v="52"/>
    <x v="0"/>
    <x v="52"/>
    <x v="2"/>
    <x v="2"/>
    <x v="2"/>
    <x v="13"/>
    <x v="3"/>
    <x v="84"/>
    <n v="0.41"/>
    <n v="-0.30694610778443115"/>
    <s v="United States"/>
    <x v="1"/>
    <x v="15"/>
    <x v="50"/>
    <n v="2474"/>
    <x v="54"/>
    <x v="2"/>
    <x v="0"/>
    <d v="2015-02-21T00:00:00"/>
    <n v="-76.89"/>
    <n v="5"/>
    <x v="101"/>
    <n v="88360"/>
    <x v="0"/>
  </r>
  <r>
    <n v="18521"/>
    <s v="High"/>
    <n v="7.0000000000000007E-2"/>
    <n v="10.06"/>
    <x v="67"/>
    <x v="53"/>
    <x v="1"/>
    <x v="53"/>
    <x v="2"/>
    <x v="0"/>
    <x v="0"/>
    <x v="7"/>
    <x v="0"/>
    <x v="85"/>
    <n v="0.39"/>
    <n v="0.69"/>
    <s v="United States"/>
    <x v="2"/>
    <x v="7"/>
    <x v="51"/>
    <n v="76240"/>
    <x v="55"/>
    <x v="3"/>
    <x v="0"/>
    <d v="2015-05-22T00:00:00"/>
    <n v="152.65559999999999"/>
    <n v="23"/>
    <x v="102"/>
    <n v="88361"/>
    <x v="0"/>
  </r>
  <r>
    <n v="18522"/>
    <s v="High"/>
    <n v="7.0000000000000007E-2"/>
    <n v="1.68"/>
    <x v="15"/>
    <x v="53"/>
    <x v="1"/>
    <x v="53"/>
    <x v="2"/>
    <x v="0"/>
    <x v="0"/>
    <x v="0"/>
    <x v="0"/>
    <x v="15"/>
    <n v="0.59"/>
    <n v="0.15326902465166142"/>
    <s v="United States"/>
    <x v="2"/>
    <x v="7"/>
    <x v="51"/>
    <n v="76240"/>
    <x v="55"/>
    <x v="3"/>
    <x v="0"/>
    <d v="2015-05-23T00:00:00"/>
    <n v="7.1500000000000057"/>
    <n v="29"/>
    <x v="103"/>
    <n v="88361"/>
    <x v="0"/>
  </r>
  <r>
    <n v="18817"/>
    <s v="High"/>
    <n v="0.1"/>
    <n v="58.1"/>
    <x v="25"/>
    <x v="54"/>
    <x v="0"/>
    <x v="54"/>
    <x v="2"/>
    <x v="0"/>
    <x v="0"/>
    <x v="8"/>
    <x v="3"/>
    <x v="86"/>
    <n v="0.38"/>
    <n v="0.69"/>
    <s v="United States"/>
    <x v="2"/>
    <x v="12"/>
    <x v="52"/>
    <n v="60004"/>
    <x v="6"/>
    <x v="2"/>
    <x v="0"/>
    <d v="2015-02-13T00:00:00"/>
    <n v="113.6499"/>
    <n v="3"/>
    <x v="104"/>
    <n v="89092"/>
    <x v="0"/>
  </r>
  <r>
    <n v="18818"/>
    <s v="High"/>
    <n v="0.01"/>
    <n v="80.48"/>
    <x v="60"/>
    <x v="55"/>
    <x v="1"/>
    <x v="55"/>
    <x v="2"/>
    <x v="0"/>
    <x v="0"/>
    <x v="15"/>
    <x v="3"/>
    <x v="87"/>
    <n v="0.55000000000000004"/>
    <n v="-0.44521084337349398"/>
    <s v="United States"/>
    <x v="2"/>
    <x v="12"/>
    <x v="53"/>
    <n v="60505"/>
    <x v="6"/>
    <x v="2"/>
    <x v="0"/>
    <d v="2015-02-15T00:00:00"/>
    <n v="-35.474400000000003"/>
    <n v="1"/>
    <x v="105"/>
    <n v="89092"/>
    <x v="0"/>
  </r>
  <r>
    <n v="20520"/>
    <s v="Not Specified"/>
    <n v="0.05"/>
    <n v="3.8"/>
    <x v="25"/>
    <x v="55"/>
    <x v="1"/>
    <x v="55"/>
    <x v="2"/>
    <x v="0"/>
    <x v="0"/>
    <x v="8"/>
    <x v="3"/>
    <x v="27"/>
    <n v="0.38"/>
    <n v="0.27162974089372888"/>
    <s v="United States"/>
    <x v="2"/>
    <x v="12"/>
    <x v="53"/>
    <n v="60505"/>
    <x v="37"/>
    <x v="4"/>
    <x v="0"/>
    <d v="2015-04-11T00:00:00"/>
    <n v="14.466999999999999"/>
    <n v="14"/>
    <x v="106"/>
    <n v="89093"/>
    <x v="0"/>
  </r>
  <r>
    <n v="20521"/>
    <s v="Not Specified"/>
    <n v="0.09"/>
    <n v="30.73"/>
    <x v="41"/>
    <x v="55"/>
    <x v="1"/>
    <x v="55"/>
    <x v="2"/>
    <x v="0"/>
    <x v="2"/>
    <x v="13"/>
    <x v="3"/>
    <x v="88"/>
    <n v="0.75"/>
    <n v="-0.49135780628040687"/>
    <s v="United States"/>
    <x v="2"/>
    <x v="12"/>
    <x v="53"/>
    <n v="60505"/>
    <x v="37"/>
    <x v="4"/>
    <x v="0"/>
    <d v="2015-04-09T00:00:00"/>
    <n v="-99.986400000000003"/>
    <n v="7"/>
    <x v="107"/>
    <n v="89093"/>
    <x v="0"/>
  </r>
  <r>
    <n v="20522"/>
    <s v="Not Specified"/>
    <n v="0"/>
    <n v="125.99"/>
    <x v="68"/>
    <x v="55"/>
    <x v="1"/>
    <x v="55"/>
    <x v="2"/>
    <x v="0"/>
    <x v="2"/>
    <x v="5"/>
    <x v="3"/>
    <x v="89"/>
    <n v="0.56999999999999995"/>
    <n v="0.57240704411271592"/>
    <s v="United States"/>
    <x v="2"/>
    <x v="12"/>
    <x v="53"/>
    <n v="60505"/>
    <x v="37"/>
    <x v="4"/>
    <x v="0"/>
    <d v="2015-04-10T00:00:00"/>
    <n v="1348.59672"/>
    <n v="22"/>
    <x v="108"/>
    <n v="89093"/>
    <x v="0"/>
  </r>
  <r>
    <n v="19663"/>
    <s v="Not Specified"/>
    <n v="0"/>
    <n v="213.45"/>
    <x v="69"/>
    <x v="56"/>
    <x v="1"/>
    <x v="56"/>
    <x v="1"/>
    <x v="0"/>
    <x v="2"/>
    <x v="6"/>
    <x v="1"/>
    <x v="90"/>
    <n v="0.59"/>
    <n v="-2.5022942173835445"/>
    <s v="United States"/>
    <x v="0"/>
    <x v="17"/>
    <x v="34"/>
    <n v="84041"/>
    <x v="35"/>
    <x v="0"/>
    <x v="0"/>
    <d v="2015-01-05T00:00:00"/>
    <n v="-560.81417999999996"/>
    <n v="1"/>
    <x v="109"/>
    <n v="90430"/>
    <x v="0"/>
  </r>
  <r>
    <n v="20645"/>
    <s v="Medium"/>
    <n v="7.0000000000000007E-2"/>
    <n v="6.54"/>
    <x v="70"/>
    <x v="56"/>
    <x v="1"/>
    <x v="56"/>
    <x v="2"/>
    <x v="0"/>
    <x v="0"/>
    <x v="8"/>
    <x v="3"/>
    <x v="91"/>
    <n v="0.36"/>
    <n v="-0.47073770491803274"/>
    <s v="United States"/>
    <x v="0"/>
    <x v="17"/>
    <x v="34"/>
    <n v="84041"/>
    <x v="25"/>
    <x v="5"/>
    <x v="0"/>
    <d v="2015-04-01T00:00:00"/>
    <n v="-66.044499999999999"/>
    <n v="21"/>
    <x v="110"/>
    <n v="90432"/>
    <x v="0"/>
  </r>
  <r>
    <n v="24273"/>
    <s v="Not Specified"/>
    <n v="0.02"/>
    <n v="6.48"/>
    <x v="71"/>
    <x v="57"/>
    <x v="1"/>
    <x v="57"/>
    <x v="2"/>
    <x v="0"/>
    <x v="0"/>
    <x v="7"/>
    <x v="3"/>
    <x v="92"/>
    <n v="0.37"/>
    <n v="-3.7477021276595748"/>
    <s v="United States"/>
    <x v="0"/>
    <x v="17"/>
    <x v="54"/>
    <n v="84043"/>
    <x v="56"/>
    <x v="0"/>
    <x v="0"/>
    <d v="2015-01-11T00:00:00"/>
    <n v="-105.68520000000001"/>
    <n v="4"/>
    <x v="111"/>
    <n v="90431"/>
    <x v="0"/>
  </r>
  <r>
    <n v="20646"/>
    <s v="Medium"/>
    <n v="0.09"/>
    <n v="3.29"/>
    <x v="72"/>
    <x v="57"/>
    <x v="1"/>
    <x v="57"/>
    <x v="2"/>
    <x v="0"/>
    <x v="0"/>
    <x v="3"/>
    <x v="0"/>
    <x v="93"/>
    <n v="0.4"/>
    <n v="0.21886792452830189"/>
    <s v="United States"/>
    <x v="0"/>
    <x v="17"/>
    <x v="54"/>
    <n v="84043"/>
    <x v="25"/>
    <x v="5"/>
    <x v="0"/>
    <d v="2015-04-01T00:00:00"/>
    <n v="15.66"/>
    <n v="23"/>
    <x v="112"/>
    <n v="90432"/>
    <x v="0"/>
  </r>
  <r>
    <n v="25158"/>
    <s v="Critical"/>
    <n v="0"/>
    <n v="161.55000000000001"/>
    <x v="3"/>
    <x v="58"/>
    <x v="0"/>
    <x v="58"/>
    <x v="2"/>
    <x v="2"/>
    <x v="0"/>
    <x v="10"/>
    <x v="3"/>
    <x v="40"/>
    <n v="0.66"/>
    <n v="0.37541508790664468"/>
    <s v="United States"/>
    <x v="2"/>
    <x v="13"/>
    <x v="55"/>
    <n v="66212"/>
    <x v="57"/>
    <x v="4"/>
    <x v="0"/>
    <d v="2015-04-04T00:00:00"/>
    <n v="1167.1580000000001"/>
    <n v="19"/>
    <x v="113"/>
    <n v="88921"/>
    <x v="0"/>
  </r>
  <r>
    <n v="7158"/>
    <s v="Critical"/>
    <n v="0"/>
    <n v="161.55000000000001"/>
    <x v="3"/>
    <x v="59"/>
    <x v="0"/>
    <x v="59"/>
    <x v="2"/>
    <x v="2"/>
    <x v="0"/>
    <x v="10"/>
    <x v="3"/>
    <x v="40"/>
    <n v="0.66"/>
    <n v="8.0552083209320974E-2"/>
    <s v="United States"/>
    <x v="2"/>
    <x v="22"/>
    <x v="56"/>
    <n v="48138"/>
    <x v="57"/>
    <x v="4"/>
    <x v="0"/>
    <d v="2015-04-04T00:00:00"/>
    <n v="1014.9200000000001"/>
    <n v="77"/>
    <x v="114"/>
    <n v="51072"/>
    <x v="0"/>
  </r>
  <r>
    <n v="22136"/>
    <s v="Not Specified"/>
    <n v="0.09"/>
    <n v="12.28"/>
    <x v="27"/>
    <x v="60"/>
    <x v="1"/>
    <x v="60"/>
    <x v="2"/>
    <x v="0"/>
    <x v="0"/>
    <x v="7"/>
    <x v="3"/>
    <x v="94"/>
    <n v="0.38"/>
    <n v="4.9927849927849932E-2"/>
    <s v="United States"/>
    <x v="2"/>
    <x v="23"/>
    <x v="57"/>
    <n v="74006"/>
    <x v="58"/>
    <x v="4"/>
    <x v="0"/>
    <d v="2015-04-28T00:00:00"/>
    <n v="1.73"/>
    <n v="3"/>
    <x v="115"/>
    <n v="88971"/>
    <x v="0"/>
  </r>
  <r>
    <n v="18783"/>
    <s v="High"/>
    <n v="0.03"/>
    <n v="7.37"/>
    <x v="73"/>
    <x v="60"/>
    <x v="1"/>
    <x v="60"/>
    <x v="2"/>
    <x v="0"/>
    <x v="2"/>
    <x v="13"/>
    <x v="2"/>
    <x v="95"/>
    <n v="0.69"/>
    <n v="-1.5584566965846833"/>
    <s v="United States"/>
    <x v="2"/>
    <x v="23"/>
    <x v="57"/>
    <n v="74006"/>
    <x v="59"/>
    <x v="0"/>
    <x v="0"/>
    <d v="2015-01-18T00:00:00"/>
    <n v="-133.69999999999999"/>
    <n v="11"/>
    <x v="116"/>
    <n v="88972"/>
    <x v="0"/>
  </r>
  <r>
    <n v="21401"/>
    <s v="Low"/>
    <n v="0.05"/>
    <n v="1.86"/>
    <x v="74"/>
    <x v="61"/>
    <x v="1"/>
    <x v="61"/>
    <x v="2"/>
    <x v="1"/>
    <x v="0"/>
    <x v="3"/>
    <x v="0"/>
    <x v="96"/>
    <n v="0.82"/>
    <n v="-3.7830777967064173"/>
    <s v="United States"/>
    <x v="1"/>
    <x v="4"/>
    <x v="58"/>
    <n v="12180"/>
    <x v="60"/>
    <x v="0"/>
    <x v="0"/>
    <d v="2015-01-21T00:00:00"/>
    <n v="-66.62"/>
    <n v="9"/>
    <x v="117"/>
    <n v="85965"/>
    <x v="0"/>
  </r>
  <r>
    <n v="23097"/>
    <s v="Medium"/>
    <n v="0.09"/>
    <n v="5.4"/>
    <x v="75"/>
    <x v="61"/>
    <x v="1"/>
    <x v="61"/>
    <x v="0"/>
    <x v="1"/>
    <x v="0"/>
    <x v="8"/>
    <x v="3"/>
    <x v="97"/>
    <n v="0.37"/>
    <n v="-0.78709706959706949"/>
    <s v="United States"/>
    <x v="1"/>
    <x v="4"/>
    <x v="58"/>
    <n v="12180"/>
    <x v="42"/>
    <x v="1"/>
    <x v="0"/>
    <d v="2015-06-02T00:00:00"/>
    <n v="-21.487749999999998"/>
    <n v="4"/>
    <x v="118"/>
    <n v="85966"/>
    <x v="0"/>
  </r>
  <r>
    <n v="23098"/>
    <s v="Medium"/>
    <n v="0.02"/>
    <n v="20.28"/>
    <x v="76"/>
    <x v="61"/>
    <x v="1"/>
    <x v="61"/>
    <x v="2"/>
    <x v="1"/>
    <x v="1"/>
    <x v="2"/>
    <x v="3"/>
    <x v="98"/>
    <n v="0.53"/>
    <n v="0.69"/>
    <s v="United States"/>
    <x v="1"/>
    <x v="4"/>
    <x v="58"/>
    <n v="12180"/>
    <x v="42"/>
    <x v="1"/>
    <x v="0"/>
    <d v="2015-06-02T00:00:00"/>
    <n v="44.677499999999995"/>
    <n v="3"/>
    <x v="119"/>
    <n v="85966"/>
    <x v="0"/>
  </r>
  <r>
    <n v="23099"/>
    <s v="Medium"/>
    <n v="0"/>
    <n v="11.55"/>
    <x v="77"/>
    <x v="61"/>
    <x v="1"/>
    <x v="61"/>
    <x v="2"/>
    <x v="1"/>
    <x v="0"/>
    <x v="0"/>
    <x v="0"/>
    <x v="99"/>
    <n v="0.55000000000000004"/>
    <n v="0.37464274372816769"/>
    <s v="United States"/>
    <x v="1"/>
    <x v="4"/>
    <x v="58"/>
    <n v="12180"/>
    <x v="42"/>
    <x v="1"/>
    <x v="0"/>
    <d v="2015-06-03T00:00:00"/>
    <n v="23.594999999999999"/>
    <n v="5"/>
    <x v="120"/>
    <n v="85966"/>
    <x v="0"/>
  </r>
  <r>
    <n v="23605"/>
    <s v="Medium"/>
    <n v="0.01"/>
    <n v="10.06"/>
    <x v="67"/>
    <x v="62"/>
    <x v="1"/>
    <x v="62"/>
    <x v="2"/>
    <x v="3"/>
    <x v="0"/>
    <x v="7"/>
    <x v="0"/>
    <x v="85"/>
    <n v="0.39"/>
    <n v="0.35801886792452831"/>
    <s v="United States"/>
    <x v="1"/>
    <x v="4"/>
    <x v="59"/>
    <n v="13501"/>
    <x v="61"/>
    <x v="0"/>
    <x v="0"/>
    <d v="2015-01-08T00:00:00"/>
    <n v="7.59"/>
    <n v="2"/>
    <x v="121"/>
    <n v="85964"/>
    <x v="0"/>
  </r>
  <r>
    <n v="23606"/>
    <s v="Medium"/>
    <n v="0"/>
    <n v="65.989999999999995"/>
    <x v="78"/>
    <x v="62"/>
    <x v="1"/>
    <x v="62"/>
    <x v="2"/>
    <x v="3"/>
    <x v="2"/>
    <x v="5"/>
    <x v="3"/>
    <x v="100"/>
    <n v="0.55000000000000004"/>
    <n v="-0.62304984998846069"/>
    <s v="United States"/>
    <x v="1"/>
    <x v="4"/>
    <x v="59"/>
    <n v="13501"/>
    <x v="61"/>
    <x v="0"/>
    <x v="0"/>
    <d v="2015-01-08T00:00:00"/>
    <n v="-107.98699999999999"/>
    <n v="3"/>
    <x v="122"/>
    <n v="85964"/>
    <x v="0"/>
  </r>
  <r>
    <n v="23100"/>
    <s v="Medium"/>
    <n v="0.05"/>
    <n v="2.08"/>
    <x v="79"/>
    <x v="62"/>
    <x v="1"/>
    <x v="62"/>
    <x v="2"/>
    <x v="1"/>
    <x v="0"/>
    <x v="12"/>
    <x v="2"/>
    <x v="101"/>
    <n v="0.55000000000000004"/>
    <n v="-0.85717663750295581"/>
    <s v="United States"/>
    <x v="1"/>
    <x v="4"/>
    <x v="59"/>
    <n v="13501"/>
    <x v="42"/>
    <x v="1"/>
    <x v="0"/>
    <d v="2015-06-03T00:00:00"/>
    <n v="-36.25"/>
    <n v="20"/>
    <x v="123"/>
    <n v="85966"/>
    <x v="0"/>
  </r>
  <r>
    <n v="26303"/>
    <s v="Medium"/>
    <n v="0.05"/>
    <n v="119.99"/>
    <x v="80"/>
    <x v="63"/>
    <x v="0"/>
    <x v="63"/>
    <x v="1"/>
    <x v="3"/>
    <x v="2"/>
    <x v="6"/>
    <x v="5"/>
    <x v="102"/>
    <n v="0.39"/>
    <n v="-0.14035639470405412"/>
    <s v="United States"/>
    <x v="0"/>
    <x v="17"/>
    <x v="60"/>
    <n v="84107"/>
    <x v="62"/>
    <x v="1"/>
    <x v="0"/>
    <d v="2015-06-11T00:00:00"/>
    <n v="-102.5121"/>
    <n v="6"/>
    <x v="124"/>
    <n v="88048"/>
    <x v="0"/>
  </r>
  <r>
    <n v="21203"/>
    <s v="Medium"/>
    <n v="0.03"/>
    <n v="60.89"/>
    <x v="81"/>
    <x v="64"/>
    <x v="0"/>
    <x v="64"/>
    <x v="1"/>
    <x v="2"/>
    <x v="1"/>
    <x v="1"/>
    <x v="1"/>
    <x v="103"/>
    <n v="0.56000000000000005"/>
    <n v="8.0698794645830088E-2"/>
    <s v="United States"/>
    <x v="3"/>
    <x v="24"/>
    <x v="61"/>
    <n v="28227"/>
    <x v="57"/>
    <x v="4"/>
    <x v="0"/>
    <d v="2015-04-03T00:00:00"/>
    <n v="36.353999999999999"/>
    <n v="7"/>
    <x v="125"/>
    <n v="88527"/>
    <x v="0"/>
  </r>
  <r>
    <n v="25500"/>
    <s v="Medium"/>
    <n v="7.0000000000000007E-2"/>
    <n v="5.81"/>
    <x v="82"/>
    <x v="65"/>
    <x v="1"/>
    <x v="65"/>
    <x v="2"/>
    <x v="2"/>
    <x v="0"/>
    <x v="8"/>
    <x v="3"/>
    <x v="104"/>
    <n v="0.39"/>
    <n v="-4.1366751700680267"/>
    <s v="United States"/>
    <x v="2"/>
    <x v="12"/>
    <x v="62"/>
    <n v="60462"/>
    <x v="63"/>
    <x v="2"/>
    <x v="0"/>
    <d v="2015-02-22T00:00:00"/>
    <n v="-243.23649999999998"/>
    <n v="10"/>
    <x v="126"/>
    <n v="90237"/>
    <x v="0"/>
  </r>
  <r>
    <n v="25501"/>
    <s v="Medium"/>
    <n v="0.04"/>
    <n v="9.65"/>
    <x v="83"/>
    <x v="65"/>
    <x v="1"/>
    <x v="65"/>
    <x v="2"/>
    <x v="2"/>
    <x v="1"/>
    <x v="2"/>
    <x v="3"/>
    <x v="105"/>
    <n v="0.55000000000000004"/>
    <n v="-0.44509006391632772"/>
    <s v="United States"/>
    <x v="2"/>
    <x v="12"/>
    <x v="62"/>
    <n v="60462"/>
    <x v="63"/>
    <x v="2"/>
    <x v="0"/>
    <d v="2015-02-21T00:00:00"/>
    <n v="-53.62"/>
    <n v="12"/>
    <x v="127"/>
    <n v="90237"/>
    <x v="0"/>
  </r>
  <r>
    <n v="23058"/>
    <s v="Critical"/>
    <n v="0.06"/>
    <n v="279.81"/>
    <x v="84"/>
    <x v="66"/>
    <x v="1"/>
    <x v="66"/>
    <x v="1"/>
    <x v="2"/>
    <x v="0"/>
    <x v="15"/>
    <x v="1"/>
    <x v="106"/>
    <n v="0.59"/>
    <n v="0.69"/>
    <s v="United States"/>
    <x v="2"/>
    <x v="25"/>
    <x v="63"/>
    <n v="50208"/>
    <x v="64"/>
    <x v="2"/>
    <x v="0"/>
    <d v="2015-02-06T00:00:00"/>
    <n v="1103.9723999999999"/>
    <n v="6"/>
    <x v="128"/>
    <n v="90236"/>
    <x v="0"/>
  </r>
  <r>
    <n v="25121"/>
    <s v="High"/>
    <n v="0.03"/>
    <n v="28.53"/>
    <x v="25"/>
    <x v="66"/>
    <x v="1"/>
    <x v="66"/>
    <x v="2"/>
    <x v="2"/>
    <x v="0"/>
    <x v="8"/>
    <x v="3"/>
    <x v="107"/>
    <n v="0.38"/>
    <n v="0.69"/>
    <s v="United States"/>
    <x v="2"/>
    <x v="25"/>
    <x v="63"/>
    <n v="50208"/>
    <x v="12"/>
    <x v="5"/>
    <x v="0"/>
    <d v="2015-03-29T00:00:00"/>
    <n v="136.33709999999999"/>
    <n v="7"/>
    <x v="129"/>
    <n v="90238"/>
    <x v="0"/>
  </r>
  <r>
    <n v="25122"/>
    <s v="High"/>
    <n v="0.01"/>
    <n v="15.28"/>
    <x v="45"/>
    <x v="66"/>
    <x v="1"/>
    <x v="66"/>
    <x v="2"/>
    <x v="2"/>
    <x v="2"/>
    <x v="13"/>
    <x v="2"/>
    <x v="108"/>
    <n v="0.42"/>
    <n v="-0.37711864406779666"/>
    <s v="United States"/>
    <x v="2"/>
    <x v="25"/>
    <x v="63"/>
    <n v="50208"/>
    <x v="12"/>
    <x v="5"/>
    <x v="0"/>
    <d v="2015-03-29T00:00:00"/>
    <n v="-12.46"/>
    <n v="2"/>
    <x v="130"/>
    <n v="90238"/>
    <x v="0"/>
  </r>
  <r>
    <n v="22044"/>
    <s v="Low"/>
    <n v="0.06"/>
    <n v="3.34"/>
    <x v="85"/>
    <x v="66"/>
    <x v="1"/>
    <x v="66"/>
    <x v="0"/>
    <x v="2"/>
    <x v="0"/>
    <x v="0"/>
    <x v="0"/>
    <x v="109"/>
    <n v="0.54"/>
    <n v="-6.4065573770491806"/>
    <s v="United States"/>
    <x v="2"/>
    <x v="25"/>
    <x v="63"/>
    <n v="50208"/>
    <x v="65"/>
    <x v="4"/>
    <x v="0"/>
    <d v="2015-04-30T00:00:00"/>
    <n v="-175.86"/>
    <n v="8"/>
    <x v="131"/>
    <n v="90239"/>
    <x v="0"/>
  </r>
  <r>
    <n v="18885"/>
    <s v="Not Specified"/>
    <n v="0"/>
    <n v="442.14"/>
    <x v="69"/>
    <x v="67"/>
    <x v="0"/>
    <x v="67"/>
    <x v="1"/>
    <x v="0"/>
    <x v="2"/>
    <x v="6"/>
    <x v="1"/>
    <x v="110"/>
    <n v="0.56000000000000005"/>
    <n v="0.69"/>
    <s v="United States"/>
    <x v="0"/>
    <x v="21"/>
    <x v="64"/>
    <n v="80027"/>
    <x v="11"/>
    <x v="2"/>
    <x v="0"/>
    <d v="2015-02-22T00:00:00"/>
    <n v="3294.8258999999994"/>
    <n v="10"/>
    <x v="132"/>
    <n v="86621"/>
    <x v="0"/>
  </r>
  <r>
    <n v="24327"/>
    <s v="Medium"/>
    <n v="0.1"/>
    <n v="19.98"/>
    <x v="86"/>
    <x v="68"/>
    <x v="0"/>
    <x v="68"/>
    <x v="0"/>
    <x v="2"/>
    <x v="0"/>
    <x v="7"/>
    <x v="3"/>
    <x v="111"/>
    <n v="0.38"/>
    <n v="0.61121755791673937"/>
    <s v="United States"/>
    <x v="0"/>
    <x v="21"/>
    <x v="65"/>
    <n v="80817"/>
    <x v="18"/>
    <x v="4"/>
    <x v="0"/>
    <d v="2015-04-20T00:00:00"/>
    <n v="35.090000000000003"/>
    <n v="3"/>
    <x v="133"/>
    <n v="90479"/>
    <x v="0"/>
  </r>
  <r>
    <n v="24328"/>
    <s v="Medium"/>
    <n v="0.06"/>
    <n v="259.70999999999998"/>
    <x v="87"/>
    <x v="69"/>
    <x v="1"/>
    <x v="69"/>
    <x v="1"/>
    <x v="2"/>
    <x v="1"/>
    <x v="11"/>
    <x v="5"/>
    <x v="112"/>
    <n v="0.61"/>
    <n v="0.27959656496563901"/>
    <s v="United States"/>
    <x v="0"/>
    <x v="21"/>
    <x v="66"/>
    <n v="81503"/>
    <x v="18"/>
    <x v="4"/>
    <x v="0"/>
    <d v="2015-04-21T00:00:00"/>
    <n v="785.63"/>
    <n v="11"/>
    <x v="134"/>
    <n v="90479"/>
    <x v="0"/>
  </r>
  <r>
    <n v="25264"/>
    <s v="Low"/>
    <n v="0.01"/>
    <n v="5.94"/>
    <x v="88"/>
    <x v="69"/>
    <x v="1"/>
    <x v="69"/>
    <x v="2"/>
    <x v="2"/>
    <x v="0"/>
    <x v="8"/>
    <x v="3"/>
    <x v="113"/>
    <n v="0.38"/>
    <n v="-3.2092956336794694"/>
    <s v="United States"/>
    <x v="0"/>
    <x v="21"/>
    <x v="66"/>
    <n v="81503"/>
    <x v="66"/>
    <x v="3"/>
    <x v="0"/>
    <d v="2015-06-02T00:00:00"/>
    <n v="-256.51900000000001"/>
    <n v="13"/>
    <x v="135"/>
    <n v="90480"/>
    <x v="0"/>
  </r>
  <r>
    <n v="25265"/>
    <s v="Low"/>
    <n v="0.02"/>
    <n v="125.99"/>
    <x v="46"/>
    <x v="69"/>
    <x v="1"/>
    <x v="69"/>
    <x v="2"/>
    <x v="2"/>
    <x v="2"/>
    <x v="5"/>
    <x v="3"/>
    <x v="114"/>
    <n v="0.59"/>
    <n v="0.45621521335807053"/>
    <s v="United States"/>
    <x v="0"/>
    <x v="21"/>
    <x v="66"/>
    <n v="81503"/>
    <x v="66"/>
    <x v="3"/>
    <x v="0"/>
    <d v="2015-05-26T00:00:00"/>
    <n v="398.358"/>
    <n v="8"/>
    <x v="136"/>
    <n v="90480"/>
    <x v="0"/>
  </r>
  <r>
    <n v="18849"/>
    <s v="Medium"/>
    <n v="0.02"/>
    <n v="146.05000000000001"/>
    <x v="89"/>
    <x v="70"/>
    <x v="1"/>
    <x v="70"/>
    <x v="1"/>
    <x v="0"/>
    <x v="1"/>
    <x v="11"/>
    <x v="5"/>
    <x v="115"/>
    <n v="0.71"/>
    <n v="-0.12669746710238014"/>
    <s v="United States"/>
    <x v="3"/>
    <x v="20"/>
    <x v="67"/>
    <n v="37804"/>
    <x v="67"/>
    <x v="2"/>
    <x v="0"/>
    <d v="2015-02-23T00:00:00"/>
    <n v="-101.19200000000001"/>
    <n v="5"/>
    <x v="137"/>
    <n v="89139"/>
    <x v="0"/>
  </r>
  <r>
    <n v="18850"/>
    <s v="Medium"/>
    <n v="0.06"/>
    <n v="65.989999999999995"/>
    <x v="78"/>
    <x v="70"/>
    <x v="1"/>
    <x v="70"/>
    <x v="2"/>
    <x v="0"/>
    <x v="2"/>
    <x v="5"/>
    <x v="3"/>
    <x v="100"/>
    <n v="0.55000000000000004"/>
    <n v="-4.2064864728384105E-3"/>
    <s v="United States"/>
    <x v="3"/>
    <x v="20"/>
    <x v="67"/>
    <n v="37804"/>
    <x v="67"/>
    <x v="2"/>
    <x v="0"/>
    <d v="2015-02-24T00:00:00"/>
    <n v="-3.3320000000000336"/>
    <n v="14"/>
    <x v="138"/>
    <n v="89139"/>
    <x v="0"/>
  </r>
  <r>
    <n v="18842"/>
    <s v="Medium"/>
    <n v="0.09"/>
    <n v="2.88"/>
    <x v="90"/>
    <x v="70"/>
    <x v="1"/>
    <x v="70"/>
    <x v="2"/>
    <x v="0"/>
    <x v="0"/>
    <x v="9"/>
    <x v="3"/>
    <x v="116"/>
    <n v="0.36"/>
    <n v="-5.0498433693003824"/>
    <s v="United States"/>
    <x v="3"/>
    <x v="20"/>
    <x v="67"/>
    <n v="37804"/>
    <x v="68"/>
    <x v="5"/>
    <x v="0"/>
    <d v="2015-03-23T00:00:00"/>
    <n v="-145.08199999999999"/>
    <n v="10"/>
    <x v="139"/>
    <n v="89140"/>
    <x v="0"/>
  </r>
  <r>
    <n v="18773"/>
    <s v="Critical"/>
    <n v="0.02"/>
    <n v="2.58"/>
    <x v="44"/>
    <x v="71"/>
    <x v="1"/>
    <x v="71"/>
    <x v="0"/>
    <x v="0"/>
    <x v="0"/>
    <x v="0"/>
    <x v="0"/>
    <x v="117"/>
    <n v="0.59"/>
    <n v="1.0096591944596332E-2"/>
    <s v="United States"/>
    <x v="2"/>
    <x v="3"/>
    <x v="68"/>
    <n v="55423"/>
    <x v="5"/>
    <x v="3"/>
    <x v="0"/>
    <d v="2015-05-29T00:00:00"/>
    <n v="1.1080000000000014"/>
    <n v="39"/>
    <x v="140"/>
    <n v="87214"/>
    <x v="0"/>
  </r>
  <r>
    <n v="18774"/>
    <s v="Critical"/>
    <n v="0.02"/>
    <n v="65.989999999999995"/>
    <x v="91"/>
    <x v="71"/>
    <x v="1"/>
    <x v="71"/>
    <x v="2"/>
    <x v="0"/>
    <x v="2"/>
    <x v="5"/>
    <x v="3"/>
    <x v="118"/>
    <n v="0.55000000000000004"/>
    <n v="0.6876220401023615"/>
    <s v="United States"/>
    <x v="2"/>
    <x v="3"/>
    <x v="68"/>
    <n v="55423"/>
    <x v="5"/>
    <x v="3"/>
    <x v="0"/>
    <d v="2015-05-29T00:00:00"/>
    <n v="1061.3790000000001"/>
    <n v="27"/>
    <x v="141"/>
    <n v="87214"/>
    <x v="0"/>
  </r>
  <r>
    <n v="18801"/>
    <s v="Medium"/>
    <n v="0.1"/>
    <n v="280.98"/>
    <x v="92"/>
    <x v="72"/>
    <x v="0"/>
    <x v="72"/>
    <x v="1"/>
    <x v="1"/>
    <x v="1"/>
    <x v="11"/>
    <x v="5"/>
    <x v="119"/>
    <n v="0.66"/>
    <n v="-4.032427484581564E-2"/>
    <s v="United States"/>
    <x v="0"/>
    <x v="21"/>
    <x v="69"/>
    <n v="80126"/>
    <x v="69"/>
    <x v="1"/>
    <x v="0"/>
    <d v="2015-06-11T00:00:00"/>
    <n v="-53.744999999999997"/>
    <n v="5"/>
    <x v="142"/>
    <n v="86268"/>
    <x v="0"/>
  </r>
  <r>
    <n v="20577"/>
    <s v="Critical"/>
    <n v="0.03"/>
    <n v="8.34"/>
    <x v="93"/>
    <x v="73"/>
    <x v="0"/>
    <x v="73"/>
    <x v="2"/>
    <x v="1"/>
    <x v="0"/>
    <x v="12"/>
    <x v="2"/>
    <x v="120"/>
    <n v="0.59"/>
    <n v="1.9745958429561169E-2"/>
    <s v="United States"/>
    <x v="1"/>
    <x v="19"/>
    <x v="70"/>
    <n v="17331"/>
    <x v="70"/>
    <x v="0"/>
    <x v="0"/>
    <d v="2015-02-02T00:00:00"/>
    <n v="0.68399999999999894"/>
    <n v="4"/>
    <x v="143"/>
    <n v="86267"/>
    <x v="0"/>
  </r>
  <r>
    <n v="24498"/>
    <s v="Medium"/>
    <n v="0.05"/>
    <n v="17.48"/>
    <x v="45"/>
    <x v="74"/>
    <x v="0"/>
    <x v="74"/>
    <x v="2"/>
    <x v="3"/>
    <x v="2"/>
    <x v="13"/>
    <x v="2"/>
    <x v="121"/>
    <n v="0.45"/>
    <n v="-2.4205831903945114"/>
    <s v="United States"/>
    <x v="3"/>
    <x v="26"/>
    <x v="71"/>
    <n v="33772"/>
    <x v="22"/>
    <x v="0"/>
    <x v="0"/>
    <d v="2015-01-04T00:00:00"/>
    <n v="-127.00800000000001"/>
    <n v="3"/>
    <x v="144"/>
    <n v="85858"/>
    <x v="0"/>
  </r>
  <r>
    <n v="18011"/>
    <s v="Low"/>
    <n v="0.09"/>
    <n v="2.88"/>
    <x v="22"/>
    <x v="75"/>
    <x v="0"/>
    <x v="75"/>
    <x v="2"/>
    <x v="3"/>
    <x v="0"/>
    <x v="0"/>
    <x v="0"/>
    <x v="122"/>
    <n v="0.56000000000000005"/>
    <n v="0.21808946171341928"/>
    <s v="United States"/>
    <x v="0"/>
    <x v="27"/>
    <x v="72"/>
    <n v="87505"/>
    <x v="71"/>
    <x v="0"/>
    <x v="0"/>
    <d v="2015-01-19T00:00:00"/>
    <n v="5.7532000000000005"/>
    <n v="10"/>
    <x v="145"/>
    <n v="85857"/>
    <x v="0"/>
  </r>
  <r>
    <n v="22370"/>
    <s v="High"/>
    <n v="0.05"/>
    <n v="31.76"/>
    <x v="94"/>
    <x v="76"/>
    <x v="0"/>
    <x v="76"/>
    <x v="1"/>
    <x v="2"/>
    <x v="1"/>
    <x v="11"/>
    <x v="5"/>
    <x v="123"/>
    <n v="0.65"/>
    <n v="-7.1564240520470532"/>
    <s v="United States"/>
    <x v="1"/>
    <x v="10"/>
    <x v="73"/>
    <n v="44106"/>
    <x v="72"/>
    <x v="0"/>
    <x v="0"/>
    <d v="2015-01-23T00:00:00"/>
    <n v="-2177.9860960000001"/>
    <n v="9"/>
    <x v="146"/>
    <n v="86297"/>
    <x v="0"/>
  </r>
  <r>
    <n v="20858"/>
    <s v="Not Specified"/>
    <n v="0"/>
    <n v="73.98"/>
    <x v="95"/>
    <x v="77"/>
    <x v="1"/>
    <x v="77"/>
    <x v="0"/>
    <x v="0"/>
    <x v="2"/>
    <x v="13"/>
    <x v="3"/>
    <x v="124"/>
    <n v="0.67"/>
    <n v="0.25080526748718107"/>
    <s v="United States"/>
    <x v="2"/>
    <x v="7"/>
    <x v="74"/>
    <n v="78207"/>
    <x v="73"/>
    <x v="3"/>
    <x v="0"/>
    <d v="2015-05-20T00:00:00"/>
    <n v="326.25"/>
    <n v="17"/>
    <x v="147"/>
    <n v="90593"/>
    <x v="0"/>
  </r>
  <r>
    <n v="19823"/>
    <s v="Medium"/>
    <n v="0.08"/>
    <n v="6.48"/>
    <x v="96"/>
    <x v="77"/>
    <x v="1"/>
    <x v="77"/>
    <x v="2"/>
    <x v="0"/>
    <x v="0"/>
    <x v="7"/>
    <x v="3"/>
    <x v="125"/>
    <n v="0.37"/>
    <n v="0.13162393162393177"/>
    <s v="United States"/>
    <x v="2"/>
    <x v="7"/>
    <x v="74"/>
    <n v="78207"/>
    <x v="7"/>
    <x v="3"/>
    <x v="0"/>
    <d v="2015-05-16T00:00:00"/>
    <n v="8.9320000000000093"/>
    <n v="10"/>
    <x v="148"/>
    <n v="90594"/>
    <x v="0"/>
  </r>
  <r>
    <n v="19824"/>
    <s v="Medium"/>
    <n v="0.01"/>
    <n v="20.34"/>
    <x v="97"/>
    <x v="77"/>
    <x v="1"/>
    <x v="77"/>
    <x v="2"/>
    <x v="0"/>
    <x v="0"/>
    <x v="10"/>
    <x v="6"/>
    <x v="126"/>
    <n v="0.84"/>
    <n v="0.30729846911465603"/>
    <s v="United States"/>
    <x v="2"/>
    <x v="7"/>
    <x v="74"/>
    <n v="78207"/>
    <x v="7"/>
    <x v="3"/>
    <x v="0"/>
    <d v="2015-05-16T00:00:00"/>
    <n v="229.63800000000015"/>
    <n v="33"/>
    <x v="149"/>
    <n v="90594"/>
    <x v="0"/>
  </r>
  <r>
    <n v="18770"/>
    <s v="Low"/>
    <n v="0.02"/>
    <n v="5.58"/>
    <x v="98"/>
    <x v="78"/>
    <x v="1"/>
    <x v="78"/>
    <x v="2"/>
    <x v="1"/>
    <x v="0"/>
    <x v="4"/>
    <x v="3"/>
    <x v="127"/>
    <n v="0.35"/>
    <n v="-1.2040707016604177"/>
    <s v="United States"/>
    <x v="0"/>
    <x v="28"/>
    <x v="75"/>
    <n v="86001"/>
    <x v="74"/>
    <x v="4"/>
    <x v="0"/>
    <d v="2015-04-12T00:00:00"/>
    <n v="-22.48"/>
    <n v="3"/>
    <x v="150"/>
    <n v="88941"/>
    <x v="0"/>
  </r>
  <r>
    <n v="18771"/>
    <s v="Low"/>
    <n v="0.03"/>
    <n v="40.89"/>
    <x v="99"/>
    <x v="78"/>
    <x v="1"/>
    <x v="78"/>
    <x v="2"/>
    <x v="1"/>
    <x v="1"/>
    <x v="2"/>
    <x v="3"/>
    <x v="128"/>
    <n v="0.56999999999999995"/>
    <n v="0.37472126014138635"/>
    <s v="United States"/>
    <x v="0"/>
    <x v="28"/>
    <x v="75"/>
    <n v="86001"/>
    <x v="74"/>
    <x v="4"/>
    <x v="0"/>
    <d v="2015-04-14T00:00:00"/>
    <n v="78.98"/>
    <n v="5"/>
    <x v="151"/>
    <n v="88941"/>
    <x v="0"/>
  </r>
  <r>
    <n v="23059"/>
    <s v="Low"/>
    <n v="0.09"/>
    <n v="35.94"/>
    <x v="8"/>
    <x v="79"/>
    <x v="1"/>
    <x v="79"/>
    <x v="2"/>
    <x v="1"/>
    <x v="0"/>
    <x v="4"/>
    <x v="3"/>
    <x v="8"/>
    <n v="0.4"/>
    <n v="0.69"/>
    <s v="United States"/>
    <x v="0"/>
    <x v="28"/>
    <x v="76"/>
    <n v="85234"/>
    <x v="75"/>
    <x v="1"/>
    <x v="0"/>
    <d v="2015-06-10T00:00:00"/>
    <n v="144.2928"/>
    <n v="6"/>
    <x v="152"/>
    <n v="88942"/>
    <x v="0"/>
  </r>
  <r>
    <n v="23060"/>
    <s v="Low"/>
    <n v="0"/>
    <n v="170.98"/>
    <x v="100"/>
    <x v="79"/>
    <x v="1"/>
    <x v="79"/>
    <x v="2"/>
    <x v="1"/>
    <x v="1"/>
    <x v="2"/>
    <x v="4"/>
    <x v="129"/>
    <n v="0.75"/>
    <n v="0.69"/>
    <s v="United States"/>
    <x v="0"/>
    <x v="28"/>
    <x v="76"/>
    <n v="85234"/>
    <x v="75"/>
    <x v="1"/>
    <x v="0"/>
    <d v="2015-06-12T00:00:00"/>
    <n v="888.14729999999997"/>
    <n v="7"/>
    <x v="153"/>
    <n v="88942"/>
    <x v="0"/>
  </r>
  <r>
    <n v="23061"/>
    <s v="Low"/>
    <n v="0.09"/>
    <n v="4.9800000000000004"/>
    <x v="101"/>
    <x v="79"/>
    <x v="1"/>
    <x v="79"/>
    <x v="2"/>
    <x v="1"/>
    <x v="0"/>
    <x v="7"/>
    <x v="3"/>
    <x v="130"/>
    <n v="0.36"/>
    <n v="-0.9964262508122157"/>
    <s v="United States"/>
    <x v="0"/>
    <x v="28"/>
    <x v="76"/>
    <n v="85234"/>
    <x v="75"/>
    <x v="1"/>
    <x v="0"/>
    <d v="2015-06-07T00:00:00"/>
    <n v="-46.005000000000003"/>
    <n v="9"/>
    <x v="154"/>
    <n v="88942"/>
    <x v="0"/>
  </r>
  <r>
    <n v="19515"/>
    <s v="Medium"/>
    <n v="0.1"/>
    <n v="80.97"/>
    <x v="102"/>
    <x v="80"/>
    <x v="0"/>
    <x v="80"/>
    <x v="1"/>
    <x v="2"/>
    <x v="2"/>
    <x v="6"/>
    <x v="5"/>
    <x v="131"/>
    <n v="0.4"/>
    <n v="0.14228037030039675"/>
    <s v="United States"/>
    <x v="3"/>
    <x v="29"/>
    <x v="77"/>
    <n v="30297"/>
    <x v="25"/>
    <x v="5"/>
    <x v="0"/>
    <d v="2015-03-31T00:00:00"/>
    <n v="128.02529999999999"/>
    <n v="12"/>
    <x v="155"/>
    <n v="88940"/>
    <x v="0"/>
  </r>
  <r>
    <n v="770"/>
    <s v="Low"/>
    <n v="0.02"/>
    <n v="5.58"/>
    <x v="98"/>
    <x v="81"/>
    <x v="1"/>
    <x v="81"/>
    <x v="2"/>
    <x v="1"/>
    <x v="0"/>
    <x v="4"/>
    <x v="3"/>
    <x v="127"/>
    <n v="0.35"/>
    <n v="-0.43672801635991826"/>
    <s v="United States"/>
    <x v="3"/>
    <x v="24"/>
    <x v="78"/>
    <n v="28204"/>
    <x v="74"/>
    <x v="4"/>
    <x v="0"/>
    <d v="2015-04-12T00:00:00"/>
    <n v="-29.898400000000002"/>
    <n v="11"/>
    <x v="156"/>
    <n v="5509"/>
    <x v="0"/>
  </r>
  <r>
    <n v="771"/>
    <s v="Low"/>
    <n v="0.03"/>
    <n v="40.89"/>
    <x v="99"/>
    <x v="81"/>
    <x v="1"/>
    <x v="81"/>
    <x v="2"/>
    <x v="1"/>
    <x v="1"/>
    <x v="2"/>
    <x v="3"/>
    <x v="128"/>
    <n v="0.56999999999999995"/>
    <n v="5.9777233035482304E-2"/>
    <s v="United States"/>
    <x v="3"/>
    <x v="24"/>
    <x v="78"/>
    <n v="28204"/>
    <x v="74"/>
    <x v="4"/>
    <x v="0"/>
    <d v="2015-04-14T00:00:00"/>
    <n v="52.916600000000003"/>
    <n v="21"/>
    <x v="157"/>
    <n v="5509"/>
    <x v="0"/>
  </r>
  <r>
    <n v="5059"/>
    <s v="Low"/>
    <n v="0.09"/>
    <n v="35.94"/>
    <x v="8"/>
    <x v="81"/>
    <x v="1"/>
    <x v="81"/>
    <x v="2"/>
    <x v="1"/>
    <x v="0"/>
    <x v="4"/>
    <x v="3"/>
    <x v="8"/>
    <n v="0.4"/>
    <n v="8.6298133824285389E-2"/>
    <s v="United States"/>
    <x v="3"/>
    <x v="24"/>
    <x v="78"/>
    <n v="28204"/>
    <x v="75"/>
    <x v="1"/>
    <x v="0"/>
    <d v="2015-06-10T00:00:00"/>
    <n v="72.1858"/>
    <n v="24"/>
    <x v="158"/>
    <n v="36069"/>
    <x v="0"/>
  </r>
  <r>
    <n v="5061"/>
    <s v="Low"/>
    <n v="0.09"/>
    <n v="4.9800000000000004"/>
    <x v="101"/>
    <x v="81"/>
    <x v="1"/>
    <x v="81"/>
    <x v="2"/>
    <x v="1"/>
    <x v="0"/>
    <x v="7"/>
    <x v="3"/>
    <x v="130"/>
    <n v="0.36"/>
    <n v="-0.6446467892324711"/>
    <s v="United States"/>
    <x v="3"/>
    <x v="24"/>
    <x v="78"/>
    <n v="28204"/>
    <x v="75"/>
    <x v="1"/>
    <x v="0"/>
    <d v="2015-06-07T00:00:00"/>
    <n v="-122.3733"/>
    <n v="37"/>
    <x v="159"/>
    <n v="36069"/>
    <x v="0"/>
  </r>
  <r>
    <n v="22180"/>
    <s v="Not Specified"/>
    <n v="0.09"/>
    <n v="15.28"/>
    <x v="103"/>
    <x v="82"/>
    <x v="0"/>
    <x v="82"/>
    <x v="2"/>
    <x v="0"/>
    <x v="0"/>
    <x v="8"/>
    <x v="3"/>
    <x v="132"/>
    <n v="0.36"/>
    <n v="-0.84118985695708703"/>
    <s v="United States"/>
    <x v="1"/>
    <x v="18"/>
    <x v="79"/>
    <n v="6824"/>
    <x v="76"/>
    <x v="0"/>
    <x v="0"/>
    <d v="2015-01-25T00:00:00"/>
    <n v="-51.75"/>
    <n v="4"/>
    <x v="160"/>
    <n v="89292"/>
    <x v="0"/>
  </r>
  <r>
    <n v="23504"/>
    <s v="Critical"/>
    <n v="0.04"/>
    <n v="1.98"/>
    <x v="22"/>
    <x v="83"/>
    <x v="0"/>
    <x v="83"/>
    <x v="0"/>
    <x v="0"/>
    <x v="0"/>
    <x v="3"/>
    <x v="0"/>
    <x v="133"/>
    <n v="0.83"/>
    <n v="-0.12048192771084336"/>
    <s v="United States"/>
    <x v="1"/>
    <x v="18"/>
    <x v="80"/>
    <n v="6111"/>
    <x v="8"/>
    <x v="3"/>
    <x v="0"/>
    <d v="2015-05-22T00:00:00"/>
    <n v="-1"/>
    <n v="3"/>
    <x v="161"/>
    <n v="89291"/>
    <x v="0"/>
  </r>
  <r>
    <n v="23503"/>
    <s v="Critical"/>
    <n v="0.03"/>
    <n v="55.99"/>
    <x v="104"/>
    <x v="84"/>
    <x v="0"/>
    <x v="84"/>
    <x v="2"/>
    <x v="0"/>
    <x v="2"/>
    <x v="5"/>
    <x v="2"/>
    <x v="134"/>
    <n v="0.83"/>
    <n v="-0.5306487588439861"/>
    <s v="United States"/>
    <x v="1"/>
    <x v="2"/>
    <x v="81"/>
    <n v="7109"/>
    <x v="8"/>
    <x v="3"/>
    <x v="0"/>
    <d v="2015-05-22T00:00:00"/>
    <n v="-221.25399999999999"/>
    <n v="9"/>
    <x v="162"/>
    <n v="89291"/>
    <x v="0"/>
  </r>
  <r>
    <n v="24512"/>
    <s v="High"/>
    <n v="0.1"/>
    <n v="1.68"/>
    <x v="15"/>
    <x v="85"/>
    <x v="0"/>
    <x v="85"/>
    <x v="2"/>
    <x v="0"/>
    <x v="0"/>
    <x v="0"/>
    <x v="0"/>
    <x v="15"/>
    <n v="0.59"/>
    <n v="-0.61838588989845"/>
    <s v="United States"/>
    <x v="1"/>
    <x v="2"/>
    <x v="82"/>
    <n v="7101"/>
    <x v="77"/>
    <x v="1"/>
    <x v="0"/>
    <d v="2015-06-18T00:00:00"/>
    <n v="-11.57"/>
    <n v="11"/>
    <x v="163"/>
    <n v="89293"/>
    <x v="0"/>
  </r>
  <r>
    <n v="19168"/>
    <s v="Low"/>
    <n v="0"/>
    <n v="4.13"/>
    <x v="105"/>
    <x v="86"/>
    <x v="1"/>
    <x v="86"/>
    <x v="2"/>
    <x v="2"/>
    <x v="0"/>
    <x v="8"/>
    <x v="3"/>
    <x v="135"/>
    <n v="0.38"/>
    <n v="-1.5108669108669108"/>
    <s v="United States"/>
    <x v="2"/>
    <x v="13"/>
    <x v="83"/>
    <n v="66203"/>
    <x v="77"/>
    <x v="1"/>
    <x v="0"/>
    <d v="2015-06-21T00:00:00"/>
    <n v="-61.870000000000005"/>
    <n v="9"/>
    <x v="164"/>
    <n v="89761"/>
    <x v="0"/>
  </r>
  <r>
    <n v="19169"/>
    <s v="Low"/>
    <n v="0.1"/>
    <n v="130.97999999999999"/>
    <x v="106"/>
    <x v="86"/>
    <x v="1"/>
    <x v="86"/>
    <x v="1"/>
    <x v="2"/>
    <x v="1"/>
    <x v="14"/>
    <x v="5"/>
    <x v="136"/>
    <n v="0.69"/>
    <n v="-0.45879227847334586"/>
    <s v="United States"/>
    <x v="2"/>
    <x v="13"/>
    <x v="83"/>
    <n v="66203"/>
    <x v="77"/>
    <x v="1"/>
    <x v="0"/>
    <d v="2015-06-21T00:00:00"/>
    <n v="-530.24"/>
    <n v="9"/>
    <x v="165"/>
    <n v="89761"/>
    <x v="0"/>
  </r>
  <r>
    <n v="25624"/>
    <s v="Critical"/>
    <n v="0.09"/>
    <n v="28.48"/>
    <x v="45"/>
    <x v="87"/>
    <x v="1"/>
    <x v="87"/>
    <x v="2"/>
    <x v="2"/>
    <x v="2"/>
    <x v="13"/>
    <x v="2"/>
    <x v="137"/>
    <n v="0.4"/>
    <n v="0.68999999999999984"/>
    <s v="United States"/>
    <x v="2"/>
    <x v="13"/>
    <x v="84"/>
    <n v="67212"/>
    <x v="59"/>
    <x v="0"/>
    <x v="0"/>
    <d v="2015-01-19T00:00:00"/>
    <n v="132.68699999999998"/>
    <n v="7"/>
    <x v="166"/>
    <n v="89762"/>
    <x v="0"/>
  </r>
  <r>
    <n v="25625"/>
    <s v="Critical"/>
    <n v="0.08"/>
    <n v="65.989999999999995"/>
    <x v="7"/>
    <x v="87"/>
    <x v="1"/>
    <x v="87"/>
    <x v="0"/>
    <x v="2"/>
    <x v="2"/>
    <x v="5"/>
    <x v="3"/>
    <x v="138"/>
    <n v="0.57999999999999996"/>
    <n v="0.66420264670498597"/>
    <s v="United States"/>
    <x v="2"/>
    <x v="13"/>
    <x v="84"/>
    <n v="67212"/>
    <x v="59"/>
    <x v="0"/>
    <x v="0"/>
    <d v="2015-01-18T00:00:00"/>
    <n v="496.89"/>
    <n v="14"/>
    <x v="167"/>
    <n v="89762"/>
    <x v="0"/>
  </r>
  <r>
    <n v="21223"/>
    <s v="Not Specified"/>
    <n v="0.04"/>
    <n v="4.9800000000000004"/>
    <x v="107"/>
    <x v="88"/>
    <x v="0"/>
    <x v="88"/>
    <x v="2"/>
    <x v="2"/>
    <x v="2"/>
    <x v="13"/>
    <x v="2"/>
    <x v="139"/>
    <n v="0.64"/>
    <n v="-1.3181197581431636"/>
    <s v="United States"/>
    <x v="0"/>
    <x v="21"/>
    <x v="85"/>
    <n v="80538"/>
    <x v="78"/>
    <x v="5"/>
    <x v="0"/>
    <d v="2015-03-26T00:00:00"/>
    <n v="-135.16"/>
    <n v="20"/>
    <x v="168"/>
    <n v="90837"/>
    <x v="0"/>
  </r>
  <r>
    <n v="23302"/>
    <s v="High"/>
    <n v="0.01"/>
    <n v="8.33"/>
    <x v="45"/>
    <x v="89"/>
    <x v="1"/>
    <x v="89"/>
    <x v="2"/>
    <x v="2"/>
    <x v="2"/>
    <x v="13"/>
    <x v="2"/>
    <x v="140"/>
    <n v="0.52"/>
    <n v="0.2265564424173318"/>
    <s v="United States"/>
    <x v="1"/>
    <x v="30"/>
    <x v="86"/>
    <n v="21208"/>
    <x v="79"/>
    <x v="2"/>
    <x v="0"/>
    <d v="2015-02-15T00:00:00"/>
    <n v="15.895199999999999"/>
    <n v="8"/>
    <x v="169"/>
    <n v="87057"/>
    <x v="0"/>
  </r>
  <r>
    <n v="23303"/>
    <s v="High"/>
    <n v="0.04"/>
    <n v="85.99"/>
    <x v="90"/>
    <x v="89"/>
    <x v="1"/>
    <x v="89"/>
    <x v="2"/>
    <x v="2"/>
    <x v="2"/>
    <x v="5"/>
    <x v="0"/>
    <x v="141"/>
    <n v="0.55000000000000004"/>
    <n v="0.69"/>
    <s v="United States"/>
    <x v="1"/>
    <x v="30"/>
    <x v="86"/>
    <n v="21208"/>
    <x v="79"/>
    <x v="2"/>
    <x v="0"/>
    <d v="2015-02-16T00:00:00"/>
    <n v="855.99329999999986"/>
    <n v="17"/>
    <x v="170"/>
    <n v="87057"/>
    <x v="0"/>
  </r>
  <r>
    <n v="5302"/>
    <s v="High"/>
    <n v="0.01"/>
    <n v="8.33"/>
    <x v="45"/>
    <x v="90"/>
    <x v="0"/>
    <x v="90"/>
    <x v="2"/>
    <x v="2"/>
    <x v="2"/>
    <x v="13"/>
    <x v="2"/>
    <x v="140"/>
    <n v="0.52"/>
    <n v="3.8272396835578364E-2"/>
    <s v="United States"/>
    <x v="0"/>
    <x v="0"/>
    <x v="33"/>
    <n v="98115"/>
    <x v="79"/>
    <x v="2"/>
    <x v="0"/>
    <d v="2015-02-15T00:00:00"/>
    <n v="10.74"/>
    <n v="32"/>
    <x v="171"/>
    <n v="37760"/>
    <x v="1"/>
  </r>
  <r>
    <n v="18853"/>
    <s v="Medium"/>
    <n v="0.04"/>
    <n v="1637.53"/>
    <x v="65"/>
    <x v="91"/>
    <x v="0"/>
    <x v="91"/>
    <x v="2"/>
    <x v="0"/>
    <x v="0"/>
    <x v="12"/>
    <x v="4"/>
    <x v="142"/>
    <n v="0.81"/>
    <n v="-0.54867880284632697"/>
    <s v="United States"/>
    <x v="2"/>
    <x v="12"/>
    <x v="77"/>
    <n v="60130"/>
    <x v="80"/>
    <x v="5"/>
    <x v="0"/>
    <d v="2015-03-22T00:00:00"/>
    <n v="-1759.58"/>
    <n v="2"/>
    <x v="172"/>
    <n v="89166"/>
    <x v="0"/>
  </r>
  <r>
    <n v="18852"/>
    <s v="Medium"/>
    <n v="0.01"/>
    <n v="19.98"/>
    <x v="41"/>
    <x v="92"/>
    <x v="0"/>
    <x v="92"/>
    <x v="2"/>
    <x v="0"/>
    <x v="2"/>
    <x v="13"/>
    <x v="3"/>
    <x v="51"/>
    <n v="0.68"/>
    <n v="-1.6766480965645312"/>
    <s v="United States"/>
    <x v="1"/>
    <x v="15"/>
    <x v="87"/>
    <n v="1007"/>
    <x v="80"/>
    <x v="5"/>
    <x v="0"/>
    <d v="2015-03-20T00:00:00"/>
    <n v="-72.23"/>
    <n v="2"/>
    <x v="173"/>
    <n v="89166"/>
    <x v="0"/>
  </r>
  <r>
    <n v="18032"/>
    <s v="Not Specified"/>
    <n v="0.09"/>
    <n v="7.38"/>
    <x v="108"/>
    <x v="93"/>
    <x v="1"/>
    <x v="93"/>
    <x v="2"/>
    <x v="0"/>
    <x v="1"/>
    <x v="2"/>
    <x v="3"/>
    <x v="143"/>
    <n v="0.56000000000000005"/>
    <n v="-0.40811419984973712"/>
    <s v="United States"/>
    <x v="0"/>
    <x v="1"/>
    <x v="88"/>
    <n v="91945"/>
    <x v="77"/>
    <x v="1"/>
    <x v="0"/>
    <d v="2015-06-18T00:00:00"/>
    <n v="-27.160000000000004"/>
    <n v="9"/>
    <x v="174"/>
    <n v="86041"/>
    <x v="0"/>
  </r>
  <r>
    <n v="18033"/>
    <s v="Not Specified"/>
    <n v="0.04"/>
    <n v="5.98"/>
    <x v="26"/>
    <x v="93"/>
    <x v="1"/>
    <x v="93"/>
    <x v="2"/>
    <x v="0"/>
    <x v="0"/>
    <x v="7"/>
    <x v="3"/>
    <x v="29"/>
    <n v="0.36"/>
    <n v="-0.50578799884046777"/>
    <s v="United States"/>
    <x v="0"/>
    <x v="1"/>
    <x v="88"/>
    <n v="91945"/>
    <x v="77"/>
    <x v="1"/>
    <x v="0"/>
    <d v="2015-06-18T00:00:00"/>
    <n v="-52.344000000000008"/>
    <n v="17"/>
    <x v="175"/>
    <n v="86041"/>
    <x v="0"/>
  </r>
  <r>
    <n v="18034"/>
    <s v="Not Specified"/>
    <n v="0.04"/>
    <n v="15.42"/>
    <x v="109"/>
    <x v="93"/>
    <x v="1"/>
    <x v="93"/>
    <x v="2"/>
    <x v="0"/>
    <x v="0"/>
    <x v="10"/>
    <x v="3"/>
    <x v="144"/>
    <n v="0.57999999999999996"/>
    <n v="-0.62408159017587672"/>
    <s v="United States"/>
    <x v="0"/>
    <x v="1"/>
    <x v="88"/>
    <n v="91945"/>
    <x v="77"/>
    <x v="1"/>
    <x v="0"/>
    <d v="2015-06-18T00:00:00"/>
    <n v="-119.93599999999999"/>
    <n v="12"/>
    <x v="176"/>
    <n v="86041"/>
    <x v="0"/>
  </r>
  <r>
    <n v="20641"/>
    <s v="Low"/>
    <n v="0.04"/>
    <n v="8.33"/>
    <x v="45"/>
    <x v="94"/>
    <x v="0"/>
    <x v="94"/>
    <x v="2"/>
    <x v="3"/>
    <x v="2"/>
    <x v="13"/>
    <x v="2"/>
    <x v="140"/>
    <n v="0.52"/>
    <n v="0.11059269162210336"/>
    <s v="United States"/>
    <x v="1"/>
    <x v="30"/>
    <x v="89"/>
    <n v="20854"/>
    <x v="36"/>
    <x v="4"/>
    <x v="0"/>
    <d v="2015-04-09T00:00:00"/>
    <n v="9.9267999999999983"/>
    <n v="11"/>
    <x v="177"/>
    <n v="91057"/>
    <x v="0"/>
  </r>
  <r>
    <n v="25111"/>
    <s v="Not Specified"/>
    <n v="0.06"/>
    <n v="7.99"/>
    <x v="110"/>
    <x v="95"/>
    <x v="0"/>
    <x v="95"/>
    <x v="2"/>
    <x v="3"/>
    <x v="2"/>
    <x v="5"/>
    <x v="4"/>
    <x v="145"/>
    <n v="0.6"/>
    <n v="-1.0250175685172171"/>
    <s v="United States"/>
    <x v="2"/>
    <x v="12"/>
    <x v="90"/>
    <n v="60510"/>
    <x v="62"/>
    <x v="1"/>
    <x v="0"/>
    <d v="2015-06-10T00:00:00"/>
    <n v="-29.172000000000001"/>
    <n v="4"/>
    <x v="178"/>
    <n v="90973"/>
    <x v="0"/>
  </r>
  <r>
    <n v="19159"/>
    <s v="Medium"/>
    <n v="0.06"/>
    <n v="296.18"/>
    <x v="33"/>
    <x v="96"/>
    <x v="0"/>
    <x v="96"/>
    <x v="1"/>
    <x v="1"/>
    <x v="1"/>
    <x v="11"/>
    <x v="5"/>
    <x v="37"/>
    <n v="0.76"/>
    <n v="-0.6116664581570832"/>
    <s v="United States"/>
    <x v="1"/>
    <x v="14"/>
    <x v="91"/>
    <n v="4073"/>
    <x v="81"/>
    <x v="4"/>
    <x v="0"/>
    <d v="2015-04-15T00:00:00"/>
    <n v="-715.7782060000003"/>
    <n v="5"/>
    <x v="179"/>
    <n v="89726"/>
    <x v="0"/>
  </r>
  <r>
    <n v="19158"/>
    <s v="Medium"/>
    <n v="0.01"/>
    <n v="29.1"/>
    <x v="41"/>
    <x v="97"/>
    <x v="0"/>
    <x v="97"/>
    <x v="0"/>
    <x v="1"/>
    <x v="2"/>
    <x v="13"/>
    <x v="3"/>
    <x v="146"/>
    <n v="0.78"/>
    <n v="-9.3785960874568475E-2"/>
    <s v="United States"/>
    <x v="1"/>
    <x v="16"/>
    <x v="92"/>
    <n v="3045"/>
    <x v="81"/>
    <x v="4"/>
    <x v="0"/>
    <d v="2015-04-16T00:00:00"/>
    <n v="-22.82"/>
    <n v="8"/>
    <x v="180"/>
    <n v="89726"/>
    <x v="0"/>
  </r>
  <r>
    <n v="18261"/>
    <s v="Critical"/>
    <n v="0.06"/>
    <n v="276.2"/>
    <x v="65"/>
    <x v="98"/>
    <x v="1"/>
    <x v="98"/>
    <x v="2"/>
    <x v="0"/>
    <x v="1"/>
    <x v="1"/>
    <x v="6"/>
    <x v="147"/>
    <m/>
    <n v="0.69"/>
    <s v="United States"/>
    <x v="0"/>
    <x v="6"/>
    <x v="93"/>
    <n v="97504"/>
    <x v="82"/>
    <x v="3"/>
    <x v="0"/>
    <d v="2015-05-05T00:00:00"/>
    <n v="2639.4708000000001"/>
    <n v="14"/>
    <x v="181"/>
    <n v="87277"/>
    <x v="0"/>
  </r>
  <r>
    <n v="18262"/>
    <s v="Critical"/>
    <n v="0.09"/>
    <n v="6.28"/>
    <x v="111"/>
    <x v="98"/>
    <x v="1"/>
    <x v="98"/>
    <x v="2"/>
    <x v="0"/>
    <x v="1"/>
    <x v="2"/>
    <x v="3"/>
    <x v="148"/>
    <n v="0.43"/>
    <n v="-0.60961313012895668"/>
    <s v="United States"/>
    <x v="0"/>
    <x v="6"/>
    <x v="93"/>
    <n v="97504"/>
    <x v="82"/>
    <x v="3"/>
    <x v="0"/>
    <d v="2015-05-04T00:00:00"/>
    <n v="-5.2"/>
    <n v="1"/>
    <x v="182"/>
    <n v="87277"/>
    <x v="0"/>
  </r>
  <r>
    <n v="23481"/>
    <s v="Medium"/>
    <n v="0.08"/>
    <n v="7.77"/>
    <x v="112"/>
    <x v="99"/>
    <x v="1"/>
    <x v="99"/>
    <x v="2"/>
    <x v="0"/>
    <x v="0"/>
    <x v="15"/>
    <x v="3"/>
    <x v="149"/>
    <n v="0.57999999999999996"/>
    <n v="-2.0756823821339951"/>
    <s v="United States"/>
    <x v="1"/>
    <x v="10"/>
    <x v="94"/>
    <n v="43229"/>
    <x v="83"/>
    <x v="5"/>
    <x v="0"/>
    <d v="2015-03-18T00:00:00"/>
    <n v="-83.65"/>
    <n v="5"/>
    <x v="183"/>
    <n v="90583"/>
    <x v="0"/>
  </r>
  <r>
    <n v="23482"/>
    <s v="Medium"/>
    <n v="7.0000000000000007E-2"/>
    <n v="7.59"/>
    <x v="41"/>
    <x v="99"/>
    <x v="1"/>
    <x v="99"/>
    <x v="2"/>
    <x v="0"/>
    <x v="1"/>
    <x v="2"/>
    <x v="0"/>
    <x v="150"/>
    <n v="0.42"/>
    <n v="0.21800143010368253"/>
    <s v="United States"/>
    <x v="1"/>
    <x v="10"/>
    <x v="94"/>
    <n v="43229"/>
    <x v="83"/>
    <x v="5"/>
    <x v="0"/>
    <d v="2015-03-19T00:00:00"/>
    <n v="24.39"/>
    <n v="15"/>
    <x v="184"/>
    <n v="90583"/>
    <x v="0"/>
  </r>
  <r>
    <n v="480"/>
    <s v="Critical"/>
    <n v="0.01"/>
    <n v="3.26"/>
    <x v="113"/>
    <x v="100"/>
    <x v="0"/>
    <x v="100"/>
    <x v="2"/>
    <x v="0"/>
    <x v="0"/>
    <x v="0"/>
    <x v="0"/>
    <x v="151"/>
    <n v="0.41"/>
    <n v="-6.3110720562390157E-2"/>
    <s v="United States"/>
    <x v="3"/>
    <x v="26"/>
    <x v="95"/>
    <n v="33181"/>
    <x v="82"/>
    <x v="3"/>
    <x v="0"/>
    <d v="2015-05-06T00:00:00"/>
    <n v="-4.6682999999999995"/>
    <n v="20"/>
    <x v="185"/>
    <n v="3332"/>
    <x v="0"/>
  </r>
  <r>
    <n v="22784"/>
    <s v="Critical"/>
    <n v="0.03"/>
    <n v="15.23"/>
    <x v="114"/>
    <x v="101"/>
    <x v="0"/>
    <x v="101"/>
    <x v="1"/>
    <x v="0"/>
    <x v="1"/>
    <x v="11"/>
    <x v="5"/>
    <x v="152"/>
    <n v="0.76"/>
    <n v="0.10415653495440731"/>
    <s v="United States"/>
    <x v="1"/>
    <x v="14"/>
    <x v="96"/>
    <n v="4401"/>
    <x v="70"/>
    <x v="0"/>
    <x v="0"/>
    <d v="2015-02-01T00:00:00"/>
    <n v="11.650950000000002"/>
    <n v="7"/>
    <x v="186"/>
    <n v="88151"/>
    <x v="0"/>
  </r>
  <r>
    <n v="18480"/>
    <s v="Critical"/>
    <n v="0.01"/>
    <n v="3.26"/>
    <x v="113"/>
    <x v="102"/>
    <x v="0"/>
    <x v="102"/>
    <x v="2"/>
    <x v="0"/>
    <x v="0"/>
    <x v="0"/>
    <x v="0"/>
    <x v="151"/>
    <n v="0.41"/>
    <n v="3.7966468361276415E-2"/>
    <s v="United States"/>
    <x v="1"/>
    <x v="14"/>
    <x v="97"/>
    <n v="4101"/>
    <x v="82"/>
    <x v="3"/>
    <x v="0"/>
    <d v="2015-05-06T00:00:00"/>
    <n v="0.70200000000000085"/>
    <n v="5"/>
    <x v="187"/>
    <n v="88152"/>
    <x v="0"/>
  </r>
  <r>
    <n v="2408"/>
    <s v="Critical"/>
    <n v="0"/>
    <n v="8.34"/>
    <x v="93"/>
    <x v="103"/>
    <x v="1"/>
    <x v="103"/>
    <x v="0"/>
    <x v="1"/>
    <x v="0"/>
    <x v="12"/>
    <x v="2"/>
    <x v="120"/>
    <n v="0.59"/>
    <n v="2.7537695523509795E-2"/>
    <s v="United States"/>
    <x v="3"/>
    <x v="26"/>
    <x v="95"/>
    <n v="33132"/>
    <x v="62"/>
    <x v="1"/>
    <x v="0"/>
    <d v="2015-06-11T00:00:00"/>
    <n v="5.8624999999999998"/>
    <n v="23"/>
    <x v="188"/>
    <n v="17446"/>
    <x v="0"/>
  </r>
  <r>
    <n v="1595"/>
    <s v="Medium"/>
    <n v="0.04"/>
    <n v="99.23"/>
    <x v="20"/>
    <x v="103"/>
    <x v="1"/>
    <x v="103"/>
    <x v="2"/>
    <x v="1"/>
    <x v="1"/>
    <x v="2"/>
    <x v="2"/>
    <x v="153"/>
    <n v="0.35"/>
    <n v="0.34499886600907193"/>
    <s v="United States"/>
    <x v="3"/>
    <x v="26"/>
    <x v="95"/>
    <n v="33132"/>
    <x v="22"/>
    <x v="0"/>
    <x v="0"/>
    <d v="2015-01-04T00:00:00"/>
    <n v="1916.6757"/>
    <n v="54"/>
    <x v="189"/>
    <n v="11527"/>
    <x v="0"/>
  </r>
  <r>
    <n v="20408"/>
    <s v="Critical"/>
    <n v="0"/>
    <n v="8.34"/>
    <x v="93"/>
    <x v="104"/>
    <x v="1"/>
    <x v="104"/>
    <x v="0"/>
    <x v="1"/>
    <x v="0"/>
    <x v="12"/>
    <x v="2"/>
    <x v="120"/>
    <n v="0.59"/>
    <n v="0.18905293482175009"/>
    <s v="United States"/>
    <x v="1"/>
    <x v="4"/>
    <x v="98"/>
    <n v="13601"/>
    <x v="62"/>
    <x v="1"/>
    <x v="0"/>
    <d v="2015-06-11T00:00:00"/>
    <n v="10.5"/>
    <n v="6"/>
    <x v="190"/>
    <n v="88685"/>
    <x v="0"/>
  </r>
  <r>
    <n v="19595"/>
    <s v="Medium"/>
    <n v="0.04"/>
    <n v="99.23"/>
    <x v="20"/>
    <x v="104"/>
    <x v="1"/>
    <x v="104"/>
    <x v="2"/>
    <x v="1"/>
    <x v="1"/>
    <x v="2"/>
    <x v="2"/>
    <x v="153"/>
    <n v="0.35"/>
    <n v="0.69"/>
    <s v="United States"/>
    <x v="1"/>
    <x v="4"/>
    <x v="98"/>
    <n v="13601"/>
    <x v="22"/>
    <x v="0"/>
    <x v="0"/>
    <d v="2015-01-04T00:00:00"/>
    <n v="993.83459999999991"/>
    <n v="14"/>
    <x v="191"/>
    <n v="88686"/>
    <x v="0"/>
  </r>
  <r>
    <n v="19107"/>
    <s v="Low"/>
    <n v="0.08"/>
    <n v="4.8899999999999997"/>
    <x v="115"/>
    <x v="105"/>
    <x v="1"/>
    <x v="105"/>
    <x v="0"/>
    <x v="1"/>
    <x v="2"/>
    <x v="13"/>
    <x v="2"/>
    <x v="154"/>
    <n v="0.66"/>
    <n v="-1.9519820670127417"/>
    <s v="United States"/>
    <x v="0"/>
    <x v="28"/>
    <x v="99"/>
    <n v="85301"/>
    <x v="50"/>
    <x v="3"/>
    <x v="0"/>
    <d v="2015-05-14T00:00:00"/>
    <n v="-165.45"/>
    <n v="17"/>
    <x v="192"/>
    <n v="89647"/>
    <x v="0"/>
  </r>
  <r>
    <n v="19108"/>
    <s v="Low"/>
    <n v="7.0000000000000007E-2"/>
    <n v="6.68"/>
    <x v="116"/>
    <x v="105"/>
    <x v="1"/>
    <x v="105"/>
    <x v="2"/>
    <x v="1"/>
    <x v="0"/>
    <x v="7"/>
    <x v="3"/>
    <x v="155"/>
    <n v="0.37"/>
    <n v="-1.346051125524609"/>
    <s v="United States"/>
    <x v="0"/>
    <x v="28"/>
    <x v="99"/>
    <n v="85301"/>
    <x v="50"/>
    <x v="3"/>
    <x v="0"/>
    <d v="2015-05-21T00:00:00"/>
    <n v="-141.12"/>
    <n v="16"/>
    <x v="193"/>
    <n v="89647"/>
    <x v="0"/>
  </r>
  <r>
    <n v="20760"/>
    <s v="Critical"/>
    <n v="7.0000000000000007E-2"/>
    <n v="124.49"/>
    <x v="117"/>
    <x v="106"/>
    <x v="0"/>
    <x v="106"/>
    <x v="1"/>
    <x v="0"/>
    <x v="1"/>
    <x v="11"/>
    <x v="5"/>
    <x v="156"/>
    <n v="0.63"/>
    <n v="0.62652119911599891"/>
    <s v="United States"/>
    <x v="0"/>
    <x v="28"/>
    <x v="100"/>
    <n v="86401"/>
    <x v="84"/>
    <x v="3"/>
    <x v="0"/>
    <d v="2015-05-25T00:00:00"/>
    <n v="1074.44"/>
    <n v="14"/>
    <x v="194"/>
    <n v="91131"/>
    <x v="0"/>
  </r>
  <r>
    <n v="24627"/>
    <s v="Low"/>
    <n v="0.04"/>
    <n v="125.99"/>
    <x v="20"/>
    <x v="107"/>
    <x v="0"/>
    <x v="107"/>
    <x v="2"/>
    <x v="0"/>
    <x v="2"/>
    <x v="5"/>
    <x v="3"/>
    <x v="157"/>
    <n v="0.59"/>
    <n v="-5.8158584529874942"/>
    <s v="United States"/>
    <x v="1"/>
    <x v="19"/>
    <x v="101"/>
    <n v="19406"/>
    <x v="85"/>
    <x v="0"/>
    <x v="0"/>
    <d v="2015-01-16T00:00:00"/>
    <n v="-627.82191999999998"/>
    <n v="1"/>
    <x v="195"/>
    <n v="91130"/>
    <x v="0"/>
  </r>
  <r>
    <n v="18278"/>
    <s v="Medium"/>
    <n v="0.05"/>
    <n v="328.14"/>
    <x v="118"/>
    <x v="108"/>
    <x v="0"/>
    <x v="108"/>
    <x v="1"/>
    <x v="2"/>
    <x v="0"/>
    <x v="15"/>
    <x v="1"/>
    <x v="158"/>
    <n v="0.56999999999999995"/>
    <n v="0.20910639335765607"/>
    <s v="United States"/>
    <x v="1"/>
    <x v="31"/>
    <x v="102"/>
    <n v="2910"/>
    <x v="60"/>
    <x v="0"/>
    <x v="0"/>
    <d v="2015-01-19T00:00:00"/>
    <n v="411.5172"/>
    <n v="6"/>
    <x v="196"/>
    <n v="87347"/>
    <x v="0"/>
  </r>
  <r>
    <n v="24794"/>
    <s v="Low"/>
    <n v="0.09"/>
    <n v="19.23"/>
    <x v="119"/>
    <x v="109"/>
    <x v="0"/>
    <x v="109"/>
    <x v="0"/>
    <x v="0"/>
    <x v="1"/>
    <x v="2"/>
    <x v="2"/>
    <x v="159"/>
    <n v="0.44"/>
    <n v="0.53598579040852568"/>
    <s v="United States"/>
    <x v="0"/>
    <x v="1"/>
    <x v="103"/>
    <n v="94601"/>
    <x v="86"/>
    <x v="4"/>
    <x v="0"/>
    <d v="2015-04-13T00:00:00"/>
    <n v="211.232"/>
    <n v="21"/>
    <x v="197"/>
    <n v="90292"/>
    <x v="0"/>
  </r>
  <r>
    <n v="20401"/>
    <s v="Not Specified"/>
    <n v="0.02"/>
    <n v="20.99"/>
    <x v="120"/>
    <x v="110"/>
    <x v="0"/>
    <x v="110"/>
    <x v="2"/>
    <x v="0"/>
    <x v="2"/>
    <x v="5"/>
    <x v="4"/>
    <x v="160"/>
    <n v="0.57999999999999996"/>
    <n v="0.18689890761665229"/>
    <s v="United States"/>
    <x v="1"/>
    <x v="14"/>
    <x v="104"/>
    <n v="4240"/>
    <x v="87"/>
    <x v="3"/>
    <x v="0"/>
    <d v="2015-05-29T00:00:00"/>
    <n v="49.787999999999997"/>
    <n v="15"/>
    <x v="198"/>
    <n v="90291"/>
    <x v="0"/>
  </r>
  <r>
    <n v="20400"/>
    <s v="Not Specified"/>
    <n v="0.05"/>
    <n v="5.4"/>
    <x v="75"/>
    <x v="111"/>
    <x v="0"/>
    <x v="111"/>
    <x v="0"/>
    <x v="0"/>
    <x v="0"/>
    <x v="8"/>
    <x v="3"/>
    <x v="97"/>
    <n v="0.37"/>
    <n v="-2.5594268622153611"/>
    <s v="United States"/>
    <x v="1"/>
    <x v="15"/>
    <x v="105"/>
    <n v="2149"/>
    <x v="87"/>
    <x v="3"/>
    <x v="0"/>
    <d v="2015-05-29T00:00:00"/>
    <n v="-132.62950000000001"/>
    <n v="9"/>
    <x v="199"/>
    <n v="90291"/>
    <x v="0"/>
  </r>
  <r>
    <n v="3392"/>
    <s v="Not Specified"/>
    <n v="0.02"/>
    <n v="200.98"/>
    <x v="121"/>
    <x v="112"/>
    <x v="1"/>
    <x v="112"/>
    <x v="1"/>
    <x v="2"/>
    <x v="1"/>
    <x v="14"/>
    <x v="5"/>
    <x v="161"/>
    <n v="0.75"/>
    <n v="-1.7152710805484507E-2"/>
    <s v="United States"/>
    <x v="2"/>
    <x v="22"/>
    <x v="56"/>
    <n v="48234"/>
    <x v="88"/>
    <x v="5"/>
    <x v="0"/>
    <d v="2015-03-16T00:00:00"/>
    <n v="-163.63"/>
    <n v="45"/>
    <x v="200"/>
    <n v="24193"/>
    <x v="0"/>
  </r>
  <r>
    <n v="3393"/>
    <s v="Not Specified"/>
    <n v="0.02"/>
    <n v="4.28"/>
    <x v="122"/>
    <x v="112"/>
    <x v="1"/>
    <x v="112"/>
    <x v="2"/>
    <x v="2"/>
    <x v="0"/>
    <x v="7"/>
    <x v="3"/>
    <x v="162"/>
    <n v="0.4"/>
    <n v="-0.58137629710540684"/>
    <s v="United States"/>
    <x v="2"/>
    <x v="22"/>
    <x v="56"/>
    <n v="48234"/>
    <x v="88"/>
    <x v="5"/>
    <x v="0"/>
    <d v="2015-03-15T00:00:00"/>
    <n v="-63.87"/>
    <n v="24"/>
    <x v="201"/>
    <n v="24193"/>
    <x v="0"/>
  </r>
  <r>
    <n v="3394"/>
    <s v="Not Specified"/>
    <n v="0.04"/>
    <n v="85.99"/>
    <x v="90"/>
    <x v="112"/>
    <x v="1"/>
    <x v="112"/>
    <x v="2"/>
    <x v="2"/>
    <x v="2"/>
    <x v="5"/>
    <x v="0"/>
    <x v="163"/>
    <n v="0.85"/>
    <n v="-0.12279969996705246"/>
    <s v="United States"/>
    <x v="2"/>
    <x v="22"/>
    <x v="56"/>
    <n v="48234"/>
    <x v="88"/>
    <x v="5"/>
    <x v="0"/>
    <d v="2015-03-16T00:00:00"/>
    <n v="-175.17500000000001"/>
    <n v="19"/>
    <x v="202"/>
    <n v="24193"/>
    <x v="0"/>
  </r>
  <r>
    <n v="21392"/>
    <s v="Not Specified"/>
    <n v="0.02"/>
    <n v="200.98"/>
    <x v="121"/>
    <x v="113"/>
    <x v="1"/>
    <x v="113"/>
    <x v="1"/>
    <x v="2"/>
    <x v="1"/>
    <x v="14"/>
    <x v="5"/>
    <x v="161"/>
    <n v="0.75"/>
    <n v="-9.6465457352373579E-2"/>
    <s v="United States"/>
    <x v="3"/>
    <x v="20"/>
    <x v="106"/>
    <n v="37814"/>
    <x v="88"/>
    <x v="5"/>
    <x v="0"/>
    <d v="2015-03-16T00:00:00"/>
    <n v="-224.94779999999997"/>
    <n v="11"/>
    <x v="203"/>
    <n v="90917"/>
    <x v="0"/>
  </r>
  <r>
    <n v="21393"/>
    <s v="Not Specified"/>
    <n v="0.02"/>
    <n v="4.28"/>
    <x v="122"/>
    <x v="113"/>
    <x v="1"/>
    <x v="113"/>
    <x v="2"/>
    <x v="2"/>
    <x v="0"/>
    <x v="7"/>
    <x v="3"/>
    <x v="162"/>
    <n v="0.4"/>
    <n v="7.1641791044776113"/>
    <s v="United States"/>
    <x v="3"/>
    <x v="20"/>
    <x v="106"/>
    <n v="37814"/>
    <x v="88"/>
    <x v="5"/>
    <x v="0"/>
    <d v="2015-03-15T00:00:00"/>
    <n v="196.79999999999998"/>
    <n v="6"/>
    <x v="204"/>
    <n v="90917"/>
    <x v="0"/>
  </r>
  <r>
    <n v="19073"/>
    <s v="Medium"/>
    <n v="0.03"/>
    <n v="25.98"/>
    <x v="123"/>
    <x v="114"/>
    <x v="0"/>
    <x v="114"/>
    <x v="2"/>
    <x v="3"/>
    <x v="0"/>
    <x v="15"/>
    <x v="4"/>
    <x v="164"/>
    <n v="0.5"/>
    <n v="0.54253390326990247"/>
    <s v="United States"/>
    <x v="2"/>
    <x v="12"/>
    <x v="90"/>
    <n v="60510"/>
    <x v="89"/>
    <x v="4"/>
    <x v="0"/>
    <d v="2015-04-17T00:00:00"/>
    <n v="250.03759999999997"/>
    <n v="17"/>
    <x v="205"/>
    <n v="89579"/>
    <x v="0"/>
  </r>
  <r>
    <n v="22401"/>
    <s v="Not Specified"/>
    <n v="7.0000000000000007E-2"/>
    <n v="415.88"/>
    <x v="124"/>
    <x v="115"/>
    <x v="0"/>
    <x v="115"/>
    <x v="2"/>
    <x v="0"/>
    <x v="0"/>
    <x v="10"/>
    <x v="3"/>
    <x v="165"/>
    <n v="0.56999999999999995"/>
    <n v="-1.3677473321335329"/>
    <s v="United States"/>
    <x v="2"/>
    <x v="12"/>
    <x v="107"/>
    <n v="61701"/>
    <x v="90"/>
    <x v="3"/>
    <x v="0"/>
    <d v="2015-05-01T00:00:00"/>
    <n v="-539.59"/>
    <n v="1"/>
    <x v="206"/>
    <n v="88929"/>
    <x v="0"/>
  </r>
  <r>
    <n v="21281"/>
    <s v="Critical"/>
    <n v="0.06"/>
    <n v="5.34"/>
    <x v="125"/>
    <x v="116"/>
    <x v="1"/>
    <x v="116"/>
    <x v="2"/>
    <x v="0"/>
    <x v="0"/>
    <x v="8"/>
    <x v="3"/>
    <x v="166"/>
    <n v="0.39"/>
    <n v="-2.1428978007761965"/>
    <s v="United States"/>
    <x v="1"/>
    <x v="19"/>
    <x v="108"/>
    <n v="19026"/>
    <x v="91"/>
    <x v="5"/>
    <x v="0"/>
    <d v="2015-03-19T00:00:00"/>
    <n v="-82.822999999999993"/>
    <n v="7"/>
    <x v="207"/>
    <n v="88928"/>
    <x v="0"/>
  </r>
  <r>
    <n v="21282"/>
    <s v="Critical"/>
    <n v="7.0000000000000007E-2"/>
    <n v="65.989999999999995"/>
    <x v="126"/>
    <x v="116"/>
    <x v="1"/>
    <x v="116"/>
    <x v="0"/>
    <x v="0"/>
    <x v="2"/>
    <x v="5"/>
    <x v="3"/>
    <x v="167"/>
    <n v="0.56000000000000005"/>
    <n v="0.3826680484579924"/>
    <s v="United States"/>
    <x v="1"/>
    <x v="19"/>
    <x v="108"/>
    <n v="19026"/>
    <x v="91"/>
    <x v="5"/>
    <x v="0"/>
    <d v="2015-03-21T00:00:00"/>
    <n v="107.08200000000001"/>
    <n v="5"/>
    <x v="208"/>
    <n v="88928"/>
    <x v="0"/>
  </r>
  <r>
    <n v="20919"/>
    <s v="High"/>
    <n v="0.1"/>
    <n v="8.8800000000000008"/>
    <x v="127"/>
    <x v="117"/>
    <x v="0"/>
    <x v="117"/>
    <x v="0"/>
    <x v="0"/>
    <x v="0"/>
    <x v="8"/>
    <x v="3"/>
    <x v="168"/>
    <n v="0.35"/>
    <n v="-0.21500197005516156"/>
    <s v="United States"/>
    <x v="2"/>
    <x v="32"/>
    <x v="109"/>
    <n v="68801"/>
    <x v="20"/>
    <x v="1"/>
    <x v="0"/>
    <d v="2015-06-14T00:00:00"/>
    <n v="-27.283750000000001"/>
    <n v="15"/>
    <x v="209"/>
    <n v="90339"/>
    <x v="0"/>
  </r>
  <r>
    <n v="22223"/>
    <s v="Critical"/>
    <n v="0.03"/>
    <n v="5.28"/>
    <x v="128"/>
    <x v="118"/>
    <x v="1"/>
    <x v="118"/>
    <x v="2"/>
    <x v="0"/>
    <x v="0"/>
    <x v="7"/>
    <x v="3"/>
    <x v="169"/>
    <n v="0.4"/>
    <n v="-2.2593865030674847"/>
    <s v="United States"/>
    <x v="2"/>
    <x v="32"/>
    <x v="110"/>
    <n v="68847"/>
    <x v="35"/>
    <x v="0"/>
    <x v="0"/>
    <d v="2015-01-05T00:00:00"/>
    <n v="-51.559199999999997"/>
    <n v="4"/>
    <x v="210"/>
    <n v="90337"/>
    <x v="0"/>
  </r>
  <r>
    <n v="22224"/>
    <s v="Critical"/>
    <n v="0.01"/>
    <n v="110.99"/>
    <x v="10"/>
    <x v="118"/>
    <x v="1"/>
    <x v="118"/>
    <x v="2"/>
    <x v="0"/>
    <x v="2"/>
    <x v="5"/>
    <x v="3"/>
    <x v="170"/>
    <n v="0.56999999999999995"/>
    <n v="-1.3970408141630446"/>
    <s v="United States"/>
    <x v="2"/>
    <x v="32"/>
    <x v="110"/>
    <n v="68847"/>
    <x v="35"/>
    <x v="0"/>
    <x v="0"/>
    <d v="2015-01-06T00:00:00"/>
    <n v="-263.56572"/>
    <n v="2"/>
    <x v="211"/>
    <n v="90337"/>
    <x v="0"/>
  </r>
  <r>
    <n v="23853"/>
    <s v="Low"/>
    <n v="0.03"/>
    <n v="160.97999999999999"/>
    <x v="40"/>
    <x v="119"/>
    <x v="0"/>
    <x v="119"/>
    <x v="1"/>
    <x v="0"/>
    <x v="1"/>
    <x v="1"/>
    <x v="1"/>
    <x v="48"/>
    <n v="0.62"/>
    <n v="0.69"/>
    <s v="United States"/>
    <x v="2"/>
    <x v="32"/>
    <x v="111"/>
    <n v="68502"/>
    <x v="92"/>
    <x v="2"/>
    <x v="0"/>
    <d v="2015-02-10T00:00:00"/>
    <n v="1273.2086999999999"/>
    <n v="11"/>
    <x v="212"/>
    <n v="90338"/>
    <x v="0"/>
  </r>
  <r>
    <n v="25449"/>
    <s v="Medium"/>
    <n v="0.02"/>
    <n v="34.979999999999997"/>
    <x v="129"/>
    <x v="120"/>
    <x v="1"/>
    <x v="120"/>
    <x v="2"/>
    <x v="0"/>
    <x v="2"/>
    <x v="13"/>
    <x v="3"/>
    <x v="171"/>
    <n v="0.76"/>
    <n v="-4.2970936490850384"/>
    <s v="United States"/>
    <x v="2"/>
    <x v="33"/>
    <x v="112"/>
    <n v="63105"/>
    <x v="93"/>
    <x v="5"/>
    <x v="0"/>
    <d v="2015-03-07T00:00:00"/>
    <n v="-159.68"/>
    <n v="1"/>
    <x v="213"/>
    <n v="86383"/>
    <x v="0"/>
  </r>
  <r>
    <n v="25450"/>
    <s v="Medium"/>
    <n v="0.01"/>
    <n v="19.989999999999998"/>
    <x v="130"/>
    <x v="120"/>
    <x v="1"/>
    <x v="120"/>
    <x v="2"/>
    <x v="0"/>
    <x v="1"/>
    <x v="2"/>
    <x v="6"/>
    <x v="172"/>
    <n v="0.6"/>
    <n v="0.63940435280641472"/>
    <s v="United States"/>
    <x v="2"/>
    <x v="33"/>
    <x v="112"/>
    <n v="63105"/>
    <x v="93"/>
    <x v="5"/>
    <x v="0"/>
    <d v="2015-03-08T00:00:00"/>
    <n v="27.91"/>
    <n v="2"/>
    <x v="214"/>
    <n v="86383"/>
    <x v="0"/>
  </r>
  <r>
    <n v="22598"/>
    <s v="Low"/>
    <n v="7.0000000000000007E-2"/>
    <n v="9.7100000000000009"/>
    <x v="131"/>
    <x v="121"/>
    <x v="0"/>
    <x v="121"/>
    <x v="2"/>
    <x v="0"/>
    <x v="0"/>
    <x v="10"/>
    <x v="3"/>
    <x v="173"/>
    <n v="0.6"/>
    <n v="-2.6008269720101778"/>
    <s v="United States"/>
    <x v="1"/>
    <x v="4"/>
    <x v="113"/>
    <n v="13021"/>
    <x v="2"/>
    <x v="2"/>
    <x v="0"/>
    <d v="2015-02-22T00:00:00"/>
    <n v="-81.77"/>
    <n v="3"/>
    <x v="215"/>
    <n v="86382"/>
    <x v="0"/>
  </r>
  <r>
    <n v="24638"/>
    <s v="Critical"/>
    <n v="0.04"/>
    <n v="15.98"/>
    <x v="41"/>
    <x v="122"/>
    <x v="1"/>
    <x v="122"/>
    <x v="2"/>
    <x v="0"/>
    <x v="2"/>
    <x v="13"/>
    <x v="3"/>
    <x v="174"/>
    <n v="0.37"/>
    <n v="-0.2973834958971977"/>
    <s v="United States"/>
    <x v="3"/>
    <x v="24"/>
    <x v="114"/>
    <n v="28001"/>
    <x v="49"/>
    <x v="1"/>
    <x v="0"/>
    <d v="2015-06-19T00:00:00"/>
    <n v="-19.208000000000002"/>
    <n v="4"/>
    <x v="216"/>
    <n v="86384"/>
    <x v="0"/>
  </r>
  <r>
    <n v="24639"/>
    <s v="Critical"/>
    <n v="0.06"/>
    <n v="22.84"/>
    <x v="132"/>
    <x v="122"/>
    <x v="1"/>
    <x v="122"/>
    <x v="2"/>
    <x v="0"/>
    <x v="0"/>
    <x v="7"/>
    <x v="3"/>
    <x v="175"/>
    <n v="0.39"/>
    <n v="1.6105987790622157E-2"/>
    <s v="United States"/>
    <x v="3"/>
    <x v="24"/>
    <x v="114"/>
    <n v="28001"/>
    <x v="49"/>
    <x v="1"/>
    <x v="0"/>
    <d v="2015-06-20T00:00:00"/>
    <n v="7.4399999999999995"/>
    <n v="20"/>
    <x v="217"/>
    <n v="86384"/>
    <x v="0"/>
  </r>
  <r>
    <n v="20693"/>
    <s v="Critical"/>
    <n v="0.1"/>
    <n v="154.13"/>
    <x v="54"/>
    <x v="123"/>
    <x v="0"/>
    <x v="123"/>
    <x v="2"/>
    <x v="0"/>
    <x v="1"/>
    <x v="11"/>
    <x v="6"/>
    <x v="66"/>
    <n v="0.68"/>
    <n v="-0.30624011033280724"/>
    <s v="United States"/>
    <x v="1"/>
    <x v="10"/>
    <x v="115"/>
    <n v="44221"/>
    <x v="23"/>
    <x v="2"/>
    <x v="0"/>
    <d v="2015-02-03T00:00:00"/>
    <n v="-372.48597100000006"/>
    <n v="8"/>
    <x v="218"/>
    <n v="89319"/>
    <x v="0"/>
  </r>
  <r>
    <n v="24471"/>
    <s v="Medium"/>
    <n v="0.05"/>
    <n v="63.94"/>
    <x v="133"/>
    <x v="124"/>
    <x v="0"/>
    <x v="124"/>
    <x v="2"/>
    <x v="0"/>
    <x v="1"/>
    <x v="2"/>
    <x v="3"/>
    <x v="176"/>
    <n v="0.46"/>
    <n v="0.69"/>
    <s v="United States"/>
    <x v="1"/>
    <x v="10"/>
    <x v="116"/>
    <n v="45406"/>
    <x v="94"/>
    <x v="3"/>
    <x v="0"/>
    <d v="2015-05-25T00:00:00"/>
    <n v="1372.6307999999999"/>
    <n v="31"/>
    <x v="219"/>
    <n v="89320"/>
    <x v="0"/>
  </r>
  <r>
    <n v="21570"/>
    <s v="High"/>
    <n v="0.03"/>
    <n v="4.9800000000000004"/>
    <x v="134"/>
    <x v="125"/>
    <x v="0"/>
    <x v="125"/>
    <x v="2"/>
    <x v="2"/>
    <x v="0"/>
    <x v="7"/>
    <x v="0"/>
    <x v="177"/>
    <n v="0.36"/>
    <n v="0.69"/>
    <s v="United States"/>
    <x v="1"/>
    <x v="2"/>
    <x v="117"/>
    <n v="8360"/>
    <x v="8"/>
    <x v="3"/>
    <x v="0"/>
    <d v="2015-05-22T00:00:00"/>
    <n v="50.2044"/>
    <n v="15"/>
    <x v="220"/>
    <n v="87804"/>
    <x v="0"/>
  </r>
  <r>
    <n v="19104"/>
    <s v="Low"/>
    <n v="7.0000000000000007E-2"/>
    <n v="29.17"/>
    <x v="135"/>
    <x v="126"/>
    <x v="0"/>
    <x v="126"/>
    <x v="2"/>
    <x v="0"/>
    <x v="0"/>
    <x v="8"/>
    <x v="3"/>
    <x v="178"/>
    <n v="0.37"/>
    <n v="0.58989961794890999"/>
    <s v="United States"/>
    <x v="2"/>
    <x v="7"/>
    <x v="118"/>
    <n v="78589"/>
    <x v="10"/>
    <x v="3"/>
    <x v="0"/>
    <d v="2015-05-06T00:00:00"/>
    <n v="236.2371"/>
    <n v="14"/>
    <x v="221"/>
    <n v="89639"/>
    <x v="0"/>
  </r>
  <r>
    <n v="18428"/>
    <s v="High"/>
    <n v="0.05"/>
    <n v="178.47"/>
    <x v="3"/>
    <x v="127"/>
    <x v="0"/>
    <x v="127"/>
    <x v="0"/>
    <x v="3"/>
    <x v="0"/>
    <x v="10"/>
    <x v="3"/>
    <x v="179"/>
    <n v="0.55000000000000004"/>
    <n v="0.61581260489384904"/>
    <s v="United States"/>
    <x v="0"/>
    <x v="1"/>
    <x v="103"/>
    <n v="94601"/>
    <x v="82"/>
    <x v="3"/>
    <x v="0"/>
    <d v="2015-05-07T00:00:00"/>
    <n v="943"/>
    <n v="9"/>
    <x v="222"/>
    <n v="87905"/>
    <x v="0"/>
  </r>
  <r>
    <n v="21739"/>
    <s v="Critical"/>
    <n v="0.09"/>
    <n v="999.99"/>
    <x v="100"/>
    <x v="128"/>
    <x v="0"/>
    <x v="128"/>
    <x v="2"/>
    <x v="2"/>
    <x v="2"/>
    <x v="6"/>
    <x v="4"/>
    <x v="180"/>
    <n v="0.36"/>
    <n v="-2.7543358104211775"/>
    <s v="United States"/>
    <x v="1"/>
    <x v="2"/>
    <x v="119"/>
    <n v="7201"/>
    <x v="92"/>
    <x v="2"/>
    <x v="0"/>
    <d v="2015-02-08T00:00:00"/>
    <n v="-2531.4825000000001"/>
    <n v="1"/>
    <x v="223"/>
    <n v="87700"/>
    <x v="0"/>
  </r>
  <r>
    <n v="22355"/>
    <s v="High"/>
    <n v="0.02"/>
    <n v="15.28"/>
    <x v="45"/>
    <x v="129"/>
    <x v="1"/>
    <x v="129"/>
    <x v="2"/>
    <x v="0"/>
    <x v="2"/>
    <x v="13"/>
    <x v="2"/>
    <x v="108"/>
    <n v="0.42"/>
    <n v="0.69"/>
    <s v="United States"/>
    <x v="0"/>
    <x v="34"/>
    <x v="120"/>
    <n v="89701"/>
    <x v="43"/>
    <x v="0"/>
    <x v="0"/>
    <d v="2015-01-16T00:00:00"/>
    <n v="163.1574"/>
    <n v="15"/>
    <x v="224"/>
    <n v="88479"/>
    <x v="0"/>
  </r>
  <r>
    <n v="22356"/>
    <s v="High"/>
    <n v="0"/>
    <n v="85.99"/>
    <x v="136"/>
    <x v="129"/>
    <x v="1"/>
    <x v="129"/>
    <x v="2"/>
    <x v="0"/>
    <x v="2"/>
    <x v="5"/>
    <x v="2"/>
    <x v="181"/>
    <n v="0.37"/>
    <n v="-4.0940801950690879"/>
    <s v="United States"/>
    <x v="0"/>
    <x v="34"/>
    <x v="120"/>
    <n v="89701"/>
    <x v="43"/>
    <x v="0"/>
    <x v="0"/>
    <d v="2015-01-16T00:00:00"/>
    <n v="-302.22500000000002"/>
    <n v="1"/>
    <x v="225"/>
    <n v="88479"/>
    <x v="0"/>
  </r>
  <r>
    <n v="25351"/>
    <s v="Not Specified"/>
    <n v="0.05"/>
    <n v="10.98"/>
    <x v="55"/>
    <x v="129"/>
    <x v="1"/>
    <x v="129"/>
    <x v="2"/>
    <x v="0"/>
    <x v="0"/>
    <x v="4"/>
    <x v="3"/>
    <x v="182"/>
    <n v="0.36"/>
    <n v="0.37275307473982972"/>
    <s v="United States"/>
    <x v="0"/>
    <x v="34"/>
    <x v="120"/>
    <n v="89701"/>
    <x v="95"/>
    <x v="5"/>
    <x v="0"/>
    <d v="2015-03-05T00:00:00"/>
    <n v="90.62"/>
    <n v="22"/>
    <x v="226"/>
    <n v="88480"/>
    <x v="0"/>
  </r>
  <r>
    <n v="19988"/>
    <s v="Low"/>
    <n v="0.05"/>
    <n v="125.99"/>
    <x v="68"/>
    <x v="130"/>
    <x v="0"/>
    <x v="130"/>
    <x v="2"/>
    <x v="2"/>
    <x v="2"/>
    <x v="5"/>
    <x v="3"/>
    <x v="89"/>
    <n v="0.56999999999999995"/>
    <n v="0.44853128347300109"/>
    <s v="United States"/>
    <x v="1"/>
    <x v="15"/>
    <x v="121"/>
    <n v="1462"/>
    <x v="33"/>
    <x v="1"/>
    <x v="0"/>
    <d v="2015-06-27T00:00:00"/>
    <n v="427.11840000000001"/>
    <n v="9"/>
    <x v="227"/>
    <n v="90695"/>
    <x v="0"/>
  </r>
  <r>
    <n v="25813"/>
    <s v="Critical"/>
    <n v="0"/>
    <n v="7.59"/>
    <x v="41"/>
    <x v="131"/>
    <x v="0"/>
    <x v="131"/>
    <x v="2"/>
    <x v="2"/>
    <x v="1"/>
    <x v="2"/>
    <x v="0"/>
    <x v="150"/>
    <n v="0.42"/>
    <n v="0.24285794560575411"/>
    <s v="United States"/>
    <x v="2"/>
    <x v="12"/>
    <x v="122"/>
    <n v="61801"/>
    <x v="40"/>
    <x v="3"/>
    <x v="0"/>
    <d v="2015-05-28T00:00:00"/>
    <n v="86.438000000000002"/>
    <n v="43"/>
    <x v="228"/>
    <n v="88085"/>
    <x v="0"/>
  </r>
  <r>
    <n v="23153"/>
    <s v="Not Specified"/>
    <n v="0.03"/>
    <n v="48.04"/>
    <x v="3"/>
    <x v="132"/>
    <x v="1"/>
    <x v="132"/>
    <x v="2"/>
    <x v="2"/>
    <x v="0"/>
    <x v="7"/>
    <x v="3"/>
    <x v="183"/>
    <n v="0.37"/>
    <n v="-4.3850162225936427E-2"/>
    <s v="United States"/>
    <x v="2"/>
    <x v="32"/>
    <x v="123"/>
    <n v="68701"/>
    <x v="86"/>
    <x v="4"/>
    <x v="0"/>
    <d v="2015-04-13T00:00:00"/>
    <n v="-4.4599999999999937"/>
    <n v="2"/>
    <x v="229"/>
    <n v="88083"/>
    <x v="0"/>
  </r>
  <r>
    <n v="23862"/>
    <s v="High"/>
    <n v="0.09"/>
    <n v="200.98"/>
    <x v="121"/>
    <x v="132"/>
    <x v="1"/>
    <x v="132"/>
    <x v="1"/>
    <x v="2"/>
    <x v="1"/>
    <x v="14"/>
    <x v="5"/>
    <x v="161"/>
    <n v="0.75"/>
    <n v="-0.29030271469649288"/>
    <s v="United States"/>
    <x v="2"/>
    <x v="32"/>
    <x v="123"/>
    <n v="68701"/>
    <x v="96"/>
    <x v="1"/>
    <x v="0"/>
    <d v="2015-06-24T00:00:00"/>
    <n v="-512.87200000000007"/>
    <n v="9"/>
    <x v="230"/>
    <n v="88084"/>
    <x v="0"/>
  </r>
  <r>
    <n v="23863"/>
    <s v="High"/>
    <n v="0.09"/>
    <n v="2.78"/>
    <x v="137"/>
    <x v="132"/>
    <x v="1"/>
    <x v="132"/>
    <x v="2"/>
    <x v="2"/>
    <x v="0"/>
    <x v="0"/>
    <x v="0"/>
    <x v="184"/>
    <n v="0.59"/>
    <n v="-0.13039283252929015"/>
    <s v="United States"/>
    <x v="2"/>
    <x v="32"/>
    <x v="123"/>
    <n v="68701"/>
    <x v="96"/>
    <x v="1"/>
    <x v="0"/>
    <d v="2015-06-24T00:00:00"/>
    <n v="-3.7840000000000003"/>
    <n v="11"/>
    <x v="231"/>
    <n v="88084"/>
    <x v="0"/>
  </r>
  <r>
    <n v="19694"/>
    <s v="Not Specified"/>
    <n v="0.04"/>
    <n v="130.97999999999999"/>
    <x v="40"/>
    <x v="133"/>
    <x v="1"/>
    <x v="133"/>
    <x v="1"/>
    <x v="0"/>
    <x v="1"/>
    <x v="1"/>
    <x v="1"/>
    <x v="185"/>
    <n v="0.78"/>
    <n v="-0.51974170898376282"/>
    <s v="United States"/>
    <x v="2"/>
    <x v="3"/>
    <x v="124"/>
    <n v="55113"/>
    <x v="97"/>
    <x v="1"/>
    <x v="0"/>
    <d v="2015-06-28T00:00:00"/>
    <n v="-82.903999999999996"/>
    <n v="1"/>
    <x v="232"/>
    <n v="90449"/>
    <x v="0"/>
  </r>
  <r>
    <n v="19695"/>
    <s v="Not Specified"/>
    <n v="0.05"/>
    <n v="200.99"/>
    <x v="5"/>
    <x v="133"/>
    <x v="1"/>
    <x v="133"/>
    <x v="2"/>
    <x v="0"/>
    <x v="2"/>
    <x v="5"/>
    <x v="3"/>
    <x v="186"/>
    <n v="0.59"/>
    <n v="0.69"/>
    <s v="United States"/>
    <x v="2"/>
    <x v="3"/>
    <x v="124"/>
    <n v="55113"/>
    <x v="97"/>
    <x v="1"/>
    <x v="0"/>
    <d v="2015-06-25T00:00:00"/>
    <n v="1268.8064999999999"/>
    <n v="11"/>
    <x v="233"/>
    <n v="90449"/>
    <x v="0"/>
  </r>
  <r>
    <n v="20851"/>
    <s v="High"/>
    <n v="0.03"/>
    <n v="15.99"/>
    <x v="138"/>
    <x v="134"/>
    <x v="1"/>
    <x v="134"/>
    <x v="2"/>
    <x v="1"/>
    <x v="2"/>
    <x v="6"/>
    <x v="4"/>
    <x v="187"/>
    <n v="0.38"/>
    <n v="-1.5021476888387826"/>
    <s v="United States"/>
    <x v="0"/>
    <x v="1"/>
    <x v="125"/>
    <n v="94024"/>
    <x v="98"/>
    <x v="4"/>
    <x v="0"/>
    <d v="2015-04-11T00:00:00"/>
    <n v="-53.296199999999999"/>
    <n v="2"/>
    <x v="234"/>
    <n v="86010"/>
    <x v="0"/>
  </r>
  <r>
    <n v="21117"/>
    <s v="Critical"/>
    <n v="0.04"/>
    <n v="37.700000000000003"/>
    <x v="139"/>
    <x v="134"/>
    <x v="1"/>
    <x v="134"/>
    <x v="2"/>
    <x v="1"/>
    <x v="0"/>
    <x v="8"/>
    <x v="3"/>
    <x v="188"/>
    <n v="0.35"/>
    <n v="0.69000000000000006"/>
    <s v="United States"/>
    <x v="0"/>
    <x v="1"/>
    <x v="125"/>
    <n v="94024"/>
    <x v="87"/>
    <x v="3"/>
    <x v="0"/>
    <d v="2015-05-28T00:00:00"/>
    <n v="299.6739"/>
    <n v="12"/>
    <x v="235"/>
    <n v="86012"/>
    <x v="0"/>
  </r>
  <r>
    <n v="18536"/>
    <s v="Low"/>
    <n v="0.01"/>
    <n v="8.8800000000000008"/>
    <x v="127"/>
    <x v="134"/>
    <x v="1"/>
    <x v="134"/>
    <x v="2"/>
    <x v="1"/>
    <x v="0"/>
    <x v="8"/>
    <x v="3"/>
    <x v="168"/>
    <n v="0.35"/>
    <n v="-0.77824773413897286"/>
    <s v="United States"/>
    <x v="0"/>
    <x v="1"/>
    <x v="125"/>
    <n v="94024"/>
    <x v="99"/>
    <x v="0"/>
    <x v="0"/>
    <d v="2015-01-10T00:00:00"/>
    <n v="-15.456"/>
    <n v="2"/>
    <x v="236"/>
    <n v="86013"/>
    <x v="0"/>
  </r>
  <r>
    <n v="18537"/>
    <s v="Low"/>
    <n v="0.06"/>
    <n v="2.88"/>
    <x v="90"/>
    <x v="134"/>
    <x v="1"/>
    <x v="134"/>
    <x v="2"/>
    <x v="1"/>
    <x v="0"/>
    <x v="9"/>
    <x v="3"/>
    <x v="116"/>
    <n v="0.36"/>
    <n v="0.69"/>
    <s v="United States"/>
    <x v="0"/>
    <x v="1"/>
    <x v="125"/>
    <n v="94024"/>
    <x v="99"/>
    <x v="0"/>
    <x v="0"/>
    <d v="2015-01-14T00:00:00"/>
    <n v="16.049399999999999"/>
    <n v="8"/>
    <x v="237"/>
    <n v="86013"/>
    <x v="0"/>
  </r>
  <r>
    <n v="21118"/>
    <s v="Critical"/>
    <n v="0.01"/>
    <n v="55.99"/>
    <x v="104"/>
    <x v="135"/>
    <x v="0"/>
    <x v="135"/>
    <x v="2"/>
    <x v="1"/>
    <x v="2"/>
    <x v="5"/>
    <x v="2"/>
    <x v="134"/>
    <n v="0.83"/>
    <n v="-4.5513216284005402"/>
    <s v="United States"/>
    <x v="0"/>
    <x v="1"/>
    <x v="126"/>
    <n v="93635"/>
    <x v="87"/>
    <x v="3"/>
    <x v="0"/>
    <d v="2015-05-28T00:00:00"/>
    <n v="-235.89500000000001"/>
    <n v="1"/>
    <x v="238"/>
    <n v="86012"/>
    <x v="0"/>
  </r>
  <r>
    <n v="22318"/>
    <s v="Not Specified"/>
    <n v="0.03"/>
    <n v="29.34"/>
    <x v="140"/>
    <x v="136"/>
    <x v="0"/>
    <x v="136"/>
    <x v="2"/>
    <x v="0"/>
    <x v="1"/>
    <x v="2"/>
    <x v="3"/>
    <x v="189"/>
    <n v="0.54"/>
    <n v="-1.2753086419753088"/>
    <s v="United States"/>
    <x v="0"/>
    <x v="1"/>
    <x v="127"/>
    <n v="95032"/>
    <x v="100"/>
    <x v="3"/>
    <x v="0"/>
    <d v="2015-05-10T00:00:00"/>
    <n v="-41.32"/>
    <n v="1"/>
    <x v="239"/>
    <n v="86011"/>
    <x v="0"/>
  </r>
  <r>
    <n v="22874"/>
    <s v="Low"/>
    <n v="7.0000000000000007E-2"/>
    <n v="16.91"/>
    <x v="141"/>
    <x v="137"/>
    <x v="0"/>
    <x v="137"/>
    <x v="2"/>
    <x v="1"/>
    <x v="0"/>
    <x v="10"/>
    <x v="3"/>
    <x v="190"/>
    <n v="0.57999999999999996"/>
    <n v="1.6027591803611293E-2"/>
    <s v="United States"/>
    <x v="1"/>
    <x v="2"/>
    <x v="128"/>
    <n v="8332"/>
    <x v="94"/>
    <x v="3"/>
    <x v="0"/>
    <d v="2015-05-30T00:00:00"/>
    <n v="7.9000000000000057"/>
    <n v="31"/>
    <x v="240"/>
    <n v="86014"/>
    <x v="0"/>
  </r>
  <r>
    <n v="18467"/>
    <s v="Low"/>
    <n v="7.0000000000000007E-2"/>
    <n v="165.2"/>
    <x v="3"/>
    <x v="138"/>
    <x v="0"/>
    <x v="138"/>
    <x v="2"/>
    <x v="2"/>
    <x v="0"/>
    <x v="10"/>
    <x v="3"/>
    <x v="191"/>
    <n v="0.59"/>
    <n v="0.48235848882149535"/>
    <s v="United States"/>
    <x v="0"/>
    <x v="1"/>
    <x v="129"/>
    <n v="90069"/>
    <x v="101"/>
    <x v="0"/>
    <x v="0"/>
    <d v="2015-01-16T00:00:00"/>
    <n v="521.69000000000005"/>
    <n v="7"/>
    <x v="241"/>
    <n v="88061"/>
    <x v="0"/>
  </r>
  <r>
    <n v="22754"/>
    <s v="Not Specified"/>
    <n v="0.08"/>
    <n v="297.64"/>
    <x v="69"/>
    <x v="139"/>
    <x v="0"/>
    <x v="139"/>
    <x v="1"/>
    <x v="2"/>
    <x v="2"/>
    <x v="6"/>
    <x v="1"/>
    <x v="192"/>
    <n v="0.56999999999999995"/>
    <n v="0.43854101196991629"/>
    <s v="United States"/>
    <x v="1"/>
    <x v="15"/>
    <x v="130"/>
    <n v="2019"/>
    <x v="52"/>
    <x v="0"/>
    <x v="0"/>
    <d v="2015-01-11T00:00:00"/>
    <n v="496.79679999999996"/>
    <n v="5"/>
    <x v="242"/>
    <n v="88060"/>
    <x v="0"/>
  </r>
  <r>
    <n v="22755"/>
    <s v="Not Specified"/>
    <n v="0.02"/>
    <n v="12.99"/>
    <x v="142"/>
    <x v="140"/>
    <x v="0"/>
    <x v="140"/>
    <x v="2"/>
    <x v="2"/>
    <x v="1"/>
    <x v="2"/>
    <x v="6"/>
    <x v="193"/>
    <n v="0.73"/>
    <n v="-3.876694283923972"/>
    <s v="United States"/>
    <x v="1"/>
    <x v="15"/>
    <x v="131"/>
    <n v="1915"/>
    <x v="52"/>
    <x v="0"/>
    <x v="0"/>
    <d v="2015-01-12T00:00:00"/>
    <n v="-556.80960000000005"/>
    <n v="11"/>
    <x v="243"/>
    <n v="88060"/>
    <x v="0"/>
  </r>
  <r>
    <n v="22756"/>
    <s v="Not Specified"/>
    <n v="0.06"/>
    <n v="14.42"/>
    <x v="143"/>
    <x v="141"/>
    <x v="0"/>
    <x v="141"/>
    <x v="2"/>
    <x v="2"/>
    <x v="0"/>
    <x v="15"/>
    <x v="4"/>
    <x v="194"/>
    <n v="0.52"/>
    <n v="-0.37977546549835706"/>
    <s v="United States"/>
    <x v="1"/>
    <x v="15"/>
    <x v="132"/>
    <n v="2341"/>
    <x v="52"/>
    <x v="0"/>
    <x v="0"/>
    <d v="2015-01-12T00:00:00"/>
    <n v="-27.738800000000001"/>
    <n v="5"/>
    <x v="244"/>
    <n v="88060"/>
    <x v="0"/>
  </r>
  <r>
    <n v="22757"/>
    <s v="Not Specified"/>
    <n v="0.05"/>
    <n v="4.1399999999999997"/>
    <x v="16"/>
    <x v="142"/>
    <x v="0"/>
    <x v="142"/>
    <x v="0"/>
    <x v="2"/>
    <x v="1"/>
    <x v="2"/>
    <x v="3"/>
    <x v="16"/>
    <n v="0.49"/>
    <n v="-3.8586866566716638"/>
    <s v="United States"/>
    <x v="1"/>
    <x v="2"/>
    <x v="133"/>
    <n v="7506"/>
    <x v="52"/>
    <x v="0"/>
    <x v="0"/>
    <d v="2015-01-13T00:00:00"/>
    <n v="-128.68719999999999"/>
    <n v="7"/>
    <x v="245"/>
    <n v="88060"/>
    <x v="0"/>
  </r>
  <r>
    <n v="22758"/>
    <s v="Not Specified"/>
    <n v="0.03"/>
    <n v="11.34"/>
    <x v="144"/>
    <x v="143"/>
    <x v="0"/>
    <x v="143"/>
    <x v="2"/>
    <x v="2"/>
    <x v="0"/>
    <x v="7"/>
    <x v="3"/>
    <x v="195"/>
    <n v="0.36"/>
    <n v="0.38517264276228419"/>
    <s v="United States"/>
    <x v="1"/>
    <x v="2"/>
    <x v="134"/>
    <n v="8601"/>
    <x v="52"/>
    <x v="0"/>
    <x v="0"/>
    <d v="2015-01-11T00:00:00"/>
    <n v="23.2028"/>
    <n v="5"/>
    <x v="246"/>
    <n v="88060"/>
    <x v="0"/>
  </r>
  <r>
    <n v="462"/>
    <s v="Not Specified"/>
    <n v="7.0000000000000007E-2"/>
    <n v="179.99"/>
    <x v="3"/>
    <x v="144"/>
    <x v="0"/>
    <x v="144"/>
    <x v="0"/>
    <x v="3"/>
    <x v="2"/>
    <x v="13"/>
    <x v="3"/>
    <x v="196"/>
    <n v="0.48"/>
    <n v="-0.79179853209475937"/>
    <s v="United States"/>
    <x v="3"/>
    <x v="29"/>
    <x v="135"/>
    <n v="30318"/>
    <x v="102"/>
    <x v="2"/>
    <x v="0"/>
    <d v="2015-02-08T00:00:00"/>
    <n v="-568.53510000000006"/>
    <n v="4"/>
    <x v="247"/>
    <n v="3138"/>
    <x v="0"/>
  </r>
  <r>
    <n v="18462"/>
    <s v="Not Specified"/>
    <n v="7.0000000000000007E-2"/>
    <n v="179.99"/>
    <x v="3"/>
    <x v="145"/>
    <x v="0"/>
    <x v="145"/>
    <x v="0"/>
    <x v="3"/>
    <x v="2"/>
    <x v="13"/>
    <x v="3"/>
    <x v="196"/>
    <n v="0.48"/>
    <n v="-2.3813158041334748"/>
    <s v="United States"/>
    <x v="1"/>
    <x v="30"/>
    <x v="136"/>
    <n v="21133"/>
    <x v="102"/>
    <x v="2"/>
    <x v="0"/>
    <d v="2015-02-08T00:00:00"/>
    <n v="-427.47"/>
    <n v="1"/>
    <x v="248"/>
    <n v="88023"/>
    <x v="0"/>
  </r>
  <r>
    <n v="20637"/>
    <s v="Critical"/>
    <n v="0.03"/>
    <n v="11.97"/>
    <x v="145"/>
    <x v="146"/>
    <x v="1"/>
    <x v="146"/>
    <x v="2"/>
    <x v="0"/>
    <x v="0"/>
    <x v="15"/>
    <x v="3"/>
    <x v="197"/>
    <n v="0.57999999999999996"/>
    <n v="-0.24856518174364581"/>
    <s v="United States"/>
    <x v="2"/>
    <x v="12"/>
    <x v="137"/>
    <n v="60543"/>
    <x v="39"/>
    <x v="0"/>
    <x v="0"/>
    <d v="2015-01-28T00:00:00"/>
    <n v="-18.190000000000001"/>
    <n v="6"/>
    <x v="249"/>
    <n v="90353"/>
    <x v="0"/>
  </r>
  <r>
    <n v="22864"/>
    <s v="Not Specified"/>
    <n v="0.06"/>
    <n v="3.36"/>
    <x v="135"/>
    <x v="146"/>
    <x v="1"/>
    <x v="146"/>
    <x v="2"/>
    <x v="0"/>
    <x v="0"/>
    <x v="8"/>
    <x v="3"/>
    <x v="198"/>
    <n v="0.4"/>
    <n v="-2.7276122448979594"/>
    <s v="United States"/>
    <x v="2"/>
    <x v="12"/>
    <x v="137"/>
    <n v="60543"/>
    <x v="45"/>
    <x v="4"/>
    <x v="0"/>
    <d v="2015-04-24T00:00:00"/>
    <n v="-24.057540000000003"/>
    <n v="2"/>
    <x v="250"/>
    <n v="90354"/>
    <x v="0"/>
  </r>
  <r>
    <n v="22865"/>
    <s v="Not Specified"/>
    <n v="7.0000000000000007E-2"/>
    <n v="699.99"/>
    <x v="65"/>
    <x v="146"/>
    <x v="1"/>
    <x v="146"/>
    <x v="2"/>
    <x v="0"/>
    <x v="2"/>
    <x v="16"/>
    <x v="6"/>
    <x v="199"/>
    <n v="0.41"/>
    <n v="0.432316360697379"/>
    <s v="United States"/>
    <x v="2"/>
    <x v="12"/>
    <x v="137"/>
    <n v="60543"/>
    <x v="45"/>
    <x v="4"/>
    <x v="0"/>
    <d v="2015-04-25T00:00:00"/>
    <n v="2583.5614799999998"/>
    <n v="9"/>
    <x v="251"/>
    <n v="90354"/>
    <x v="0"/>
  </r>
  <r>
    <n v="20668"/>
    <s v="Not Specified"/>
    <n v="0.05"/>
    <n v="2.88"/>
    <x v="28"/>
    <x v="147"/>
    <x v="0"/>
    <x v="147"/>
    <x v="2"/>
    <x v="0"/>
    <x v="0"/>
    <x v="9"/>
    <x v="3"/>
    <x v="200"/>
    <n v="0.36"/>
    <n v="0.69"/>
    <s v="United States"/>
    <x v="0"/>
    <x v="1"/>
    <x v="138"/>
    <n v="93727"/>
    <x v="103"/>
    <x v="5"/>
    <x v="0"/>
    <d v="2015-03-20T00:00:00"/>
    <n v="6.0512999999999995"/>
    <n v="3"/>
    <x v="252"/>
    <n v="91062"/>
    <x v="0"/>
  </r>
  <r>
    <n v="23394"/>
    <s v="Medium"/>
    <n v="0.1"/>
    <n v="3.36"/>
    <x v="135"/>
    <x v="148"/>
    <x v="0"/>
    <x v="148"/>
    <x v="0"/>
    <x v="0"/>
    <x v="0"/>
    <x v="8"/>
    <x v="3"/>
    <x v="198"/>
    <n v="0.4"/>
    <n v="-3.213057019645424"/>
    <s v="United States"/>
    <x v="1"/>
    <x v="14"/>
    <x v="91"/>
    <n v="4073"/>
    <x v="73"/>
    <x v="3"/>
    <x v="0"/>
    <d v="2015-05-19T00:00:00"/>
    <n v="-67.0565"/>
    <n v="5"/>
    <x v="253"/>
    <n v="91063"/>
    <x v="0"/>
  </r>
  <r>
    <n v="23395"/>
    <s v="Medium"/>
    <n v="7.0000000000000007E-2"/>
    <n v="12.28"/>
    <x v="27"/>
    <x v="149"/>
    <x v="0"/>
    <x v="149"/>
    <x v="2"/>
    <x v="0"/>
    <x v="0"/>
    <x v="7"/>
    <x v="3"/>
    <x v="94"/>
    <n v="0.38"/>
    <n v="-0.30894941634241246"/>
    <s v="United States"/>
    <x v="1"/>
    <x v="14"/>
    <x v="139"/>
    <n v="4106"/>
    <x v="73"/>
    <x v="3"/>
    <x v="0"/>
    <d v="2015-05-20T00:00:00"/>
    <n v="-7.94"/>
    <n v="2"/>
    <x v="254"/>
    <n v="91063"/>
    <x v="0"/>
  </r>
  <r>
    <n v="23393"/>
    <s v="Medium"/>
    <n v="0.09"/>
    <n v="20.99"/>
    <x v="90"/>
    <x v="150"/>
    <x v="0"/>
    <x v="150"/>
    <x v="2"/>
    <x v="0"/>
    <x v="2"/>
    <x v="5"/>
    <x v="0"/>
    <x v="201"/>
    <n v="0.56999999999999995"/>
    <n v="0.53270026571416129"/>
    <s v="United States"/>
    <x v="1"/>
    <x v="15"/>
    <x v="140"/>
    <n v="2062"/>
    <x v="73"/>
    <x v="3"/>
    <x v="0"/>
    <d v="2015-05-18T00:00:00"/>
    <n v="122.292"/>
    <n v="14"/>
    <x v="255"/>
    <n v="91063"/>
    <x v="0"/>
  </r>
  <r>
    <n v="1147"/>
    <s v="Medium"/>
    <n v="0.08"/>
    <n v="2.94"/>
    <x v="146"/>
    <x v="151"/>
    <x v="1"/>
    <x v="151"/>
    <x v="2"/>
    <x v="3"/>
    <x v="0"/>
    <x v="0"/>
    <x v="0"/>
    <x v="202"/>
    <n v="0.57999999999999996"/>
    <n v="-3.1784107946026985E-2"/>
    <s v="United States"/>
    <x v="1"/>
    <x v="4"/>
    <x v="8"/>
    <n v="10154"/>
    <x v="7"/>
    <x v="3"/>
    <x v="0"/>
    <d v="2015-05-17T00:00:00"/>
    <n v="-2.12"/>
    <n v="23"/>
    <x v="256"/>
    <n v="8353"/>
    <x v="1"/>
  </r>
  <r>
    <n v="1450"/>
    <s v="Critical"/>
    <n v="0.01"/>
    <n v="4.9800000000000004"/>
    <x v="38"/>
    <x v="151"/>
    <x v="1"/>
    <x v="151"/>
    <x v="2"/>
    <x v="3"/>
    <x v="0"/>
    <x v="7"/>
    <x v="3"/>
    <x v="46"/>
    <n v="0.36"/>
    <n v="-0.31829493087557603"/>
    <s v="United States"/>
    <x v="1"/>
    <x v="4"/>
    <x v="8"/>
    <n v="10154"/>
    <x v="104"/>
    <x v="2"/>
    <x v="0"/>
    <d v="2015-02-11T00:00:00"/>
    <n v="-69.069999999999993"/>
    <n v="41"/>
    <x v="257"/>
    <n v="10464"/>
    <x v="0"/>
  </r>
  <r>
    <n v="914"/>
    <s v="Critical"/>
    <n v="0.02"/>
    <n v="1360.14"/>
    <x v="69"/>
    <x v="151"/>
    <x v="1"/>
    <x v="151"/>
    <x v="1"/>
    <x v="3"/>
    <x v="2"/>
    <x v="6"/>
    <x v="1"/>
    <x v="203"/>
    <n v="0.59"/>
    <n v="6.4037940550542141E-2"/>
    <s v="United States"/>
    <x v="1"/>
    <x v="4"/>
    <x v="8"/>
    <n v="10154"/>
    <x v="105"/>
    <x v="1"/>
    <x v="0"/>
    <d v="2015-06-22T00:00:00"/>
    <n v="2028.12"/>
    <n v="22"/>
    <x v="258"/>
    <n v="6562"/>
    <x v="0"/>
  </r>
  <r>
    <n v="6046"/>
    <s v="Not Specified"/>
    <n v="0.02"/>
    <n v="9.06"/>
    <x v="147"/>
    <x v="151"/>
    <x v="1"/>
    <x v="151"/>
    <x v="2"/>
    <x v="3"/>
    <x v="0"/>
    <x v="7"/>
    <x v="3"/>
    <x v="204"/>
    <n v="0.4"/>
    <n v="-0.26482361771328494"/>
    <s v="United States"/>
    <x v="1"/>
    <x v="4"/>
    <x v="8"/>
    <n v="10154"/>
    <x v="105"/>
    <x v="1"/>
    <x v="0"/>
    <d v="2015-06-22T00:00:00"/>
    <n v="-63.51"/>
    <n v="24"/>
    <x v="259"/>
    <n v="42852"/>
    <x v="0"/>
  </r>
  <r>
    <n v="18757"/>
    <s v="Not Specified"/>
    <n v="0.02"/>
    <n v="6.48"/>
    <x v="16"/>
    <x v="152"/>
    <x v="1"/>
    <x v="152"/>
    <x v="2"/>
    <x v="3"/>
    <x v="0"/>
    <x v="7"/>
    <x v="3"/>
    <x v="205"/>
    <n v="0.37"/>
    <n v="-1.3798530954879329"/>
    <s v="United States"/>
    <x v="0"/>
    <x v="0"/>
    <x v="141"/>
    <n v="98158"/>
    <x v="13"/>
    <x v="0"/>
    <x v="0"/>
    <d v="2015-01-22T00:00:00"/>
    <n v="-92.05"/>
    <n v="10"/>
    <x v="260"/>
    <n v="88906"/>
    <x v="0"/>
  </r>
  <r>
    <n v="18758"/>
    <s v="Not Specified"/>
    <n v="0.04"/>
    <n v="17.149999999999999"/>
    <x v="148"/>
    <x v="152"/>
    <x v="1"/>
    <x v="152"/>
    <x v="2"/>
    <x v="3"/>
    <x v="0"/>
    <x v="10"/>
    <x v="3"/>
    <x v="206"/>
    <n v="0.57999999999999996"/>
    <n v="7.0100963744837083E-2"/>
    <s v="United States"/>
    <x v="0"/>
    <x v="0"/>
    <x v="141"/>
    <n v="98158"/>
    <x v="13"/>
    <x v="0"/>
    <x v="0"/>
    <d v="2015-01-21T00:00:00"/>
    <n v="6.11"/>
    <n v="5"/>
    <x v="261"/>
    <n v="88906"/>
    <x v="0"/>
  </r>
  <r>
    <n v="19146"/>
    <s v="Medium"/>
    <n v="0.06"/>
    <n v="8.32"/>
    <x v="149"/>
    <x v="153"/>
    <x v="1"/>
    <x v="153"/>
    <x v="2"/>
    <x v="3"/>
    <x v="2"/>
    <x v="13"/>
    <x v="2"/>
    <x v="207"/>
    <n v="0.74"/>
    <n v="-0.36174205016788469"/>
    <s v="United States"/>
    <x v="0"/>
    <x v="0"/>
    <x v="33"/>
    <n v="98115"/>
    <x v="7"/>
    <x v="3"/>
    <x v="0"/>
    <d v="2015-05-17T00:00:00"/>
    <n v="-36.630000000000003"/>
    <n v="12"/>
    <x v="262"/>
    <n v="88905"/>
    <x v="0"/>
  </r>
  <r>
    <n v="19147"/>
    <s v="Medium"/>
    <n v="0.08"/>
    <n v="2.94"/>
    <x v="146"/>
    <x v="153"/>
    <x v="1"/>
    <x v="153"/>
    <x v="2"/>
    <x v="3"/>
    <x v="0"/>
    <x v="0"/>
    <x v="0"/>
    <x v="202"/>
    <n v="0.57999999999999996"/>
    <n v="-0.12183908045977013"/>
    <s v="United States"/>
    <x v="0"/>
    <x v="0"/>
    <x v="33"/>
    <n v="98115"/>
    <x v="7"/>
    <x v="3"/>
    <x v="0"/>
    <d v="2015-05-17T00:00:00"/>
    <n v="-2.12"/>
    <n v="6"/>
    <x v="263"/>
    <n v="88905"/>
    <x v="0"/>
  </r>
  <r>
    <n v="19450"/>
    <s v="Critical"/>
    <n v="0.01"/>
    <n v="4.9800000000000004"/>
    <x v="38"/>
    <x v="153"/>
    <x v="1"/>
    <x v="153"/>
    <x v="2"/>
    <x v="3"/>
    <x v="0"/>
    <x v="7"/>
    <x v="3"/>
    <x v="46"/>
    <n v="0.36"/>
    <n v="-0.67856414131872278"/>
    <s v="United States"/>
    <x v="0"/>
    <x v="0"/>
    <x v="33"/>
    <n v="98115"/>
    <x v="104"/>
    <x v="2"/>
    <x v="0"/>
    <d v="2015-02-11T00:00:00"/>
    <n v="-35.916399999999996"/>
    <n v="10"/>
    <x v="264"/>
    <n v="88907"/>
    <x v="0"/>
  </r>
  <r>
    <n v="18914"/>
    <s v="Critical"/>
    <n v="0.02"/>
    <n v="1360.14"/>
    <x v="69"/>
    <x v="153"/>
    <x v="1"/>
    <x v="153"/>
    <x v="1"/>
    <x v="3"/>
    <x v="2"/>
    <x v="6"/>
    <x v="1"/>
    <x v="203"/>
    <n v="0.59"/>
    <n v="0.35220852474807346"/>
    <s v="United States"/>
    <x v="0"/>
    <x v="0"/>
    <x v="33"/>
    <n v="98115"/>
    <x v="105"/>
    <x v="1"/>
    <x v="0"/>
    <d v="2015-06-22T00:00:00"/>
    <n v="3042.18"/>
    <n v="6"/>
    <x v="265"/>
    <n v="88908"/>
    <x v="0"/>
  </r>
  <r>
    <n v="24046"/>
    <s v="Not Specified"/>
    <n v="0.02"/>
    <n v="9.06"/>
    <x v="147"/>
    <x v="153"/>
    <x v="1"/>
    <x v="153"/>
    <x v="2"/>
    <x v="3"/>
    <x v="0"/>
    <x v="7"/>
    <x v="3"/>
    <x v="204"/>
    <n v="0.4"/>
    <n v="-0.52969140950792326"/>
    <s v="United States"/>
    <x v="0"/>
    <x v="0"/>
    <x v="33"/>
    <n v="98115"/>
    <x v="105"/>
    <x v="1"/>
    <x v="0"/>
    <d v="2015-06-22T00:00:00"/>
    <n v="-31.754999999999999"/>
    <n v="6"/>
    <x v="266"/>
    <n v="88908"/>
    <x v="0"/>
  </r>
  <r>
    <n v="26315"/>
    <s v="Critical"/>
    <n v="7.0000000000000007E-2"/>
    <n v="152.47999999999999"/>
    <x v="150"/>
    <x v="154"/>
    <x v="0"/>
    <x v="154"/>
    <x v="2"/>
    <x v="2"/>
    <x v="2"/>
    <x v="13"/>
    <x v="3"/>
    <x v="208"/>
    <n v="0.74"/>
    <n v="3.3943533715622157E-2"/>
    <s v="United States"/>
    <x v="3"/>
    <x v="20"/>
    <x v="142"/>
    <n v="37130"/>
    <x v="50"/>
    <x v="3"/>
    <x v="0"/>
    <d v="2015-05-16T00:00:00"/>
    <n v="171.83879999999999"/>
    <n v="35"/>
    <x v="267"/>
    <n v="90706"/>
    <x v="0"/>
  </r>
  <r>
    <n v="18303"/>
    <s v="Critical"/>
    <n v="0.01"/>
    <n v="55.98"/>
    <x v="27"/>
    <x v="155"/>
    <x v="1"/>
    <x v="155"/>
    <x v="0"/>
    <x v="0"/>
    <x v="0"/>
    <x v="7"/>
    <x v="3"/>
    <x v="209"/>
    <n v="0.36"/>
    <n v="5.0915652966907275E-2"/>
    <s v="United States"/>
    <x v="3"/>
    <x v="35"/>
    <x v="143"/>
    <n v="42104"/>
    <x v="106"/>
    <x v="4"/>
    <x v="0"/>
    <d v="2015-04-20T00:00:00"/>
    <n v="32.940899999999999"/>
    <n v="11"/>
    <x v="268"/>
    <n v="87357"/>
    <x v="0"/>
  </r>
  <r>
    <n v="18304"/>
    <s v="Critical"/>
    <n v="0.04"/>
    <n v="65.989999999999995"/>
    <x v="20"/>
    <x v="155"/>
    <x v="1"/>
    <x v="155"/>
    <x v="2"/>
    <x v="0"/>
    <x v="2"/>
    <x v="5"/>
    <x v="3"/>
    <x v="210"/>
    <n v="0.56000000000000005"/>
    <n v="0.13878832070506927"/>
    <s v="United States"/>
    <x v="3"/>
    <x v="35"/>
    <x v="143"/>
    <n v="42104"/>
    <x v="106"/>
    <x v="4"/>
    <x v="0"/>
    <d v="2015-04-19T00:00:00"/>
    <n v="131.334"/>
    <n v="17"/>
    <x v="269"/>
    <n v="87357"/>
    <x v="0"/>
  </r>
  <r>
    <n v="21958"/>
    <s v="High"/>
    <n v="0.01"/>
    <n v="20.98"/>
    <x v="151"/>
    <x v="156"/>
    <x v="1"/>
    <x v="156"/>
    <x v="1"/>
    <x v="0"/>
    <x v="0"/>
    <x v="10"/>
    <x v="1"/>
    <x v="211"/>
    <n v="0.78"/>
    <n v="-2.2933479674796748"/>
    <s v="United States"/>
    <x v="3"/>
    <x v="35"/>
    <x v="144"/>
    <n v="41011"/>
    <x v="67"/>
    <x v="2"/>
    <x v="0"/>
    <d v="2015-02-23T00:00:00"/>
    <n v="-282.08179999999999"/>
    <n v="5"/>
    <x v="270"/>
    <n v="87356"/>
    <x v="0"/>
  </r>
  <r>
    <n v="18305"/>
    <s v="Critical"/>
    <n v="0.01"/>
    <n v="128.24"/>
    <x v="152"/>
    <x v="156"/>
    <x v="1"/>
    <x v="156"/>
    <x v="2"/>
    <x v="0"/>
    <x v="1"/>
    <x v="1"/>
    <x v="4"/>
    <x v="212"/>
    <m/>
    <n v="0.25291546347097893"/>
    <s v="United States"/>
    <x v="3"/>
    <x v="35"/>
    <x v="144"/>
    <n v="41011"/>
    <x v="106"/>
    <x v="4"/>
    <x v="0"/>
    <d v="2015-04-21T00:00:00"/>
    <n v="140.1354"/>
    <n v="4"/>
    <x v="271"/>
    <n v="87357"/>
    <x v="0"/>
  </r>
  <r>
    <n v="19895"/>
    <s v="Low"/>
    <n v="0.02"/>
    <n v="48.04"/>
    <x v="153"/>
    <x v="157"/>
    <x v="1"/>
    <x v="157"/>
    <x v="2"/>
    <x v="0"/>
    <x v="0"/>
    <x v="7"/>
    <x v="3"/>
    <x v="213"/>
    <n v="0.37"/>
    <n v="0.69"/>
    <s v="United States"/>
    <x v="0"/>
    <x v="1"/>
    <x v="145"/>
    <n v="95336"/>
    <x v="107"/>
    <x v="0"/>
    <x v="0"/>
    <d v="2015-01-13T00:00:00"/>
    <n v="105.25259999999999"/>
    <n v="3"/>
    <x v="272"/>
    <n v="90058"/>
    <x v="0"/>
  </r>
  <r>
    <n v="20007"/>
    <s v="Critical"/>
    <n v="0.03"/>
    <n v="6.37"/>
    <x v="154"/>
    <x v="157"/>
    <x v="1"/>
    <x v="157"/>
    <x v="2"/>
    <x v="0"/>
    <x v="0"/>
    <x v="8"/>
    <x v="3"/>
    <x v="214"/>
    <n v="0.38"/>
    <n v="-0.32400824145227752"/>
    <s v="United States"/>
    <x v="0"/>
    <x v="1"/>
    <x v="145"/>
    <n v="95336"/>
    <x v="108"/>
    <x v="2"/>
    <x v="0"/>
    <d v="2015-02-02T00:00:00"/>
    <n v="-29.092700000000001"/>
    <n v="14"/>
    <x v="273"/>
    <n v="90059"/>
    <x v="0"/>
  </r>
  <r>
    <n v="20216"/>
    <s v="Low"/>
    <n v="7.0000000000000007E-2"/>
    <n v="12.64"/>
    <x v="145"/>
    <x v="158"/>
    <x v="0"/>
    <x v="158"/>
    <x v="2"/>
    <x v="1"/>
    <x v="1"/>
    <x v="2"/>
    <x v="2"/>
    <x v="215"/>
    <n v="0.48"/>
    <n v="0.56775630756908291"/>
    <s v="United States"/>
    <x v="2"/>
    <x v="33"/>
    <x v="112"/>
    <n v="63105"/>
    <x v="75"/>
    <x v="1"/>
    <x v="0"/>
    <d v="2015-06-12T00:00:00"/>
    <n v="113.41499999999999"/>
    <n v="16"/>
    <x v="274"/>
    <n v="90867"/>
    <x v="0"/>
  </r>
  <r>
    <n v="23200"/>
    <s v="Medium"/>
    <n v="0.02"/>
    <n v="150.97999999999999"/>
    <x v="100"/>
    <x v="159"/>
    <x v="1"/>
    <x v="159"/>
    <x v="0"/>
    <x v="2"/>
    <x v="2"/>
    <x v="6"/>
    <x v="4"/>
    <x v="216"/>
    <n v="0.38"/>
    <n v="5.4333118221371018E-2"/>
    <s v="United States"/>
    <x v="0"/>
    <x v="6"/>
    <x v="13"/>
    <n v="97756"/>
    <x v="33"/>
    <x v="1"/>
    <x v="0"/>
    <d v="2015-06-24T00:00:00"/>
    <n v="26.099999999999998"/>
    <n v="3"/>
    <x v="275"/>
    <n v="89327"/>
    <x v="0"/>
  </r>
  <r>
    <n v="23201"/>
    <s v="Medium"/>
    <n v="0.1"/>
    <n v="5.43"/>
    <x v="155"/>
    <x v="159"/>
    <x v="1"/>
    <x v="159"/>
    <x v="2"/>
    <x v="2"/>
    <x v="0"/>
    <x v="7"/>
    <x v="0"/>
    <x v="217"/>
    <n v="0.36"/>
    <n v="-0.44791666666666669"/>
    <s v="United States"/>
    <x v="0"/>
    <x v="6"/>
    <x v="13"/>
    <n v="97756"/>
    <x v="33"/>
    <x v="1"/>
    <x v="0"/>
    <d v="2015-06-24T00:00:00"/>
    <n v="-2.58"/>
    <n v="1"/>
    <x v="276"/>
    <n v="89327"/>
    <x v="0"/>
  </r>
  <r>
    <n v="23202"/>
    <s v="Medium"/>
    <n v="0.01"/>
    <n v="179.29"/>
    <x v="156"/>
    <x v="159"/>
    <x v="1"/>
    <x v="159"/>
    <x v="1"/>
    <x v="2"/>
    <x v="1"/>
    <x v="11"/>
    <x v="5"/>
    <x v="218"/>
    <n v="0.74"/>
    <n v="0.8997439052995857"/>
    <s v="United States"/>
    <x v="0"/>
    <x v="6"/>
    <x v="13"/>
    <n v="97756"/>
    <x v="33"/>
    <x v="1"/>
    <x v="0"/>
    <d v="2015-06-23T00:00:00"/>
    <n v="2800.12"/>
    <n v="21"/>
    <x v="277"/>
    <n v="89327"/>
    <x v="0"/>
  </r>
  <r>
    <n v="21517"/>
    <s v="Not Specified"/>
    <n v="0.03"/>
    <n v="1270.99"/>
    <x v="3"/>
    <x v="160"/>
    <x v="1"/>
    <x v="160"/>
    <x v="2"/>
    <x v="3"/>
    <x v="0"/>
    <x v="8"/>
    <x v="3"/>
    <x v="219"/>
    <n v="0.35"/>
    <n v="0.14042124209639975"/>
    <s v="United States"/>
    <x v="3"/>
    <x v="20"/>
    <x v="146"/>
    <n v="37922"/>
    <x v="13"/>
    <x v="0"/>
    <x v="0"/>
    <d v="2015-01-22T00:00:00"/>
    <n v="363.55199999999996"/>
    <n v="2"/>
    <x v="278"/>
    <n v="91127"/>
    <x v="0"/>
  </r>
  <r>
    <n v="21518"/>
    <s v="Not Specified"/>
    <n v="7.0000000000000007E-2"/>
    <n v="2036.48"/>
    <x v="69"/>
    <x v="160"/>
    <x v="1"/>
    <x v="160"/>
    <x v="1"/>
    <x v="3"/>
    <x v="2"/>
    <x v="6"/>
    <x v="1"/>
    <x v="220"/>
    <n v="0.55000000000000004"/>
    <n v="-6.0910382115495296E-3"/>
    <s v="United States"/>
    <x v="3"/>
    <x v="20"/>
    <x v="146"/>
    <n v="37922"/>
    <x v="13"/>
    <x v="0"/>
    <x v="0"/>
    <d v="2015-01-22T00:00:00"/>
    <n v="-11.536000000000001"/>
    <n v="1"/>
    <x v="279"/>
    <n v="91127"/>
    <x v="0"/>
  </r>
  <r>
    <n v="22176"/>
    <s v="High"/>
    <n v="0.09"/>
    <n v="17.98"/>
    <x v="18"/>
    <x v="161"/>
    <x v="1"/>
    <x v="161"/>
    <x v="2"/>
    <x v="1"/>
    <x v="2"/>
    <x v="6"/>
    <x v="4"/>
    <x v="18"/>
    <n v="0.4"/>
    <n v="-3.1317197934921666E-2"/>
    <s v="United States"/>
    <x v="0"/>
    <x v="28"/>
    <x v="147"/>
    <n v="85204"/>
    <x v="40"/>
    <x v="3"/>
    <x v="0"/>
    <d v="2015-05-27T00:00:00"/>
    <n v="-6.6120000000000108"/>
    <n v="12"/>
    <x v="280"/>
    <n v="90026"/>
    <x v="0"/>
  </r>
  <r>
    <n v="20494"/>
    <s v="Not Specified"/>
    <n v="0"/>
    <n v="1.88"/>
    <x v="25"/>
    <x v="161"/>
    <x v="1"/>
    <x v="161"/>
    <x v="2"/>
    <x v="1"/>
    <x v="0"/>
    <x v="8"/>
    <x v="3"/>
    <x v="83"/>
    <n v="0.37"/>
    <n v="-0.61282000787711699"/>
    <s v="United States"/>
    <x v="0"/>
    <x v="28"/>
    <x v="147"/>
    <n v="85204"/>
    <x v="60"/>
    <x v="0"/>
    <x v="0"/>
    <d v="2015-01-18T00:00:00"/>
    <n v="-15.5595"/>
    <n v="13"/>
    <x v="281"/>
    <n v="90027"/>
    <x v="0"/>
  </r>
  <r>
    <n v="20495"/>
    <s v="Not Specified"/>
    <n v="0.06"/>
    <n v="5.78"/>
    <x v="157"/>
    <x v="161"/>
    <x v="1"/>
    <x v="161"/>
    <x v="2"/>
    <x v="1"/>
    <x v="0"/>
    <x v="7"/>
    <x v="3"/>
    <x v="221"/>
    <n v="0.36"/>
    <n v="-1.2397158244528474"/>
    <s v="United States"/>
    <x v="0"/>
    <x v="28"/>
    <x v="147"/>
    <n v="85204"/>
    <x v="60"/>
    <x v="0"/>
    <x v="0"/>
    <d v="2015-01-18T00:00:00"/>
    <n v="-108.19"/>
    <n v="15"/>
    <x v="282"/>
    <n v="90027"/>
    <x v="0"/>
  </r>
  <r>
    <n v="26210"/>
    <s v="Low"/>
    <n v="0"/>
    <n v="15.99"/>
    <x v="158"/>
    <x v="162"/>
    <x v="0"/>
    <x v="162"/>
    <x v="2"/>
    <x v="0"/>
    <x v="0"/>
    <x v="8"/>
    <x v="3"/>
    <x v="222"/>
    <n v="0.37"/>
    <n v="0.11528332300061996"/>
    <s v="United States"/>
    <x v="3"/>
    <x v="8"/>
    <x v="148"/>
    <n v="22025"/>
    <x v="109"/>
    <x v="4"/>
    <x v="0"/>
    <d v="2015-04-25T00:00:00"/>
    <n v="46.488"/>
    <n v="23"/>
    <x v="283"/>
    <n v="88511"/>
    <x v="0"/>
  </r>
  <r>
    <n v="20811"/>
    <s v="Medium"/>
    <n v="0.05"/>
    <n v="59.78"/>
    <x v="159"/>
    <x v="163"/>
    <x v="0"/>
    <x v="163"/>
    <x v="2"/>
    <x v="2"/>
    <x v="0"/>
    <x v="8"/>
    <x v="3"/>
    <x v="223"/>
    <n v="0.39"/>
    <n v="0.38488190306159387"/>
    <s v="United States"/>
    <x v="2"/>
    <x v="12"/>
    <x v="122"/>
    <n v="61801"/>
    <x v="50"/>
    <x v="3"/>
    <x v="0"/>
    <d v="2015-05-15T00:00:00"/>
    <n v="159.52970000000005"/>
    <n v="7"/>
    <x v="284"/>
    <n v="91174"/>
    <x v="0"/>
  </r>
  <r>
    <n v="20812"/>
    <s v="Medium"/>
    <n v="0.08"/>
    <n v="20.99"/>
    <x v="160"/>
    <x v="164"/>
    <x v="1"/>
    <x v="164"/>
    <x v="2"/>
    <x v="2"/>
    <x v="2"/>
    <x v="5"/>
    <x v="2"/>
    <x v="224"/>
    <n v="0.83"/>
    <n v="3.2726692073495302E-2"/>
    <s v="United States"/>
    <x v="2"/>
    <x v="12"/>
    <x v="149"/>
    <n v="60061"/>
    <x v="50"/>
    <x v="3"/>
    <x v="0"/>
    <d v="2015-05-16T00:00:00"/>
    <n v="15.371400000000008"/>
    <n v="28"/>
    <x v="285"/>
    <n v="91174"/>
    <x v="0"/>
  </r>
  <r>
    <n v="24783"/>
    <s v="Medium"/>
    <n v="0.05"/>
    <n v="204.1"/>
    <x v="100"/>
    <x v="164"/>
    <x v="1"/>
    <x v="164"/>
    <x v="2"/>
    <x v="2"/>
    <x v="2"/>
    <x v="6"/>
    <x v="4"/>
    <x v="225"/>
    <n v="0.37"/>
    <n v="0.69"/>
    <s v="United States"/>
    <x v="2"/>
    <x v="12"/>
    <x v="149"/>
    <n v="60061"/>
    <x v="94"/>
    <x v="3"/>
    <x v="0"/>
    <d v="2015-05-25T00:00:00"/>
    <n v="5924.1122999999998"/>
    <n v="41"/>
    <x v="286"/>
    <n v="91175"/>
    <x v="0"/>
  </r>
  <r>
    <n v="23401"/>
    <s v="Not Specified"/>
    <n v="0.03"/>
    <n v="13.73"/>
    <x v="161"/>
    <x v="165"/>
    <x v="0"/>
    <x v="165"/>
    <x v="0"/>
    <x v="0"/>
    <x v="1"/>
    <x v="2"/>
    <x v="0"/>
    <x v="226"/>
    <n v="0.54"/>
    <n v="0.69"/>
    <s v="United States"/>
    <x v="1"/>
    <x v="36"/>
    <x v="150"/>
    <n v="26501"/>
    <x v="110"/>
    <x v="1"/>
    <x v="0"/>
    <d v="2015-06-15T00:00:00"/>
    <n v="39.585299999999997"/>
    <n v="4"/>
    <x v="287"/>
    <n v="86250"/>
    <x v="0"/>
  </r>
  <r>
    <n v="25806"/>
    <s v="Not Specified"/>
    <n v="0.02"/>
    <n v="7.1"/>
    <x v="162"/>
    <x v="166"/>
    <x v="0"/>
    <x v="166"/>
    <x v="2"/>
    <x v="0"/>
    <x v="0"/>
    <x v="8"/>
    <x v="3"/>
    <x v="227"/>
    <n v="0.39"/>
    <n v="-1.0008745476477685"/>
    <s v="United States"/>
    <x v="0"/>
    <x v="27"/>
    <x v="151"/>
    <n v="88201"/>
    <x v="13"/>
    <x v="0"/>
    <x v="0"/>
    <d v="2015-01-20T00:00:00"/>
    <n v="-66.378"/>
    <n v="9"/>
    <x v="288"/>
    <n v="90908"/>
    <x v="0"/>
  </r>
  <r>
    <n v="24132"/>
    <s v="High"/>
    <n v="0.05"/>
    <n v="1.68"/>
    <x v="15"/>
    <x v="167"/>
    <x v="1"/>
    <x v="167"/>
    <x v="2"/>
    <x v="0"/>
    <x v="0"/>
    <x v="0"/>
    <x v="0"/>
    <x v="15"/>
    <n v="0.59"/>
    <n v="-1.7781333333333336"/>
    <s v="United States"/>
    <x v="2"/>
    <x v="7"/>
    <x v="152"/>
    <n v="78155"/>
    <x v="111"/>
    <x v="0"/>
    <x v="0"/>
    <d v="2015-01-31T00:00:00"/>
    <n v="-33.340000000000003"/>
    <n v="11"/>
    <x v="289"/>
    <n v="90909"/>
    <x v="0"/>
  </r>
  <r>
    <n v="24133"/>
    <s v="High"/>
    <n v="0.1"/>
    <n v="218.75"/>
    <x v="163"/>
    <x v="167"/>
    <x v="1"/>
    <x v="167"/>
    <x v="1"/>
    <x v="0"/>
    <x v="1"/>
    <x v="11"/>
    <x v="5"/>
    <x v="228"/>
    <n v="0.77"/>
    <n v="-1.0677205453291603"/>
    <s v="United States"/>
    <x v="2"/>
    <x v="7"/>
    <x v="152"/>
    <n v="78155"/>
    <x v="111"/>
    <x v="0"/>
    <x v="0"/>
    <d v="2015-02-01T00:00:00"/>
    <n v="-201.27599999999998"/>
    <n v="1"/>
    <x v="290"/>
    <n v="90909"/>
    <x v="0"/>
  </r>
  <r>
    <n v="23209"/>
    <s v="Medium"/>
    <n v="0.06"/>
    <n v="549.99"/>
    <x v="164"/>
    <x v="167"/>
    <x v="1"/>
    <x v="167"/>
    <x v="1"/>
    <x v="0"/>
    <x v="2"/>
    <x v="16"/>
    <x v="1"/>
    <x v="229"/>
    <n v="0.35"/>
    <n v="0.69"/>
    <s v="United States"/>
    <x v="2"/>
    <x v="7"/>
    <x v="152"/>
    <n v="78155"/>
    <x v="20"/>
    <x v="1"/>
    <x v="0"/>
    <d v="2015-06-13T00:00:00"/>
    <n v="4637.4071999999996"/>
    <n v="13"/>
    <x v="291"/>
    <n v="90910"/>
    <x v="0"/>
  </r>
  <r>
    <n v="23210"/>
    <s v="Medium"/>
    <n v="0.08"/>
    <n v="115.99"/>
    <x v="165"/>
    <x v="167"/>
    <x v="1"/>
    <x v="167"/>
    <x v="0"/>
    <x v="0"/>
    <x v="2"/>
    <x v="5"/>
    <x v="3"/>
    <x v="230"/>
    <n v="0.56999999999999995"/>
    <n v="-2.3436209764210938"/>
    <s v="United States"/>
    <x v="2"/>
    <x v="7"/>
    <x v="152"/>
    <n v="78155"/>
    <x v="20"/>
    <x v="1"/>
    <x v="0"/>
    <d v="2015-06-13T00:00:00"/>
    <n v="-239.54149999999998"/>
    <n v="1"/>
    <x v="292"/>
    <n v="90910"/>
    <x v="0"/>
  </r>
  <r>
    <n v="24134"/>
    <s v="High"/>
    <n v="0"/>
    <n v="15.04"/>
    <x v="166"/>
    <x v="168"/>
    <x v="0"/>
    <x v="168"/>
    <x v="2"/>
    <x v="0"/>
    <x v="0"/>
    <x v="7"/>
    <x v="0"/>
    <x v="231"/>
    <n v="0.39"/>
    <n v="0.69"/>
    <s v="United States"/>
    <x v="2"/>
    <x v="7"/>
    <x v="153"/>
    <n v="75090"/>
    <x v="111"/>
    <x v="0"/>
    <x v="0"/>
    <d v="2015-02-01T00:00:00"/>
    <n v="21.514199999999999"/>
    <n v="2"/>
    <x v="293"/>
    <n v="90909"/>
    <x v="0"/>
  </r>
  <r>
    <n v="2368"/>
    <s v="Medium"/>
    <n v="0"/>
    <n v="6.88"/>
    <x v="167"/>
    <x v="169"/>
    <x v="1"/>
    <x v="169"/>
    <x v="0"/>
    <x v="1"/>
    <x v="0"/>
    <x v="7"/>
    <x v="0"/>
    <x v="232"/>
    <n v="0.39"/>
    <n v="0.12734272791836432"/>
    <s v="United States"/>
    <x v="0"/>
    <x v="1"/>
    <x v="154"/>
    <n v="90008"/>
    <x v="9"/>
    <x v="0"/>
    <x v="0"/>
    <d v="2015-01-29T00:00:00"/>
    <n v="34.068000000000005"/>
    <n v="36"/>
    <x v="294"/>
    <n v="17155"/>
    <x v="1"/>
  </r>
  <r>
    <n v="349"/>
    <s v="Not Specified"/>
    <n v="7.0000000000000007E-2"/>
    <n v="2036.48"/>
    <x v="69"/>
    <x v="169"/>
    <x v="1"/>
    <x v="169"/>
    <x v="1"/>
    <x v="0"/>
    <x v="2"/>
    <x v="6"/>
    <x v="1"/>
    <x v="220"/>
    <n v="0.55000000000000004"/>
    <n v="9.4625077242590519E-2"/>
    <s v="United States"/>
    <x v="0"/>
    <x v="1"/>
    <x v="154"/>
    <n v="90008"/>
    <x v="54"/>
    <x v="2"/>
    <x v="0"/>
    <d v="2015-02-21T00:00:00"/>
    <n v="4073.25"/>
    <n v="25"/>
    <x v="295"/>
    <n v="2433"/>
    <x v="0"/>
  </r>
  <r>
    <n v="1115"/>
    <s v="Low"/>
    <n v="0.01"/>
    <n v="4.9800000000000004"/>
    <x v="101"/>
    <x v="169"/>
    <x v="1"/>
    <x v="169"/>
    <x v="2"/>
    <x v="0"/>
    <x v="0"/>
    <x v="7"/>
    <x v="3"/>
    <x v="130"/>
    <n v="0.36"/>
    <n v="-0.54387208140274368"/>
    <s v="United States"/>
    <x v="0"/>
    <x v="1"/>
    <x v="154"/>
    <n v="90008"/>
    <x v="112"/>
    <x v="4"/>
    <x v="0"/>
    <d v="2015-04-24T00:00:00"/>
    <n v="-179.59199999999998"/>
    <n v="63"/>
    <x v="296"/>
    <n v="8165"/>
    <x v="0"/>
  </r>
  <r>
    <n v="64"/>
    <s v="Medium"/>
    <n v="0.08"/>
    <n v="124.49"/>
    <x v="117"/>
    <x v="169"/>
    <x v="1"/>
    <x v="169"/>
    <x v="1"/>
    <x v="0"/>
    <x v="1"/>
    <x v="11"/>
    <x v="5"/>
    <x v="156"/>
    <n v="0.63"/>
    <n v="-7.3247386688175292E-2"/>
    <s v="United States"/>
    <x v="0"/>
    <x v="1"/>
    <x v="154"/>
    <n v="90008"/>
    <x v="49"/>
    <x v="1"/>
    <x v="0"/>
    <d v="2015-06-19T00:00:00"/>
    <n v="-500.38"/>
    <n v="56"/>
    <x v="297"/>
    <n v="359"/>
    <x v="0"/>
  </r>
  <r>
    <n v="18349"/>
    <s v="Not Specified"/>
    <n v="7.0000000000000007E-2"/>
    <n v="2036.48"/>
    <x v="69"/>
    <x v="170"/>
    <x v="1"/>
    <x v="170"/>
    <x v="1"/>
    <x v="0"/>
    <x v="2"/>
    <x v="6"/>
    <x v="1"/>
    <x v="220"/>
    <n v="0.55000000000000004"/>
    <n v="0.58352119669850899"/>
    <s v="United States"/>
    <x v="0"/>
    <x v="17"/>
    <x v="155"/>
    <n v="84062"/>
    <x v="54"/>
    <x v="2"/>
    <x v="0"/>
    <d v="2015-02-21T00:00:00"/>
    <n v="6028.41"/>
    <n v="6"/>
    <x v="298"/>
    <n v="86190"/>
    <x v="0"/>
  </r>
  <r>
    <n v="19115"/>
    <s v="Low"/>
    <n v="0.01"/>
    <n v="4.9800000000000004"/>
    <x v="101"/>
    <x v="170"/>
    <x v="1"/>
    <x v="170"/>
    <x v="2"/>
    <x v="0"/>
    <x v="0"/>
    <x v="7"/>
    <x v="3"/>
    <x v="130"/>
    <n v="0.36"/>
    <n v="-1.9274123539232053"/>
    <s v="United States"/>
    <x v="0"/>
    <x v="17"/>
    <x v="155"/>
    <n v="84062"/>
    <x v="112"/>
    <x v="4"/>
    <x v="0"/>
    <d v="2015-04-24T00:00:00"/>
    <n v="-161.6328"/>
    <n v="16"/>
    <x v="299"/>
    <n v="86191"/>
    <x v="0"/>
  </r>
  <r>
    <n v="18064"/>
    <s v="Medium"/>
    <n v="0.08"/>
    <n v="124.49"/>
    <x v="117"/>
    <x v="170"/>
    <x v="1"/>
    <x v="170"/>
    <x v="1"/>
    <x v="0"/>
    <x v="1"/>
    <x v="11"/>
    <x v="5"/>
    <x v="156"/>
    <n v="0.63"/>
    <n v="-0.14649498782087317"/>
    <s v="United States"/>
    <x v="0"/>
    <x v="17"/>
    <x v="155"/>
    <n v="84062"/>
    <x v="49"/>
    <x v="1"/>
    <x v="0"/>
    <d v="2015-06-19T00:00:00"/>
    <n v="-250.19"/>
    <n v="14"/>
    <x v="300"/>
    <n v="86192"/>
    <x v="0"/>
  </r>
  <r>
    <n v="20368"/>
    <s v="Medium"/>
    <n v="0"/>
    <n v="6.88"/>
    <x v="167"/>
    <x v="171"/>
    <x v="1"/>
    <x v="171"/>
    <x v="0"/>
    <x v="1"/>
    <x v="0"/>
    <x v="7"/>
    <x v="0"/>
    <x v="232"/>
    <n v="0.39"/>
    <n v="0.69"/>
    <s v="United States"/>
    <x v="0"/>
    <x v="17"/>
    <x v="156"/>
    <n v="84604"/>
    <x v="9"/>
    <x v="0"/>
    <x v="0"/>
    <d v="2015-01-29T00:00:00"/>
    <n v="46.147199999999991"/>
    <n v="9"/>
    <x v="301"/>
    <n v="86189"/>
    <x v="0"/>
  </r>
  <r>
    <n v="20369"/>
    <s v="Medium"/>
    <n v="0.03"/>
    <n v="32.479999999999997"/>
    <x v="97"/>
    <x v="171"/>
    <x v="1"/>
    <x v="171"/>
    <x v="0"/>
    <x v="1"/>
    <x v="0"/>
    <x v="10"/>
    <x v="6"/>
    <x v="233"/>
    <n v="0.81"/>
    <n v="-4.0607282383325449"/>
    <s v="United States"/>
    <x v="0"/>
    <x v="17"/>
    <x v="156"/>
    <n v="84604"/>
    <x v="9"/>
    <x v="0"/>
    <x v="0"/>
    <d v="2015-01-28T00:00:00"/>
    <n v="-1116.3348000000001"/>
    <n v="8"/>
    <x v="302"/>
    <n v="86189"/>
    <x v="0"/>
  </r>
  <r>
    <n v="21966"/>
    <s v="Critical"/>
    <n v="0.02"/>
    <n v="280.98"/>
    <x v="168"/>
    <x v="172"/>
    <x v="1"/>
    <x v="172"/>
    <x v="1"/>
    <x v="3"/>
    <x v="1"/>
    <x v="1"/>
    <x v="1"/>
    <x v="234"/>
    <n v="0.78"/>
    <n v="1.0115651079965269"/>
    <s v="United States"/>
    <x v="3"/>
    <x v="37"/>
    <x v="94"/>
    <n v="39701"/>
    <x v="30"/>
    <x v="5"/>
    <x v="0"/>
    <d v="2015-03-05T00:00:00"/>
    <n v="1141.7939999999999"/>
    <n v="4"/>
    <x v="303"/>
    <n v="88879"/>
    <x v="0"/>
  </r>
  <r>
    <n v="22667"/>
    <s v="Not Specified"/>
    <n v="0.09"/>
    <n v="70.97"/>
    <x v="169"/>
    <x v="172"/>
    <x v="1"/>
    <x v="172"/>
    <x v="2"/>
    <x v="3"/>
    <x v="0"/>
    <x v="15"/>
    <x v="3"/>
    <x v="235"/>
    <n v="0.59"/>
    <n v="-0.12353503145200315"/>
    <s v="United States"/>
    <x v="3"/>
    <x v="37"/>
    <x v="94"/>
    <n v="39701"/>
    <x v="112"/>
    <x v="4"/>
    <x v="0"/>
    <d v="2015-04-15T00:00:00"/>
    <n v="-99.568000000000012"/>
    <n v="12"/>
    <x v="304"/>
    <n v="88880"/>
    <x v="0"/>
  </r>
  <r>
    <n v="22736"/>
    <s v="Medium"/>
    <n v="0.08"/>
    <n v="67.28"/>
    <x v="3"/>
    <x v="172"/>
    <x v="1"/>
    <x v="172"/>
    <x v="0"/>
    <x v="3"/>
    <x v="0"/>
    <x v="8"/>
    <x v="3"/>
    <x v="236"/>
    <n v="0.4"/>
    <n v="0.21082247266862938"/>
    <s v="United States"/>
    <x v="3"/>
    <x v="37"/>
    <x v="94"/>
    <n v="39701"/>
    <x v="113"/>
    <x v="4"/>
    <x v="0"/>
    <d v="2015-04-03T00:00:00"/>
    <n v="224.85059999999999"/>
    <n v="16"/>
    <x v="305"/>
    <n v="88882"/>
    <x v="0"/>
  </r>
  <r>
    <n v="26038"/>
    <s v="Low"/>
    <n v="0.06"/>
    <n v="7.99"/>
    <x v="110"/>
    <x v="173"/>
    <x v="0"/>
    <x v="173"/>
    <x v="2"/>
    <x v="3"/>
    <x v="2"/>
    <x v="5"/>
    <x v="4"/>
    <x v="145"/>
    <n v="0.6"/>
    <n v="-1.857818679647095"/>
    <s v="United States"/>
    <x v="0"/>
    <x v="34"/>
    <x v="157"/>
    <n v="89015"/>
    <x v="107"/>
    <x v="0"/>
    <x v="0"/>
    <d v="2015-01-13T00:00:00"/>
    <n v="-122.13300000000001"/>
    <n v="10"/>
    <x v="306"/>
    <n v="88881"/>
    <x v="0"/>
  </r>
  <r>
    <n v="23719"/>
    <s v="Critical"/>
    <n v="0.05"/>
    <n v="4.13"/>
    <x v="170"/>
    <x v="174"/>
    <x v="1"/>
    <x v="174"/>
    <x v="2"/>
    <x v="1"/>
    <x v="0"/>
    <x v="8"/>
    <x v="3"/>
    <x v="237"/>
    <n v="0.38"/>
    <n v="-2.0814212328767123"/>
    <s v="United States"/>
    <x v="2"/>
    <x v="12"/>
    <x v="158"/>
    <n v="61554"/>
    <x v="114"/>
    <x v="5"/>
    <x v="0"/>
    <d v="2015-03-14T00:00:00"/>
    <n v="-12.1555"/>
    <n v="1"/>
    <x v="307"/>
    <n v="86555"/>
    <x v="0"/>
  </r>
  <r>
    <n v="21992"/>
    <s v="High"/>
    <n v="0.08"/>
    <n v="415.88"/>
    <x v="124"/>
    <x v="174"/>
    <x v="1"/>
    <x v="174"/>
    <x v="2"/>
    <x v="0"/>
    <x v="0"/>
    <x v="10"/>
    <x v="3"/>
    <x v="165"/>
    <n v="0.56999999999999995"/>
    <n v="-0.66347215030697537"/>
    <s v="United States"/>
    <x v="2"/>
    <x v="12"/>
    <x v="158"/>
    <n v="61554"/>
    <x v="115"/>
    <x v="2"/>
    <x v="0"/>
    <d v="2015-02-27T00:00:00"/>
    <n v="-269.08440000000002"/>
    <n v="1"/>
    <x v="308"/>
    <n v="86556"/>
    <x v="0"/>
  </r>
  <r>
    <n v="21325"/>
    <s v="Low"/>
    <n v="0.06"/>
    <n v="4.4800000000000004"/>
    <x v="164"/>
    <x v="175"/>
    <x v="0"/>
    <x v="175"/>
    <x v="2"/>
    <x v="0"/>
    <x v="0"/>
    <x v="15"/>
    <x v="6"/>
    <x v="238"/>
    <n v="0.6"/>
    <n v="-17.361963190184049"/>
    <s v="United States"/>
    <x v="0"/>
    <x v="1"/>
    <x v="159"/>
    <n v="91767"/>
    <x v="107"/>
    <x v="0"/>
    <x v="0"/>
    <d v="2015-01-17T00:00:00"/>
    <n v="-566"/>
    <n v="4"/>
    <x v="309"/>
    <n v="88645"/>
    <x v="0"/>
  </r>
  <r>
    <n v="18664"/>
    <s v="Medium"/>
    <n v="0.03"/>
    <n v="162.93"/>
    <x v="3"/>
    <x v="176"/>
    <x v="0"/>
    <x v="176"/>
    <x v="2"/>
    <x v="0"/>
    <x v="0"/>
    <x v="4"/>
    <x v="3"/>
    <x v="239"/>
    <n v="0.39"/>
    <n v="0.56823292238505074"/>
    <s v="United States"/>
    <x v="1"/>
    <x v="18"/>
    <x v="160"/>
    <n v="6770"/>
    <x v="116"/>
    <x v="3"/>
    <x v="0"/>
    <d v="2015-05-14T00:00:00"/>
    <n v="293.14"/>
    <n v="3"/>
    <x v="310"/>
    <n v="88644"/>
    <x v="0"/>
  </r>
  <r>
    <n v="18665"/>
    <s v="Medium"/>
    <n v="0.01"/>
    <n v="11.58"/>
    <x v="171"/>
    <x v="177"/>
    <x v="0"/>
    <x v="177"/>
    <x v="2"/>
    <x v="0"/>
    <x v="0"/>
    <x v="4"/>
    <x v="3"/>
    <x v="240"/>
    <n v="0.35"/>
    <n v="-0.26376695929768557"/>
    <s v="United States"/>
    <x v="1"/>
    <x v="18"/>
    <x v="161"/>
    <n v="6478"/>
    <x v="116"/>
    <x v="3"/>
    <x v="0"/>
    <d v="2015-05-15T00:00:00"/>
    <n v="-6.61"/>
    <n v="2"/>
    <x v="311"/>
    <n v="88644"/>
    <x v="0"/>
  </r>
  <r>
    <n v="18662"/>
    <s v="Medium"/>
    <n v="0.01"/>
    <n v="55.99"/>
    <x v="104"/>
    <x v="178"/>
    <x v="0"/>
    <x v="178"/>
    <x v="2"/>
    <x v="0"/>
    <x v="2"/>
    <x v="5"/>
    <x v="2"/>
    <x v="241"/>
    <n v="0.8"/>
    <n v="-9.9510583840619823E-2"/>
    <s v="United States"/>
    <x v="1"/>
    <x v="14"/>
    <x v="113"/>
    <n v="4210"/>
    <x v="116"/>
    <x v="3"/>
    <x v="0"/>
    <d v="2015-05-14T00:00:00"/>
    <n v="-57.541000000000004"/>
    <n v="12"/>
    <x v="312"/>
    <n v="88644"/>
    <x v="0"/>
  </r>
  <r>
    <n v="24180"/>
    <s v="Not Specified"/>
    <n v="0.04"/>
    <n v="15.51"/>
    <x v="172"/>
    <x v="179"/>
    <x v="0"/>
    <x v="179"/>
    <x v="2"/>
    <x v="0"/>
    <x v="0"/>
    <x v="10"/>
    <x v="3"/>
    <x v="242"/>
    <n v="0.59"/>
    <n v="-2.2767467715727361"/>
    <s v="United States"/>
    <x v="1"/>
    <x v="15"/>
    <x v="162"/>
    <n v="1801"/>
    <x v="72"/>
    <x v="0"/>
    <x v="0"/>
    <d v="2015-01-23T00:00:00"/>
    <n v="-266.22000000000003"/>
    <n v="7"/>
    <x v="313"/>
    <n v="88646"/>
    <x v="0"/>
  </r>
  <r>
    <n v="18663"/>
    <s v="Medium"/>
    <n v="0.06"/>
    <n v="13.9"/>
    <x v="173"/>
    <x v="180"/>
    <x v="0"/>
    <x v="180"/>
    <x v="2"/>
    <x v="0"/>
    <x v="0"/>
    <x v="12"/>
    <x v="2"/>
    <x v="243"/>
    <n v="0.56000000000000005"/>
    <n v="-0.39653857436198303"/>
    <s v="United States"/>
    <x v="1"/>
    <x v="16"/>
    <x v="163"/>
    <n v="3301"/>
    <x v="116"/>
    <x v="3"/>
    <x v="0"/>
    <d v="2015-05-14T00:00:00"/>
    <n v="-67.59"/>
    <n v="12"/>
    <x v="314"/>
    <n v="88644"/>
    <x v="0"/>
  </r>
  <r>
    <n v="19781"/>
    <s v="Critical"/>
    <n v="0.08"/>
    <n v="30.53"/>
    <x v="3"/>
    <x v="181"/>
    <x v="0"/>
    <x v="181"/>
    <x v="2"/>
    <x v="2"/>
    <x v="0"/>
    <x v="9"/>
    <x v="3"/>
    <x v="244"/>
    <n v="0.39"/>
    <n v="-0.83907230559345158"/>
    <s v="United States"/>
    <x v="2"/>
    <x v="12"/>
    <x v="164"/>
    <n v="60091"/>
    <x v="60"/>
    <x v="0"/>
    <x v="0"/>
    <d v="2015-01-17T00:00:00"/>
    <n v="-239.8656"/>
    <n v="10"/>
    <x v="315"/>
    <n v="86307"/>
    <x v="0"/>
  </r>
  <r>
    <n v="19782"/>
    <s v="Critical"/>
    <n v="0.01"/>
    <n v="1.68"/>
    <x v="15"/>
    <x v="182"/>
    <x v="0"/>
    <x v="182"/>
    <x v="2"/>
    <x v="2"/>
    <x v="0"/>
    <x v="0"/>
    <x v="0"/>
    <x v="15"/>
    <n v="0.59"/>
    <n v="-2.6236622484045165"/>
    <s v="United States"/>
    <x v="2"/>
    <x v="12"/>
    <x v="165"/>
    <n v="60517"/>
    <x v="60"/>
    <x v="0"/>
    <x v="0"/>
    <d v="2015-01-19T00:00:00"/>
    <n v="-53.444000000000003"/>
    <n v="12"/>
    <x v="316"/>
    <n v="86307"/>
    <x v="0"/>
  </r>
  <r>
    <n v="22996"/>
    <s v="Critical"/>
    <n v="0.09"/>
    <n v="13.79"/>
    <x v="174"/>
    <x v="183"/>
    <x v="1"/>
    <x v="183"/>
    <x v="2"/>
    <x v="3"/>
    <x v="1"/>
    <x v="2"/>
    <x v="3"/>
    <x v="245"/>
    <n v="0.43"/>
    <n v="-1.2683486238532109"/>
    <s v="United States"/>
    <x v="2"/>
    <x v="38"/>
    <x v="166"/>
    <n v="46016"/>
    <x v="24"/>
    <x v="5"/>
    <x v="0"/>
    <d v="2015-03-17T00:00:00"/>
    <n v="-22.12"/>
    <n v="1"/>
    <x v="317"/>
    <n v="86309"/>
    <x v="0"/>
  </r>
  <r>
    <n v="21662"/>
    <s v="Critical"/>
    <n v="0.04"/>
    <n v="39.479999999999997"/>
    <x v="45"/>
    <x v="183"/>
    <x v="1"/>
    <x v="183"/>
    <x v="2"/>
    <x v="3"/>
    <x v="2"/>
    <x v="13"/>
    <x v="2"/>
    <x v="246"/>
    <n v="0.54"/>
    <n v="0.69"/>
    <s v="United States"/>
    <x v="2"/>
    <x v="38"/>
    <x v="166"/>
    <n v="46016"/>
    <x v="117"/>
    <x v="1"/>
    <x v="0"/>
    <d v="2015-06-22T00:00:00"/>
    <n v="484.84919999999994"/>
    <n v="18"/>
    <x v="318"/>
    <n v="86311"/>
    <x v="0"/>
  </r>
  <r>
    <n v="21663"/>
    <s v="Critical"/>
    <n v="0.04"/>
    <n v="3.7"/>
    <x v="175"/>
    <x v="183"/>
    <x v="1"/>
    <x v="183"/>
    <x v="2"/>
    <x v="3"/>
    <x v="1"/>
    <x v="2"/>
    <x v="0"/>
    <x v="247"/>
    <n v="0.44"/>
    <n v="0.26769779892920881"/>
    <s v="United States"/>
    <x v="2"/>
    <x v="38"/>
    <x v="166"/>
    <n v="46016"/>
    <x v="117"/>
    <x v="1"/>
    <x v="0"/>
    <d v="2015-06-20T00:00:00"/>
    <n v="18"/>
    <n v="18"/>
    <x v="319"/>
    <n v="86311"/>
    <x v="0"/>
  </r>
  <r>
    <n v="24480"/>
    <s v="Critical"/>
    <n v="0.03"/>
    <n v="3.8"/>
    <x v="25"/>
    <x v="184"/>
    <x v="1"/>
    <x v="184"/>
    <x v="2"/>
    <x v="3"/>
    <x v="0"/>
    <x v="8"/>
    <x v="3"/>
    <x v="27"/>
    <n v="0.38"/>
    <n v="0.62935723114956732"/>
    <s v="United States"/>
    <x v="2"/>
    <x v="38"/>
    <x v="167"/>
    <n v="46032"/>
    <x v="2"/>
    <x v="2"/>
    <x v="0"/>
    <d v="2015-02-17T00:00:00"/>
    <n v="15.2745"/>
    <n v="6"/>
    <x v="320"/>
    <n v="86308"/>
    <x v="0"/>
  </r>
  <r>
    <n v="24481"/>
    <s v="Critical"/>
    <n v="7.0000000000000007E-2"/>
    <n v="7.98"/>
    <x v="160"/>
    <x v="184"/>
    <x v="1"/>
    <x v="184"/>
    <x v="2"/>
    <x v="3"/>
    <x v="0"/>
    <x v="7"/>
    <x v="0"/>
    <x v="248"/>
    <n v="0.35"/>
    <n v="0.69"/>
    <s v="United States"/>
    <x v="2"/>
    <x v="38"/>
    <x v="167"/>
    <n v="46032"/>
    <x v="2"/>
    <x v="2"/>
    <x v="0"/>
    <d v="2015-02-17T00:00:00"/>
    <n v="26.585699999999999"/>
    <n v="5"/>
    <x v="321"/>
    <n v="86308"/>
    <x v="0"/>
  </r>
  <r>
    <n v="24482"/>
    <s v="Critical"/>
    <n v="7.0000000000000007E-2"/>
    <n v="417.4"/>
    <x v="176"/>
    <x v="184"/>
    <x v="1"/>
    <x v="184"/>
    <x v="1"/>
    <x v="3"/>
    <x v="1"/>
    <x v="11"/>
    <x v="5"/>
    <x v="249"/>
    <n v="0.79"/>
    <n v="-0.11716245275641859"/>
    <s v="United States"/>
    <x v="2"/>
    <x v="38"/>
    <x v="167"/>
    <n v="46032"/>
    <x v="2"/>
    <x v="2"/>
    <x v="0"/>
    <d v="2015-02-16T00:00:00"/>
    <n v="-575.35199999999998"/>
    <n v="12"/>
    <x v="322"/>
    <n v="86308"/>
    <x v="0"/>
  </r>
  <r>
    <n v="25949"/>
    <s v="Not Specified"/>
    <n v="0.1"/>
    <n v="6.48"/>
    <x v="177"/>
    <x v="185"/>
    <x v="0"/>
    <x v="185"/>
    <x v="2"/>
    <x v="2"/>
    <x v="0"/>
    <x v="7"/>
    <x v="3"/>
    <x v="250"/>
    <n v="0.37"/>
    <n v="-0.44208047945205481"/>
    <s v="United States"/>
    <x v="2"/>
    <x v="38"/>
    <x v="94"/>
    <n v="47201"/>
    <x v="69"/>
    <x v="1"/>
    <x v="0"/>
    <d v="2015-06-10T00:00:00"/>
    <n v="-51.634999999999998"/>
    <n v="19"/>
    <x v="323"/>
    <n v="86310"/>
    <x v="0"/>
  </r>
  <r>
    <n v="21274"/>
    <s v="Medium"/>
    <n v="0.06"/>
    <n v="6.48"/>
    <x v="178"/>
    <x v="186"/>
    <x v="0"/>
    <x v="186"/>
    <x v="2"/>
    <x v="0"/>
    <x v="0"/>
    <x v="7"/>
    <x v="3"/>
    <x v="251"/>
    <n v="0.37"/>
    <n v="-2.3291139240506329"/>
    <s v="United States"/>
    <x v="1"/>
    <x v="30"/>
    <x v="168"/>
    <n v="21136"/>
    <x v="114"/>
    <x v="5"/>
    <x v="0"/>
    <d v="2015-03-14T00:00:00"/>
    <n v="-75.44"/>
    <n v="5"/>
    <x v="324"/>
    <n v="87579"/>
    <x v="0"/>
  </r>
  <r>
    <n v="20929"/>
    <s v="Not Specified"/>
    <n v="0.02"/>
    <n v="35.99"/>
    <x v="104"/>
    <x v="187"/>
    <x v="0"/>
    <x v="187"/>
    <x v="2"/>
    <x v="1"/>
    <x v="2"/>
    <x v="5"/>
    <x v="3"/>
    <x v="252"/>
    <n v="0.85"/>
    <n v="-0.53090126871241061"/>
    <s v="United States"/>
    <x v="0"/>
    <x v="21"/>
    <x v="169"/>
    <n v="81001"/>
    <x v="118"/>
    <x v="2"/>
    <x v="0"/>
    <d v="2015-02-05T00:00:00"/>
    <n v="-120.934"/>
    <n v="7"/>
    <x v="325"/>
    <n v="87020"/>
    <x v="0"/>
  </r>
  <r>
    <n v="4015"/>
    <s v="Critical"/>
    <n v="0.09"/>
    <n v="154.13"/>
    <x v="54"/>
    <x v="188"/>
    <x v="1"/>
    <x v="188"/>
    <x v="0"/>
    <x v="0"/>
    <x v="1"/>
    <x v="11"/>
    <x v="6"/>
    <x v="66"/>
    <n v="0.68"/>
    <n v="-0.31054137710644614"/>
    <s v="United States"/>
    <x v="0"/>
    <x v="1"/>
    <x v="154"/>
    <n v="90045"/>
    <x v="88"/>
    <x v="5"/>
    <x v="0"/>
    <d v="2015-03-15T00:00:00"/>
    <n v="-1763.7477000000003"/>
    <n v="38"/>
    <x v="326"/>
    <n v="28647"/>
    <x v="0"/>
  </r>
  <r>
    <n v="4903"/>
    <s v="Critical"/>
    <n v="0.03"/>
    <n v="1.88"/>
    <x v="25"/>
    <x v="188"/>
    <x v="1"/>
    <x v="188"/>
    <x v="2"/>
    <x v="1"/>
    <x v="0"/>
    <x v="8"/>
    <x v="3"/>
    <x v="83"/>
    <n v="0.37"/>
    <n v="-0.1475713448006255"/>
    <s v="United States"/>
    <x v="0"/>
    <x v="1"/>
    <x v="154"/>
    <n v="90045"/>
    <x v="76"/>
    <x v="0"/>
    <x v="0"/>
    <d v="2015-01-25T00:00:00"/>
    <n v="-15.099500000000001"/>
    <n v="52"/>
    <x v="327"/>
    <n v="34882"/>
    <x v="0"/>
  </r>
  <r>
    <n v="22015"/>
    <s v="Critical"/>
    <n v="0.09"/>
    <n v="154.13"/>
    <x v="54"/>
    <x v="189"/>
    <x v="0"/>
    <x v="189"/>
    <x v="0"/>
    <x v="0"/>
    <x v="1"/>
    <x v="11"/>
    <x v="6"/>
    <x v="66"/>
    <n v="0.68"/>
    <n v="-1.1800564019188697"/>
    <s v="United States"/>
    <x v="1"/>
    <x v="4"/>
    <x v="170"/>
    <n v="11795"/>
    <x v="88"/>
    <x v="5"/>
    <x v="0"/>
    <d v="2015-03-15T00:00:00"/>
    <n v="-1763.7477000000003"/>
    <n v="10"/>
    <x v="328"/>
    <n v="91144"/>
    <x v="0"/>
  </r>
  <r>
    <n v="18492"/>
    <s v="Not Specified"/>
    <n v="0.02"/>
    <n v="15.57"/>
    <x v="49"/>
    <x v="190"/>
    <x v="1"/>
    <x v="190"/>
    <x v="2"/>
    <x v="3"/>
    <x v="0"/>
    <x v="4"/>
    <x v="3"/>
    <x v="253"/>
    <n v="0.38"/>
    <n v="0.50925373134328356"/>
    <s v="United States"/>
    <x v="0"/>
    <x v="21"/>
    <x v="169"/>
    <n v="81001"/>
    <x v="119"/>
    <x v="4"/>
    <x v="0"/>
    <d v="2015-04-30T00:00:00"/>
    <n v="23.5428"/>
    <n v="3"/>
    <x v="329"/>
    <n v="88198"/>
    <x v="0"/>
  </r>
  <r>
    <n v="18493"/>
    <s v="Not Specified"/>
    <n v="0.02"/>
    <n v="20.89"/>
    <x v="179"/>
    <x v="190"/>
    <x v="1"/>
    <x v="190"/>
    <x v="2"/>
    <x v="3"/>
    <x v="0"/>
    <x v="10"/>
    <x v="3"/>
    <x v="254"/>
    <n v="0.83"/>
    <n v="-0.98865940991120027"/>
    <s v="United States"/>
    <x v="0"/>
    <x v="21"/>
    <x v="169"/>
    <n v="81001"/>
    <x v="119"/>
    <x v="4"/>
    <x v="0"/>
    <d v="2015-04-30T00:00:00"/>
    <n v="-276.11279999999999"/>
    <n v="13"/>
    <x v="330"/>
    <n v="88198"/>
    <x v="0"/>
  </r>
  <r>
    <n v="22196"/>
    <s v="Critical"/>
    <n v="0.06"/>
    <n v="17.98"/>
    <x v="41"/>
    <x v="191"/>
    <x v="1"/>
    <x v="191"/>
    <x v="2"/>
    <x v="3"/>
    <x v="2"/>
    <x v="13"/>
    <x v="3"/>
    <x v="49"/>
    <n v="0.79"/>
    <n v="-1.1151869825863545"/>
    <s v="United States"/>
    <x v="0"/>
    <x v="21"/>
    <x v="171"/>
    <n v="81007"/>
    <x v="120"/>
    <x v="5"/>
    <x v="0"/>
    <d v="2015-03-25T00:00:00"/>
    <n v="-78.13"/>
    <n v="4"/>
    <x v="331"/>
    <n v="88197"/>
    <x v="0"/>
  </r>
  <r>
    <n v="18490"/>
    <s v="Not Specified"/>
    <n v="0.06"/>
    <n v="5.38"/>
    <x v="180"/>
    <x v="191"/>
    <x v="1"/>
    <x v="191"/>
    <x v="0"/>
    <x v="3"/>
    <x v="0"/>
    <x v="8"/>
    <x v="3"/>
    <x v="255"/>
    <n v="0.36"/>
    <n v="-0.79040503544365692"/>
    <s v="United States"/>
    <x v="0"/>
    <x v="21"/>
    <x v="171"/>
    <n v="81007"/>
    <x v="119"/>
    <x v="4"/>
    <x v="0"/>
    <d v="2015-04-30T00:00:00"/>
    <n v="-64.670940000000002"/>
    <n v="14"/>
    <x v="332"/>
    <n v="88198"/>
    <x v="0"/>
  </r>
  <r>
    <n v="18491"/>
    <s v="Not Specified"/>
    <n v="0.03"/>
    <n v="7.35"/>
    <x v="181"/>
    <x v="191"/>
    <x v="1"/>
    <x v="191"/>
    <x v="2"/>
    <x v="3"/>
    <x v="0"/>
    <x v="7"/>
    <x v="3"/>
    <x v="256"/>
    <n v="0.38"/>
    <n v="-0.84446808510638294"/>
    <s v="United States"/>
    <x v="0"/>
    <x v="21"/>
    <x v="171"/>
    <n v="81007"/>
    <x v="119"/>
    <x v="4"/>
    <x v="0"/>
    <d v="2015-04-30T00:00:00"/>
    <n v="-11.113199999999999"/>
    <n v="1"/>
    <x v="333"/>
    <n v="88198"/>
    <x v="0"/>
  </r>
  <r>
    <n v="25539"/>
    <s v="Critical"/>
    <n v="0.03"/>
    <n v="14.2"/>
    <x v="98"/>
    <x v="192"/>
    <x v="0"/>
    <x v="192"/>
    <x v="2"/>
    <x v="3"/>
    <x v="1"/>
    <x v="2"/>
    <x v="0"/>
    <x v="257"/>
    <n v="0.46"/>
    <n v="0.51956500631129232"/>
    <s v="United States"/>
    <x v="2"/>
    <x v="22"/>
    <x v="172"/>
    <n v="48195"/>
    <x v="0"/>
    <x v="0"/>
    <x v="0"/>
    <d v="2015-01-08T00:00:00"/>
    <n v="107.02"/>
    <n v="14"/>
    <x v="334"/>
    <n v="88196"/>
    <x v="0"/>
  </r>
  <r>
    <n v="22248"/>
    <s v="Medium"/>
    <n v="0.1"/>
    <n v="6.88"/>
    <x v="167"/>
    <x v="193"/>
    <x v="0"/>
    <x v="193"/>
    <x v="2"/>
    <x v="1"/>
    <x v="0"/>
    <x v="7"/>
    <x v="0"/>
    <x v="232"/>
    <n v="0.39"/>
    <n v="0.58550540368722193"/>
    <s v="United States"/>
    <x v="1"/>
    <x v="18"/>
    <x v="80"/>
    <n v="6111"/>
    <x v="115"/>
    <x v="2"/>
    <x v="0"/>
    <d v="2015-02-27T00:00:00"/>
    <n v="18.420000000000002"/>
    <n v="5"/>
    <x v="335"/>
    <n v="91432"/>
    <x v="0"/>
  </r>
  <r>
    <n v="22247"/>
    <s v="Medium"/>
    <n v="0.06"/>
    <n v="195.99"/>
    <x v="20"/>
    <x v="194"/>
    <x v="0"/>
    <x v="194"/>
    <x v="2"/>
    <x v="1"/>
    <x v="2"/>
    <x v="5"/>
    <x v="3"/>
    <x v="258"/>
    <n v="0.6"/>
    <n v="0.36826243189984931"/>
    <s v="United States"/>
    <x v="1"/>
    <x v="14"/>
    <x v="113"/>
    <n v="4210"/>
    <x v="115"/>
    <x v="2"/>
    <x v="0"/>
    <d v="2015-02-28T00:00:00"/>
    <n v="349.47"/>
    <n v="6"/>
    <x v="336"/>
    <n v="91432"/>
    <x v="0"/>
  </r>
  <r>
    <n v="24880"/>
    <s v="High"/>
    <n v="0.05"/>
    <n v="6.48"/>
    <x v="182"/>
    <x v="195"/>
    <x v="0"/>
    <x v="195"/>
    <x v="2"/>
    <x v="1"/>
    <x v="0"/>
    <x v="7"/>
    <x v="3"/>
    <x v="259"/>
    <n v="0.37"/>
    <n v="-1.6522841083290751"/>
    <s v="United States"/>
    <x v="1"/>
    <x v="16"/>
    <x v="173"/>
    <n v="3101"/>
    <x v="113"/>
    <x v="4"/>
    <x v="0"/>
    <d v="2015-04-03T00:00:00"/>
    <n v="-226.34640000000002"/>
    <n v="21"/>
    <x v="337"/>
    <n v="91433"/>
    <x v="0"/>
  </r>
  <r>
    <n v="24881"/>
    <s v="High"/>
    <n v="0.05"/>
    <n v="55.99"/>
    <x v="104"/>
    <x v="196"/>
    <x v="0"/>
    <x v="196"/>
    <x v="2"/>
    <x v="1"/>
    <x v="2"/>
    <x v="5"/>
    <x v="2"/>
    <x v="241"/>
    <n v="0.8"/>
    <n v="-2.8298695652173911"/>
    <s v="United States"/>
    <x v="1"/>
    <x v="9"/>
    <x v="174"/>
    <n v="5701"/>
    <x v="113"/>
    <x v="4"/>
    <x v="0"/>
    <d v="2015-04-01T00:00:00"/>
    <n v="-281.17583999999999"/>
    <n v="2"/>
    <x v="338"/>
    <n v="91433"/>
    <x v="0"/>
  </r>
  <r>
    <n v="21718"/>
    <s v="Medium"/>
    <n v="0.02"/>
    <n v="419.19"/>
    <x v="3"/>
    <x v="197"/>
    <x v="0"/>
    <x v="197"/>
    <x v="2"/>
    <x v="0"/>
    <x v="0"/>
    <x v="10"/>
    <x v="3"/>
    <x v="260"/>
    <n v="0.57999999999999996"/>
    <n v="0.69"/>
    <s v="United States"/>
    <x v="1"/>
    <x v="10"/>
    <x v="175"/>
    <n v="43952"/>
    <x v="109"/>
    <x v="4"/>
    <x v="0"/>
    <d v="2015-04-22T00:00:00"/>
    <n v="6610.2"/>
    <n v="22"/>
    <x v="339"/>
    <n v="90469"/>
    <x v="0"/>
  </r>
  <r>
    <n v="19364"/>
    <s v="High"/>
    <n v="0.01"/>
    <n v="2.08"/>
    <x v="183"/>
    <x v="198"/>
    <x v="1"/>
    <x v="198"/>
    <x v="2"/>
    <x v="0"/>
    <x v="1"/>
    <x v="2"/>
    <x v="3"/>
    <x v="261"/>
    <n v="0.43"/>
    <n v="-3.6621610169491525"/>
    <s v="United States"/>
    <x v="2"/>
    <x v="3"/>
    <x v="176"/>
    <n v="55106"/>
    <x v="121"/>
    <x v="4"/>
    <x v="0"/>
    <d v="2015-04-05T00:00:00"/>
    <n v="-103.7124"/>
    <n v="12"/>
    <x v="340"/>
    <n v="89284"/>
    <x v="0"/>
  </r>
  <r>
    <n v="19365"/>
    <s v="High"/>
    <n v="0.03"/>
    <n v="370.98"/>
    <x v="184"/>
    <x v="198"/>
    <x v="1"/>
    <x v="198"/>
    <x v="1"/>
    <x v="0"/>
    <x v="0"/>
    <x v="10"/>
    <x v="1"/>
    <x v="262"/>
    <n v="0.65"/>
    <n v="-5.3815517711702586E-2"/>
    <s v="United States"/>
    <x v="2"/>
    <x v="3"/>
    <x v="176"/>
    <n v="55106"/>
    <x v="121"/>
    <x v="4"/>
    <x v="0"/>
    <d v="2015-04-06T00:00:00"/>
    <n v="-124.2864"/>
    <n v="6"/>
    <x v="341"/>
    <n v="89284"/>
    <x v="0"/>
  </r>
  <r>
    <n v="19539"/>
    <s v="Low"/>
    <n v="0.06"/>
    <n v="160.97999999999999"/>
    <x v="185"/>
    <x v="199"/>
    <x v="0"/>
    <x v="199"/>
    <x v="1"/>
    <x v="3"/>
    <x v="1"/>
    <x v="14"/>
    <x v="5"/>
    <x v="263"/>
    <n v="0.72"/>
    <n v="-0.18642705822193004"/>
    <s v="United States"/>
    <x v="0"/>
    <x v="1"/>
    <x v="177"/>
    <n v="95051"/>
    <x v="80"/>
    <x v="5"/>
    <x v="0"/>
    <d v="2015-03-24T00:00:00"/>
    <n v="-229.68"/>
    <n v="8"/>
    <x v="342"/>
    <n v="87953"/>
    <x v="0"/>
  </r>
  <r>
    <n v="24387"/>
    <s v="Critical"/>
    <n v="0.06"/>
    <n v="65.989999999999995"/>
    <x v="186"/>
    <x v="200"/>
    <x v="1"/>
    <x v="200"/>
    <x v="0"/>
    <x v="3"/>
    <x v="2"/>
    <x v="5"/>
    <x v="3"/>
    <x v="264"/>
    <n v="0.57999999999999996"/>
    <n v="0.56892057348236502"/>
    <s v="United States"/>
    <x v="0"/>
    <x v="1"/>
    <x v="178"/>
    <n v="95062"/>
    <x v="122"/>
    <x v="4"/>
    <x v="0"/>
    <d v="2015-05-01T00:00:00"/>
    <n v="288.08999999999997"/>
    <n v="9"/>
    <x v="343"/>
    <n v="87954"/>
    <x v="0"/>
  </r>
  <r>
    <n v="24388"/>
    <s v="Critical"/>
    <n v="0"/>
    <n v="195.99"/>
    <x v="5"/>
    <x v="200"/>
    <x v="1"/>
    <x v="200"/>
    <x v="0"/>
    <x v="3"/>
    <x v="2"/>
    <x v="5"/>
    <x v="3"/>
    <x v="265"/>
    <n v="0.56999999999999995"/>
    <n v="0.69"/>
    <s v="United States"/>
    <x v="0"/>
    <x v="1"/>
    <x v="178"/>
    <n v="95062"/>
    <x v="122"/>
    <x v="4"/>
    <x v="0"/>
    <d v="2015-05-02T00:00:00"/>
    <n v="719.47679999999991"/>
    <n v="6"/>
    <x v="344"/>
    <n v="87954"/>
    <x v="0"/>
  </r>
  <r>
    <n v="25893"/>
    <s v="Not Specified"/>
    <n v="0"/>
    <n v="236.97"/>
    <x v="187"/>
    <x v="201"/>
    <x v="0"/>
    <x v="201"/>
    <x v="1"/>
    <x v="3"/>
    <x v="1"/>
    <x v="11"/>
    <x v="5"/>
    <x v="266"/>
    <n v="0.61"/>
    <n v="0.67350317247769653"/>
    <s v="United States"/>
    <x v="0"/>
    <x v="1"/>
    <x v="179"/>
    <n v="93454"/>
    <x v="79"/>
    <x v="2"/>
    <x v="0"/>
    <d v="2015-02-15T00:00:00"/>
    <n v="1192.04"/>
    <n v="9"/>
    <x v="345"/>
    <n v="87952"/>
    <x v="0"/>
  </r>
  <r>
    <n v="7893"/>
    <s v="Not Specified"/>
    <n v="0"/>
    <n v="236.97"/>
    <x v="187"/>
    <x v="202"/>
    <x v="1"/>
    <x v="202"/>
    <x v="1"/>
    <x v="3"/>
    <x v="1"/>
    <x v="11"/>
    <x v="5"/>
    <x v="266"/>
    <n v="0.61"/>
    <n v="0.17827989602682484"/>
    <s v="United States"/>
    <x v="0"/>
    <x v="0"/>
    <x v="33"/>
    <n v="98119"/>
    <x v="79"/>
    <x v="2"/>
    <x v="0"/>
    <d v="2015-02-15T00:00:00"/>
    <n v="1192.04"/>
    <n v="34"/>
    <x v="346"/>
    <n v="56452"/>
    <x v="1"/>
  </r>
  <r>
    <n v="1539"/>
    <s v="Low"/>
    <n v="0.06"/>
    <n v="160.97999999999999"/>
    <x v="185"/>
    <x v="202"/>
    <x v="1"/>
    <x v="202"/>
    <x v="1"/>
    <x v="3"/>
    <x v="1"/>
    <x v="14"/>
    <x v="5"/>
    <x v="263"/>
    <n v="0.72"/>
    <n v="-4.9713747686713348E-2"/>
    <s v="United States"/>
    <x v="0"/>
    <x v="0"/>
    <x v="33"/>
    <n v="98119"/>
    <x v="80"/>
    <x v="5"/>
    <x v="0"/>
    <d v="2015-03-24T00:00:00"/>
    <n v="-229.68"/>
    <n v="30"/>
    <x v="347"/>
    <n v="11077"/>
    <x v="0"/>
  </r>
  <r>
    <n v="6387"/>
    <s v="Critical"/>
    <n v="0.06"/>
    <n v="65.989999999999995"/>
    <x v="186"/>
    <x v="202"/>
    <x v="1"/>
    <x v="202"/>
    <x v="0"/>
    <x v="3"/>
    <x v="2"/>
    <x v="5"/>
    <x v="3"/>
    <x v="264"/>
    <n v="0.57999999999999996"/>
    <n v="0.15059749709876735"/>
    <s v="United States"/>
    <x v="0"/>
    <x v="0"/>
    <x v="33"/>
    <n v="98119"/>
    <x v="122"/>
    <x v="4"/>
    <x v="0"/>
    <d v="2015-05-01T00:00:00"/>
    <n v="288.08999999999997"/>
    <n v="34"/>
    <x v="348"/>
    <n v="45380"/>
    <x v="0"/>
  </r>
  <r>
    <n v="6388"/>
    <s v="Critical"/>
    <n v="0"/>
    <n v="195.99"/>
    <x v="5"/>
    <x v="202"/>
    <x v="1"/>
    <x v="202"/>
    <x v="0"/>
    <x v="3"/>
    <x v="2"/>
    <x v="5"/>
    <x v="3"/>
    <x v="265"/>
    <n v="0.56999999999999995"/>
    <n v="0.24707291284552144"/>
    <s v="United States"/>
    <x v="0"/>
    <x v="0"/>
    <x v="33"/>
    <n v="98119"/>
    <x v="122"/>
    <x v="4"/>
    <x v="0"/>
    <d v="2015-05-02T00:00:00"/>
    <n v="1030.509"/>
    <n v="24"/>
    <x v="349"/>
    <n v="45380"/>
    <x v="0"/>
  </r>
  <r>
    <n v="24869"/>
    <s v="Low"/>
    <n v="0.03"/>
    <n v="51.75"/>
    <x v="3"/>
    <x v="203"/>
    <x v="0"/>
    <x v="203"/>
    <x v="2"/>
    <x v="0"/>
    <x v="1"/>
    <x v="2"/>
    <x v="3"/>
    <x v="267"/>
    <n v="0.55000000000000004"/>
    <n v="0.31929751712851584"/>
    <s v="United States"/>
    <x v="2"/>
    <x v="3"/>
    <x v="180"/>
    <n v="55379"/>
    <x v="77"/>
    <x v="1"/>
    <x v="0"/>
    <d v="2015-06-22T00:00:00"/>
    <n v="261.44400000000002"/>
    <n v="16"/>
    <x v="350"/>
    <n v="90735"/>
    <x v="0"/>
  </r>
  <r>
    <n v="21760"/>
    <s v="Not Specified"/>
    <n v="0.02"/>
    <n v="25.38"/>
    <x v="20"/>
    <x v="204"/>
    <x v="0"/>
    <x v="204"/>
    <x v="2"/>
    <x v="1"/>
    <x v="1"/>
    <x v="2"/>
    <x v="2"/>
    <x v="268"/>
    <n v="0.5"/>
    <n v="-0.30372324831427733"/>
    <s v="United States"/>
    <x v="2"/>
    <x v="12"/>
    <x v="181"/>
    <n v="60440"/>
    <x v="123"/>
    <x v="1"/>
    <x v="0"/>
    <d v="2015-06-22T00:00:00"/>
    <n v="-10.36"/>
    <n v="1"/>
    <x v="351"/>
    <n v="91365"/>
    <x v="0"/>
  </r>
  <r>
    <n v="23154"/>
    <s v="Medium"/>
    <n v="0.02"/>
    <n v="3.78"/>
    <x v="188"/>
    <x v="205"/>
    <x v="0"/>
    <x v="205"/>
    <x v="2"/>
    <x v="1"/>
    <x v="0"/>
    <x v="3"/>
    <x v="0"/>
    <x v="269"/>
    <n v="0.39"/>
    <n v="0.69"/>
    <s v="United States"/>
    <x v="2"/>
    <x v="12"/>
    <x v="182"/>
    <n v="60089"/>
    <x v="124"/>
    <x v="3"/>
    <x v="0"/>
    <d v="2015-05-30T00:00:00"/>
    <n v="106.7499"/>
    <n v="40"/>
    <x v="352"/>
    <n v="91366"/>
    <x v="0"/>
  </r>
  <r>
    <n v="24199"/>
    <s v="High"/>
    <n v="0.08"/>
    <n v="15.99"/>
    <x v="158"/>
    <x v="206"/>
    <x v="1"/>
    <x v="206"/>
    <x v="2"/>
    <x v="3"/>
    <x v="0"/>
    <x v="8"/>
    <x v="3"/>
    <x v="222"/>
    <n v="0.37"/>
    <n v="-1.2838671034160036"/>
    <s v="United States"/>
    <x v="0"/>
    <x v="34"/>
    <x v="183"/>
    <n v="89115"/>
    <x v="0"/>
    <x v="0"/>
    <x v="0"/>
    <d v="2015-01-08T00:00:00"/>
    <n v="-246.92615999999998"/>
    <n v="12"/>
    <x v="353"/>
    <n v="91575"/>
    <x v="0"/>
  </r>
  <r>
    <n v="23433"/>
    <s v="Low"/>
    <n v="0.04"/>
    <n v="880.98"/>
    <x v="189"/>
    <x v="206"/>
    <x v="1"/>
    <x v="206"/>
    <x v="1"/>
    <x v="3"/>
    <x v="1"/>
    <x v="14"/>
    <x v="5"/>
    <x v="270"/>
    <n v="0.62"/>
    <n v="0.6134046440862162"/>
    <s v="United States"/>
    <x v="0"/>
    <x v="34"/>
    <x v="183"/>
    <n v="89115"/>
    <x v="2"/>
    <x v="2"/>
    <x v="0"/>
    <d v="2015-02-19T00:00:00"/>
    <n v="4233.2587999999996"/>
    <n v="8"/>
    <x v="354"/>
    <n v="91576"/>
    <x v="0"/>
  </r>
  <r>
    <n v="23434"/>
    <s v="Low"/>
    <n v="7.0000000000000007E-2"/>
    <n v="13.4"/>
    <x v="190"/>
    <x v="206"/>
    <x v="1"/>
    <x v="206"/>
    <x v="2"/>
    <x v="3"/>
    <x v="1"/>
    <x v="2"/>
    <x v="2"/>
    <x v="271"/>
    <n v="0.37"/>
    <n v="0.69"/>
    <s v="United States"/>
    <x v="0"/>
    <x v="34"/>
    <x v="183"/>
    <n v="89115"/>
    <x v="2"/>
    <x v="2"/>
    <x v="0"/>
    <d v="2015-02-20T00:00:00"/>
    <n v="102.76859999999999"/>
    <n v="11"/>
    <x v="355"/>
    <n v="91576"/>
    <x v="0"/>
  </r>
  <r>
    <n v="23435"/>
    <s v="Low"/>
    <n v="0.01"/>
    <n v="15.99"/>
    <x v="138"/>
    <x v="206"/>
    <x v="1"/>
    <x v="206"/>
    <x v="2"/>
    <x v="3"/>
    <x v="2"/>
    <x v="6"/>
    <x v="4"/>
    <x v="187"/>
    <n v="0.38"/>
    <n v="-0.18273641618497108"/>
    <s v="United States"/>
    <x v="0"/>
    <x v="34"/>
    <x v="183"/>
    <n v="89115"/>
    <x v="2"/>
    <x v="2"/>
    <x v="0"/>
    <d v="2015-02-22T00:00:00"/>
    <n v="-36.671543999999997"/>
    <n v="12"/>
    <x v="356"/>
    <n v="91576"/>
    <x v="0"/>
  </r>
  <r>
    <n v="25055"/>
    <s v="Not Specified"/>
    <n v="0"/>
    <n v="2.78"/>
    <x v="25"/>
    <x v="207"/>
    <x v="0"/>
    <x v="207"/>
    <x v="0"/>
    <x v="3"/>
    <x v="0"/>
    <x v="8"/>
    <x v="3"/>
    <x v="272"/>
    <n v="0.36"/>
    <n v="0.69"/>
    <s v="United States"/>
    <x v="0"/>
    <x v="1"/>
    <x v="184"/>
    <n v="91730"/>
    <x v="125"/>
    <x v="4"/>
    <x v="0"/>
    <d v="2015-04-17T00:00:00"/>
    <n v="20.6448"/>
    <n v="9"/>
    <x v="357"/>
    <n v="91213"/>
    <x v="0"/>
  </r>
  <r>
    <n v="20874"/>
    <s v="Critical"/>
    <n v="0.1"/>
    <n v="18.97"/>
    <x v="191"/>
    <x v="208"/>
    <x v="0"/>
    <x v="208"/>
    <x v="2"/>
    <x v="3"/>
    <x v="0"/>
    <x v="7"/>
    <x v="3"/>
    <x v="273"/>
    <n v="0.37"/>
    <n v="-1.2268018246325392"/>
    <s v="United States"/>
    <x v="1"/>
    <x v="15"/>
    <x v="185"/>
    <n v="1540"/>
    <x v="71"/>
    <x v="0"/>
    <x v="0"/>
    <d v="2015-01-21T00:00:00"/>
    <n v="-24.204799999999999"/>
    <n v="1"/>
    <x v="358"/>
    <n v="91212"/>
    <x v="0"/>
  </r>
  <r>
    <n v="20875"/>
    <s v="Critical"/>
    <n v="0"/>
    <n v="119.99"/>
    <x v="80"/>
    <x v="209"/>
    <x v="0"/>
    <x v="209"/>
    <x v="1"/>
    <x v="3"/>
    <x v="2"/>
    <x v="6"/>
    <x v="5"/>
    <x v="102"/>
    <n v="0.39"/>
    <n v="-0.20479218247392533"/>
    <s v="United States"/>
    <x v="1"/>
    <x v="9"/>
    <x v="186"/>
    <n v="5403"/>
    <x v="71"/>
    <x v="0"/>
    <x v="0"/>
    <d v="2015-01-20T00:00:00"/>
    <n v="-126.05777999999999"/>
    <n v="5"/>
    <x v="359"/>
    <n v="91212"/>
    <x v="0"/>
  </r>
  <r>
    <n v="23487"/>
    <s v="Critical"/>
    <n v="0.02"/>
    <n v="14.58"/>
    <x v="192"/>
    <x v="210"/>
    <x v="0"/>
    <x v="210"/>
    <x v="2"/>
    <x v="1"/>
    <x v="1"/>
    <x v="2"/>
    <x v="3"/>
    <x v="274"/>
    <n v="0.48"/>
    <n v="4.1333129256906721E-2"/>
    <s v="United States"/>
    <x v="1"/>
    <x v="10"/>
    <x v="175"/>
    <n v="43952"/>
    <x v="124"/>
    <x v="3"/>
    <x v="0"/>
    <d v="2015-06-01T00:00:00"/>
    <n v="10.802000000000001"/>
    <n v="17"/>
    <x v="360"/>
    <n v="90922"/>
    <x v="0"/>
  </r>
  <r>
    <n v="21086"/>
    <s v="Low"/>
    <n v="0.04"/>
    <n v="22.72"/>
    <x v="20"/>
    <x v="211"/>
    <x v="1"/>
    <x v="211"/>
    <x v="2"/>
    <x v="0"/>
    <x v="1"/>
    <x v="2"/>
    <x v="2"/>
    <x v="275"/>
    <n v="0.44"/>
    <n v="-3.3520873474630699"/>
    <s v="United States"/>
    <x v="3"/>
    <x v="20"/>
    <x v="142"/>
    <n v="37130"/>
    <x v="59"/>
    <x v="0"/>
    <x v="0"/>
    <d v="2015-01-20T00:00:00"/>
    <n v="-678.49599999999998"/>
    <n v="9"/>
    <x v="361"/>
    <n v="88677"/>
    <x v="0"/>
  </r>
  <r>
    <n v="18667"/>
    <s v="Critical"/>
    <n v="0.02"/>
    <n v="130.97999999999999"/>
    <x v="40"/>
    <x v="211"/>
    <x v="1"/>
    <x v="211"/>
    <x v="1"/>
    <x v="0"/>
    <x v="1"/>
    <x v="1"/>
    <x v="1"/>
    <x v="185"/>
    <n v="0.78"/>
    <n v="0.11439771108786348"/>
    <s v="United States"/>
    <x v="3"/>
    <x v="20"/>
    <x v="142"/>
    <n v="37130"/>
    <x v="106"/>
    <x v="4"/>
    <x v="0"/>
    <d v="2015-04-19T00:00:00"/>
    <n v="90.762"/>
    <n v="6"/>
    <x v="362"/>
    <n v="88678"/>
    <x v="0"/>
  </r>
  <r>
    <n v="24776"/>
    <s v="Low"/>
    <n v="0.02"/>
    <n v="4.57"/>
    <x v="193"/>
    <x v="212"/>
    <x v="0"/>
    <x v="212"/>
    <x v="2"/>
    <x v="0"/>
    <x v="0"/>
    <x v="8"/>
    <x v="3"/>
    <x v="276"/>
    <n v="0.37"/>
    <n v="-6.5287564766839372"/>
    <s v="United States"/>
    <x v="3"/>
    <x v="20"/>
    <x v="187"/>
    <n v="37211"/>
    <x v="126"/>
    <x v="4"/>
    <x v="0"/>
    <d v="2015-04-26T00:00:00"/>
    <n v="-352.81399999999996"/>
    <n v="11"/>
    <x v="363"/>
    <n v="88679"/>
    <x v="0"/>
  </r>
  <r>
    <n v="3086"/>
    <s v="Low"/>
    <n v="0.04"/>
    <n v="22.72"/>
    <x v="20"/>
    <x v="213"/>
    <x v="1"/>
    <x v="213"/>
    <x v="2"/>
    <x v="0"/>
    <x v="1"/>
    <x v="2"/>
    <x v="2"/>
    <x v="275"/>
    <n v="0.44"/>
    <n v="8.4154108683634973E-2"/>
    <s v="United States"/>
    <x v="2"/>
    <x v="7"/>
    <x v="188"/>
    <n v="75203"/>
    <x v="59"/>
    <x v="0"/>
    <x v="0"/>
    <d v="2015-01-20T00:00:00"/>
    <n v="70.028000000000006"/>
    <n v="37"/>
    <x v="364"/>
    <n v="22147"/>
    <x v="0"/>
  </r>
  <r>
    <n v="6776"/>
    <s v="Low"/>
    <n v="0.02"/>
    <n v="4.57"/>
    <x v="193"/>
    <x v="213"/>
    <x v="1"/>
    <x v="213"/>
    <x v="2"/>
    <x v="0"/>
    <x v="0"/>
    <x v="8"/>
    <x v="3"/>
    <x v="276"/>
    <n v="0.37"/>
    <n v="-0.56220256943816149"/>
    <s v="United States"/>
    <x v="2"/>
    <x v="7"/>
    <x v="188"/>
    <n v="75203"/>
    <x v="126"/>
    <x v="4"/>
    <x v="0"/>
    <d v="2015-04-26T00:00:00"/>
    <n v="-124.28049999999999"/>
    <n v="45"/>
    <x v="365"/>
    <n v="48257"/>
    <x v="0"/>
  </r>
  <r>
    <n v="24882"/>
    <s v="Medium"/>
    <n v="0.09"/>
    <n v="2.89"/>
    <x v="28"/>
    <x v="214"/>
    <x v="1"/>
    <x v="214"/>
    <x v="2"/>
    <x v="1"/>
    <x v="0"/>
    <x v="9"/>
    <x v="3"/>
    <x v="277"/>
    <n v="0.38"/>
    <n v="0.69"/>
    <s v="United States"/>
    <x v="2"/>
    <x v="25"/>
    <x v="189"/>
    <n v="52501"/>
    <x v="80"/>
    <x v="5"/>
    <x v="0"/>
    <d v="2015-03-22T00:00:00"/>
    <n v="40.482299999999995"/>
    <n v="22"/>
    <x v="366"/>
    <n v="88475"/>
    <x v="0"/>
  </r>
  <r>
    <n v="24883"/>
    <s v="Medium"/>
    <n v="0.02"/>
    <n v="48.91"/>
    <x v="194"/>
    <x v="214"/>
    <x v="1"/>
    <x v="214"/>
    <x v="2"/>
    <x v="1"/>
    <x v="0"/>
    <x v="7"/>
    <x v="3"/>
    <x v="278"/>
    <n v="0.38"/>
    <n v="0.32515337423312884"/>
    <s v="United States"/>
    <x v="2"/>
    <x v="25"/>
    <x v="189"/>
    <n v="52501"/>
    <x v="80"/>
    <x v="5"/>
    <x v="0"/>
    <d v="2015-03-21T00:00:00"/>
    <n v="32.86"/>
    <n v="2"/>
    <x v="367"/>
    <n v="88475"/>
    <x v="0"/>
  </r>
  <r>
    <n v="18808"/>
    <s v="Low"/>
    <n v="0.08"/>
    <n v="296.18"/>
    <x v="33"/>
    <x v="215"/>
    <x v="0"/>
    <x v="215"/>
    <x v="1"/>
    <x v="1"/>
    <x v="1"/>
    <x v="11"/>
    <x v="5"/>
    <x v="37"/>
    <n v="0.76"/>
    <n v="-0.13094187339576585"/>
    <s v="United States"/>
    <x v="3"/>
    <x v="8"/>
    <x v="148"/>
    <n v="22025"/>
    <x v="93"/>
    <x v="5"/>
    <x v="0"/>
    <d v="2015-03-12T00:00:00"/>
    <n v="-187.22199999999998"/>
    <n v="5"/>
    <x v="368"/>
    <n v="88474"/>
    <x v="0"/>
  </r>
  <r>
    <n v="19423"/>
    <s v="Low"/>
    <n v="7.0000000000000007E-2"/>
    <n v="2.88"/>
    <x v="195"/>
    <x v="216"/>
    <x v="1"/>
    <x v="216"/>
    <x v="2"/>
    <x v="2"/>
    <x v="0"/>
    <x v="0"/>
    <x v="0"/>
    <x v="279"/>
    <n v="0.55000000000000004"/>
    <n v="0.27423505862167574"/>
    <s v="United States"/>
    <x v="2"/>
    <x v="25"/>
    <x v="63"/>
    <n v="50208"/>
    <x v="64"/>
    <x v="2"/>
    <x v="0"/>
    <d v="2015-02-09T00:00:00"/>
    <n v="9.59"/>
    <n v="12"/>
    <x v="369"/>
    <n v="88173"/>
    <x v="0"/>
  </r>
  <r>
    <n v="19424"/>
    <s v="Low"/>
    <n v="0.1"/>
    <n v="195.99"/>
    <x v="196"/>
    <x v="216"/>
    <x v="1"/>
    <x v="216"/>
    <x v="2"/>
    <x v="2"/>
    <x v="2"/>
    <x v="5"/>
    <x v="3"/>
    <x v="280"/>
    <n v="0.57999999999999996"/>
    <n v="-2.1220747264132616"/>
    <s v="United States"/>
    <x v="2"/>
    <x v="25"/>
    <x v="63"/>
    <n v="50208"/>
    <x v="64"/>
    <x v="2"/>
    <x v="0"/>
    <d v="2015-02-12T00:00:00"/>
    <n v="-655.42399999999998"/>
    <n v="2"/>
    <x v="370"/>
    <n v="88173"/>
    <x v="0"/>
  </r>
  <r>
    <n v="25059"/>
    <s v="Critical"/>
    <n v="0.06"/>
    <n v="161.55000000000001"/>
    <x v="3"/>
    <x v="217"/>
    <x v="0"/>
    <x v="217"/>
    <x v="2"/>
    <x v="2"/>
    <x v="0"/>
    <x v="10"/>
    <x v="3"/>
    <x v="40"/>
    <n v="0.66"/>
    <n v="-1.5628543741366241E-2"/>
    <s v="United States"/>
    <x v="2"/>
    <x v="33"/>
    <x v="190"/>
    <n v="64133"/>
    <x v="22"/>
    <x v="0"/>
    <x v="0"/>
    <d v="2015-01-03T00:00:00"/>
    <n v="-7.5800000000000409"/>
    <n v="3"/>
    <x v="371"/>
    <n v="88174"/>
    <x v="0"/>
  </r>
  <r>
    <n v="19326"/>
    <s v="Medium"/>
    <n v="0.04"/>
    <n v="15.42"/>
    <x v="109"/>
    <x v="218"/>
    <x v="0"/>
    <x v="218"/>
    <x v="0"/>
    <x v="0"/>
    <x v="0"/>
    <x v="10"/>
    <x v="3"/>
    <x v="144"/>
    <n v="0.57999999999999996"/>
    <n v="-1.3520335223071236"/>
    <s v="United States"/>
    <x v="3"/>
    <x v="8"/>
    <x v="191"/>
    <n v="24281"/>
    <x v="126"/>
    <x v="4"/>
    <x v="0"/>
    <d v="2015-04-23T00:00:00"/>
    <n v="-109.70400000000001"/>
    <n v="5"/>
    <x v="372"/>
    <n v="88889"/>
    <x v="0"/>
  </r>
  <r>
    <n v="21609"/>
    <s v="Medium"/>
    <n v="0.01"/>
    <n v="3.95"/>
    <x v="197"/>
    <x v="219"/>
    <x v="1"/>
    <x v="219"/>
    <x v="2"/>
    <x v="0"/>
    <x v="0"/>
    <x v="15"/>
    <x v="3"/>
    <x v="281"/>
    <n v="0.59"/>
    <n v="-1.9713155291790307"/>
    <s v="United States"/>
    <x v="0"/>
    <x v="0"/>
    <x v="192"/>
    <n v="98387"/>
    <x v="30"/>
    <x v="5"/>
    <x v="0"/>
    <d v="2015-03-05T00:00:00"/>
    <n v="-19.93"/>
    <n v="2"/>
    <x v="373"/>
    <n v="88890"/>
    <x v="0"/>
  </r>
  <r>
    <n v="21610"/>
    <s v="Medium"/>
    <n v="0.02"/>
    <n v="367.99"/>
    <x v="3"/>
    <x v="219"/>
    <x v="1"/>
    <x v="219"/>
    <x v="2"/>
    <x v="0"/>
    <x v="0"/>
    <x v="8"/>
    <x v="3"/>
    <x v="282"/>
    <n v="0.4"/>
    <n v="0.69"/>
    <s v="United States"/>
    <x v="0"/>
    <x v="0"/>
    <x v="192"/>
    <n v="98387"/>
    <x v="30"/>
    <x v="5"/>
    <x v="0"/>
    <d v="2015-03-05T00:00:00"/>
    <n v="4568.6072999999997"/>
    <n v="17"/>
    <x v="374"/>
    <n v="88890"/>
    <x v="0"/>
  </r>
  <r>
    <n v="21612"/>
    <s v="Medium"/>
    <n v="0.04"/>
    <n v="95.99"/>
    <x v="59"/>
    <x v="220"/>
    <x v="0"/>
    <x v="220"/>
    <x v="2"/>
    <x v="0"/>
    <x v="2"/>
    <x v="5"/>
    <x v="3"/>
    <x v="75"/>
    <n v="0.56000000000000005"/>
    <n v="-1.0175151706202223"/>
    <s v="United States"/>
    <x v="0"/>
    <x v="0"/>
    <x v="193"/>
    <n v="99207"/>
    <x v="30"/>
    <x v="5"/>
    <x v="0"/>
    <d v="2015-03-06T00:00:00"/>
    <n v="-258.22500000000002"/>
    <n v="3"/>
    <x v="375"/>
    <n v="88890"/>
    <x v="0"/>
  </r>
  <r>
    <n v="18555"/>
    <s v="Medium"/>
    <n v="0.06"/>
    <n v="17.670000000000002"/>
    <x v="20"/>
    <x v="221"/>
    <x v="0"/>
    <x v="221"/>
    <x v="0"/>
    <x v="2"/>
    <x v="1"/>
    <x v="2"/>
    <x v="2"/>
    <x v="283"/>
    <n v="0.47"/>
    <n v="0.5440251572327045"/>
    <s v="United States"/>
    <x v="2"/>
    <x v="32"/>
    <x v="194"/>
    <n v="68046"/>
    <x v="74"/>
    <x v="4"/>
    <x v="0"/>
    <d v="2015-04-08T00:00:00"/>
    <n v="38.06"/>
    <n v="4"/>
    <x v="376"/>
    <n v="87765"/>
    <x v="0"/>
  </r>
  <r>
    <n v="21411"/>
    <s v="Critical"/>
    <n v="7.0000000000000007E-2"/>
    <n v="279.48"/>
    <x v="97"/>
    <x v="222"/>
    <x v="1"/>
    <x v="222"/>
    <x v="2"/>
    <x v="2"/>
    <x v="0"/>
    <x v="10"/>
    <x v="6"/>
    <x v="284"/>
    <n v="0.8"/>
    <n v="-7.6315586007827424E-2"/>
    <s v="United States"/>
    <x v="2"/>
    <x v="33"/>
    <x v="195"/>
    <n v="63116"/>
    <x v="41"/>
    <x v="3"/>
    <x v="0"/>
    <d v="2015-05-16T00:00:00"/>
    <n v="-207.28"/>
    <n v="10"/>
    <x v="377"/>
    <n v="88503"/>
    <x v="0"/>
  </r>
  <r>
    <n v="19325"/>
    <s v="Low"/>
    <n v="0.06"/>
    <n v="4.18"/>
    <x v="139"/>
    <x v="222"/>
    <x v="1"/>
    <x v="222"/>
    <x v="2"/>
    <x v="2"/>
    <x v="0"/>
    <x v="8"/>
    <x v="3"/>
    <x v="285"/>
    <n v="0.37"/>
    <n v="-0.59601686972821"/>
    <s v="United States"/>
    <x v="2"/>
    <x v="33"/>
    <x v="195"/>
    <n v="63116"/>
    <x v="127"/>
    <x v="5"/>
    <x v="0"/>
    <d v="2015-03-08T00:00:00"/>
    <n v="-12.719000000000001"/>
    <n v="5"/>
    <x v="378"/>
    <n v="88504"/>
    <x v="0"/>
  </r>
  <r>
    <n v="26321"/>
    <s v="Medium"/>
    <n v="7.0000000000000007E-2"/>
    <n v="1.7"/>
    <x v="45"/>
    <x v="223"/>
    <x v="0"/>
    <x v="223"/>
    <x v="2"/>
    <x v="2"/>
    <x v="2"/>
    <x v="13"/>
    <x v="2"/>
    <x v="286"/>
    <n v="0.51"/>
    <n v="-2.9517795637198621"/>
    <s v="United States"/>
    <x v="2"/>
    <x v="33"/>
    <x v="196"/>
    <n v="63376"/>
    <x v="128"/>
    <x v="2"/>
    <x v="0"/>
    <d v="2015-02-05T00:00:00"/>
    <n v="-51.42"/>
    <n v="10"/>
    <x v="379"/>
    <n v="88502"/>
    <x v="0"/>
  </r>
  <r>
    <n v="19933"/>
    <s v="High"/>
    <n v="0.09"/>
    <n v="6.48"/>
    <x v="198"/>
    <x v="224"/>
    <x v="0"/>
    <x v="224"/>
    <x v="2"/>
    <x v="1"/>
    <x v="0"/>
    <x v="7"/>
    <x v="3"/>
    <x v="287"/>
    <n v="0.37"/>
    <n v="-1.7787592852840792"/>
    <s v="United States"/>
    <x v="0"/>
    <x v="0"/>
    <x v="197"/>
    <n v="98408"/>
    <x v="68"/>
    <x v="5"/>
    <x v="0"/>
    <d v="2015-03-22T00:00:00"/>
    <n v="-88.6"/>
    <n v="8"/>
    <x v="380"/>
    <n v="89915"/>
    <x v="0"/>
  </r>
  <r>
    <n v="19400"/>
    <s v="Low"/>
    <n v="0.02"/>
    <n v="500.98"/>
    <x v="199"/>
    <x v="225"/>
    <x v="1"/>
    <x v="225"/>
    <x v="1"/>
    <x v="2"/>
    <x v="1"/>
    <x v="14"/>
    <x v="5"/>
    <x v="288"/>
    <n v="0.66"/>
    <n v="0.69"/>
    <s v="United States"/>
    <x v="0"/>
    <x v="21"/>
    <x v="198"/>
    <n v="80229"/>
    <x v="78"/>
    <x v="5"/>
    <x v="0"/>
    <d v="2015-03-25T00:00:00"/>
    <n v="2568.4628999999995"/>
    <n v="7"/>
    <x v="381"/>
    <n v="87811"/>
    <x v="0"/>
  </r>
  <r>
    <n v="18736"/>
    <s v="Low"/>
    <n v="0.09"/>
    <n v="5.34"/>
    <x v="139"/>
    <x v="225"/>
    <x v="1"/>
    <x v="225"/>
    <x v="0"/>
    <x v="2"/>
    <x v="0"/>
    <x v="8"/>
    <x v="3"/>
    <x v="289"/>
    <n v="0.38"/>
    <n v="9.974763406940064E-2"/>
    <s v="United States"/>
    <x v="0"/>
    <x v="21"/>
    <x v="198"/>
    <n v="80229"/>
    <x v="129"/>
    <x v="5"/>
    <x v="0"/>
    <d v="2015-03-15T00:00:00"/>
    <n v="9.4860000000000007"/>
    <n v="17"/>
    <x v="382"/>
    <n v="87812"/>
    <x v="0"/>
  </r>
  <r>
    <n v="18737"/>
    <s v="Low"/>
    <n v="7.0000000000000007E-2"/>
    <n v="140.97999999999999"/>
    <x v="200"/>
    <x v="225"/>
    <x v="1"/>
    <x v="225"/>
    <x v="1"/>
    <x v="2"/>
    <x v="1"/>
    <x v="14"/>
    <x v="5"/>
    <x v="290"/>
    <n v="0.65"/>
    <n v="-0.35883441761711621"/>
    <s v="United States"/>
    <x v="0"/>
    <x v="21"/>
    <x v="198"/>
    <n v="80229"/>
    <x v="129"/>
    <x v="5"/>
    <x v="0"/>
    <d v="2015-03-15T00:00:00"/>
    <n v="-263.64999999999998"/>
    <n v="5"/>
    <x v="383"/>
    <n v="87812"/>
    <x v="0"/>
  </r>
  <r>
    <n v="18738"/>
    <s v="Low"/>
    <n v="0.06"/>
    <n v="205.99"/>
    <x v="126"/>
    <x v="225"/>
    <x v="1"/>
    <x v="225"/>
    <x v="2"/>
    <x v="2"/>
    <x v="2"/>
    <x v="5"/>
    <x v="3"/>
    <x v="291"/>
    <n v="0.56000000000000005"/>
    <n v="0.47277878982616967"/>
    <s v="United States"/>
    <x v="0"/>
    <x v="21"/>
    <x v="198"/>
    <n v="80229"/>
    <x v="129"/>
    <x v="5"/>
    <x v="0"/>
    <d v="2015-03-15T00:00:00"/>
    <n v="890.18100000000004"/>
    <n v="11"/>
    <x v="384"/>
    <n v="87812"/>
    <x v="0"/>
  </r>
  <r>
    <n v="18810"/>
    <s v="High"/>
    <n v="0"/>
    <n v="230.98"/>
    <x v="201"/>
    <x v="225"/>
    <x v="1"/>
    <x v="225"/>
    <x v="1"/>
    <x v="2"/>
    <x v="1"/>
    <x v="11"/>
    <x v="5"/>
    <x v="292"/>
    <n v="0.6"/>
    <n v="0.69"/>
    <s v="United States"/>
    <x v="0"/>
    <x v="21"/>
    <x v="198"/>
    <n v="80229"/>
    <x v="130"/>
    <x v="3"/>
    <x v="0"/>
    <d v="2015-05-07T00:00:00"/>
    <n v="6095.8601999999992"/>
    <n v="36"/>
    <x v="385"/>
    <n v="87813"/>
    <x v="0"/>
  </r>
  <r>
    <n v="22613"/>
    <s v="Medium"/>
    <n v="0.06"/>
    <n v="8.1199999999999992"/>
    <x v="202"/>
    <x v="226"/>
    <x v="1"/>
    <x v="226"/>
    <x v="2"/>
    <x v="0"/>
    <x v="2"/>
    <x v="13"/>
    <x v="2"/>
    <x v="293"/>
    <n v="0.77"/>
    <n v="-1.0546218487394956"/>
    <s v="United States"/>
    <x v="2"/>
    <x v="38"/>
    <x v="199"/>
    <n v="46307"/>
    <x v="12"/>
    <x v="5"/>
    <x v="0"/>
    <d v="2015-03-28T00:00:00"/>
    <n v="-82.83"/>
    <n v="10"/>
    <x v="386"/>
    <n v="89847"/>
    <x v="0"/>
  </r>
  <r>
    <n v="22614"/>
    <s v="Medium"/>
    <n v="0.05"/>
    <n v="51.65"/>
    <x v="203"/>
    <x v="226"/>
    <x v="1"/>
    <x v="226"/>
    <x v="2"/>
    <x v="0"/>
    <x v="1"/>
    <x v="2"/>
    <x v="4"/>
    <x v="294"/>
    <n v="0.65"/>
    <n v="4.1381589819864485E-2"/>
    <s v="United States"/>
    <x v="2"/>
    <x v="38"/>
    <x v="199"/>
    <n v="46307"/>
    <x v="12"/>
    <x v="5"/>
    <x v="0"/>
    <d v="2015-03-28T00:00:00"/>
    <n v="25.04"/>
    <n v="12"/>
    <x v="387"/>
    <n v="89847"/>
    <x v="0"/>
  </r>
  <r>
    <n v="19225"/>
    <s v="Low"/>
    <n v="0.1"/>
    <n v="40.479999999999997"/>
    <x v="3"/>
    <x v="226"/>
    <x v="1"/>
    <x v="226"/>
    <x v="2"/>
    <x v="0"/>
    <x v="2"/>
    <x v="13"/>
    <x v="3"/>
    <x v="295"/>
    <n v="0.77"/>
    <n v="-1.6308453237410074"/>
    <s v="United States"/>
    <x v="2"/>
    <x v="38"/>
    <x v="199"/>
    <n v="46307"/>
    <x v="74"/>
    <x v="4"/>
    <x v="0"/>
    <d v="2015-04-09T00:00:00"/>
    <n v="-580.32000000000005"/>
    <n v="9"/>
    <x v="388"/>
    <n v="89848"/>
    <x v="0"/>
  </r>
  <r>
    <n v="22616"/>
    <s v="Medium"/>
    <n v="0.1"/>
    <n v="175.99"/>
    <x v="20"/>
    <x v="227"/>
    <x v="1"/>
    <x v="227"/>
    <x v="2"/>
    <x v="0"/>
    <x v="2"/>
    <x v="5"/>
    <x v="3"/>
    <x v="44"/>
    <n v="0.56999999999999995"/>
    <n v="0.69"/>
    <s v="United States"/>
    <x v="2"/>
    <x v="38"/>
    <x v="200"/>
    <n v="46312"/>
    <x v="12"/>
    <x v="5"/>
    <x v="0"/>
    <d v="2015-03-28T00:00:00"/>
    <n v="928.96079999999984"/>
    <n v="10"/>
    <x v="389"/>
    <n v="89847"/>
    <x v="0"/>
  </r>
  <r>
    <n v="25480"/>
    <s v="Critical"/>
    <n v="0.08"/>
    <n v="14.81"/>
    <x v="204"/>
    <x v="227"/>
    <x v="1"/>
    <x v="227"/>
    <x v="2"/>
    <x v="0"/>
    <x v="0"/>
    <x v="15"/>
    <x v="3"/>
    <x v="296"/>
    <n v="0.43"/>
    <n v="-0.45046615100280657"/>
    <s v="United States"/>
    <x v="2"/>
    <x v="38"/>
    <x v="200"/>
    <n v="46312"/>
    <x v="131"/>
    <x v="2"/>
    <x v="0"/>
    <d v="2015-02-09T00:00:00"/>
    <n v="-131.61720000000003"/>
    <n v="20"/>
    <x v="390"/>
    <n v="89849"/>
    <x v="0"/>
  </r>
  <r>
    <n v="4613"/>
    <s v="Medium"/>
    <n v="0.06"/>
    <n v="8.1199999999999992"/>
    <x v="202"/>
    <x v="228"/>
    <x v="1"/>
    <x v="228"/>
    <x v="2"/>
    <x v="0"/>
    <x v="2"/>
    <x v="13"/>
    <x v="2"/>
    <x v="293"/>
    <n v="0.77"/>
    <n v="-0.25721206098810673"/>
    <s v="United States"/>
    <x v="0"/>
    <x v="0"/>
    <x v="33"/>
    <n v="98105"/>
    <x v="12"/>
    <x v="5"/>
    <x v="0"/>
    <d v="2015-03-28T00:00:00"/>
    <n v="-82.83"/>
    <n v="41"/>
    <x v="391"/>
    <n v="32869"/>
    <x v="0"/>
  </r>
  <r>
    <n v="4614"/>
    <s v="Medium"/>
    <n v="0.05"/>
    <n v="51.65"/>
    <x v="203"/>
    <x v="228"/>
    <x v="1"/>
    <x v="228"/>
    <x v="2"/>
    <x v="0"/>
    <x v="1"/>
    <x v="2"/>
    <x v="4"/>
    <x v="294"/>
    <n v="0.65"/>
    <n v="1.0134205371452622E-2"/>
    <s v="United States"/>
    <x v="0"/>
    <x v="0"/>
    <x v="33"/>
    <n v="98105"/>
    <x v="12"/>
    <x v="5"/>
    <x v="0"/>
    <d v="2015-03-28T00:00:00"/>
    <n v="25.04"/>
    <n v="49"/>
    <x v="392"/>
    <n v="32869"/>
    <x v="0"/>
  </r>
  <r>
    <n v="4616"/>
    <s v="Medium"/>
    <n v="0.1"/>
    <n v="175.99"/>
    <x v="20"/>
    <x v="228"/>
    <x v="1"/>
    <x v="228"/>
    <x v="2"/>
    <x v="0"/>
    <x v="2"/>
    <x v="5"/>
    <x v="3"/>
    <x v="44"/>
    <n v="0.56999999999999995"/>
    <n v="0.17730856692301541"/>
    <s v="United States"/>
    <x v="0"/>
    <x v="0"/>
    <x v="33"/>
    <n v="98105"/>
    <x v="12"/>
    <x v="5"/>
    <x v="0"/>
    <d v="2015-03-28T00:00:00"/>
    <n v="930.98700000000008"/>
    <n v="39"/>
    <x v="393"/>
    <n v="32869"/>
    <x v="0"/>
  </r>
  <r>
    <n v="1225"/>
    <s v="Low"/>
    <n v="0.1"/>
    <n v="40.479999999999997"/>
    <x v="3"/>
    <x v="228"/>
    <x v="1"/>
    <x v="228"/>
    <x v="2"/>
    <x v="0"/>
    <x v="2"/>
    <x v="13"/>
    <x v="3"/>
    <x v="295"/>
    <n v="0.77"/>
    <n v="-0.40771419538412906"/>
    <s v="United States"/>
    <x v="0"/>
    <x v="0"/>
    <x v="33"/>
    <n v="98105"/>
    <x v="74"/>
    <x v="4"/>
    <x v="0"/>
    <d v="2015-04-09T00:00:00"/>
    <n v="-580.32000000000005"/>
    <n v="36"/>
    <x v="394"/>
    <n v="8994"/>
    <x v="0"/>
  </r>
  <r>
    <n v="7480"/>
    <s v="Critical"/>
    <n v="0.08"/>
    <n v="14.81"/>
    <x v="204"/>
    <x v="228"/>
    <x v="1"/>
    <x v="228"/>
    <x v="2"/>
    <x v="0"/>
    <x v="0"/>
    <x v="15"/>
    <x v="3"/>
    <x v="296"/>
    <n v="0.43"/>
    <n v="-0.21930995043842932"/>
    <s v="United States"/>
    <x v="0"/>
    <x v="0"/>
    <x v="33"/>
    <n v="98105"/>
    <x v="131"/>
    <x v="2"/>
    <x v="0"/>
    <d v="2015-02-09T00:00:00"/>
    <n v="-253.11"/>
    <n v="79"/>
    <x v="395"/>
    <n v="53410"/>
    <x v="0"/>
  </r>
  <r>
    <n v="6289"/>
    <s v="Medium"/>
    <n v="0.03"/>
    <n v="5.28"/>
    <x v="205"/>
    <x v="229"/>
    <x v="1"/>
    <x v="229"/>
    <x v="2"/>
    <x v="3"/>
    <x v="0"/>
    <x v="7"/>
    <x v="3"/>
    <x v="297"/>
    <n v="0.4"/>
    <n v="-0.51292307692307693"/>
    <s v="United States"/>
    <x v="0"/>
    <x v="1"/>
    <x v="154"/>
    <n v="90041"/>
    <x v="45"/>
    <x v="4"/>
    <x v="0"/>
    <d v="2015-04-24T00:00:00"/>
    <n v="-16.670000000000002"/>
    <n v="5"/>
    <x v="396"/>
    <n v="44517"/>
    <x v="0"/>
  </r>
  <r>
    <n v="7733"/>
    <s v="Critical"/>
    <n v="0.02"/>
    <n v="6.47"/>
    <x v="206"/>
    <x v="229"/>
    <x v="1"/>
    <x v="229"/>
    <x v="2"/>
    <x v="3"/>
    <x v="0"/>
    <x v="0"/>
    <x v="0"/>
    <x v="298"/>
    <n v="0.4"/>
    <n v="0.20726991492652749"/>
    <s v="United States"/>
    <x v="0"/>
    <x v="1"/>
    <x v="154"/>
    <n v="90041"/>
    <x v="132"/>
    <x v="1"/>
    <x v="0"/>
    <d v="2015-06-07T00:00:00"/>
    <n v="40.200000000000003"/>
    <n v="30"/>
    <x v="397"/>
    <n v="55392"/>
    <x v="0"/>
  </r>
  <r>
    <n v="7734"/>
    <s v="Critical"/>
    <n v="7.0000000000000007E-2"/>
    <n v="2.84"/>
    <x v="0"/>
    <x v="229"/>
    <x v="1"/>
    <x v="229"/>
    <x v="2"/>
    <x v="3"/>
    <x v="0"/>
    <x v="0"/>
    <x v="0"/>
    <x v="0"/>
    <n v="0.54"/>
    <n v="2.0214105793450881E-2"/>
    <s v="United States"/>
    <x v="0"/>
    <x v="1"/>
    <x v="154"/>
    <n v="90041"/>
    <x v="132"/>
    <x v="1"/>
    <x v="0"/>
    <d v="2015-06-08T00:00:00"/>
    <n v="3.21"/>
    <n v="59"/>
    <x v="398"/>
    <n v="55392"/>
    <x v="0"/>
  </r>
  <r>
    <n v="5140"/>
    <s v="High"/>
    <n v="0.01"/>
    <n v="7.89"/>
    <x v="207"/>
    <x v="229"/>
    <x v="1"/>
    <x v="229"/>
    <x v="2"/>
    <x v="3"/>
    <x v="0"/>
    <x v="3"/>
    <x v="0"/>
    <x v="299"/>
    <n v="0.4"/>
    <n v="0.14110697877926057"/>
    <s v="United States"/>
    <x v="0"/>
    <x v="1"/>
    <x v="154"/>
    <n v="90041"/>
    <x v="133"/>
    <x v="1"/>
    <x v="0"/>
    <d v="2015-07-01T00:00:00"/>
    <n v="38.700000000000003"/>
    <n v="32"/>
    <x v="399"/>
    <n v="36647"/>
    <x v="0"/>
  </r>
  <r>
    <n v="5141"/>
    <s v="High"/>
    <n v="0.09"/>
    <n v="3.68"/>
    <x v="208"/>
    <x v="229"/>
    <x v="1"/>
    <x v="229"/>
    <x v="2"/>
    <x v="3"/>
    <x v="0"/>
    <x v="12"/>
    <x v="0"/>
    <x v="300"/>
    <n v="0.83"/>
    <n v="-0.26346801346801346"/>
    <s v="United States"/>
    <x v="0"/>
    <x v="1"/>
    <x v="154"/>
    <n v="90041"/>
    <x v="133"/>
    <x v="1"/>
    <x v="0"/>
    <d v="2015-07-01T00:00:00"/>
    <n v="-21.91"/>
    <n v="24"/>
    <x v="400"/>
    <n v="36647"/>
    <x v="0"/>
  </r>
  <r>
    <n v="5142"/>
    <s v="High"/>
    <n v="0.1"/>
    <n v="9.7100000000000009"/>
    <x v="131"/>
    <x v="229"/>
    <x v="1"/>
    <x v="229"/>
    <x v="2"/>
    <x v="3"/>
    <x v="0"/>
    <x v="10"/>
    <x v="3"/>
    <x v="173"/>
    <n v="0.6"/>
    <n v="-0.45725957316840377"/>
    <s v="United States"/>
    <x v="0"/>
    <x v="1"/>
    <x v="154"/>
    <n v="90041"/>
    <x v="133"/>
    <x v="1"/>
    <x v="0"/>
    <d v="2015-07-03T00:00:00"/>
    <n v="-119.77"/>
    <n v="27"/>
    <x v="401"/>
    <n v="36647"/>
    <x v="0"/>
  </r>
  <r>
    <n v="4556"/>
    <s v="Medium"/>
    <n v="7.0000000000000007E-2"/>
    <n v="5.0199999999999996"/>
    <x v="209"/>
    <x v="229"/>
    <x v="1"/>
    <x v="229"/>
    <x v="2"/>
    <x v="3"/>
    <x v="2"/>
    <x v="13"/>
    <x v="2"/>
    <x v="301"/>
    <n v="0.79"/>
    <n v="-0.8030461684911947"/>
    <s v="United States"/>
    <x v="0"/>
    <x v="1"/>
    <x v="154"/>
    <n v="90041"/>
    <x v="134"/>
    <x v="0"/>
    <x v="0"/>
    <d v="2015-01-31T00:00:00"/>
    <n v="-168.72"/>
    <n v="42"/>
    <x v="402"/>
    <n v="32420"/>
    <x v="0"/>
  </r>
  <r>
    <n v="4557"/>
    <s v="Medium"/>
    <n v="7.0000000000000007E-2"/>
    <n v="280.98"/>
    <x v="168"/>
    <x v="229"/>
    <x v="1"/>
    <x v="229"/>
    <x v="1"/>
    <x v="3"/>
    <x v="1"/>
    <x v="1"/>
    <x v="1"/>
    <x v="234"/>
    <n v="0.78"/>
    <n v="-6.7635198857823306E-2"/>
    <s v="United States"/>
    <x v="0"/>
    <x v="1"/>
    <x v="154"/>
    <n v="90041"/>
    <x v="134"/>
    <x v="0"/>
    <x v="0"/>
    <d v="2015-01-31T00:00:00"/>
    <n v="-439.62"/>
    <n v="23"/>
    <x v="403"/>
    <n v="32420"/>
    <x v="0"/>
  </r>
  <r>
    <n v="448"/>
    <s v="Medium"/>
    <n v="0.1"/>
    <n v="4.26"/>
    <x v="43"/>
    <x v="229"/>
    <x v="1"/>
    <x v="229"/>
    <x v="2"/>
    <x v="3"/>
    <x v="0"/>
    <x v="0"/>
    <x v="0"/>
    <x v="54"/>
    <n v="0.44"/>
    <n v="4.3861645238366137E-2"/>
    <s v="United States"/>
    <x v="0"/>
    <x v="1"/>
    <x v="154"/>
    <n v="90041"/>
    <x v="135"/>
    <x v="3"/>
    <x v="0"/>
    <d v="2015-05-21T00:00:00"/>
    <n v="15.42"/>
    <n v="88"/>
    <x v="404"/>
    <n v="3042"/>
    <x v="0"/>
  </r>
  <r>
    <n v="18448"/>
    <s v="Medium"/>
    <n v="0.1"/>
    <n v="4.26"/>
    <x v="43"/>
    <x v="230"/>
    <x v="0"/>
    <x v="230"/>
    <x v="2"/>
    <x v="3"/>
    <x v="0"/>
    <x v="0"/>
    <x v="0"/>
    <x v="54"/>
    <n v="0.44"/>
    <n v="0.38598247809762204"/>
    <s v="United States"/>
    <x v="0"/>
    <x v="1"/>
    <x v="179"/>
    <n v="93454"/>
    <x v="135"/>
    <x v="3"/>
    <x v="0"/>
    <d v="2015-05-21T00:00:00"/>
    <n v="33.923999999999999"/>
    <n v="22"/>
    <x v="405"/>
    <n v="87980"/>
    <x v="0"/>
  </r>
  <r>
    <n v="24289"/>
    <s v="Medium"/>
    <n v="0.03"/>
    <n v="5.28"/>
    <x v="205"/>
    <x v="231"/>
    <x v="1"/>
    <x v="231"/>
    <x v="2"/>
    <x v="3"/>
    <x v="0"/>
    <x v="7"/>
    <x v="3"/>
    <x v="297"/>
    <n v="0.4"/>
    <n v="-2.5646153846153847"/>
    <s v="United States"/>
    <x v="0"/>
    <x v="1"/>
    <x v="201"/>
    <n v="95404"/>
    <x v="45"/>
    <x v="4"/>
    <x v="0"/>
    <d v="2015-04-24T00:00:00"/>
    <n v="-16.670000000000002"/>
    <n v="1"/>
    <x v="406"/>
    <n v="87977"/>
    <x v="0"/>
  </r>
  <r>
    <n v="23140"/>
    <s v="High"/>
    <n v="0.01"/>
    <n v="7.89"/>
    <x v="207"/>
    <x v="231"/>
    <x v="1"/>
    <x v="231"/>
    <x v="2"/>
    <x v="3"/>
    <x v="0"/>
    <x v="3"/>
    <x v="0"/>
    <x v="299"/>
    <n v="0.4"/>
    <n v="0.67736289381563597"/>
    <s v="United States"/>
    <x v="0"/>
    <x v="1"/>
    <x v="201"/>
    <n v="95404"/>
    <x v="133"/>
    <x v="1"/>
    <x v="0"/>
    <d v="2015-07-01T00:00:00"/>
    <n v="46.440000000000005"/>
    <n v="8"/>
    <x v="407"/>
    <n v="87979"/>
    <x v="0"/>
  </r>
  <r>
    <n v="23141"/>
    <s v="High"/>
    <n v="0.09"/>
    <n v="3.68"/>
    <x v="208"/>
    <x v="231"/>
    <x v="1"/>
    <x v="231"/>
    <x v="2"/>
    <x v="3"/>
    <x v="0"/>
    <x v="12"/>
    <x v="0"/>
    <x v="300"/>
    <n v="0.83"/>
    <n v="-0.84309764309764312"/>
    <s v="United States"/>
    <x v="0"/>
    <x v="1"/>
    <x v="201"/>
    <n v="95404"/>
    <x v="133"/>
    <x v="1"/>
    <x v="0"/>
    <d v="2015-07-01T00:00:00"/>
    <n v="-17.527999999999999"/>
    <n v="6"/>
    <x v="408"/>
    <n v="87979"/>
    <x v="0"/>
  </r>
  <r>
    <n v="23142"/>
    <s v="High"/>
    <n v="0.1"/>
    <n v="9.7100000000000009"/>
    <x v="131"/>
    <x v="231"/>
    <x v="1"/>
    <x v="231"/>
    <x v="2"/>
    <x v="3"/>
    <x v="0"/>
    <x v="10"/>
    <x v="3"/>
    <x v="173"/>
    <n v="0.6"/>
    <n v="-1.4109262258872037"/>
    <s v="United States"/>
    <x v="0"/>
    <x v="1"/>
    <x v="201"/>
    <n v="95404"/>
    <x v="133"/>
    <x v="1"/>
    <x v="0"/>
    <d v="2015-07-03T00:00:00"/>
    <n v="-95.816000000000003"/>
    <n v="7"/>
    <x v="409"/>
    <n v="87979"/>
    <x v="0"/>
  </r>
  <r>
    <n v="25734"/>
    <s v="Critical"/>
    <n v="7.0000000000000007E-2"/>
    <n v="2.84"/>
    <x v="0"/>
    <x v="232"/>
    <x v="0"/>
    <x v="232"/>
    <x v="2"/>
    <x v="3"/>
    <x v="0"/>
    <x v="0"/>
    <x v="0"/>
    <x v="0"/>
    <n v="0.54"/>
    <n v="9.5417389150359175E-2"/>
    <s v="United States"/>
    <x v="1"/>
    <x v="15"/>
    <x v="202"/>
    <n v="2152"/>
    <x v="132"/>
    <x v="1"/>
    <x v="0"/>
    <d v="2015-06-08T00:00:00"/>
    <n v="3.8519999999999999"/>
    <n v="15"/>
    <x v="410"/>
    <n v="87978"/>
    <x v="0"/>
  </r>
  <r>
    <n v="20789"/>
    <s v="Not Specified"/>
    <n v="0"/>
    <n v="8.5"/>
    <x v="45"/>
    <x v="233"/>
    <x v="1"/>
    <x v="233"/>
    <x v="2"/>
    <x v="0"/>
    <x v="2"/>
    <x v="13"/>
    <x v="2"/>
    <x v="302"/>
    <n v="0.49"/>
    <n v="0.58679427402862994"/>
    <s v="United States"/>
    <x v="0"/>
    <x v="34"/>
    <x v="203"/>
    <n v="89041"/>
    <x v="136"/>
    <x v="2"/>
    <x v="0"/>
    <d v="2015-03-02T00:00:00"/>
    <n v="71.735600000000005"/>
    <n v="14"/>
    <x v="411"/>
    <n v="89344"/>
    <x v="0"/>
  </r>
  <r>
    <n v="20790"/>
    <s v="Not Specified"/>
    <n v="0.03"/>
    <n v="95.43"/>
    <x v="3"/>
    <x v="233"/>
    <x v="1"/>
    <x v="233"/>
    <x v="2"/>
    <x v="0"/>
    <x v="0"/>
    <x v="10"/>
    <x v="3"/>
    <x v="303"/>
    <n v="0.79"/>
    <n v="-0.38488427386093454"/>
    <s v="United States"/>
    <x v="0"/>
    <x v="34"/>
    <x v="203"/>
    <n v="89041"/>
    <x v="136"/>
    <x v="2"/>
    <x v="0"/>
    <d v="2015-03-02T00:00:00"/>
    <n v="-79.320800000000006"/>
    <n v="2"/>
    <x v="412"/>
    <n v="89344"/>
    <x v="0"/>
  </r>
  <r>
    <n v="20633"/>
    <s v="Not Specified"/>
    <n v="0.04"/>
    <n v="10.64"/>
    <x v="210"/>
    <x v="234"/>
    <x v="1"/>
    <x v="234"/>
    <x v="2"/>
    <x v="0"/>
    <x v="1"/>
    <x v="2"/>
    <x v="3"/>
    <x v="304"/>
    <n v="0.56999999999999995"/>
    <n v="0.36017937219730933"/>
    <s v="United States"/>
    <x v="2"/>
    <x v="38"/>
    <x v="204"/>
    <n v="46041"/>
    <x v="137"/>
    <x v="1"/>
    <x v="0"/>
    <d v="2015-06-25T00:00:00"/>
    <n v="24.095999999999997"/>
    <n v="6"/>
    <x v="413"/>
    <n v="91053"/>
    <x v="0"/>
  </r>
  <r>
    <n v="20634"/>
    <s v="Not Specified"/>
    <n v="0.03"/>
    <n v="2.78"/>
    <x v="211"/>
    <x v="234"/>
    <x v="1"/>
    <x v="234"/>
    <x v="0"/>
    <x v="0"/>
    <x v="0"/>
    <x v="0"/>
    <x v="0"/>
    <x v="305"/>
    <n v="0.45"/>
    <n v="0.16165082309297471"/>
    <s v="United States"/>
    <x v="2"/>
    <x v="38"/>
    <x v="204"/>
    <n v="46041"/>
    <x v="137"/>
    <x v="1"/>
    <x v="0"/>
    <d v="2015-06-26T00:00:00"/>
    <n v="6.9719999999999995"/>
    <n v="15"/>
    <x v="414"/>
    <n v="91053"/>
    <x v="0"/>
  </r>
  <r>
    <n v="24574"/>
    <s v="Medium"/>
    <n v="0.01"/>
    <n v="7.28"/>
    <x v="212"/>
    <x v="234"/>
    <x v="1"/>
    <x v="234"/>
    <x v="2"/>
    <x v="0"/>
    <x v="0"/>
    <x v="7"/>
    <x v="3"/>
    <x v="306"/>
    <n v="0.37"/>
    <n v="-2.1628902765388043"/>
    <s v="United States"/>
    <x v="2"/>
    <x v="38"/>
    <x v="204"/>
    <n v="46041"/>
    <x v="86"/>
    <x v="4"/>
    <x v="0"/>
    <d v="2015-04-13T00:00:00"/>
    <n v="-24.245999999999999"/>
    <n v="1"/>
    <x v="415"/>
    <n v="91054"/>
    <x v="0"/>
  </r>
  <r>
    <n v="19601"/>
    <s v="Medium"/>
    <n v="0.09"/>
    <n v="125.99"/>
    <x v="20"/>
    <x v="235"/>
    <x v="0"/>
    <x v="235"/>
    <x v="2"/>
    <x v="3"/>
    <x v="2"/>
    <x v="5"/>
    <x v="3"/>
    <x v="307"/>
    <n v="0.55000000000000004"/>
    <n v="-6.0308228730822879"/>
    <s v="United States"/>
    <x v="1"/>
    <x v="18"/>
    <x v="205"/>
    <n v="6614"/>
    <x v="24"/>
    <x v="5"/>
    <x v="0"/>
    <d v="2015-03-16T00:00:00"/>
    <n v="-605.37400000000002"/>
    <n v="1"/>
    <x v="416"/>
    <n v="90359"/>
    <x v="0"/>
  </r>
  <r>
    <n v="19600"/>
    <s v="Medium"/>
    <n v="0.1"/>
    <n v="17.98"/>
    <x v="41"/>
    <x v="236"/>
    <x v="0"/>
    <x v="236"/>
    <x v="2"/>
    <x v="3"/>
    <x v="2"/>
    <x v="13"/>
    <x v="3"/>
    <x v="49"/>
    <n v="0.79"/>
    <n v="-1.5010554885404102"/>
    <s v="United States"/>
    <x v="1"/>
    <x v="14"/>
    <x v="104"/>
    <n v="4240"/>
    <x v="24"/>
    <x v="5"/>
    <x v="0"/>
    <d v="2015-03-16T00:00:00"/>
    <n v="-99.55"/>
    <n v="4"/>
    <x v="288"/>
    <n v="90359"/>
    <x v="0"/>
  </r>
  <r>
    <n v="23436"/>
    <s v="High"/>
    <n v="0.09"/>
    <n v="101.41"/>
    <x v="97"/>
    <x v="237"/>
    <x v="0"/>
    <x v="237"/>
    <x v="2"/>
    <x v="3"/>
    <x v="0"/>
    <x v="10"/>
    <x v="6"/>
    <x v="308"/>
    <n v="0.82"/>
    <n v="-0.67991275714576682"/>
    <s v="United States"/>
    <x v="1"/>
    <x v="15"/>
    <x v="19"/>
    <n v="1803"/>
    <x v="138"/>
    <x v="4"/>
    <x v="0"/>
    <d v="2015-04-27T00:00:00"/>
    <n v="-801.15479999999991"/>
    <n v="12"/>
    <x v="417"/>
    <n v="90362"/>
    <x v="0"/>
  </r>
  <r>
    <n v="21950"/>
    <s v="Not Specified"/>
    <n v="0.06"/>
    <n v="350.98"/>
    <x v="40"/>
    <x v="238"/>
    <x v="0"/>
    <x v="238"/>
    <x v="1"/>
    <x v="3"/>
    <x v="1"/>
    <x v="1"/>
    <x v="1"/>
    <x v="309"/>
    <n v="0.61"/>
    <n v="0.39569909538168546"/>
    <s v="United States"/>
    <x v="1"/>
    <x v="16"/>
    <x v="17"/>
    <n v="3079"/>
    <x v="15"/>
    <x v="1"/>
    <x v="0"/>
    <d v="2015-06-17T00:00:00"/>
    <n v="797.85599999999999"/>
    <n v="6"/>
    <x v="418"/>
    <n v="90361"/>
    <x v="0"/>
  </r>
  <r>
    <n v="23613"/>
    <s v="Low"/>
    <n v="0.02"/>
    <n v="48.04"/>
    <x v="24"/>
    <x v="239"/>
    <x v="0"/>
    <x v="239"/>
    <x v="2"/>
    <x v="3"/>
    <x v="0"/>
    <x v="7"/>
    <x v="3"/>
    <x v="310"/>
    <n v="0.37"/>
    <n v="0.69"/>
    <s v="United States"/>
    <x v="1"/>
    <x v="2"/>
    <x v="206"/>
    <n v="7003"/>
    <x v="31"/>
    <x v="1"/>
    <x v="0"/>
    <d v="2015-06-14T00:00:00"/>
    <n v="422.45249999999999"/>
    <n v="12"/>
    <x v="419"/>
    <n v="90360"/>
    <x v="0"/>
  </r>
  <r>
    <n v="21949"/>
    <s v="Not Specified"/>
    <n v="0.02"/>
    <n v="70.98"/>
    <x v="213"/>
    <x v="240"/>
    <x v="0"/>
    <x v="240"/>
    <x v="1"/>
    <x v="3"/>
    <x v="1"/>
    <x v="14"/>
    <x v="5"/>
    <x v="311"/>
    <n v="0.56000000000000005"/>
    <n v="-0.56823645697159075"/>
    <s v="United States"/>
    <x v="1"/>
    <x v="2"/>
    <x v="207"/>
    <n v="7016"/>
    <x v="15"/>
    <x v="1"/>
    <x v="0"/>
    <d v="2015-06-16T00:00:00"/>
    <n v="-178.21600000000001"/>
    <n v="4"/>
    <x v="420"/>
    <n v="90361"/>
    <x v="0"/>
  </r>
  <r>
    <n v="21951"/>
    <s v="Not Specified"/>
    <n v="0.04"/>
    <n v="27.48"/>
    <x v="41"/>
    <x v="241"/>
    <x v="0"/>
    <x v="241"/>
    <x v="2"/>
    <x v="3"/>
    <x v="2"/>
    <x v="13"/>
    <x v="3"/>
    <x v="312"/>
    <n v="0.75"/>
    <n v="-6.7114837475136579E-2"/>
    <s v="United States"/>
    <x v="1"/>
    <x v="2"/>
    <x v="208"/>
    <n v="7901"/>
    <x v="15"/>
    <x v="1"/>
    <x v="0"/>
    <d v="2015-06-17T00:00:00"/>
    <n v="-26.655999999999999"/>
    <n v="15"/>
    <x v="421"/>
    <n v="90361"/>
    <x v="0"/>
  </r>
  <r>
    <n v="19209"/>
    <s v="Low"/>
    <n v="0.02"/>
    <n v="59.98"/>
    <x v="196"/>
    <x v="242"/>
    <x v="1"/>
    <x v="242"/>
    <x v="2"/>
    <x v="0"/>
    <x v="0"/>
    <x v="15"/>
    <x v="3"/>
    <x v="313"/>
    <n v="0.56999999999999995"/>
    <n v="-0.86045998739760554"/>
    <s v="United States"/>
    <x v="0"/>
    <x v="28"/>
    <x v="209"/>
    <n v="85737"/>
    <x v="9"/>
    <x v="0"/>
    <x v="0"/>
    <d v="2015-02-06T00:00:00"/>
    <n v="-54.622"/>
    <n v="1"/>
    <x v="422"/>
    <n v="87725"/>
    <x v="0"/>
  </r>
  <r>
    <n v="19210"/>
    <s v="Low"/>
    <n v="0.03"/>
    <n v="5.18"/>
    <x v="214"/>
    <x v="242"/>
    <x v="1"/>
    <x v="242"/>
    <x v="2"/>
    <x v="0"/>
    <x v="0"/>
    <x v="8"/>
    <x v="3"/>
    <x v="314"/>
    <n v="0.36"/>
    <n v="-2.6619265323257766"/>
    <s v="United States"/>
    <x v="0"/>
    <x v="28"/>
    <x v="209"/>
    <n v="85737"/>
    <x v="9"/>
    <x v="0"/>
    <x v="0"/>
    <d v="2015-02-01T00:00:00"/>
    <n v="-126.81418000000001"/>
    <n v="9"/>
    <x v="423"/>
    <n v="87725"/>
    <x v="0"/>
  </r>
  <r>
    <n v="19638"/>
    <s v="Medium"/>
    <n v="0.03"/>
    <n v="119.99"/>
    <x v="80"/>
    <x v="242"/>
    <x v="1"/>
    <x v="242"/>
    <x v="1"/>
    <x v="3"/>
    <x v="2"/>
    <x v="6"/>
    <x v="5"/>
    <x v="102"/>
    <n v="0.39"/>
    <n v="0.90587352320811598"/>
    <s v="United States"/>
    <x v="0"/>
    <x v="28"/>
    <x v="209"/>
    <n v="85737"/>
    <x v="60"/>
    <x v="0"/>
    <x v="0"/>
    <d v="2015-01-19T00:00:00"/>
    <n v="1400.1"/>
    <n v="13"/>
    <x v="424"/>
    <n v="87726"/>
    <x v="0"/>
  </r>
  <r>
    <n v="19505"/>
    <s v="Low"/>
    <n v="0.09"/>
    <n v="125.99"/>
    <x v="20"/>
    <x v="242"/>
    <x v="1"/>
    <x v="242"/>
    <x v="2"/>
    <x v="3"/>
    <x v="2"/>
    <x v="5"/>
    <x v="3"/>
    <x v="307"/>
    <n v="0.55000000000000004"/>
    <n v="0.43547978850255831"/>
    <s v="United States"/>
    <x v="0"/>
    <x v="28"/>
    <x v="209"/>
    <n v="85737"/>
    <x v="40"/>
    <x v="3"/>
    <x v="0"/>
    <d v="2015-06-02T00:00:00"/>
    <n v="916.68060000000014"/>
    <n v="20"/>
    <x v="425"/>
    <n v="87727"/>
    <x v="0"/>
  </r>
  <r>
    <n v="19639"/>
    <s v="Medium"/>
    <n v="0.05"/>
    <n v="115.79"/>
    <x v="45"/>
    <x v="243"/>
    <x v="0"/>
    <x v="243"/>
    <x v="2"/>
    <x v="3"/>
    <x v="2"/>
    <x v="13"/>
    <x v="2"/>
    <x v="315"/>
    <n v="0.49"/>
    <n v="0.19144718210138748"/>
    <s v="United States"/>
    <x v="0"/>
    <x v="28"/>
    <x v="210"/>
    <n v="85345"/>
    <x v="60"/>
    <x v="0"/>
    <x v="0"/>
    <d v="2015-01-19T00:00:00"/>
    <n v="67.599999999999923"/>
    <n v="3"/>
    <x v="426"/>
    <n v="87726"/>
    <x v="0"/>
  </r>
  <r>
    <n v="20855"/>
    <s v="Not Specified"/>
    <n v="0.09"/>
    <n v="27.75"/>
    <x v="3"/>
    <x v="244"/>
    <x v="0"/>
    <x v="244"/>
    <x v="2"/>
    <x v="0"/>
    <x v="0"/>
    <x v="10"/>
    <x v="3"/>
    <x v="316"/>
    <n v="0.67"/>
    <n v="-0.872336129232681"/>
    <s v="United States"/>
    <x v="3"/>
    <x v="35"/>
    <x v="211"/>
    <n v="41042"/>
    <x v="38"/>
    <x v="0"/>
    <x v="0"/>
    <d v="2015-01-13T00:00:00"/>
    <n v="-224.64400000000001"/>
    <n v="10"/>
    <x v="427"/>
    <n v="91200"/>
    <x v="0"/>
  </r>
  <r>
    <n v="23629"/>
    <s v="Low"/>
    <n v="0.06"/>
    <n v="130.97999999999999"/>
    <x v="106"/>
    <x v="245"/>
    <x v="0"/>
    <x v="245"/>
    <x v="1"/>
    <x v="0"/>
    <x v="1"/>
    <x v="14"/>
    <x v="5"/>
    <x v="136"/>
    <n v="0.69"/>
    <n v="3.5856573705179286E-2"/>
    <s v="United States"/>
    <x v="3"/>
    <x v="35"/>
    <x v="212"/>
    <n v="40324"/>
    <x v="139"/>
    <x v="2"/>
    <x v="0"/>
    <d v="2015-03-06T00:00:00"/>
    <n v="14.76"/>
    <n v="3"/>
    <x v="428"/>
    <n v="91201"/>
    <x v="0"/>
  </r>
  <r>
    <n v="19679"/>
    <s v="Critical"/>
    <n v="0.06"/>
    <n v="2.61"/>
    <x v="28"/>
    <x v="246"/>
    <x v="1"/>
    <x v="246"/>
    <x v="0"/>
    <x v="0"/>
    <x v="0"/>
    <x v="9"/>
    <x v="3"/>
    <x v="317"/>
    <n v="0.39"/>
    <n v="0.61682774303581578"/>
    <s v="United States"/>
    <x v="0"/>
    <x v="28"/>
    <x v="213"/>
    <n v="86301"/>
    <x v="140"/>
    <x v="5"/>
    <x v="0"/>
    <d v="2015-03-11T00:00:00"/>
    <n v="10.85"/>
    <n v="1"/>
    <x v="429"/>
    <n v="90438"/>
    <x v="0"/>
  </r>
  <r>
    <n v="19680"/>
    <s v="Critical"/>
    <n v="0.01"/>
    <n v="6.35"/>
    <x v="215"/>
    <x v="246"/>
    <x v="1"/>
    <x v="246"/>
    <x v="2"/>
    <x v="0"/>
    <x v="0"/>
    <x v="7"/>
    <x v="0"/>
    <x v="318"/>
    <n v="0.39"/>
    <n v="0.69"/>
    <s v="United States"/>
    <x v="0"/>
    <x v="28"/>
    <x v="213"/>
    <n v="86301"/>
    <x v="140"/>
    <x v="5"/>
    <x v="0"/>
    <d v="2015-03-13T00:00:00"/>
    <n v="97.662599999999983"/>
    <n v="22"/>
    <x v="430"/>
    <n v="90438"/>
    <x v="0"/>
  </r>
  <r>
    <n v="25291"/>
    <s v="High"/>
    <n v="0.06"/>
    <n v="218.75"/>
    <x v="163"/>
    <x v="247"/>
    <x v="1"/>
    <x v="247"/>
    <x v="1"/>
    <x v="0"/>
    <x v="1"/>
    <x v="11"/>
    <x v="5"/>
    <x v="228"/>
    <n v="0.77"/>
    <n v="-0.50055224210293792"/>
    <s v="United States"/>
    <x v="0"/>
    <x v="28"/>
    <x v="214"/>
    <n v="86314"/>
    <x v="141"/>
    <x v="1"/>
    <x v="0"/>
    <d v="2015-06-05T00:00:00"/>
    <n v="-453.2"/>
    <n v="4"/>
    <x v="431"/>
    <n v="90437"/>
    <x v="0"/>
  </r>
  <r>
    <n v="25117"/>
    <s v="Low"/>
    <n v="0.06"/>
    <n v="119.99"/>
    <x v="216"/>
    <x v="247"/>
    <x v="1"/>
    <x v="247"/>
    <x v="1"/>
    <x v="3"/>
    <x v="2"/>
    <x v="6"/>
    <x v="1"/>
    <x v="319"/>
    <n v="0.36"/>
    <n v="-0.85163531534486991"/>
    <s v="United States"/>
    <x v="0"/>
    <x v="28"/>
    <x v="214"/>
    <n v="86314"/>
    <x v="142"/>
    <x v="4"/>
    <x v="0"/>
    <d v="2015-04-19T00:00:00"/>
    <n v="-207.679788"/>
    <n v="2"/>
    <x v="432"/>
    <n v="90439"/>
    <x v="0"/>
  </r>
  <r>
    <n v="25856"/>
    <s v="Not Specified"/>
    <n v="0.03"/>
    <n v="37.94"/>
    <x v="217"/>
    <x v="248"/>
    <x v="0"/>
    <x v="248"/>
    <x v="2"/>
    <x v="1"/>
    <x v="0"/>
    <x v="7"/>
    <x v="0"/>
    <x v="320"/>
    <n v="0.38"/>
    <n v="-0.18825118839129348"/>
    <s v="United States"/>
    <x v="0"/>
    <x v="6"/>
    <x v="215"/>
    <n v="97062"/>
    <x v="143"/>
    <x v="2"/>
    <x v="0"/>
    <d v="2015-02-13T00:00:00"/>
    <n v="-7.5244000000000009"/>
    <n v="1"/>
    <x v="433"/>
    <n v="90258"/>
    <x v="0"/>
  </r>
  <r>
    <n v="21110"/>
    <s v="Low"/>
    <n v="0"/>
    <n v="20.99"/>
    <x v="136"/>
    <x v="249"/>
    <x v="0"/>
    <x v="249"/>
    <x v="2"/>
    <x v="2"/>
    <x v="2"/>
    <x v="5"/>
    <x v="2"/>
    <x v="321"/>
    <n v="0.81"/>
    <n v="-1.0000107573149744"/>
    <s v="United States"/>
    <x v="2"/>
    <x v="12"/>
    <x v="216"/>
    <n v="62301"/>
    <x v="124"/>
    <x v="3"/>
    <x v="0"/>
    <d v="2015-06-05T00:00:00"/>
    <n v="-92.961000000000013"/>
    <n v="5"/>
    <x v="434"/>
    <n v="86639"/>
    <x v="0"/>
  </r>
  <r>
    <n v="20377"/>
    <s v="Not Specified"/>
    <n v="0"/>
    <n v="125.99"/>
    <x v="20"/>
    <x v="250"/>
    <x v="0"/>
    <x v="250"/>
    <x v="2"/>
    <x v="2"/>
    <x v="2"/>
    <x v="5"/>
    <x v="3"/>
    <x v="322"/>
    <n v="0.56999999999999995"/>
    <n v="0.45066492438702099"/>
    <s v="United States"/>
    <x v="0"/>
    <x v="0"/>
    <x v="217"/>
    <n v="98661"/>
    <x v="58"/>
    <x v="4"/>
    <x v="0"/>
    <d v="2015-04-29T00:00:00"/>
    <n v="613.89576"/>
    <n v="12"/>
    <x v="435"/>
    <n v="87525"/>
    <x v="0"/>
  </r>
  <r>
    <n v="18735"/>
    <s v="Critical"/>
    <n v="0.1"/>
    <n v="31.78"/>
    <x v="45"/>
    <x v="251"/>
    <x v="0"/>
    <x v="251"/>
    <x v="2"/>
    <x v="0"/>
    <x v="2"/>
    <x v="13"/>
    <x v="2"/>
    <x v="323"/>
    <n v="0.42"/>
    <n v="0.69"/>
    <s v="United States"/>
    <x v="2"/>
    <x v="12"/>
    <x v="218"/>
    <n v="61201"/>
    <x v="111"/>
    <x v="0"/>
    <x v="0"/>
    <d v="2015-02-01T00:00:00"/>
    <n v="232.28159999999997"/>
    <n v="11"/>
    <x v="436"/>
    <n v="86279"/>
    <x v="0"/>
  </r>
  <r>
    <n v="18659"/>
    <s v="Critical"/>
    <n v="0.08"/>
    <n v="30.73"/>
    <x v="41"/>
    <x v="252"/>
    <x v="0"/>
    <x v="252"/>
    <x v="2"/>
    <x v="2"/>
    <x v="2"/>
    <x v="13"/>
    <x v="3"/>
    <x v="88"/>
    <n v="0.75"/>
    <n v="-0.10497752311741551"/>
    <s v="United States"/>
    <x v="0"/>
    <x v="6"/>
    <x v="215"/>
    <n v="97062"/>
    <x v="91"/>
    <x v="5"/>
    <x v="0"/>
    <d v="2015-03-19T00:00:00"/>
    <n v="-45.07"/>
    <n v="14"/>
    <x v="437"/>
    <n v="88667"/>
    <x v="0"/>
  </r>
  <r>
    <n v="18660"/>
    <s v="Critical"/>
    <n v="0.05"/>
    <n v="14.56"/>
    <x v="169"/>
    <x v="253"/>
    <x v="1"/>
    <x v="253"/>
    <x v="2"/>
    <x v="2"/>
    <x v="0"/>
    <x v="15"/>
    <x v="3"/>
    <x v="324"/>
    <n v="0.57999999999999996"/>
    <n v="-0.1909986565158979"/>
    <s v="United States"/>
    <x v="0"/>
    <x v="6"/>
    <x v="219"/>
    <n v="97068"/>
    <x v="91"/>
    <x v="5"/>
    <x v="0"/>
    <d v="2015-03-21T00:00:00"/>
    <n v="-8.5299999999999994"/>
    <n v="3"/>
    <x v="438"/>
    <n v="88667"/>
    <x v="0"/>
  </r>
  <r>
    <n v="18661"/>
    <s v="Critical"/>
    <n v="0"/>
    <n v="299.99"/>
    <x v="218"/>
    <x v="253"/>
    <x v="1"/>
    <x v="253"/>
    <x v="2"/>
    <x v="2"/>
    <x v="2"/>
    <x v="16"/>
    <x v="6"/>
    <x v="325"/>
    <n v="0.5"/>
    <n v="0.17651779375906662"/>
    <s v="United States"/>
    <x v="0"/>
    <x v="6"/>
    <x v="219"/>
    <n v="97068"/>
    <x v="91"/>
    <x v="5"/>
    <x v="0"/>
    <d v="2015-03-21T00:00:00"/>
    <n v="285.95"/>
    <n v="5"/>
    <x v="439"/>
    <n v="88667"/>
    <x v="0"/>
  </r>
  <r>
    <n v="22875"/>
    <s v="Critical"/>
    <n v="0.08"/>
    <n v="7.77"/>
    <x v="112"/>
    <x v="254"/>
    <x v="1"/>
    <x v="254"/>
    <x v="2"/>
    <x v="2"/>
    <x v="0"/>
    <x v="15"/>
    <x v="3"/>
    <x v="149"/>
    <n v="0.57999999999999996"/>
    <n v="-3.7074769666902907"/>
    <s v="United States"/>
    <x v="1"/>
    <x v="19"/>
    <x v="220"/>
    <n v="18103"/>
    <x v="101"/>
    <x v="0"/>
    <x v="0"/>
    <d v="2015-01-16T00:00:00"/>
    <n v="-209.25"/>
    <n v="7"/>
    <x v="440"/>
    <n v="88666"/>
    <x v="0"/>
  </r>
  <r>
    <n v="22877"/>
    <s v="Critical"/>
    <n v="0.1"/>
    <n v="18.97"/>
    <x v="50"/>
    <x v="254"/>
    <x v="1"/>
    <x v="254"/>
    <x v="0"/>
    <x v="2"/>
    <x v="0"/>
    <x v="7"/>
    <x v="3"/>
    <x v="62"/>
    <n v="0.37"/>
    <n v="-0.16153005464480874"/>
    <s v="United States"/>
    <x v="1"/>
    <x v="19"/>
    <x v="220"/>
    <n v="18103"/>
    <x v="101"/>
    <x v="0"/>
    <x v="0"/>
    <d v="2015-01-16T00:00:00"/>
    <n v="-9.1635999999999989"/>
    <n v="3"/>
    <x v="441"/>
    <n v="88666"/>
    <x v="0"/>
  </r>
  <r>
    <n v="20967"/>
    <s v="Low"/>
    <n v="0.02"/>
    <n v="4.0599999999999996"/>
    <x v="219"/>
    <x v="254"/>
    <x v="1"/>
    <x v="254"/>
    <x v="0"/>
    <x v="2"/>
    <x v="0"/>
    <x v="15"/>
    <x v="3"/>
    <x v="326"/>
    <n v="0.6"/>
    <n v="0.19726750504580062"/>
    <s v="United States"/>
    <x v="1"/>
    <x v="19"/>
    <x v="220"/>
    <n v="18103"/>
    <x v="28"/>
    <x v="3"/>
    <x v="0"/>
    <d v="2015-05-21T00:00:00"/>
    <n v="12.706000000000017"/>
    <n v="12"/>
    <x v="442"/>
    <n v="88668"/>
    <x v="0"/>
  </r>
  <r>
    <n v="20968"/>
    <s v="Low"/>
    <n v="7.0000000000000007E-2"/>
    <n v="9.49"/>
    <x v="220"/>
    <x v="254"/>
    <x v="1"/>
    <x v="254"/>
    <x v="2"/>
    <x v="2"/>
    <x v="2"/>
    <x v="6"/>
    <x v="4"/>
    <x v="327"/>
    <n v="0.39"/>
    <n v="2.2390689845314463E-2"/>
    <s v="United States"/>
    <x v="1"/>
    <x v="19"/>
    <x v="220"/>
    <n v="18103"/>
    <x v="28"/>
    <x v="3"/>
    <x v="0"/>
    <d v="2015-05-21T00:00:00"/>
    <n v="7.7151600000000045"/>
    <n v="37"/>
    <x v="443"/>
    <n v="88668"/>
    <x v="0"/>
  </r>
  <r>
    <n v="20434"/>
    <s v="High"/>
    <n v="0.04"/>
    <n v="34.76"/>
    <x v="62"/>
    <x v="255"/>
    <x v="0"/>
    <x v="255"/>
    <x v="2"/>
    <x v="2"/>
    <x v="0"/>
    <x v="10"/>
    <x v="3"/>
    <x v="328"/>
    <n v="0.6"/>
    <n v="0.69"/>
    <s v="United States"/>
    <x v="0"/>
    <x v="1"/>
    <x v="221"/>
    <n v="90604"/>
    <x v="119"/>
    <x v="4"/>
    <x v="0"/>
    <d v="2015-04-30T00:00:00"/>
    <n v="192.51689999999999"/>
    <n v="8"/>
    <x v="444"/>
    <n v="90962"/>
    <x v="0"/>
  </r>
  <r>
    <n v="24773"/>
    <s v="Low"/>
    <n v="0.02"/>
    <n v="100.98"/>
    <x v="61"/>
    <x v="256"/>
    <x v="0"/>
    <x v="256"/>
    <x v="1"/>
    <x v="2"/>
    <x v="1"/>
    <x v="14"/>
    <x v="5"/>
    <x v="77"/>
    <n v="0.62"/>
    <n v="-0.2193726727263858"/>
    <s v="United States"/>
    <x v="1"/>
    <x v="18"/>
    <x v="222"/>
    <n v="6010"/>
    <x v="61"/>
    <x v="0"/>
    <x v="0"/>
    <d v="2015-01-06T00:00:00"/>
    <n v="-134.91200000000001"/>
    <n v="6"/>
    <x v="445"/>
    <n v="90961"/>
    <x v="0"/>
  </r>
  <r>
    <n v="22969"/>
    <s v="Medium"/>
    <n v="0"/>
    <n v="8.34"/>
    <x v="221"/>
    <x v="257"/>
    <x v="0"/>
    <x v="257"/>
    <x v="2"/>
    <x v="1"/>
    <x v="0"/>
    <x v="7"/>
    <x v="3"/>
    <x v="329"/>
    <n v="0.4"/>
    <n v="-6.6246884428702607E-2"/>
    <s v="United States"/>
    <x v="0"/>
    <x v="1"/>
    <x v="223"/>
    <n v="92691"/>
    <x v="34"/>
    <x v="4"/>
    <x v="0"/>
    <d v="2015-04-07T00:00:00"/>
    <n v="-5.05"/>
    <n v="9"/>
    <x v="446"/>
    <n v="91513"/>
    <x v="0"/>
  </r>
  <r>
    <n v="24629"/>
    <s v="Not Specified"/>
    <n v="0.09"/>
    <n v="6.48"/>
    <x v="222"/>
    <x v="258"/>
    <x v="0"/>
    <x v="258"/>
    <x v="2"/>
    <x v="0"/>
    <x v="0"/>
    <x v="7"/>
    <x v="3"/>
    <x v="330"/>
    <n v="0.36"/>
    <n v="-2.0432345876701361"/>
    <s v="United States"/>
    <x v="2"/>
    <x v="23"/>
    <x v="224"/>
    <n v="73064"/>
    <x v="123"/>
    <x v="1"/>
    <x v="0"/>
    <d v="2015-06-22T00:00:00"/>
    <n v="-204.16"/>
    <n v="16"/>
    <x v="447"/>
    <n v="88753"/>
    <x v="0"/>
  </r>
  <r>
    <n v="18347"/>
    <s v="Not Specified"/>
    <n v="0.06"/>
    <n v="8.6"/>
    <x v="223"/>
    <x v="259"/>
    <x v="1"/>
    <x v="259"/>
    <x v="2"/>
    <x v="0"/>
    <x v="0"/>
    <x v="8"/>
    <x v="3"/>
    <x v="331"/>
    <n v="0.38"/>
    <n v="-0.58079345088161205"/>
    <s v="United States"/>
    <x v="2"/>
    <x v="32"/>
    <x v="194"/>
    <n v="68046"/>
    <x v="140"/>
    <x v="5"/>
    <x v="0"/>
    <d v="2015-03-12T00:00:00"/>
    <n v="-46.115000000000002"/>
    <n v="9"/>
    <x v="448"/>
    <n v="86867"/>
    <x v="0"/>
  </r>
  <r>
    <n v="18184"/>
    <s v="Not Specified"/>
    <n v="0.1"/>
    <n v="14.42"/>
    <x v="143"/>
    <x v="259"/>
    <x v="1"/>
    <x v="259"/>
    <x v="2"/>
    <x v="0"/>
    <x v="0"/>
    <x v="15"/>
    <x v="4"/>
    <x v="194"/>
    <n v="0.52"/>
    <n v="-1.2978695932859909"/>
    <s v="United States"/>
    <x v="2"/>
    <x v="32"/>
    <x v="194"/>
    <n v="68046"/>
    <x v="117"/>
    <x v="1"/>
    <x v="0"/>
    <d v="2015-06-22T00:00:00"/>
    <n v="-20.103999999999999"/>
    <n v="1"/>
    <x v="449"/>
    <n v="86869"/>
    <x v="0"/>
  </r>
  <r>
    <n v="19011"/>
    <s v="Not Specified"/>
    <n v="0.04"/>
    <n v="9.11"/>
    <x v="224"/>
    <x v="260"/>
    <x v="1"/>
    <x v="260"/>
    <x v="2"/>
    <x v="0"/>
    <x v="0"/>
    <x v="0"/>
    <x v="0"/>
    <x v="332"/>
    <n v="0.52"/>
    <n v="-0.18805809575040344"/>
    <s v="United States"/>
    <x v="0"/>
    <x v="17"/>
    <x v="225"/>
    <n v="84067"/>
    <x v="144"/>
    <x v="1"/>
    <x v="0"/>
    <d v="2015-06-04T00:00:00"/>
    <n v="-3.496"/>
    <n v="2"/>
    <x v="450"/>
    <n v="86868"/>
    <x v="0"/>
  </r>
  <r>
    <n v="19012"/>
    <s v="Not Specified"/>
    <n v="7.0000000000000007E-2"/>
    <n v="64.650000000000006"/>
    <x v="97"/>
    <x v="260"/>
    <x v="1"/>
    <x v="260"/>
    <x v="2"/>
    <x v="0"/>
    <x v="0"/>
    <x v="10"/>
    <x v="6"/>
    <x v="333"/>
    <n v="0.8"/>
    <n v="-0.85971609437943597"/>
    <s v="United States"/>
    <x v="0"/>
    <x v="17"/>
    <x v="225"/>
    <n v="84067"/>
    <x v="144"/>
    <x v="1"/>
    <x v="0"/>
    <d v="2015-06-03T00:00:00"/>
    <n v="-717.072"/>
    <n v="13"/>
    <x v="451"/>
    <n v="86868"/>
    <x v="0"/>
  </r>
  <r>
    <n v="24851"/>
    <s v="Low"/>
    <n v="0.09"/>
    <n v="6.48"/>
    <x v="225"/>
    <x v="260"/>
    <x v="1"/>
    <x v="260"/>
    <x v="2"/>
    <x v="0"/>
    <x v="0"/>
    <x v="7"/>
    <x v="3"/>
    <x v="334"/>
    <n v="0.37"/>
    <n v="-1.223073899371069"/>
    <s v="United States"/>
    <x v="0"/>
    <x v="17"/>
    <x v="225"/>
    <n v="84067"/>
    <x v="127"/>
    <x v="5"/>
    <x v="0"/>
    <d v="2015-03-08T00:00:00"/>
    <n v="-62.23"/>
    <n v="8"/>
    <x v="452"/>
    <n v="86870"/>
    <x v="0"/>
  </r>
  <r>
    <n v="20001"/>
    <s v="Not Specified"/>
    <n v="0.01"/>
    <n v="150.97999999999999"/>
    <x v="40"/>
    <x v="261"/>
    <x v="1"/>
    <x v="261"/>
    <x v="1"/>
    <x v="3"/>
    <x v="1"/>
    <x v="1"/>
    <x v="1"/>
    <x v="335"/>
    <n v="0.74"/>
    <n v="0.13707614297936271"/>
    <s v="United States"/>
    <x v="3"/>
    <x v="39"/>
    <x v="226"/>
    <n v="29915"/>
    <x v="61"/>
    <x v="0"/>
    <x v="0"/>
    <d v="2015-01-08T00:00:00"/>
    <n v="131.38200000000001"/>
    <n v="6"/>
    <x v="453"/>
    <n v="89909"/>
    <x v="0"/>
  </r>
  <r>
    <n v="20002"/>
    <s v="Not Specified"/>
    <n v="0.01"/>
    <n v="28.28"/>
    <x v="100"/>
    <x v="261"/>
    <x v="1"/>
    <x v="261"/>
    <x v="0"/>
    <x v="3"/>
    <x v="0"/>
    <x v="10"/>
    <x v="4"/>
    <x v="336"/>
    <n v="0.57999999999999996"/>
    <n v="-0.2420887105520009"/>
    <s v="United States"/>
    <x v="3"/>
    <x v="39"/>
    <x v="226"/>
    <n v="29915"/>
    <x v="61"/>
    <x v="0"/>
    <x v="0"/>
    <d v="2015-01-08T00:00:00"/>
    <n v="-89.292000000000002"/>
    <n v="12"/>
    <x v="454"/>
    <n v="89909"/>
    <x v="0"/>
  </r>
  <r>
    <n v="20003"/>
    <s v="Not Specified"/>
    <n v="0.03"/>
    <n v="35.99"/>
    <x v="226"/>
    <x v="261"/>
    <x v="1"/>
    <x v="261"/>
    <x v="2"/>
    <x v="3"/>
    <x v="2"/>
    <x v="5"/>
    <x v="3"/>
    <x v="337"/>
    <n v="0.55000000000000004"/>
    <n v="-6.8384964355152302"/>
    <s v="United States"/>
    <x v="3"/>
    <x v="39"/>
    <x v="226"/>
    <n v="29915"/>
    <x v="61"/>
    <x v="0"/>
    <x v="0"/>
    <d v="2015-01-07T00:00:00"/>
    <n v="-211.036"/>
    <n v="1"/>
    <x v="455"/>
    <n v="89909"/>
    <x v="0"/>
  </r>
  <r>
    <n v="19265"/>
    <s v="Low"/>
    <n v="0.04"/>
    <n v="50.98"/>
    <x v="150"/>
    <x v="262"/>
    <x v="1"/>
    <x v="262"/>
    <x v="2"/>
    <x v="3"/>
    <x v="2"/>
    <x v="13"/>
    <x v="3"/>
    <x v="338"/>
    <n v="0.73"/>
    <n v="-2.3369995600527934E-2"/>
    <s v="United States"/>
    <x v="0"/>
    <x v="17"/>
    <x v="225"/>
    <n v="84067"/>
    <x v="145"/>
    <x v="5"/>
    <x v="0"/>
    <d v="2015-04-03T00:00:00"/>
    <n v="-13.28"/>
    <n v="11"/>
    <x v="456"/>
    <n v="89910"/>
    <x v="0"/>
  </r>
  <r>
    <n v="19266"/>
    <s v="Low"/>
    <n v="0.02"/>
    <n v="6.48"/>
    <x v="209"/>
    <x v="262"/>
    <x v="1"/>
    <x v="262"/>
    <x v="2"/>
    <x v="3"/>
    <x v="0"/>
    <x v="7"/>
    <x v="3"/>
    <x v="339"/>
    <n v="0.37"/>
    <n v="-0.38433601768514131"/>
    <s v="United States"/>
    <x v="0"/>
    <x v="17"/>
    <x v="225"/>
    <n v="84067"/>
    <x v="145"/>
    <x v="5"/>
    <x v="0"/>
    <d v="2015-03-30T00:00:00"/>
    <n v="-48.68"/>
    <n v="19"/>
    <x v="457"/>
    <n v="89910"/>
    <x v="0"/>
  </r>
  <r>
    <n v="22484"/>
    <s v="Medium"/>
    <n v="0.03"/>
    <n v="35.99"/>
    <x v="104"/>
    <x v="263"/>
    <x v="0"/>
    <x v="263"/>
    <x v="2"/>
    <x v="2"/>
    <x v="2"/>
    <x v="5"/>
    <x v="3"/>
    <x v="252"/>
    <n v="0.85"/>
    <n v="-1.9670432743551483"/>
    <s v="United States"/>
    <x v="3"/>
    <x v="26"/>
    <x v="227"/>
    <n v="32168"/>
    <x v="119"/>
    <x v="4"/>
    <x v="0"/>
    <d v="2015-04-30T00:00:00"/>
    <n v="-184.548"/>
    <n v="3"/>
    <x v="458"/>
    <n v="90048"/>
    <x v="0"/>
  </r>
  <r>
    <n v="5722"/>
    <s v="Critical"/>
    <n v="0.06"/>
    <n v="179.99"/>
    <x v="100"/>
    <x v="264"/>
    <x v="0"/>
    <x v="264"/>
    <x v="0"/>
    <x v="2"/>
    <x v="2"/>
    <x v="5"/>
    <x v="4"/>
    <x v="340"/>
    <n v="0.56999999999999995"/>
    <n v="0.14641197852850923"/>
    <s v="United States"/>
    <x v="3"/>
    <x v="26"/>
    <x v="95"/>
    <n v="33132"/>
    <x v="85"/>
    <x v="0"/>
    <x v="0"/>
    <d v="2015-01-11T00:00:00"/>
    <n v="1220.03784"/>
    <n v="54"/>
    <x v="459"/>
    <n v="40547"/>
    <x v="0"/>
  </r>
  <r>
    <n v="21942"/>
    <s v="Low"/>
    <n v="0.09"/>
    <n v="5.84"/>
    <x v="227"/>
    <x v="265"/>
    <x v="0"/>
    <x v="265"/>
    <x v="2"/>
    <x v="2"/>
    <x v="0"/>
    <x v="0"/>
    <x v="0"/>
    <x v="341"/>
    <n v="0.49"/>
    <n v="-0.48644067796610169"/>
    <s v="United States"/>
    <x v="0"/>
    <x v="0"/>
    <x v="228"/>
    <n v="99362"/>
    <x v="8"/>
    <x v="3"/>
    <x v="0"/>
    <d v="2015-05-25T00:00:00"/>
    <n v="-2.87"/>
    <n v="1"/>
    <x v="460"/>
    <n v="90244"/>
    <x v="0"/>
  </r>
  <r>
    <n v="20661"/>
    <s v="Low"/>
    <n v="0.04"/>
    <n v="6.24"/>
    <x v="228"/>
    <x v="266"/>
    <x v="0"/>
    <x v="266"/>
    <x v="2"/>
    <x v="2"/>
    <x v="1"/>
    <x v="2"/>
    <x v="3"/>
    <x v="342"/>
    <n v="0.6"/>
    <n v="5.4604262744609243E-2"/>
    <s v="United States"/>
    <x v="3"/>
    <x v="20"/>
    <x v="229"/>
    <n v="37167"/>
    <x v="38"/>
    <x v="0"/>
    <x v="0"/>
    <d v="2015-01-17T00:00:00"/>
    <n v="4.3808999999999996"/>
    <n v="13"/>
    <x v="461"/>
    <n v="89257"/>
    <x v="0"/>
  </r>
  <r>
    <n v="20663"/>
    <s v="Low"/>
    <n v="0.09"/>
    <n v="260.98"/>
    <x v="229"/>
    <x v="267"/>
    <x v="0"/>
    <x v="267"/>
    <x v="1"/>
    <x v="2"/>
    <x v="1"/>
    <x v="14"/>
    <x v="5"/>
    <x v="343"/>
    <n v="0.59"/>
    <n v="-4.9265978776468287E-2"/>
    <s v="United States"/>
    <x v="3"/>
    <x v="20"/>
    <x v="230"/>
    <n v="37174"/>
    <x v="38"/>
    <x v="0"/>
    <x v="0"/>
    <d v="2015-01-19T00:00:00"/>
    <n v="-100.744"/>
    <n v="8"/>
    <x v="462"/>
    <n v="89257"/>
    <x v="0"/>
  </r>
  <r>
    <n v="21350"/>
    <s v="Critical"/>
    <n v="0"/>
    <n v="11.97"/>
    <x v="145"/>
    <x v="268"/>
    <x v="0"/>
    <x v="268"/>
    <x v="2"/>
    <x v="1"/>
    <x v="0"/>
    <x v="15"/>
    <x v="3"/>
    <x v="197"/>
    <n v="0.57999999999999996"/>
    <n v="6.3489681050656735E-2"/>
    <s v="United States"/>
    <x v="2"/>
    <x v="7"/>
    <x v="231"/>
    <n v="79605"/>
    <x v="8"/>
    <x v="3"/>
    <x v="0"/>
    <d v="2015-05-24T00:00:00"/>
    <n v="3.3840000000000039"/>
    <n v="4"/>
    <x v="463"/>
    <n v="89258"/>
    <x v="0"/>
  </r>
  <r>
    <n v="24842"/>
    <s v="Medium"/>
    <n v="0.01"/>
    <n v="6.98"/>
    <x v="230"/>
    <x v="269"/>
    <x v="0"/>
    <x v="269"/>
    <x v="2"/>
    <x v="1"/>
    <x v="0"/>
    <x v="7"/>
    <x v="0"/>
    <x v="344"/>
    <n v="0.38"/>
    <n v="1.5777473780209762E-2"/>
    <s v="United States"/>
    <x v="2"/>
    <x v="7"/>
    <x v="232"/>
    <n v="79109"/>
    <x v="40"/>
    <x v="3"/>
    <x v="0"/>
    <d v="2015-05-26T00:00:00"/>
    <n v="0.34600000000000009"/>
    <n v="3"/>
    <x v="464"/>
    <n v="89259"/>
    <x v="0"/>
  </r>
  <r>
    <n v="24236"/>
    <s v="Not Specified"/>
    <n v="0.01"/>
    <n v="5.18"/>
    <x v="36"/>
    <x v="270"/>
    <x v="0"/>
    <x v="270"/>
    <x v="2"/>
    <x v="0"/>
    <x v="0"/>
    <x v="7"/>
    <x v="0"/>
    <x v="43"/>
    <n v="0.36"/>
    <n v="-0.62030920590302174"/>
    <s v="United States"/>
    <x v="3"/>
    <x v="40"/>
    <x v="233"/>
    <n v="71854"/>
    <x v="11"/>
    <x v="2"/>
    <x v="0"/>
    <d v="2015-02-24T00:00:00"/>
    <n v="-17.654"/>
    <n v="5"/>
    <x v="178"/>
    <n v="90271"/>
    <x v="0"/>
  </r>
  <r>
    <n v="20664"/>
    <s v="High"/>
    <n v="0.01"/>
    <n v="14.42"/>
    <x v="143"/>
    <x v="271"/>
    <x v="0"/>
    <x v="271"/>
    <x v="2"/>
    <x v="0"/>
    <x v="0"/>
    <x v="15"/>
    <x v="4"/>
    <x v="194"/>
    <n v="0.52"/>
    <n v="-0.15377599822044269"/>
    <s v="United States"/>
    <x v="0"/>
    <x v="21"/>
    <x v="234"/>
    <n v="80033"/>
    <x v="76"/>
    <x v="0"/>
    <x v="0"/>
    <d v="2015-01-24T00:00:00"/>
    <n v="-13.826000000000001"/>
    <n v="6"/>
    <x v="465"/>
    <n v="90270"/>
    <x v="0"/>
  </r>
  <r>
    <n v="19173"/>
    <s v="High"/>
    <n v="0"/>
    <n v="11.66"/>
    <x v="20"/>
    <x v="272"/>
    <x v="0"/>
    <x v="272"/>
    <x v="0"/>
    <x v="0"/>
    <x v="0"/>
    <x v="0"/>
    <x v="2"/>
    <x v="345"/>
    <n v="0.59"/>
    <n v="-1.4704353476283303"/>
    <s v="United States"/>
    <x v="0"/>
    <x v="1"/>
    <x v="235"/>
    <n v="95020"/>
    <x v="85"/>
    <x v="0"/>
    <x v="0"/>
    <d v="2015-01-11T00:00:00"/>
    <n v="-203.67000000000002"/>
    <n v="11"/>
    <x v="466"/>
    <n v="89770"/>
    <x v="0"/>
  </r>
  <r>
    <n v="19383"/>
    <s v="Not Specified"/>
    <n v="7.0000000000000007E-2"/>
    <n v="6.08"/>
    <x v="231"/>
    <x v="273"/>
    <x v="0"/>
    <x v="273"/>
    <x v="2"/>
    <x v="0"/>
    <x v="0"/>
    <x v="0"/>
    <x v="0"/>
    <x v="346"/>
    <n v="0.51"/>
    <n v="0.46639656816015251"/>
    <s v="United States"/>
    <x v="0"/>
    <x v="1"/>
    <x v="236"/>
    <n v="93117"/>
    <x v="146"/>
    <x v="5"/>
    <x v="0"/>
    <d v="2015-03-08T00:00:00"/>
    <n v="19.57"/>
    <n v="7"/>
    <x v="467"/>
    <n v="88569"/>
    <x v="0"/>
  </r>
  <r>
    <n v="20604"/>
    <s v="Low"/>
    <n v="0.1"/>
    <n v="50.98"/>
    <x v="232"/>
    <x v="274"/>
    <x v="1"/>
    <x v="274"/>
    <x v="2"/>
    <x v="0"/>
    <x v="1"/>
    <x v="2"/>
    <x v="6"/>
    <x v="347"/>
    <n v="0.55000000000000004"/>
    <n v="0.32638126600804979"/>
    <s v="United States"/>
    <x v="0"/>
    <x v="1"/>
    <x v="237"/>
    <n v="91745"/>
    <x v="147"/>
    <x v="2"/>
    <x v="0"/>
    <d v="2015-02-27T00:00:00"/>
    <n v="98.12"/>
    <n v="6"/>
    <x v="468"/>
    <n v="88568"/>
    <x v="0"/>
  </r>
  <r>
    <n v="19384"/>
    <s v="Not Specified"/>
    <n v="0.08"/>
    <n v="19.899999999999999"/>
    <x v="111"/>
    <x v="274"/>
    <x v="1"/>
    <x v="274"/>
    <x v="2"/>
    <x v="0"/>
    <x v="0"/>
    <x v="15"/>
    <x v="4"/>
    <x v="348"/>
    <n v="0.4"/>
    <n v="0.44543791067121347"/>
    <s v="United States"/>
    <x v="0"/>
    <x v="1"/>
    <x v="237"/>
    <n v="91745"/>
    <x v="146"/>
    <x v="5"/>
    <x v="0"/>
    <d v="2015-03-09T00:00:00"/>
    <n v="107.11"/>
    <n v="13"/>
    <x v="469"/>
    <n v="88569"/>
    <x v="0"/>
  </r>
  <r>
    <n v="19385"/>
    <s v="Not Specified"/>
    <n v="0.02"/>
    <n v="3.36"/>
    <x v="135"/>
    <x v="274"/>
    <x v="1"/>
    <x v="274"/>
    <x v="2"/>
    <x v="0"/>
    <x v="0"/>
    <x v="8"/>
    <x v="3"/>
    <x v="198"/>
    <n v="0.4"/>
    <n v="-2.9178455723542118"/>
    <s v="United States"/>
    <x v="0"/>
    <x v="1"/>
    <x v="237"/>
    <n v="91745"/>
    <x v="146"/>
    <x v="5"/>
    <x v="0"/>
    <d v="2015-03-09T00:00:00"/>
    <n v="-216.154"/>
    <n v="21"/>
    <x v="470"/>
    <n v="88569"/>
    <x v="0"/>
  </r>
  <r>
    <n v="21353"/>
    <s v="Critical"/>
    <n v="0.06"/>
    <n v="1.26"/>
    <x v="22"/>
    <x v="274"/>
    <x v="1"/>
    <x v="274"/>
    <x v="2"/>
    <x v="0"/>
    <x v="0"/>
    <x v="3"/>
    <x v="0"/>
    <x v="349"/>
    <n v="0.81"/>
    <n v="-1.2518181818181817"/>
    <s v="United States"/>
    <x v="0"/>
    <x v="1"/>
    <x v="237"/>
    <n v="91745"/>
    <x v="122"/>
    <x v="4"/>
    <x v="0"/>
    <d v="2015-04-30T00:00:00"/>
    <n v="-6.6096000000000004"/>
    <n v="4"/>
    <x v="471"/>
    <n v="88571"/>
    <x v="0"/>
  </r>
  <r>
    <n v="26093"/>
    <s v="High"/>
    <n v="0.05"/>
    <n v="4.24"/>
    <x v="21"/>
    <x v="275"/>
    <x v="0"/>
    <x v="275"/>
    <x v="2"/>
    <x v="2"/>
    <x v="0"/>
    <x v="8"/>
    <x v="3"/>
    <x v="21"/>
    <n v="0.35"/>
    <n v="-1.7552036199095022"/>
    <s v="United States"/>
    <x v="0"/>
    <x v="1"/>
    <x v="238"/>
    <n v="92345"/>
    <x v="44"/>
    <x v="5"/>
    <x v="0"/>
    <d v="2015-03-18T00:00:00"/>
    <n v="-89.216999999999999"/>
    <n v="12"/>
    <x v="472"/>
    <n v="88570"/>
    <x v="0"/>
  </r>
  <r>
    <n v="21351"/>
    <s v="Critical"/>
    <n v="0.06"/>
    <n v="1.76"/>
    <x v="22"/>
    <x v="276"/>
    <x v="0"/>
    <x v="276"/>
    <x v="2"/>
    <x v="0"/>
    <x v="0"/>
    <x v="0"/>
    <x v="0"/>
    <x v="28"/>
    <n v="0.56000000000000005"/>
    <n v="3.1166581762608253E-2"/>
    <s v="United States"/>
    <x v="1"/>
    <x v="18"/>
    <x v="239"/>
    <n v="6405"/>
    <x v="122"/>
    <x v="4"/>
    <x v="0"/>
    <d v="2015-05-02T00:00:00"/>
    <n v="1.2236"/>
    <n v="22"/>
    <x v="473"/>
    <n v="88571"/>
    <x v="0"/>
  </r>
  <r>
    <n v="21352"/>
    <s v="Critical"/>
    <n v="0.02"/>
    <n v="24.98"/>
    <x v="233"/>
    <x v="277"/>
    <x v="0"/>
    <x v="277"/>
    <x v="2"/>
    <x v="0"/>
    <x v="0"/>
    <x v="10"/>
    <x v="3"/>
    <x v="350"/>
    <n v="0.66"/>
    <n v="7.114144861585135E-3"/>
    <s v="United States"/>
    <x v="1"/>
    <x v="18"/>
    <x v="240"/>
    <n v="6810"/>
    <x v="122"/>
    <x v="4"/>
    <x v="0"/>
    <d v="2015-05-01T00:00:00"/>
    <n v="4.3148"/>
    <n v="23"/>
    <x v="474"/>
    <n v="88571"/>
    <x v="0"/>
  </r>
  <r>
    <n v="21354"/>
    <s v="Critical"/>
    <n v="0.05"/>
    <n v="35.99"/>
    <x v="165"/>
    <x v="278"/>
    <x v="0"/>
    <x v="278"/>
    <x v="0"/>
    <x v="0"/>
    <x v="2"/>
    <x v="5"/>
    <x v="0"/>
    <x v="351"/>
    <n v="0.38"/>
    <n v="-1.9391733703190013"/>
    <s v="United States"/>
    <x v="1"/>
    <x v="14"/>
    <x v="104"/>
    <n v="4240"/>
    <x v="122"/>
    <x v="4"/>
    <x v="0"/>
    <d v="2015-05-02T00:00:00"/>
    <n v="-125.83296"/>
    <n v="2"/>
    <x v="475"/>
    <n v="88571"/>
    <x v="0"/>
  </r>
  <r>
    <n v="21214"/>
    <s v="Critical"/>
    <n v="0.03"/>
    <n v="14.2"/>
    <x v="98"/>
    <x v="279"/>
    <x v="1"/>
    <x v="279"/>
    <x v="2"/>
    <x v="0"/>
    <x v="1"/>
    <x v="2"/>
    <x v="0"/>
    <x v="257"/>
    <n v="0.46"/>
    <n v="0.45737275449101794"/>
    <s v="United States"/>
    <x v="2"/>
    <x v="38"/>
    <x v="200"/>
    <n v="46312"/>
    <x v="87"/>
    <x v="3"/>
    <x v="0"/>
    <d v="2015-05-28T00:00:00"/>
    <n v="122.21"/>
    <n v="18"/>
    <x v="476"/>
    <n v="90674"/>
    <x v="0"/>
  </r>
  <r>
    <n v="19947"/>
    <s v="Low"/>
    <n v="0.04"/>
    <n v="6.48"/>
    <x v="210"/>
    <x v="279"/>
    <x v="1"/>
    <x v="279"/>
    <x v="0"/>
    <x v="0"/>
    <x v="0"/>
    <x v="7"/>
    <x v="3"/>
    <x v="352"/>
    <n v="0.37"/>
    <n v="-0.1282774513192764"/>
    <s v="United States"/>
    <x v="2"/>
    <x v="38"/>
    <x v="200"/>
    <n v="46312"/>
    <x v="115"/>
    <x v="2"/>
    <x v="0"/>
    <d v="2015-03-02T00:00:00"/>
    <n v="-11.1332"/>
    <n v="12"/>
    <x v="477"/>
    <n v="90675"/>
    <x v="0"/>
  </r>
  <r>
    <n v="24774"/>
    <s v="Not Specified"/>
    <n v="0.04"/>
    <n v="29.18"/>
    <x v="234"/>
    <x v="280"/>
    <x v="1"/>
    <x v="280"/>
    <x v="0"/>
    <x v="0"/>
    <x v="1"/>
    <x v="2"/>
    <x v="3"/>
    <x v="353"/>
    <n v="0.42"/>
    <n v="0.69"/>
    <s v="United States"/>
    <x v="2"/>
    <x v="3"/>
    <x v="241"/>
    <n v="55126"/>
    <x v="147"/>
    <x v="2"/>
    <x v="0"/>
    <d v="2015-02-27T00:00:00"/>
    <n v="201.7353"/>
    <n v="10"/>
    <x v="478"/>
    <n v="91194"/>
    <x v="0"/>
  </r>
  <r>
    <n v="24775"/>
    <s v="Not Specified"/>
    <n v="0"/>
    <n v="80.98"/>
    <x v="97"/>
    <x v="280"/>
    <x v="1"/>
    <x v="280"/>
    <x v="2"/>
    <x v="0"/>
    <x v="0"/>
    <x v="10"/>
    <x v="6"/>
    <x v="354"/>
    <n v="0.83"/>
    <n v="-1.0029145125148289"/>
    <s v="United States"/>
    <x v="2"/>
    <x v="3"/>
    <x v="241"/>
    <n v="55126"/>
    <x v="147"/>
    <x v="2"/>
    <x v="0"/>
    <d v="2015-02-27T00:00:00"/>
    <n v="-684.78"/>
    <n v="8"/>
    <x v="479"/>
    <n v="91194"/>
    <x v="0"/>
  </r>
  <r>
    <n v="24763"/>
    <s v="Critical"/>
    <n v="0.06"/>
    <n v="6.48"/>
    <x v="235"/>
    <x v="280"/>
    <x v="1"/>
    <x v="280"/>
    <x v="2"/>
    <x v="0"/>
    <x v="0"/>
    <x v="7"/>
    <x v="3"/>
    <x v="355"/>
    <n v="0.37"/>
    <n v="-1.8881291245925103"/>
    <s v="United States"/>
    <x v="2"/>
    <x v="3"/>
    <x v="241"/>
    <n v="55126"/>
    <x v="127"/>
    <x v="5"/>
    <x v="0"/>
    <d v="2015-03-07T00:00:00"/>
    <n v="-237.47"/>
    <n v="20"/>
    <x v="480"/>
    <n v="91195"/>
    <x v="0"/>
  </r>
  <r>
    <n v="24764"/>
    <s v="Critical"/>
    <n v="0.09"/>
    <n v="349.45"/>
    <x v="236"/>
    <x v="280"/>
    <x v="1"/>
    <x v="280"/>
    <x v="1"/>
    <x v="0"/>
    <x v="1"/>
    <x v="11"/>
    <x v="1"/>
    <x v="356"/>
    <m/>
    <n v="-0.75173922806444526"/>
    <s v="United States"/>
    <x v="2"/>
    <x v="3"/>
    <x v="241"/>
    <n v="55126"/>
    <x v="127"/>
    <x v="5"/>
    <x v="0"/>
    <d v="2015-03-07T00:00:00"/>
    <n v="-2946.0509999999999"/>
    <n v="12"/>
    <x v="481"/>
    <n v="91195"/>
    <x v="0"/>
  </r>
  <r>
    <n v="25507"/>
    <s v="Not Specified"/>
    <n v="0.03"/>
    <n v="14.2"/>
    <x v="98"/>
    <x v="281"/>
    <x v="1"/>
    <x v="281"/>
    <x v="2"/>
    <x v="1"/>
    <x v="1"/>
    <x v="2"/>
    <x v="0"/>
    <x v="257"/>
    <n v="0.46"/>
    <n v="0.69"/>
    <s v="United States"/>
    <x v="0"/>
    <x v="34"/>
    <x v="242"/>
    <n v="89502"/>
    <x v="24"/>
    <x v="5"/>
    <x v="0"/>
    <d v="2015-03-17T00:00:00"/>
    <n v="21.555599999999998"/>
    <n v="2"/>
    <x v="482"/>
    <n v="90577"/>
    <x v="0"/>
  </r>
  <r>
    <n v="22547"/>
    <s v="Not Specified"/>
    <n v="0.01"/>
    <n v="5.94"/>
    <x v="88"/>
    <x v="281"/>
    <x v="1"/>
    <x v="281"/>
    <x v="2"/>
    <x v="1"/>
    <x v="0"/>
    <x v="8"/>
    <x v="3"/>
    <x v="113"/>
    <n v="0.38"/>
    <n v="-3.2006820917480274"/>
    <s v="United States"/>
    <x v="0"/>
    <x v="34"/>
    <x v="242"/>
    <n v="89502"/>
    <x v="135"/>
    <x v="3"/>
    <x v="0"/>
    <d v="2015-05-23T00:00:00"/>
    <n v="-239.315"/>
    <n v="12"/>
    <x v="483"/>
    <n v="90578"/>
    <x v="0"/>
  </r>
  <r>
    <n v="22548"/>
    <s v="Not Specified"/>
    <n v="0"/>
    <n v="6.48"/>
    <x v="237"/>
    <x v="281"/>
    <x v="1"/>
    <x v="281"/>
    <x v="2"/>
    <x v="1"/>
    <x v="0"/>
    <x v="7"/>
    <x v="3"/>
    <x v="357"/>
    <n v="0.37"/>
    <n v="-0.26062123464517645"/>
    <s v="United States"/>
    <x v="0"/>
    <x v="34"/>
    <x v="242"/>
    <n v="89502"/>
    <x v="135"/>
    <x v="3"/>
    <x v="0"/>
    <d v="2015-05-22T00:00:00"/>
    <n v="-33.31"/>
    <n v="18"/>
    <x v="484"/>
    <n v="90578"/>
    <x v="0"/>
  </r>
  <r>
    <n v="19262"/>
    <s v="High"/>
    <n v="0.04"/>
    <n v="4.37"/>
    <x v="26"/>
    <x v="282"/>
    <x v="1"/>
    <x v="282"/>
    <x v="2"/>
    <x v="2"/>
    <x v="0"/>
    <x v="15"/>
    <x v="3"/>
    <x v="358"/>
    <n v="0.59"/>
    <n v="-0.94769818043008003"/>
    <s v="United States"/>
    <x v="0"/>
    <x v="17"/>
    <x v="243"/>
    <n v="84106"/>
    <x v="54"/>
    <x v="2"/>
    <x v="0"/>
    <d v="2015-02-22T00:00:00"/>
    <n v="-74.479599999999991"/>
    <n v="18"/>
    <x v="485"/>
    <n v="89059"/>
    <x v="0"/>
  </r>
  <r>
    <n v="19263"/>
    <s v="High"/>
    <n v="0.09"/>
    <n v="155.99"/>
    <x v="20"/>
    <x v="282"/>
    <x v="1"/>
    <x v="282"/>
    <x v="2"/>
    <x v="2"/>
    <x v="2"/>
    <x v="5"/>
    <x v="3"/>
    <x v="359"/>
    <n v="0.57999999999999996"/>
    <n v="-0.46714119611353627"/>
    <s v="United States"/>
    <x v="0"/>
    <x v="17"/>
    <x v="243"/>
    <n v="84106"/>
    <x v="54"/>
    <x v="2"/>
    <x v="0"/>
    <d v="2015-02-23T00:00:00"/>
    <n v="-232.22056000000003"/>
    <n v="4"/>
    <x v="486"/>
    <n v="89059"/>
    <x v="0"/>
  </r>
  <r>
    <n v="18054"/>
    <s v="Critical"/>
    <n v="7.0000000000000007E-2"/>
    <n v="5.68"/>
    <x v="49"/>
    <x v="283"/>
    <x v="1"/>
    <x v="283"/>
    <x v="2"/>
    <x v="2"/>
    <x v="0"/>
    <x v="4"/>
    <x v="3"/>
    <x v="360"/>
    <n v="0.38"/>
    <n v="0.69"/>
    <s v="United States"/>
    <x v="0"/>
    <x v="28"/>
    <x v="244"/>
    <n v="85254"/>
    <x v="78"/>
    <x v="5"/>
    <x v="0"/>
    <d v="2015-03-27T00:00:00"/>
    <n v="18.643799999999999"/>
    <n v="5"/>
    <x v="487"/>
    <n v="86153"/>
    <x v="0"/>
  </r>
  <r>
    <n v="18055"/>
    <s v="Critical"/>
    <n v="0.06"/>
    <n v="22.84"/>
    <x v="52"/>
    <x v="283"/>
    <x v="1"/>
    <x v="283"/>
    <x v="2"/>
    <x v="2"/>
    <x v="0"/>
    <x v="7"/>
    <x v="3"/>
    <x v="64"/>
    <n v="0.39"/>
    <n v="-1.1290205999277194"/>
    <s v="United States"/>
    <x v="0"/>
    <x v="28"/>
    <x v="244"/>
    <n v="85254"/>
    <x v="78"/>
    <x v="5"/>
    <x v="0"/>
    <d v="2015-03-27T00:00:00"/>
    <n v="-31.24"/>
    <n v="1"/>
    <x v="488"/>
    <n v="86153"/>
    <x v="0"/>
  </r>
  <r>
    <n v="19401"/>
    <s v="Critical"/>
    <n v="0.06"/>
    <n v="25.98"/>
    <x v="238"/>
    <x v="284"/>
    <x v="0"/>
    <x v="284"/>
    <x v="1"/>
    <x v="0"/>
    <x v="1"/>
    <x v="1"/>
    <x v="1"/>
    <x v="361"/>
    <n v="0.6"/>
    <n v="5.4073300050311579E-2"/>
    <s v="United States"/>
    <x v="2"/>
    <x v="7"/>
    <x v="232"/>
    <n v="79109"/>
    <x v="84"/>
    <x v="3"/>
    <x v="0"/>
    <d v="2015-05-25T00:00:00"/>
    <n v="55.888000000000034"/>
    <n v="41"/>
    <x v="489"/>
    <n v="89537"/>
    <x v="0"/>
  </r>
  <r>
    <n v="26011"/>
    <s v="Critical"/>
    <n v="0.08"/>
    <n v="1.81"/>
    <x v="239"/>
    <x v="285"/>
    <x v="1"/>
    <x v="285"/>
    <x v="2"/>
    <x v="3"/>
    <x v="1"/>
    <x v="1"/>
    <x v="1"/>
    <x v="362"/>
    <n v="0.57999999999999996"/>
    <n v="6.6219328993490242E-2"/>
    <s v="United States"/>
    <x v="2"/>
    <x v="7"/>
    <x v="245"/>
    <n v="76021"/>
    <x v="99"/>
    <x v="0"/>
    <x v="0"/>
    <d v="2015-01-06T00:00:00"/>
    <n v="1.3224"/>
    <n v="11"/>
    <x v="490"/>
    <n v="89536"/>
    <x v="0"/>
  </r>
  <r>
    <n v="26015"/>
    <s v="Critical"/>
    <n v="0.04"/>
    <n v="125.99"/>
    <x v="126"/>
    <x v="285"/>
    <x v="1"/>
    <x v="285"/>
    <x v="2"/>
    <x v="3"/>
    <x v="2"/>
    <x v="5"/>
    <x v="3"/>
    <x v="363"/>
    <n v="0.55000000000000004"/>
    <n v="0.69"/>
    <s v="United States"/>
    <x v="2"/>
    <x v="7"/>
    <x v="245"/>
    <n v="76021"/>
    <x v="99"/>
    <x v="0"/>
    <x v="0"/>
    <d v="2015-01-05T00:00:00"/>
    <n v="455.42069999999995"/>
    <n v="6"/>
    <x v="491"/>
    <n v="89536"/>
    <x v="0"/>
  </r>
  <r>
    <n v="2045"/>
    <s v="Critical"/>
    <n v="0.01"/>
    <n v="8.34"/>
    <x v="146"/>
    <x v="286"/>
    <x v="1"/>
    <x v="286"/>
    <x v="2"/>
    <x v="0"/>
    <x v="1"/>
    <x v="2"/>
    <x v="0"/>
    <x v="364"/>
    <n v="0.43"/>
    <n v="0.14730815588589796"/>
    <s v="United States"/>
    <x v="1"/>
    <x v="41"/>
    <x v="246"/>
    <n v="20024"/>
    <x v="56"/>
    <x v="0"/>
    <x v="0"/>
    <d v="2015-01-12T00:00:00"/>
    <n v="29.332000000000001"/>
    <n v="24"/>
    <x v="492"/>
    <n v="14596"/>
    <x v="0"/>
  </r>
  <r>
    <n v="2046"/>
    <s v="Critical"/>
    <n v="0.06"/>
    <n v="3.28"/>
    <x v="240"/>
    <x v="286"/>
    <x v="1"/>
    <x v="286"/>
    <x v="2"/>
    <x v="0"/>
    <x v="0"/>
    <x v="0"/>
    <x v="0"/>
    <x v="365"/>
    <n v="0.56000000000000005"/>
    <n v="-1.3620525815647766"/>
    <s v="United States"/>
    <x v="1"/>
    <x v="41"/>
    <x v="246"/>
    <n v="20024"/>
    <x v="56"/>
    <x v="0"/>
    <x v="0"/>
    <d v="2015-01-11T00:00:00"/>
    <n v="-86"/>
    <n v="19"/>
    <x v="493"/>
    <n v="14596"/>
    <x v="0"/>
  </r>
  <r>
    <n v="5421"/>
    <s v="Low"/>
    <n v="0.02"/>
    <n v="1.1399999999999999"/>
    <x v="22"/>
    <x v="286"/>
    <x v="1"/>
    <x v="286"/>
    <x v="2"/>
    <x v="0"/>
    <x v="0"/>
    <x v="3"/>
    <x v="0"/>
    <x v="366"/>
    <n v="0.38"/>
    <n v="-1.092530657748049E-2"/>
    <s v="United States"/>
    <x v="1"/>
    <x v="41"/>
    <x v="246"/>
    <n v="20024"/>
    <x v="23"/>
    <x v="2"/>
    <x v="0"/>
    <d v="2015-02-02T00:00:00"/>
    <n v="-0.49"/>
    <n v="38"/>
    <x v="494"/>
    <n v="38529"/>
    <x v="0"/>
  </r>
  <r>
    <n v="20045"/>
    <s v="Critical"/>
    <n v="0.01"/>
    <n v="8.34"/>
    <x v="146"/>
    <x v="287"/>
    <x v="1"/>
    <x v="287"/>
    <x v="2"/>
    <x v="0"/>
    <x v="1"/>
    <x v="2"/>
    <x v="0"/>
    <x v="364"/>
    <n v="0.43"/>
    <n v="0.69"/>
    <s v="United States"/>
    <x v="2"/>
    <x v="7"/>
    <x v="247"/>
    <n v="76201"/>
    <x v="56"/>
    <x v="0"/>
    <x v="0"/>
    <d v="2015-01-12T00:00:00"/>
    <n v="34.348199999999999"/>
    <n v="6"/>
    <x v="495"/>
    <n v="90166"/>
    <x v="0"/>
  </r>
  <r>
    <n v="20046"/>
    <s v="Critical"/>
    <n v="0.06"/>
    <n v="3.28"/>
    <x v="240"/>
    <x v="287"/>
    <x v="1"/>
    <x v="287"/>
    <x v="2"/>
    <x v="0"/>
    <x v="0"/>
    <x v="0"/>
    <x v="0"/>
    <x v="365"/>
    <n v="0.56000000000000005"/>
    <n v="-4.0102286401925396"/>
    <s v="United States"/>
    <x v="2"/>
    <x v="7"/>
    <x v="247"/>
    <n v="76201"/>
    <x v="56"/>
    <x v="0"/>
    <x v="0"/>
    <d v="2015-01-11T00:00:00"/>
    <n v="-66.650000000000006"/>
    <n v="5"/>
    <x v="496"/>
    <n v="90166"/>
    <x v="0"/>
  </r>
  <r>
    <n v="19470"/>
    <s v="Critical"/>
    <n v="0.06"/>
    <n v="47.98"/>
    <x v="241"/>
    <x v="287"/>
    <x v="1"/>
    <x v="287"/>
    <x v="2"/>
    <x v="0"/>
    <x v="2"/>
    <x v="13"/>
    <x v="2"/>
    <x v="367"/>
    <n v="0.71"/>
    <n v="6.9454102920723224E-2"/>
    <s v="United States"/>
    <x v="2"/>
    <x v="7"/>
    <x v="247"/>
    <n v="76201"/>
    <x v="105"/>
    <x v="1"/>
    <x v="0"/>
    <d v="2015-06-22T00:00:00"/>
    <n v="35.954999999999998"/>
    <n v="11"/>
    <x v="497"/>
    <n v="90167"/>
    <x v="0"/>
  </r>
  <r>
    <n v="4724"/>
    <s v="High"/>
    <n v="0.04"/>
    <n v="90.97"/>
    <x v="242"/>
    <x v="288"/>
    <x v="1"/>
    <x v="288"/>
    <x v="1"/>
    <x v="2"/>
    <x v="2"/>
    <x v="6"/>
    <x v="1"/>
    <x v="368"/>
    <n v="0.38"/>
    <n v="-0.30192252010256238"/>
    <s v="United States"/>
    <x v="1"/>
    <x v="4"/>
    <x v="8"/>
    <n v="10039"/>
    <x v="38"/>
    <x v="0"/>
    <x v="0"/>
    <d v="2015-01-13T00:00:00"/>
    <n v="-173.09520000000001"/>
    <n v="6"/>
    <x v="498"/>
    <n v="33635"/>
    <x v="0"/>
  </r>
  <r>
    <n v="4725"/>
    <s v="High"/>
    <n v="7.0000000000000007E-2"/>
    <n v="20.34"/>
    <x v="97"/>
    <x v="288"/>
    <x v="1"/>
    <x v="288"/>
    <x v="2"/>
    <x v="2"/>
    <x v="0"/>
    <x v="10"/>
    <x v="6"/>
    <x v="126"/>
    <n v="0.84"/>
    <n v="-0.68573058546673327"/>
    <s v="United States"/>
    <x v="1"/>
    <x v="4"/>
    <x v="8"/>
    <n v="10039"/>
    <x v="38"/>
    <x v="0"/>
    <x v="0"/>
    <d v="2015-01-13T00:00:00"/>
    <n v="-96.16"/>
    <n v="5"/>
    <x v="499"/>
    <n v="33635"/>
    <x v="0"/>
  </r>
  <r>
    <n v="1311"/>
    <s v="Not Specified"/>
    <n v="0.02"/>
    <n v="12.53"/>
    <x v="243"/>
    <x v="288"/>
    <x v="1"/>
    <x v="288"/>
    <x v="2"/>
    <x v="2"/>
    <x v="0"/>
    <x v="9"/>
    <x v="3"/>
    <x v="369"/>
    <n v="0.38"/>
    <n v="0.44310611668124611"/>
    <s v="United States"/>
    <x v="1"/>
    <x v="4"/>
    <x v="8"/>
    <n v="10039"/>
    <x v="39"/>
    <x v="0"/>
    <x v="0"/>
    <d v="2015-01-27T00:00:00"/>
    <n v="263.39999999999998"/>
    <n v="47"/>
    <x v="500"/>
    <n v="9606"/>
    <x v="0"/>
  </r>
  <r>
    <n v="1312"/>
    <s v="Not Specified"/>
    <n v="7.0000000000000007E-2"/>
    <n v="5.18"/>
    <x v="36"/>
    <x v="288"/>
    <x v="1"/>
    <x v="288"/>
    <x v="0"/>
    <x v="2"/>
    <x v="0"/>
    <x v="7"/>
    <x v="0"/>
    <x v="43"/>
    <n v="0.36"/>
    <n v="0.16328227571115975"/>
    <s v="United States"/>
    <x v="1"/>
    <x v="4"/>
    <x v="8"/>
    <n v="10039"/>
    <x v="39"/>
    <x v="0"/>
    <x v="0"/>
    <d v="2015-01-29T00:00:00"/>
    <n v="37.31"/>
    <n v="44"/>
    <x v="501"/>
    <n v="9606"/>
    <x v="0"/>
  </r>
  <r>
    <n v="22724"/>
    <s v="High"/>
    <n v="0.04"/>
    <n v="90.97"/>
    <x v="242"/>
    <x v="289"/>
    <x v="1"/>
    <x v="289"/>
    <x v="1"/>
    <x v="2"/>
    <x v="2"/>
    <x v="6"/>
    <x v="1"/>
    <x v="368"/>
    <n v="0.38"/>
    <n v="-0.90578335949764521"/>
    <s v="United States"/>
    <x v="1"/>
    <x v="19"/>
    <x v="248"/>
    <n v="16602"/>
    <x v="38"/>
    <x v="0"/>
    <x v="0"/>
    <d v="2015-01-13T00:00:00"/>
    <n v="-173.09520000000001"/>
    <n v="2"/>
    <x v="502"/>
    <n v="86263"/>
    <x v="0"/>
  </r>
  <r>
    <n v="22725"/>
    <s v="High"/>
    <n v="7.0000000000000007E-2"/>
    <n v="20.34"/>
    <x v="97"/>
    <x v="289"/>
    <x v="1"/>
    <x v="289"/>
    <x v="2"/>
    <x v="2"/>
    <x v="0"/>
    <x v="10"/>
    <x v="6"/>
    <x v="126"/>
    <n v="0.84"/>
    <n v="-3.4281639928698748"/>
    <s v="United States"/>
    <x v="1"/>
    <x v="19"/>
    <x v="248"/>
    <n v="16602"/>
    <x v="38"/>
    <x v="0"/>
    <x v="0"/>
    <d v="2015-01-13T00:00:00"/>
    <n v="-96.16"/>
    <n v="1"/>
    <x v="503"/>
    <n v="86263"/>
    <x v="0"/>
  </r>
  <r>
    <n v="19311"/>
    <s v="Not Specified"/>
    <n v="0.02"/>
    <n v="12.53"/>
    <x v="243"/>
    <x v="289"/>
    <x v="1"/>
    <x v="289"/>
    <x v="2"/>
    <x v="2"/>
    <x v="0"/>
    <x v="9"/>
    <x v="3"/>
    <x v="369"/>
    <n v="0.38"/>
    <n v="0.69"/>
    <s v="United States"/>
    <x v="1"/>
    <x v="19"/>
    <x v="248"/>
    <n v="16602"/>
    <x v="39"/>
    <x v="0"/>
    <x v="0"/>
    <d v="2015-01-27T00:00:00"/>
    <n v="104.7213"/>
    <n v="12"/>
    <x v="504"/>
    <n v="86264"/>
    <x v="0"/>
  </r>
  <r>
    <n v="19312"/>
    <s v="Not Specified"/>
    <n v="7.0000000000000007E-2"/>
    <n v="5.18"/>
    <x v="36"/>
    <x v="289"/>
    <x v="1"/>
    <x v="289"/>
    <x v="0"/>
    <x v="2"/>
    <x v="0"/>
    <x v="7"/>
    <x v="0"/>
    <x v="43"/>
    <n v="0.36"/>
    <n v="0.65307194118676704"/>
    <s v="United States"/>
    <x v="1"/>
    <x v="19"/>
    <x v="248"/>
    <n v="16602"/>
    <x v="39"/>
    <x v="0"/>
    <x v="0"/>
    <d v="2015-01-29T00:00:00"/>
    <n v="37.31"/>
    <n v="11"/>
    <x v="505"/>
    <n v="86264"/>
    <x v="0"/>
  </r>
  <r>
    <n v="24981"/>
    <s v="Not Specified"/>
    <n v="0"/>
    <n v="5.98"/>
    <x v="25"/>
    <x v="290"/>
    <x v="0"/>
    <x v="290"/>
    <x v="2"/>
    <x v="3"/>
    <x v="0"/>
    <x v="8"/>
    <x v="3"/>
    <x v="370"/>
    <n v="0.39"/>
    <n v="0.69"/>
    <s v="United States"/>
    <x v="1"/>
    <x v="15"/>
    <x v="249"/>
    <n v="1887"/>
    <x v="14"/>
    <x v="5"/>
    <x v="0"/>
    <d v="2015-03-14T00:00:00"/>
    <n v="80.674799999999991"/>
    <n v="18"/>
    <x v="506"/>
    <n v="90806"/>
    <x v="0"/>
  </r>
  <r>
    <n v="22288"/>
    <s v="Critical"/>
    <n v="0.09"/>
    <n v="35.99"/>
    <x v="165"/>
    <x v="291"/>
    <x v="1"/>
    <x v="291"/>
    <x v="2"/>
    <x v="1"/>
    <x v="2"/>
    <x v="5"/>
    <x v="0"/>
    <x v="351"/>
    <n v="0.38"/>
    <n v="0.75406662269129299"/>
    <s v="United States"/>
    <x v="3"/>
    <x v="35"/>
    <x v="157"/>
    <n v="42420"/>
    <x v="115"/>
    <x v="2"/>
    <x v="0"/>
    <d v="2015-02-27T00:00:00"/>
    <n v="114.3165"/>
    <n v="5"/>
    <x v="507"/>
    <n v="86459"/>
    <x v="0"/>
  </r>
  <r>
    <n v="21345"/>
    <s v="Medium"/>
    <n v="0.09"/>
    <n v="2.6"/>
    <x v="244"/>
    <x v="291"/>
    <x v="1"/>
    <x v="291"/>
    <x v="2"/>
    <x v="1"/>
    <x v="0"/>
    <x v="0"/>
    <x v="0"/>
    <x v="371"/>
    <n v="0.57999999999999996"/>
    <n v="34.900976993381654"/>
    <s v="United States"/>
    <x v="3"/>
    <x v="35"/>
    <x v="157"/>
    <n v="42420"/>
    <x v="77"/>
    <x v="1"/>
    <x v="0"/>
    <d v="2015-06-19T00:00:00"/>
    <n v="1107.4079999999999"/>
    <n v="12"/>
    <x v="508"/>
    <n v="86460"/>
    <x v="0"/>
  </r>
  <r>
    <n v="19480"/>
    <s v="Critical"/>
    <n v="0"/>
    <n v="5.28"/>
    <x v="205"/>
    <x v="292"/>
    <x v="0"/>
    <x v="292"/>
    <x v="2"/>
    <x v="0"/>
    <x v="0"/>
    <x v="7"/>
    <x v="3"/>
    <x v="297"/>
    <n v="0.4"/>
    <n v="-1.7500821018062396"/>
    <s v="United States"/>
    <x v="3"/>
    <x v="40"/>
    <x v="233"/>
    <n v="71854"/>
    <x v="50"/>
    <x v="3"/>
    <x v="0"/>
    <d v="2015-05-14T00:00:00"/>
    <n v="-149.21199999999999"/>
    <n v="15"/>
    <x v="509"/>
    <n v="90187"/>
    <x v="0"/>
  </r>
  <r>
    <n v="25356"/>
    <s v="Not Specified"/>
    <n v="0.05"/>
    <n v="7.64"/>
    <x v="245"/>
    <x v="293"/>
    <x v="1"/>
    <x v="293"/>
    <x v="2"/>
    <x v="0"/>
    <x v="0"/>
    <x v="7"/>
    <x v="0"/>
    <x v="372"/>
    <n v="0.36"/>
    <n v="-1.266144578313253"/>
    <s v="United States"/>
    <x v="1"/>
    <x v="36"/>
    <x v="250"/>
    <n v="26003"/>
    <x v="70"/>
    <x v="0"/>
    <x v="0"/>
    <d v="2015-02-02T00:00:00"/>
    <n v="-21.018000000000001"/>
    <n v="2"/>
    <x v="510"/>
    <n v="90185"/>
    <x v="0"/>
  </r>
  <r>
    <n v="25357"/>
    <s v="Not Specified"/>
    <n v="0.04"/>
    <n v="218.75"/>
    <x v="163"/>
    <x v="293"/>
    <x v="1"/>
    <x v="293"/>
    <x v="1"/>
    <x v="0"/>
    <x v="1"/>
    <x v="11"/>
    <x v="5"/>
    <x v="228"/>
    <n v="0.72"/>
    <n v="-0.28683250488971351"/>
    <s v="United States"/>
    <x v="1"/>
    <x v="36"/>
    <x v="250"/>
    <n v="26003"/>
    <x v="70"/>
    <x v="0"/>
    <x v="0"/>
    <d v="2015-02-01T00:00:00"/>
    <n v="-655.52987500000006"/>
    <n v="10"/>
    <x v="511"/>
    <n v="90185"/>
    <x v="0"/>
  </r>
  <r>
    <n v="24028"/>
    <s v="High"/>
    <n v="0.01"/>
    <n v="59.76"/>
    <x v="246"/>
    <x v="293"/>
    <x v="1"/>
    <x v="293"/>
    <x v="2"/>
    <x v="0"/>
    <x v="0"/>
    <x v="10"/>
    <x v="3"/>
    <x v="373"/>
    <n v="0.56999999999999995"/>
    <n v="0.69"/>
    <s v="United States"/>
    <x v="1"/>
    <x v="36"/>
    <x v="250"/>
    <n v="26003"/>
    <x v="36"/>
    <x v="4"/>
    <x v="0"/>
    <d v="2015-04-06T00:00:00"/>
    <n v="354.32879999999994"/>
    <n v="8"/>
    <x v="512"/>
    <n v="90186"/>
    <x v="0"/>
  </r>
  <r>
    <n v="24953"/>
    <s v="High"/>
    <n v="0.06"/>
    <n v="350.98"/>
    <x v="40"/>
    <x v="294"/>
    <x v="0"/>
    <x v="294"/>
    <x v="1"/>
    <x v="1"/>
    <x v="1"/>
    <x v="1"/>
    <x v="1"/>
    <x v="309"/>
    <n v="0.61"/>
    <n v="-1.4123733117857555"/>
    <s v="United States"/>
    <x v="2"/>
    <x v="7"/>
    <x v="251"/>
    <n v="77803"/>
    <x v="148"/>
    <x v="0"/>
    <x v="0"/>
    <d v="2015-01-05T00:00:00"/>
    <n v="-489.41559999999998"/>
    <n v="1"/>
    <x v="513"/>
    <n v="86356"/>
    <x v="0"/>
  </r>
  <r>
    <n v="25833"/>
    <s v="Low"/>
    <n v="0.05"/>
    <n v="161.55000000000001"/>
    <x v="3"/>
    <x v="295"/>
    <x v="0"/>
    <x v="295"/>
    <x v="2"/>
    <x v="0"/>
    <x v="0"/>
    <x v="10"/>
    <x v="3"/>
    <x v="40"/>
    <n v="0.66"/>
    <n v="7.0717590274578926E-2"/>
    <s v="United States"/>
    <x v="2"/>
    <x v="7"/>
    <x v="252"/>
    <n v="76028"/>
    <x v="148"/>
    <x v="0"/>
    <x v="0"/>
    <d v="2015-01-11T00:00:00"/>
    <n v="35.31"/>
    <n v="3"/>
    <x v="514"/>
    <n v="86357"/>
    <x v="0"/>
  </r>
  <r>
    <n v="25676"/>
    <s v="High"/>
    <n v="0.05"/>
    <n v="35.51"/>
    <x v="247"/>
    <x v="296"/>
    <x v="1"/>
    <x v="296"/>
    <x v="2"/>
    <x v="3"/>
    <x v="0"/>
    <x v="10"/>
    <x v="3"/>
    <x v="374"/>
    <n v="0.57999999999999996"/>
    <n v="8.358413132694939E-2"/>
    <s v="United States"/>
    <x v="0"/>
    <x v="1"/>
    <x v="184"/>
    <n v="91730"/>
    <x v="142"/>
    <x v="4"/>
    <x v="0"/>
    <d v="2015-04-14T00:00:00"/>
    <n v="6.11"/>
    <n v="2"/>
    <x v="515"/>
    <n v="90492"/>
    <x v="0"/>
  </r>
  <r>
    <n v="19772"/>
    <s v="Critical"/>
    <n v="0.09"/>
    <n v="58.14"/>
    <x v="248"/>
    <x v="296"/>
    <x v="1"/>
    <x v="296"/>
    <x v="1"/>
    <x v="0"/>
    <x v="1"/>
    <x v="14"/>
    <x v="5"/>
    <x v="375"/>
    <n v="0.61"/>
    <n v="8.8608360992123283E-2"/>
    <s v="United States"/>
    <x v="0"/>
    <x v="1"/>
    <x v="184"/>
    <n v="91730"/>
    <x v="135"/>
    <x v="3"/>
    <x v="0"/>
    <d v="2015-05-21T00:00:00"/>
    <n v="187.41200000000026"/>
    <n v="39"/>
    <x v="516"/>
    <n v="90493"/>
    <x v="0"/>
  </r>
  <r>
    <n v="25677"/>
    <s v="High"/>
    <n v="0.1"/>
    <n v="8.34"/>
    <x v="93"/>
    <x v="297"/>
    <x v="0"/>
    <x v="297"/>
    <x v="2"/>
    <x v="3"/>
    <x v="0"/>
    <x v="12"/>
    <x v="2"/>
    <x v="120"/>
    <n v="0.59"/>
    <n v="-0.1322210636079249"/>
    <s v="United States"/>
    <x v="0"/>
    <x v="1"/>
    <x v="253"/>
    <n v="96003"/>
    <x v="142"/>
    <x v="4"/>
    <x v="0"/>
    <d v="2015-04-12T00:00:00"/>
    <n v="-6.34"/>
    <n v="6"/>
    <x v="517"/>
    <n v="90492"/>
    <x v="0"/>
  </r>
  <r>
    <n v="21970"/>
    <s v="Low"/>
    <n v="0.1"/>
    <n v="15.98"/>
    <x v="41"/>
    <x v="298"/>
    <x v="1"/>
    <x v="298"/>
    <x v="2"/>
    <x v="0"/>
    <x v="2"/>
    <x v="13"/>
    <x v="3"/>
    <x v="174"/>
    <n v="0.37"/>
    <n v="0.69"/>
    <s v="United States"/>
    <x v="0"/>
    <x v="1"/>
    <x v="254"/>
    <n v="92374"/>
    <x v="12"/>
    <x v="5"/>
    <x v="0"/>
    <d v="2015-04-01T00:00:00"/>
    <n v="92.722199999999987"/>
    <n v="9"/>
    <x v="518"/>
    <n v="90491"/>
    <x v="0"/>
  </r>
  <r>
    <n v="25678"/>
    <s v="High"/>
    <n v="0.03"/>
    <n v="8.0399999999999991"/>
    <x v="249"/>
    <x v="298"/>
    <x v="1"/>
    <x v="298"/>
    <x v="2"/>
    <x v="3"/>
    <x v="0"/>
    <x v="8"/>
    <x v="3"/>
    <x v="376"/>
    <n v="0.4"/>
    <n v="-2.0877360948287094"/>
    <s v="United States"/>
    <x v="0"/>
    <x v="1"/>
    <x v="254"/>
    <n v="92374"/>
    <x v="142"/>
    <x v="4"/>
    <x v="0"/>
    <d v="2015-04-14T00:00:00"/>
    <n v="-160.27549999999999"/>
    <n v="9"/>
    <x v="519"/>
    <n v="90492"/>
    <x v="0"/>
  </r>
  <r>
    <n v="18395"/>
    <s v="Not Specified"/>
    <n v="0.01"/>
    <n v="65.989999999999995"/>
    <x v="20"/>
    <x v="299"/>
    <x v="0"/>
    <x v="299"/>
    <x v="0"/>
    <x v="2"/>
    <x v="2"/>
    <x v="5"/>
    <x v="3"/>
    <x v="377"/>
    <n v="0.56000000000000005"/>
    <n v="0.50763682864450121"/>
    <s v="United States"/>
    <x v="0"/>
    <x v="1"/>
    <x v="184"/>
    <n v="91730"/>
    <x v="135"/>
    <x v="3"/>
    <x v="0"/>
    <d v="2015-05-21T00:00:00"/>
    <n v="396.97199999999998"/>
    <n v="14"/>
    <x v="520"/>
    <n v="87135"/>
    <x v="0"/>
  </r>
  <r>
    <n v="19973"/>
    <s v="Critical"/>
    <n v="0.03"/>
    <n v="2.1800000000000002"/>
    <x v="250"/>
    <x v="300"/>
    <x v="0"/>
    <x v="300"/>
    <x v="2"/>
    <x v="2"/>
    <x v="0"/>
    <x v="3"/>
    <x v="0"/>
    <x v="378"/>
    <n v="0.44"/>
    <n v="-0.44755244755244755"/>
    <s v="United States"/>
    <x v="1"/>
    <x v="14"/>
    <x v="255"/>
    <n v="4330"/>
    <x v="34"/>
    <x v="4"/>
    <x v="0"/>
    <d v="2015-04-06T00:00:00"/>
    <n v="-7.04"/>
    <n v="7"/>
    <x v="521"/>
    <n v="87134"/>
    <x v="0"/>
  </r>
  <r>
    <n v="19974"/>
    <s v="Critical"/>
    <n v="0.01"/>
    <n v="170.98"/>
    <x v="251"/>
    <x v="301"/>
    <x v="0"/>
    <x v="301"/>
    <x v="1"/>
    <x v="2"/>
    <x v="1"/>
    <x v="14"/>
    <x v="5"/>
    <x v="379"/>
    <n v="0.66"/>
    <n v="0.31326240350887397"/>
    <s v="United States"/>
    <x v="1"/>
    <x v="2"/>
    <x v="256"/>
    <n v="8857"/>
    <x v="34"/>
    <x v="4"/>
    <x v="0"/>
    <d v="2015-04-08T00:00:00"/>
    <n v="538.52"/>
    <n v="10"/>
    <x v="522"/>
    <n v="87134"/>
    <x v="0"/>
  </r>
  <r>
    <n v="21077"/>
    <s v="Critical"/>
    <n v="0.05"/>
    <n v="6.04"/>
    <x v="252"/>
    <x v="302"/>
    <x v="1"/>
    <x v="302"/>
    <x v="0"/>
    <x v="0"/>
    <x v="0"/>
    <x v="7"/>
    <x v="0"/>
    <x v="380"/>
    <n v="0.38"/>
    <n v="-0.4922711058263971"/>
    <s v="United States"/>
    <x v="0"/>
    <x v="1"/>
    <x v="254"/>
    <n v="92374"/>
    <x v="149"/>
    <x v="2"/>
    <x v="0"/>
    <d v="2015-02-19T00:00:00"/>
    <n v="-4.1399999999999997"/>
    <n v="1"/>
    <x v="523"/>
    <n v="90588"/>
    <x v="0"/>
  </r>
  <r>
    <n v="23716"/>
    <s v="Not Specified"/>
    <n v="0.05"/>
    <n v="5.98"/>
    <x v="253"/>
    <x v="302"/>
    <x v="1"/>
    <x v="302"/>
    <x v="2"/>
    <x v="0"/>
    <x v="0"/>
    <x v="7"/>
    <x v="3"/>
    <x v="381"/>
    <n v="0.36"/>
    <n v="-0.30381133873272986"/>
    <s v="United States"/>
    <x v="0"/>
    <x v="1"/>
    <x v="254"/>
    <n v="92374"/>
    <x v="150"/>
    <x v="1"/>
    <x v="0"/>
    <d v="2015-06-27T00:00:00"/>
    <n v="-31.885000000000002"/>
    <n v="17"/>
    <x v="524"/>
    <n v="90589"/>
    <x v="0"/>
  </r>
  <r>
    <n v="23717"/>
    <s v="Not Specified"/>
    <n v="0.01"/>
    <n v="65.989999999999995"/>
    <x v="196"/>
    <x v="303"/>
    <x v="0"/>
    <x v="303"/>
    <x v="2"/>
    <x v="0"/>
    <x v="2"/>
    <x v="5"/>
    <x v="3"/>
    <x v="382"/>
    <n v="0.59"/>
    <n v="-0.57152590191488084"/>
    <s v="United States"/>
    <x v="0"/>
    <x v="1"/>
    <x v="257"/>
    <n v="90278"/>
    <x v="150"/>
    <x v="1"/>
    <x v="0"/>
    <d v="2015-06-28T00:00:00"/>
    <n v="-95.21050000000001"/>
    <n v="3"/>
    <x v="525"/>
    <n v="90589"/>
    <x v="0"/>
  </r>
  <r>
    <n v="22638"/>
    <s v="Low"/>
    <n v="0.09"/>
    <n v="100.98"/>
    <x v="61"/>
    <x v="304"/>
    <x v="0"/>
    <x v="304"/>
    <x v="1"/>
    <x v="1"/>
    <x v="1"/>
    <x v="14"/>
    <x v="5"/>
    <x v="77"/>
    <n v="0.62"/>
    <n v="-0.4886039526489816"/>
    <s v="United States"/>
    <x v="1"/>
    <x v="18"/>
    <x v="258"/>
    <n v="6776"/>
    <x v="81"/>
    <x v="4"/>
    <x v="0"/>
    <d v="2015-04-19T00:00:00"/>
    <n v="-193.58"/>
    <n v="4"/>
    <x v="526"/>
    <n v="90844"/>
    <x v="0"/>
  </r>
  <r>
    <n v="23479"/>
    <s v="Not Specified"/>
    <n v="0.03"/>
    <n v="31.74"/>
    <x v="254"/>
    <x v="305"/>
    <x v="0"/>
    <x v="305"/>
    <x v="2"/>
    <x v="1"/>
    <x v="0"/>
    <x v="8"/>
    <x v="3"/>
    <x v="383"/>
    <n v="0.37"/>
    <n v="-4.3576494427558198E-2"/>
    <s v="United States"/>
    <x v="0"/>
    <x v="1"/>
    <x v="259"/>
    <n v="95070"/>
    <x v="127"/>
    <x v="5"/>
    <x v="0"/>
    <d v="2015-03-06T00:00:00"/>
    <n v="-4.3009999999999939"/>
    <n v="3"/>
    <x v="527"/>
    <n v="86567"/>
    <x v="0"/>
  </r>
  <r>
    <n v="24459"/>
    <s v="Critical"/>
    <n v="0.09"/>
    <n v="90.98"/>
    <x v="255"/>
    <x v="306"/>
    <x v="0"/>
    <x v="306"/>
    <x v="0"/>
    <x v="1"/>
    <x v="1"/>
    <x v="2"/>
    <x v="4"/>
    <x v="384"/>
    <n v="0.74"/>
    <n v="-0.8809945916833104"/>
    <s v="United States"/>
    <x v="1"/>
    <x v="14"/>
    <x v="113"/>
    <n v="4210"/>
    <x v="151"/>
    <x v="5"/>
    <x v="0"/>
    <d v="2015-03-02T00:00:00"/>
    <n v="-1570.32"/>
    <n v="20"/>
    <x v="528"/>
    <n v="86566"/>
    <x v="0"/>
  </r>
  <r>
    <n v="24693"/>
    <s v="Critical"/>
    <n v="0.08"/>
    <n v="14.2"/>
    <x v="98"/>
    <x v="307"/>
    <x v="0"/>
    <x v="307"/>
    <x v="0"/>
    <x v="1"/>
    <x v="1"/>
    <x v="2"/>
    <x v="0"/>
    <x v="257"/>
    <n v="0.46"/>
    <n v="0.37761752877548194"/>
    <s v="United States"/>
    <x v="1"/>
    <x v="2"/>
    <x v="260"/>
    <n v="7002"/>
    <x v="52"/>
    <x v="0"/>
    <x v="0"/>
    <d v="2015-01-13T00:00:00"/>
    <n v="27.23"/>
    <n v="5"/>
    <x v="529"/>
    <n v="86565"/>
    <x v="0"/>
  </r>
  <r>
    <n v="1279"/>
    <s v="Critical "/>
    <n v="0.06"/>
    <n v="40.98"/>
    <x v="139"/>
    <x v="308"/>
    <x v="1"/>
    <x v="308"/>
    <x v="2"/>
    <x v="3"/>
    <x v="0"/>
    <x v="8"/>
    <x v="3"/>
    <x v="385"/>
    <n v="0.36"/>
    <n v="-0.15302619982373208"/>
    <s v="United States"/>
    <x v="0"/>
    <x v="1"/>
    <x v="154"/>
    <n v="90049"/>
    <x v="22"/>
    <x v="0"/>
    <x v="0"/>
    <d v="2015-01-04T00:00:00"/>
    <n v="-19.099200000000003"/>
    <n v="3"/>
    <x v="530"/>
    <n v="9285"/>
    <x v="0"/>
  </r>
  <r>
    <n v="1128"/>
    <s v="Low"/>
    <n v="0.02"/>
    <n v="48.04"/>
    <x v="153"/>
    <x v="308"/>
    <x v="1"/>
    <x v="308"/>
    <x v="2"/>
    <x v="3"/>
    <x v="0"/>
    <x v="7"/>
    <x v="3"/>
    <x v="213"/>
    <n v="0.37"/>
    <n v="0.42398901647528708"/>
    <s v="United States"/>
    <x v="0"/>
    <x v="1"/>
    <x v="154"/>
    <n v="90049"/>
    <x v="27"/>
    <x v="5"/>
    <x v="0"/>
    <d v="2015-03-26T00:00:00"/>
    <n v="373.67"/>
    <n v="18"/>
    <x v="531"/>
    <n v="8257"/>
    <x v="0"/>
  </r>
  <r>
    <n v="19279"/>
    <s v="Critical"/>
    <n v="0.06"/>
    <n v="40.98"/>
    <x v="139"/>
    <x v="309"/>
    <x v="1"/>
    <x v="309"/>
    <x v="2"/>
    <x v="3"/>
    <x v="0"/>
    <x v="8"/>
    <x v="3"/>
    <x v="385"/>
    <n v="0.36"/>
    <n v="-0.35581442307692307"/>
    <s v="United States"/>
    <x v="2"/>
    <x v="3"/>
    <x v="3"/>
    <n v="55372"/>
    <x v="22"/>
    <x v="0"/>
    <x v="0"/>
    <d v="2015-01-04T00:00:00"/>
    <n v="-14.801880000000001"/>
    <n v="1"/>
    <x v="532"/>
    <n v="89083"/>
    <x v="0"/>
  </r>
  <r>
    <n v="19127"/>
    <s v="Low"/>
    <n v="0.05"/>
    <n v="1500.97"/>
    <x v="256"/>
    <x v="309"/>
    <x v="1"/>
    <x v="309"/>
    <x v="1"/>
    <x v="3"/>
    <x v="2"/>
    <x v="6"/>
    <x v="1"/>
    <x v="386"/>
    <n v="0.56999999999999995"/>
    <n v="-1.7107195335354857"/>
    <s v="United States"/>
    <x v="2"/>
    <x v="3"/>
    <x v="3"/>
    <n v="55372"/>
    <x v="27"/>
    <x v="5"/>
    <x v="0"/>
    <d v="2015-03-22T00:00:00"/>
    <n v="-2561.3235"/>
    <n v="1"/>
    <x v="533"/>
    <n v="89084"/>
    <x v="0"/>
  </r>
  <r>
    <n v="19128"/>
    <s v="Low"/>
    <n v="0.02"/>
    <n v="48.04"/>
    <x v="153"/>
    <x v="309"/>
    <x v="1"/>
    <x v="309"/>
    <x v="2"/>
    <x v="3"/>
    <x v="0"/>
    <x v="7"/>
    <x v="3"/>
    <x v="213"/>
    <n v="0.37"/>
    <n v="0.69"/>
    <s v="United States"/>
    <x v="2"/>
    <x v="3"/>
    <x v="3"/>
    <n v="55372"/>
    <x v="27"/>
    <x v="5"/>
    <x v="0"/>
    <d v="2015-03-26T00:00:00"/>
    <n v="168.91889999999998"/>
    <n v="5"/>
    <x v="534"/>
    <n v="89084"/>
    <x v="0"/>
  </r>
  <r>
    <n v="19129"/>
    <s v="Low"/>
    <n v="0.03"/>
    <n v="4.28"/>
    <x v="230"/>
    <x v="309"/>
    <x v="1"/>
    <x v="309"/>
    <x v="2"/>
    <x v="3"/>
    <x v="0"/>
    <x v="0"/>
    <x v="0"/>
    <x v="387"/>
    <n v="0.57999999999999996"/>
    <n v="-1.3626373626373627"/>
    <s v="United States"/>
    <x v="2"/>
    <x v="3"/>
    <x v="3"/>
    <n v="55372"/>
    <x v="27"/>
    <x v="5"/>
    <x v="0"/>
    <d v="2015-03-29T00:00:00"/>
    <n v="-6.2"/>
    <n v="1"/>
    <x v="535"/>
    <n v="89084"/>
    <x v="0"/>
  </r>
  <r>
    <n v="20073"/>
    <s v="Low"/>
    <n v="0.1"/>
    <n v="7.31"/>
    <x v="243"/>
    <x v="310"/>
    <x v="1"/>
    <x v="310"/>
    <x v="2"/>
    <x v="2"/>
    <x v="0"/>
    <x v="9"/>
    <x v="3"/>
    <x v="388"/>
    <n v="0.38"/>
    <n v="0.69"/>
    <s v="United States"/>
    <x v="2"/>
    <x v="7"/>
    <x v="261"/>
    <n v="75067"/>
    <x v="6"/>
    <x v="2"/>
    <x v="0"/>
    <d v="2015-02-21T00:00:00"/>
    <n v="19.064699999999998"/>
    <n v="4"/>
    <x v="536"/>
    <n v="90771"/>
    <x v="0"/>
  </r>
  <r>
    <n v="20074"/>
    <s v="Low"/>
    <n v="0.08"/>
    <n v="6.7"/>
    <x v="257"/>
    <x v="310"/>
    <x v="1"/>
    <x v="310"/>
    <x v="2"/>
    <x v="2"/>
    <x v="0"/>
    <x v="0"/>
    <x v="0"/>
    <x v="389"/>
    <n v="0.52"/>
    <n v="0.33835309195770585"/>
    <s v="United States"/>
    <x v="2"/>
    <x v="7"/>
    <x v="261"/>
    <n v="75067"/>
    <x v="6"/>
    <x v="2"/>
    <x v="0"/>
    <d v="2015-02-12T00:00:00"/>
    <n v="10.56"/>
    <n v="5"/>
    <x v="537"/>
    <n v="90771"/>
    <x v="0"/>
  </r>
  <r>
    <n v="25795"/>
    <s v="Not Specified"/>
    <n v="0.01"/>
    <n v="145.44999999999999"/>
    <x v="258"/>
    <x v="311"/>
    <x v="0"/>
    <x v="311"/>
    <x v="1"/>
    <x v="0"/>
    <x v="2"/>
    <x v="6"/>
    <x v="1"/>
    <x v="390"/>
    <n v="0.56000000000000005"/>
    <n v="0.69"/>
    <s v="United States"/>
    <x v="2"/>
    <x v="7"/>
    <x v="252"/>
    <n v="76028"/>
    <x v="27"/>
    <x v="5"/>
    <x v="0"/>
    <d v="2015-03-23T00:00:00"/>
    <n v="837.68069999999989"/>
    <n v="8"/>
    <x v="538"/>
    <n v="91581"/>
    <x v="0"/>
  </r>
  <r>
    <n v="20428"/>
    <s v="Low"/>
    <n v="0.03"/>
    <n v="2.94"/>
    <x v="146"/>
    <x v="312"/>
    <x v="0"/>
    <x v="312"/>
    <x v="2"/>
    <x v="1"/>
    <x v="0"/>
    <x v="0"/>
    <x v="0"/>
    <x v="202"/>
    <n v="0.57999999999999996"/>
    <n v="-1.1965811965811968"/>
    <s v="United States"/>
    <x v="0"/>
    <x v="1"/>
    <x v="257"/>
    <n v="90278"/>
    <x v="128"/>
    <x v="2"/>
    <x v="0"/>
    <d v="2015-02-08T00:00:00"/>
    <n v="-4.2"/>
    <n v="1"/>
    <x v="539"/>
    <n v="89401"/>
    <x v="0"/>
  </r>
  <r>
    <n v="20685"/>
    <s v="Not Specified"/>
    <n v="0.05"/>
    <n v="124.49"/>
    <x v="117"/>
    <x v="313"/>
    <x v="0"/>
    <x v="313"/>
    <x v="1"/>
    <x v="1"/>
    <x v="1"/>
    <x v="11"/>
    <x v="5"/>
    <x v="156"/>
    <n v="0.63"/>
    <n v="-0.36766233766233769"/>
    <s v="United States"/>
    <x v="0"/>
    <x v="1"/>
    <x v="262"/>
    <n v="94061"/>
    <x v="152"/>
    <x v="2"/>
    <x v="0"/>
    <d v="2015-02-24T00:00:00"/>
    <n v="-44.163600000000002"/>
    <n v="1"/>
    <x v="540"/>
    <n v="89402"/>
    <x v="0"/>
  </r>
  <r>
    <n v="2428"/>
    <s v="Low"/>
    <n v="0.03"/>
    <n v="2.94"/>
    <x v="146"/>
    <x v="314"/>
    <x v="0"/>
    <x v="314"/>
    <x v="2"/>
    <x v="1"/>
    <x v="0"/>
    <x v="0"/>
    <x v="0"/>
    <x v="202"/>
    <n v="0.57999999999999996"/>
    <n v="-0.59914407988587737"/>
    <s v="United States"/>
    <x v="2"/>
    <x v="12"/>
    <x v="25"/>
    <n v="60610"/>
    <x v="128"/>
    <x v="2"/>
    <x v="0"/>
    <d v="2015-02-08T00:00:00"/>
    <n v="-4.2"/>
    <n v="2"/>
    <x v="541"/>
    <n v="17636"/>
    <x v="0"/>
  </r>
  <r>
    <n v="25093"/>
    <s v="Medium"/>
    <n v="0"/>
    <n v="170.98"/>
    <x v="251"/>
    <x v="315"/>
    <x v="0"/>
    <x v="315"/>
    <x v="1"/>
    <x v="3"/>
    <x v="1"/>
    <x v="14"/>
    <x v="5"/>
    <x v="379"/>
    <n v="0.66"/>
    <n v="-7.0695092894820205E-2"/>
    <s v="United States"/>
    <x v="3"/>
    <x v="8"/>
    <x v="191"/>
    <n v="24281"/>
    <x v="18"/>
    <x v="4"/>
    <x v="0"/>
    <d v="2015-04-21T00:00:00"/>
    <n v="-102.66200000000001"/>
    <n v="8"/>
    <x v="542"/>
    <n v="86173"/>
    <x v="0"/>
  </r>
  <r>
    <n v="20536"/>
    <s v="Low"/>
    <n v="0.03"/>
    <n v="284.98"/>
    <x v="259"/>
    <x v="316"/>
    <x v="1"/>
    <x v="316"/>
    <x v="1"/>
    <x v="0"/>
    <x v="1"/>
    <x v="1"/>
    <x v="1"/>
    <x v="391"/>
    <n v="0.6"/>
    <n v="-0.18822693661403339"/>
    <s v="United States"/>
    <x v="0"/>
    <x v="1"/>
    <x v="263"/>
    <n v="92503"/>
    <x v="136"/>
    <x v="2"/>
    <x v="0"/>
    <d v="2015-03-05T00:00:00"/>
    <n v="-116.584"/>
    <n v="2"/>
    <x v="543"/>
    <n v="87259"/>
    <x v="0"/>
  </r>
  <r>
    <n v="20537"/>
    <s v="Low"/>
    <n v="0"/>
    <n v="12.99"/>
    <x v="142"/>
    <x v="316"/>
    <x v="1"/>
    <x v="316"/>
    <x v="2"/>
    <x v="0"/>
    <x v="1"/>
    <x v="2"/>
    <x v="6"/>
    <x v="193"/>
    <n v="0.73"/>
    <n v="0.69"/>
    <s v="United States"/>
    <x v="0"/>
    <x v="1"/>
    <x v="263"/>
    <n v="92503"/>
    <x v="136"/>
    <x v="2"/>
    <x v="0"/>
    <d v="2015-02-28T00:00:00"/>
    <n v="12.896100000000001"/>
    <n v="1"/>
    <x v="544"/>
    <n v="87259"/>
    <x v="0"/>
  </r>
  <r>
    <n v="24298"/>
    <s v="Low"/>
    <n v="0.1"/>
    <n v="2.2200000000000002"/>
    <x v="104"/>
    <x v="317"/>
    <x v="0"/>
    <x v="317"/>
    <x v="2"/>
    <x v="0"/>
    <x v="0"/>
    <x v="15"/>
    <x v="3"/>
    <x v="392"/>
    <n v="0.55000000000000004"/>
    <n v="-2.4226363636363635"/>
    <s v="United States"/>
    <x v="1"/>
    <x v="15"/>
    <x v="28"/>
    <n v="2108"/>
    <x v="36"/>
    <x v="4"/>
    <x v="0"/>
    <d v="2015-04-09T00:00:00"/>
    <n v="-21.319199999999999"/>
    <n v="3"/>
    <x v="545"/>
    <n v="87260"/>
    <x v="0"/>
  </r>
  <r>
    <n v="22646"/>
    <s v="Medium"/>
    <n v="0"/>
    <n v="37.76"/>
    <x v="260"/>
    <x v="318"/>
    <x v="0"/>
    <x v="318"/>
    <x v="2"/>
    <x v="0"/>
    <x v="0"/>
    <x v="10"/>
    <x v="3"/>
    <x v="393"/>
    <n v="0.56999999999999995"/>
    <n v="0.19666135792120704"/>
    <s v="United States"/>
    <x v="1"/>
    <x v="9"/>
    <x v="186"/>
    <n v="5403"/>
    <x v="64"/>
    <x v="2"/>
    <x v="0"/>
    <d v="2015-02-06T00:00:00"/>
    <n v="93.846800000000002"/>
    <n v="12"/>
    <x v="546"/>
    <n v="87258"/>
    <x v="0"/>
  </r>
  <r>
    <n v="20010"/>
    <s v="Low"/>
    <n v="0.09"/>
    <n v="300.97000000000003"/>
    <x v="261"/>
    <x v="319"/>
    <x v="0"/>
    <x v="319"/>
    <x v="2"/>
    <x v="0"/>
    <x v="2"/>
    <x v="13"/>
    <x v="3"/>
    <x v="394"/>
    <n v="0.48"/>
    <n v="6.2393360436458611E-3"/>
    <s v="United States"/>
    <x v="3"/>
    <x v="40"/>
    <x v="264"/>
    <n v="72143"/>
    <x v="58"/>
    <x v="4"/>
    <x v="0"/>
    <d v="2015-04-27T00:00:00"/>
    <n v="17.771999999999998"/>
    <n v="10"/>
    <x v="547"/>
    <n v="90201"/>
    <x v="0"/>
  </r>
  <r>
    <n v="25895"/>
    <s v="High"/>
    <n v="0.05"/>
    <n v="4.28"/>
    <x v="122"/>
    <x v="320"/>
    <x v="0"/>
    <x v="320"/>
    <x v="2"/>
    <x v="2"/>
    <x v="0"/>
    <x v="7"/>
    <x v="3"/>
    <x v="162"/>
    <n v="0.4"/>
    <n v="-2.7104717470191808"/>
    <s v="United States"/>
    <x v="0"/>
    <x v="1"/>
    <x v="265"/>
    <n v="93030"/>
    <x v="153"/>
    <x v="2"/>
    <x v="0"/>
    <d v="2015-02-19T00:00:00"/>
    <n v="-104.57"/>
    <n v="9"/>
    <x v="548"/>
    <n v="89432"/>
    <x v="0"/>
  </r>
  <r>
    <n v="19004"/>
    <s v="High"/>
    <n v="0.1"/>
    <n v="400.98"/>
    <x v="262"/>
    <x v="321"/>
    <x v="0"/>
    <x v="321"/>
    <x v="1"/>
    <x v="2"/>
    <x v="1"/>
    <x v="11"/>
    <x v="5"/>
    <x v="395"/>
    <n v="0.6"/>
    <n v="-1.1956622280898739"/>
    <s v="United States"/>
    <x v="1"/>
    <x v="14"/>
    <x v="91"/>
    <n v="4073"/>
    <x v="88"/>
    <x v="5"/>
    <x v="0"/>
    <d v="2015-03-15T00:00:00"/>
    <n v="-969.0483660000001"/>
    <n v="2"/>
    <x v="549"/>
    <n v="89433"/>
    <x v="0"/>
  </r>
  <r>
    <n v="23840"/>
    <s v="Low"/>
    <n v="0.09"/>
    <n v="7.64"/>
    <x v="245"/>
    <x v="322"/>
    <x v="0"/>
    <x v="322"/>
    <x v="2"/>
    <x v="2"/>
    <x v="0"/>
    <x v="7"/>
    <x v="0"/>
    <x v="372"/>
    <n v="0.36"/>
    <n v="5.5361801455444233E-2"/>
    <s v="United States"/>
    <x v="1"/>
    <x v="14"/>
    <x v="266"/>
    <n v="4070"/>
    <x v="16"/>
    <x v="3"/>
    <x v="0"/>
    <d v="2015-05-15T00:00:00"/>
    <n v="4.0320000000000036"/>
    <n v="9"/>
    <x v="550"/>
    <n v="89434"/>
    <x v="0"/>
  </r>
  <r>
    <n v="22639"/>
    <s v="Low"/>
    <n v="0.08"/>
    <n v="67.84"/>
    <x v="90"/>
    <x v="323"/>
    <x v="0"/>
    <x v="323"/>
    <x v="2"/>
    <x v="2"/>
    <x v="0"/>
    <x v="15"/>
    <x v="3"/>
    <x v="396"/>
    <n v="0.57999999999999996"/>
    <n v="-0.37125981778196671"/>
    <s v="United States"/>
    <x v="1"/>
    <x v="2"/>
    <x v="260"/>
    <n v="7002"/>
    <x v="76"/>
    <x v="0"/>
    <x v="0"/>
    <d v="2015-01-29T00:00:00"/>
    <n v="-23.634399999999999"/>
    <n v="1"/>
    <x v="551"/>
    <n v="89431"/>
    <x v="0"/>
  </r>
  <r>
    <n v="19003"/>
    <s v="High"/>
    <n v="0.08"/>
    <n v="45.19"/>
    <x v="45"/>
    <x v="324"/>
    <x v="0"/>
    <x v="324"/>
    <x v="2"/>
    <x v="2"/>
    <x v="2"/>
    <x v="13"/>
    <x v="2"/>
    <x v="397"/>
    <n v="0.55000000000000004"/>
    <n v="-0.56461248231410155"/>
    <s v="United States"/>
    <x v="1"/>
    <x v="2"/>
    <x v="267"/>
    <n v="7450"/>
    <x v="88"/>
    <x v="5"/>
    <x v="0"/>
    <d v="2015-03-15T00:00:00"/>
    <n v="-71.83"/>
    <n v="3"/>
    <x v="552"/>
    <n v="89433"/>
    <x v="0"/>
  </r>
  <r>
    <n v="19002"/>
    <s v="High"/>
    <n v="0.03"/>
    <n v="33.979999999999997"/>
    <x v="3"/>
    <x v="325"/>
    <x v="0"/>
    <x v="325"/>
    <x v="2"/>
    <x v="2"/>
    <x v="1"/>
    <x v="2"/>
    <x v="3"/>
    <x v="398"/>
    <n v="0.55000000000000004"/>
    <n v="-1.7112200536490822E-3"/>
    <s v="United States"/>
    <x v="1"/>
    <x v="9"/>
    <x v="268"/>
    <n v="5201"/>
    <x v="88"/>
    <x v="5"/>
    <x v="0"/>
    <d v="2015-03-15T00:00:00"/>
    <n v="-0.74000000000000909"/>
    <n v="12"/>
    <x v="553"/>
    <n v="89433"/>
    <x v="0"/>
  </r>
  <r>
    <n v="19380"/>
    <s v="Low"/>
    <n v="0.06"/>
    <n v="10.14"/>
    <x v="66"/>
    <x v="326"/>
    <x v="1"/>
    <x v="326"/>
    <x v="2"/>
    <x v="2"/>
    <x v="0"/>
    <x v="7"/>
    <x v="0"/>
    <x v="82"/>
    <n v="0.36"/>
    <n v="-0.31855500821018062"/>
    <s v="United States"/>
    <x v="2"/>
    <x v="12"/>
    <x v="182"/>
    <n v="60089"/>
    <x v="30"/>
    <x v="5"/>
    <x v="0"/>
    <d v="2015-03-04T00:00:00"/>
    <n v="-3.88"/>
    <n v="1"/>
    <x v="554"/>
    <n v="90043"/>
    <x v="0"/>
  </r>
  <r>
    <n v="20167"/>
    <s v="High"/>
    <n v="0.02"/>
    <n v="40.99"/>
    <x v="263"/>
    <x v="326"/>
    <x v="1"/>
    <x v="326"/>
    <x v="2"/>
    <x v="2"/>
    <x v="0"/>
    <x v="7"/>
    <x v="3"/>
    <x v="399"/>
    <n v="0.36"/>
    <n v="0.57983523247372248"/>
    <s v="United States"/>
    <x v="2"/>
    <x v="12"/>
    <x v="182"/>
    <n v="60089"/>
    <x v="139"/>
    <x v="2"/>
    <x v="0"/>
    <d v="2015-02-28T00:00:00"/>
    <n v="551.09280000000001"/>
    <n v="23"/>
    <x v="555"/>
    <n v="90044"/>
    <x v="0"/>
  </r>
  <r>
    <n v="18529"/>
    <s v="High"/>
    <n v="0.01"/>
    <n v="3.15"/>
    <x v="243"/>
    <x v="327"/>
    <x v="0"/>
    <x v="327"/>
    <x v="2"/>
    <x v="1"/>
    <x v="0"/>
    <x v="9"/>
    <x v="3"/>
    <x v="400"/>
    <n v="0.37"/>
    <n v="0.69"/>
    <s v="United States"/>
    <x v="1"/>
    <x v="14"/>
    <x v="269"/>
    <n v="4038"/>
    <x v="40"/>
    <x v="3"/>
    <x v="0"/>
    <d v="2015-05-27T00:00:00"/>
    <n v="17.505299999999998"/>
    <n v="8"/>
    <x v="556"/>
    <n v="88371"/>
    <x v="0"/>
  </r>
  <r>
    <n v="18886"/>
    <s v="High"/>
    <n v="0.1"/>
    <n v="550.98"/>
    <x v="264"/>
    <x v="328"/>
    <x v="0"/>
    <x v="328"/>
    <x v="1"/>
    <x v="0"/>
    <x v="1"/>
    <x v="11"/>
    <x v="5"/>
    <x v="401"/>
    <n v="0.71"/>
    <n v="0.11754522758832626"/>
    <s v="United States"/>
    <x v="1"/>
    <x v="14"/>
    <x v="270"/>
    <n v="4072"/>
    <x v="117"/>
    <x v="1"/>
    <x v="0"/>
    <d v="2015-06-21T00:00:00"/>
    <n v="818.54617499999995"/>
    <n v="14"/>
    <x v="557"/>
    <n v="88372"/>
    <x v="0"/>
  </r>
  <r>
    <n v="21184"/>
    <s v="Critical"/>
    <n v="0.09"/>
    <n v="28.48"/>
    <x v="45"/>
    <x v="329"/>
    <x v="1"/>
    <x v="329"/>
    <x v="2"/>
    <x v="1"/>
    <x v="2"/>
    <x v="13"/>
    <x v="2"/>
    <x v="137"/>
    <n v="0.4"/>
    <n v="-0.1070737341574577"/>
    <s v="United States"/>
    <x v="3"/>
    <x v="40"/>
    <x v="271"/>
    <n v="72022"/>
    <x v="151"/>
    <x v="5"/>
    <x v="0"/>
    <d v="2015-03-02T00:00:00"/>
    <n v="-17.149999999999999"/>
    <n v="6"/>
    <x v="558"/>
    <n v="88387"/>
    <x v="0"/>
  </r>
  <r>
    <n v="21185"/>
    <s v="Critical"/>
    <n v="0"/>
    <n v="2.08"/>
    <x v="183"/>
    <x v="329"/>
    <x v="1"/>
    <x v="329"/>
    <x v="2"/>
    <x v="1"/>
    <x v="1"/>
    <x v="2"/>
    <x v="3"/>
    <x v="261"/>
    <n v="0.43"/>
    <n v="-3.954484605087015"/>
    <s v="United States"/>
    <x v="3"/>
    <x v="40"/>
    <x v="271"/>
    <n v="72022"/>
    <x v="151"/>
    <x v="5"/>
    <x v="0"/>
    <d v="2015-03-03T00:00:00"/>
    <n v="-29.540000000000003"/>
    <n v="3"/>
    <x v="559"/>
    <n v="88387"/>
    <x v="0"/>
  </r>
  <r>
    <n v="21186"/>
    <s v="Critical"/>
    <n v="0.06"/>
    <n v="45.99"/>
    <x v="7"/>
    <x v="329"/>
    <x v="1"/>
    <x v="329"/>
    <x v="0"/>
    <x v="1"/>
    <x v="2"/>
    <x v="5"/>
    <x v="3"/>
    <x v="402"/>
    <n v="0.56000000000000005"/>
    <n v="-0.88936112834065961"/>
    <s v="United States"/>
    <x v="3"/>
    <x v="40"/>
    <x v="271"/>
    <n v="72022"/>
    <x v="151"/>
    <x v="5"/>
    <x v="0"/>
    <d v="2015-03-02T00:00:00"/>
    <n v="-329.78399999999999"/>
    <n v="10"/>
    <x v="560"/>
    <n v="88387"/>
    <x v="0"/>
  </r>
  <r>
    <n v="20880"/>
    <s v="Not Specified"/>
    <n v="0.08"/>
    <n v="10.91"/>
    <x v="139"/>
    <x v="329"/>
    <x v="1"/>
    <x v="329"/>
    <x v="2"/>
    <x v="1"/>
    <x v="0"/>
    <x v="8"/>
    <x v="3"/>
    <x v="403"/>
    <n v="0.38"/>
    <n v="-1.7501458454871242E-2"/>
    <s v="United States"/>
    <x v="3"/>
    <x v="40"/>
    <x v="271"/>
    <n v="72022"/>
    <x v="93"/>
    <x v="5"/>
    <x v="0"/>
    <d v="2015-03-06T00:00:00"/>
    <n v="-2.1"/>
    <n v="11"/>
    <x v="561"/>
    <n v="88388"/>
    <x v="0"/>
  </r>
  <r>
    <n v="20531"/>
    <s v="Medium"/>
    <n v="0"/>
    <n v="43.98"/>
    <x v="20"/>
    <x v="330"/>
    <x v="0"/>
    <x v="330"/>
    <x v="2"/>
    <x v="1"/>
    <x v="0"/>
    <x v="0"/>
    <x v="2"/>
    <x v="404"/>
    <n v="0.57999999999999996"/>
    <n v="1.2747302904564315"/>
    <s v="United States"/>
    <x v="3"/>
    <x v="24"/>
    <x v="272"/>
    <n v="27502"/>
    <x v="103"/>
    <x v="5"/>
    <x v="0"/>
    <d v="2015-03-18T00:00:00"/>
    <n v="829.46699999999998"/>
    <n v="14"/>
    <x v="562"/>
    <n v="88390"/>
    <x v="0"/>
  </r>
  <r>
    <n v="24752"/>
    <s v="High"/>
    <n v="0.02"/>
    <n v="6.48"/>
    <x v="265"/>
    <x v="331"/>
    <x v="0"/>
    <x v="331"/>
    <x v="0"/>
    <x v="1"/>
    <x v="0"/>
    <x v="7"/>
    <x v="3"/>
    <x v="405"/>
    <n v="0.37"/>
    <n v="9.7477651183172647"/>
    <s v="United States"/>
    <x v="3"/>
    <x v="24"/>
    <x v="273"/>
    <n v="28806"/>
    <x v="20"/>
    <x v="1"/>
    <x v="0"/>
    <d v="2015-06-13T00:00:00"/>
    <n v="111.22199999999999"/>
    <n v="1"/>
    <x v="563"/>
    <n v="88389"/>
    <x v="0"/>
  </r>
  <r>
    <n v="25027"/>
    <s v="Medium"/>
    <n v="0.05"/>
    <n v="35.89"/>
    <x v="266"/>
    <x v="332"/>
    <x v="1"/>
    <x v="332"/>
    <x v="2"/>
    <x v="1"/>
    <x v="0"/>
    <x v="4"/>
    <x v="3"/>
    <x v="406"/>
    <n v="0.4"/>
    <n v="3.3607195872955214E-2"/>
    <s v="United States"/>
    <x v="3"/>
    <x v="24"/>
    <x v="274"/>
    <n v="27511"/>
    <x v="4"/>
    <x v="4"/>
    <x v="0"/>
    <d v="2015-04-09T00:00:00"/>
    <n v="22.866"/>
    <n v="19"/>
    <x v="564"/>
    <n v="88391"/>
    <x v="0"/>
  </r>
  <r>
    <n v="25028"/>
    <s v="Medium"/>
    <n v="0"/>
    <n v="11.48"/>
    <x v="267"/>
    <x v="332"/>
    <x v="1"/>
    <x v="332"/>
    <x v="2"/>
    <x v="1"/>
    <x v="0"/>
    <x v="7"/>
    <x v="3"/>
    <x v="407"/>
    <n v="0.36"/>
    <n v="1.5324152542372882"/>
    <s v="United States"/>
    <x v="3"/>
    <x v="24"/>
    <x v="274"/>
    <n v="27511"/>
    <x v="4"/>
    <x v="4"/>
    <x v="0"/>
    <d v="2015-04-08T00:00:00"/>
    <n v="115.72799999999999"/>
    <n v="6"/>
    <x v="565"/>
    <n v="88391"/>
    <x v="0"/>
  </r>
  <r>
    <n v="24926"/>
    <s v="Critical"/>
    <n v="0.09"/>
    <n v="517.48"/>
    <x v="268"/>
    <x v="333"/>
    <x v="1"/>
    <x v="333"/>
    <x v="1"/>
    <x v="2"/>
    <x v="2"/>
    <x v="6"/>
    <x v="5"/>
    <x v="408"/>
    <n v="0.59"/>
    <n v="0.38621556652254796"/>
    <s v="United States"/>
    <x v="2"/>
    <x v="13"/>
    <x v="275"/>
    <n v="66762"/>
    <x v="146"/>
    <x v="5"/>
    <x v="0"/>
    <d v="2015-03-07T00:00:00"/>
    <n v="909.36"/>
    <n v="5"/>
    <x v="566"/>
    <n v="88632"/>
    <x v="0"/>
  </r>
  <r>
    <n v="23562"/>
    <s v="Critical"/>
    <n v="7.0000000000000007E-2"/>
    <n v="4.13"/>
    <x v="170"/>
    <x v="333"/>
    <x v="1"/>
    <x v="333"/>
    <x v="2"/>
    <x v="2"/>
    <x v="0"/>
    <x v="8"/>
    <x v="3"/>
    <x v="237"/>
    <n v="0.38"/>
    <n v="-0.96666329370098658"/>
    <s v="United States"/>
    <x v="2"/>
    <x v="13"/>
    <x v="275"/>
    <n v="66762"/>
    <x v="92"/>
    <x v="2"/>
    <x v="0"/>
    <d v="2015-02-07T00:00:00"/>
    <n v="-76.424400000000006"/>
    <n v="20"/>
    <x v="567"/>
    <n v="88634"/>
    <x v="0"/>
  </r>
  <r>
    <n v="23563"/>
    <s v="Critical"/>
    <n v="0"/>
    <n v="4.4800000000000004"/>
    <x v="10"/>
    <x v="333"/>
    <x v="1"/>
    <x v="333"/>
    <x v="2"/>
    <x v="2"/>
    <x v="0"/>
    <x v="4"/>
    <x v="3"/>
    <x v="409"/>
    <n v="0.37"/>
    <n v="0.13404973902364137"/>
    <s v="United States"/>
    <x v="2"/>
    <x v="13"/>
    <x v="275"/>
    <n v="66762"/>
    <x v="92"/>
    <x v="2"/>
    <x v="0"/>
    <d v="2015-02-08T00:00:00"/>
    <n v="8.7319999999999993"/>
    <n v="14"/>
    <x v="568"/>
    <n v="88634"/>
    <x v="0"/>
  </r>
  <r>
    <n v="18921"/>
    <s v="Critical"/>
    <n v="0.02"/>
    <n v="39.06"/>
    <x v="269"/>
    <x v="334"/>
    <x v="1"/>
    <x v="334"/>
    <x v="2"/>
    <x v="2"/>
    <x v="0"/>
    <x v="8"/>
    <x v="3"/>
    <x v="410"/>
    <n v="0.37"/>
    <n v="0.69"/>
    <s v="United States"/>
    <x v="1"/>
    <x v="19"/>
    <x v="276"/>
    <n v="15221"/>
    <x v="7"/>
    <x v="3"/>
    <x v="0"/>
    <d v="2015-05-15T00:00:00"/>
    <n v="442.0899"/>
    <n v="16"/>
    <x v="569"/>
    <n v="88633"/>
    <x v="0"/>
  </r>
  <r>
    <n v="18922"/>
    <s v="Critical"/>
    <n v="0.1"/>
    <n v="37.700000000000003"/>
    <x v="139"/>
    <x v="334"/>
    <x v="1"/>
    <x v="334"/>
    <x v="2"/>
    <x v="2"/>
    <x v="0"/>
    <x v="8"/>
    <x v="3"/>
    <x v="188"/>
    <n v="0.35"/>
    <n v="0.69"/>
    <s v="United States"/>
    <x v="1"/>
    <x v="19"/>
    <x v="276"/>
    <n v="15221"/>
    <x v="7"/>
    <x v="3"/>
    <x v="0"/>
    <d v="2015-05-16T00:00:00"/>
    <n v="455.12399999999997"/>
    <n v="18"/>
    <x v="570"/>
    <n v="88633"/>
    <x v="0"/>
  </r>
  <r>
    <n v="21402"/>
    <s v="Not Specified"/>
    <n v="0.08"/>
    <n v="65.989999999999995"/>
    <x v="78"/>
    <x v="335"/>
    <x v="1"/>
    <x v="335"/>
    <x v="2"/>
    <x v="2"/>
    <x v="2"/>
    <x v="5"/>
    <x v="3"/>
    <x v="411"/>
    <n v="0.57999999999999996"/>
    <n v="0.54887626582278481"/>
    <s v="United States"/>
    <x v="1"/>
    <x v="4"/>
    <x v="277"/>
    <n v="11722"/>
    <x v="131"/>
    <x v="2"/>
    <x v="0"/>
    <d v="2015-02-07T00:00:00"/>
    <n v="624.40163999999993"/>
    <n v="22"/>
    <x v="571"/>
    <n v="89005"/>
    <x v="0"/>
  </r>
  <r>
    <n v="20872"/>
    <s v="High"/>
    <n v="0.1"/>
    <n v="5.98"/>
    <x v="270"/>
    <x v="335"/>
    <x v="1"/>
    <x v="335"/>
    <x v="2"/>
    <x v="2"/>
    <x v="2"/>
    <x v="13"/>
    <x v="2"/>
    <x v="412"/>
    <n v="0.68"/>
    <n v="0.12485648300890802"/>
    <s v="United States"/>
    <x v="1"/>
    <x v="4"/>
    <x v="277"/>
    <n v="11722"/>
    <x v="124"/>
    <x v="3"/>
    <x v="0"/>
    <d v="2015-05-30T00:00:00"/>
    <n v="18.922000000000011"/>
    <n v="26"/>
    <x v="572"/>
    <n v="89008"/>
    <x v="0"/>
  </r>
  <r>
    <n v="20873"/>
    <s v="High"/>
    <n v="7.0000000000000007E-2"/>
    <n v="2.61"/>
    <x v="28"/>
    <x v="335"/>
    <x v="1"/>
    <x v="335"/>
    <x v="2"/>
    <x v="2"/>
    <x v="0"/>
    <x v="9"/>
    <x v="3"/>
    <x v="413"/>
    <n v="0.39"/>
    <n v="0.69"/>
    <s v="United States"/>
    <x v="1"/>
    <x v="4"/>
    <x v="277"/>
    <n v="11722"/>
    <x v="124"/>
    <x v="3"/>
    <x v="0"/>
    <d v="2015-06-01T00:00:00"/>
    <n v="39.350699999999996"/>
    <n v="22"/>
    <x v="573"/>
    <n v="89008"/>
    <x v="0"/>
  </r>
  <r>
    <n v="22662"/>
    <s v="High"/>
    <n v="0.1"/>
    <n v="73.98"/>
    <x v="41"/>
    <x v="336"/>
    <x v="1"/>
    <x v="336"/>
    <x v="2"/>
    <x v="2"/>
    <x v="2"/>
    <x v="13"/>
    <x v="3"/>
    <x v="414"/>
    <n v="0.79"/>
    <n v="-0.66201077095873051"/>
    <s v="United States"/>
    <x v="1"/>
    <x v="4"/>
    <x v="278"/>
    <n v="14225"/>
    <x v="14"/>
    <x v="5"/>
    <x v="0"/>
    <d v="2015-03-13T00:00:00"/>
    <n v="-229.87"/>
    <n v="5"/>
    <x v="574"/>
    <n v="89004"/>
    <x v="0"/>
  </r>
  <r>
    <n v="22663"/>
    <s v="High"/>
    <n v="0.05"/>
    <n v="51.98"/>
    <x v="271"/>
    <x v="336"/>
    <x v="1"/>
    <x v="336"/>
    <x v="2"/>
    <x v="2"/>
    <x v="2"/>
    <x v="6"/>
    <x v="4"/>
    <x v="415"/>
    <n v="0.37"/>
    <n v="0.69"/>
    <s v="United States"/>
    <x v="1"/>
    <x v="4"/>
    <x v="278"/>
    <n v="14225"/>
    <x v="14"/>
    <x v="5"/>
    <x v="0"/>
    <d v="2015-03-13T00:00:00"/>
    <n v="329.9787"/>
    <n v="9"/>
    <x v="575"/>
    <n v="89004"/>
    <x v="0"/>
  </r>
  <r>
    <n v="24325"/>
    <s v="Medium"/>
    <n v="7.0000000000000007E-2"/>
    <n v="7.08"/>
    <x v="272"/>
    <x v="337"/>
    <x v="1"/>
    <x v="337"/>
    <x v="0"/>
    <x v="2"/>
    <x v="0"/>
    <x v="0"/>
    <x v="0"/>
    <x v="416"/>
    <n v="0.47"/>
    <n v="0.32498401193775317"/>
    <s v="United States"/>
    <x v="1"/>
    <x v="4"/>
    <x v="279"/>
    <n v="11725"/>
    <x v="48"/>
    <x v="5"/>
    <x v="0"/>
    <d v="2015-03-30T00:00:00"/>
    <n v="30.49"/>
    <n v="13"/>
    <x v="458"/>
    <n v="89006"/>
    <x v="0"/>
  </r>
  <r>
    <n v="23398"/>
    <s v="Not Specified"/>
    <n v="0.05"/>
    <n v="83.1"/>
    <x v="273"/>
    <x v="337"/>
    <x v="1"/>
    <x v="337"/>
    <x v="0"/>
    <x v="2"/>
    <x v="2"/>
    <x v="13"/>
    <x v="3"/>
    <x v="417"/>
    <n v="0.45"/>
    <n v="0.69"/>
    <s v="United States"/>
    <x v="1"/>
    <x v="4"/>
    <x v="279"/>
    <n v="11725"/>
    <x v="100"/>
    <x v="3"/>
    <x v="0"/>
    <d v="2015-05-09T00:00:00"/>
    <n v="1152.5276999999999"/>
    <n v="20"/>
    <x v="576"/>
    <n v="89007"/>
    <x v="0"/>
  </r>
  <r>
    <n v="21959"/>
    <s v="Critical"/>
    <n v="7.0000000000000007E-2"/>
    <n v="125.99"/>
    <x v="10"/>
    <x v="338"/>
    <x v="0"/>
    <x v="338"/>
    <x v="2"/>
    <x v="1"/>
    <x v="2"/>
    <x v="5"/>
    <x v="3"/>
    <x v="418"/>
    <n v="0.6"/>
    <n v="-6.00860920568645"/>
    <s v="United States"/>
    <x v="1"/>
    <x v="10"/>
    <x v="280"/>
    <n v="43015"/>
    <x v="114"/>
    <x v="5"/>
    <x v="0"/>
    <d v="2015-03-13T00:00:00"/>
    <n v="-604.40600000000006"/>
    <n v="1"/>
    <x v="577"/>
    <n v="90710"/>
    <x v="0"/>
  </r>
  <r>
    <n v="21960"/>
    <s v="Critical"/>
    <n v="0.03"/>
    <n v="99.99"/>
    <x v="3"/>
    <x v="339"/>
    <x v="0"/>
    <x v="339"/>
    <x v="2"/>
    <x v="1"/>
    <x v="2"/>
    <x v="13"/>
    <x v="3"/>
    <x v="419"/>
    <n v="0.52"/>
    <n v="0.49075838096193058"/>
    <s v="United States"/>
    <x v="1"/>
    <x v="10"/>
    <x v="281"/>
    <n v="43017"/>
    <x v="114"/>
    <x v="5"/>
    <x v="0"/>
    <d v="2015-03-14T00:00:00"/>
    <n v="293.66000000000003"/>
    <n v="6"/>
    <x v="578"/>
    <n v="90710"/>
    <x v="0"/>
  </r>
  <r>
    <n v="20669"/>
    <s v="Critical"/>
    <n v="0.1"/>
    <n v="7.64"/>
    <x v="245"/>
    <x v="340"/>
    <x v="0"/>
    <x v="340"/>
    <x v="2"/>
    <x v="0"/>
    <x v="0"/>
    <x v="7"/>
    <x v="0"/>
    <x v="372"/>
    <n v="0.36"/>
    <n v="-10.243582317073169"/>
    <s v="United States"/>
    <x v="3"/>
    <x v="26"/>
    <x v="282"/>
    <n v="33430"/>
    <x v="154"/>
    <x v="1"/>
    <x v="0"/>
    <d v="2015-06-17T00:00:00"/>
    <n v="-403.18739999999997"/>
    <n v="5"/>
    <x v="579"/>
    <n v="90641"/>
    <x v="0"/>
  </r>
  <r>
    <n v="18404"/>
    <s v="Critical"/>
    <n v="0.06"/>
    <n v="55.94"/>
    <x v="41"/>
    <x v="341"/>
    <x v="1"/>
    <x v="341"/>
    <x v="2"/>
    <x v="2"/>
    <x v="2"/>
    <x v="13"/>
    <x v="3"/>
    <x v="420"/>
    <n v="0.74"/>
    <n v="-4.266195743098801E-2"/>
    <s v="United States"/>
    <x v="0"/>
    <x v="1"/>
    <x v="283"/>
    <n v="95695"/>
    <x v="89"/>
    <x v="4"/>
    <x v="0"/>
    <d v="2015-04-18T00:00:00"/>
    <n v="-13.77"/>
    <n v="6"/>
    <x v="580"/>
    <n v="87846"/>
    <x v="0"/>
  </r>
  <r>
    <n v="18405"/>
    <s v="Critical"/>
    <n v="7.0000000000000007E-2"/>
    <n v="6.3"/>
    <x v="28"/>
    <x v="341"/>
    <x v="1"/>
    <x v="341"/>
    <x v="2"/>
    <x v="2"/>
    <x v="0"/>
    <x v="9"/>
    <x v="3"/>
    <x v="421"/>
    <n v="0.39"/>
    <n v="0.69"/>
    <s v="United States"/>
    <x v="0"/>
    <x v="1"/>
    <x v="283"/>
    <n v="95695"/>
    <x v="89"/>
    <x v="4"/>
    <x v="0"/>
    <d v="2015-04-17T00:00:00"/>
    <n v="44.912100000000002"/>
    <n v="11"/>
    <x v="581"/>
    <n v="87846"/>
    <x v="0"/>
  </r>
  <r>
    <n v="20937"/>
    <s v="Critical"/>
    <n v="0"/>
    <n v="14.42"/>
    <x v="143"/>
    <x v="342"/>
    <x v="0"/>
    <x v="342"/>
    <x v="0"/>
    <x v="2"/>
    <x v="0"/>
    <x v="15"/>
    <x v="4"/>
    <x v="194"/>
    <n v="0.52"/>
    <n v="9.4280517380759904E-2"/>
    <s v="United States"/>
    <x v="0"/>
    <x v="1"/>
    <x v="284"/>
    <n v="95991"/>
    <x v="41"/>
    <x v="3"/>
    <x v="0"/>
    <d v="2015-05-17T00:00:00"/>
    <n v="9.33"/>
    <n v="6"/>
    <x v="582"/>
    <n v="87847"/>
    <x v="0"/>
  </r>
  <r>
    <n v="3926"/>
    <s v="Critical"/>
    <n v="0.02"/>
    <n v="209.84"/>
    <x v="274"/>
    <x v="343"/>
    <x v="1"/>
    <x v="343"/>
    <x v="2"/>
    <x v="1"/>
    <x v="1"/>
    <x v="2"/>
    <x v="6"/>
    <x v="422"/>
    <n v="0.59"/>
    <n v="0.19141887393020118"/>
    <s v="United States"/>
    <x v="0"/>
    <x v="1"/>
    <x v="154"/>
    <n v="90004"/>
    <x v="110"/>
    <x v="1"/>
    <x v="0"/>
    <d v="2015-06-14T00:00:00"/>
    <n v="2593.14"/>
    <n v="62"/>
    <x v="583"/>
    <n v="28001"/>
    <x v="0"/>
  </r>
  <r>
    <n v="3927"/>
    <s v="Critical"/>
    <n v="0.01"/>
    <n v="194.3"/>
    <x v="52"/>
    <x v="343"/>
    <x v="1"/>
    <x v="343"/>
    <x v="2"/>
    <x v="1"/>
    <x v="1"/>
    <x v="2"/>
    <x v="6"/>
    <x v="423"/>
    <n v="0.59"/>
    <n v="0.18163442237548133"/>
    <s v="United States"/>
    <x v="0"/>
    <x v="1"/>
    <x v="154"/>
    <n v="90004"/>
    <x v="110"/>
    <x v="1"/>
    <x v="0"/>
    <d v="2015-06-16T00:00:00"/>
    <n v="1162.76"/>
    <n v="32"/>
    <x v="584"/>
    <n v="28001"/>
    <x v="0"/>
  </r>
  <r>
    <n v="6711"/>
    <s v="High"/>
    <n v="0"/>
    <n v="6.68"/>
    <x v="128"/>
    <x v="343"/>
    <x v="1"/>
    <x v="343"/>
    <x v="2"/>
    <x v="1"/>
    <x v="0"/>
    <x v="7"/>
    <x v="3"/>
    <x v="424"/>
    <n v="0.37"/>
    <n v="-0.12461937155814706"/>
    <s v="United States"/>
    <x v="0"/>
    <x v="1"/>
    <x v="154"/>
    <n v="90004"/>
    <x v="139"/>
    <x v="2"/>
    <x v="0"/>
    <d v="2015-02-28T00:00:00"/>
    <n v="-76.94"/>
    <n v="90"/>
    <x v="585"/>
    <n v="47813"/>
    <x v="1"/>
  </r>
  <r>
    <n v="24711"/>
    <s v="High"/>
    <n v="0"/>
    <n v="6.68"/>
    <x v="128"/>
    <x v="344"/>
    <x v="0"/>
    <x v="344"/>
    <x v="2"/>
    <x v="1"/>
    <x v="0"/>
    <x v="7"/>
    <x v="3"/>
    <x v="424"/>
    <n v="0.37"/>
    <n v="-0.25357332995309928"/>
    <s v="United States"/>
    <x v="1"/>
    <x v="15"/>
    <x v="28"/>
    <n v="2109"/>
    <x v="139"/>
    <x v="2"/>
    <x v="0"/>
    <d v="2015-02-28T00:00:00"/>
    <n v="-40.008800000000001"/>
    <n v="23"/>
    <x v="586"/>
    <n v="89389"/>
    <x v="0"/>
  </r>
  <r>
    <n v="26259"/>
    <s v="Not Specified"/>
    <n v="0.03"/>
    <n v="5.44"/>
    <x v="275"/>
    <x v="345"/>
    <x v="1"/>
    <x v="345"/>
    <x v="0"/>
    <x v="0"/>
    <x v="0"/>
    <x v="8"/>
    <x v="3"/>
    <x v="425"/>
    <n v="0.36"/>
    <n v="-1.9651843405549223"/>
    <s v="United States"/>
    <x v="0"/>
    <x v="28"/>
    <x v="285"/>
    <n v="85374"/>
    <x v="40"/>
    <x v="3"/>
    <x v="0"/>
    <d v="2015-05-27T00:00:00"/>
    <n v="-51.704000000000001"/>
    <n v="4"/>
    <x v="587"/>
    <n v="90069"/>
    <x v="0"/>
  </r>
  <r>
    <n v="26260"/>
    <s v="Not Specified"/>
    <n v="0.08"/>
    <n v="26.38"/>
    <x v="276"/>
    <x v="345"/>
    <x v="1"/>
    <x v="345"/>
    <x v="2"/>
    <x v="0"/>
    <x v="0"/>
    <x v="7"/>
    <x v="3"/>
    <x v="426"/>
    <n v="0.39"/>
    <n v="0.69"/>
    <s v="United States"/>
    <x v="0"/>
    <x v="28"/>
    <x v="285"/>
    <n v="85374"/>
    <x v="40"/>
    <x v="3"/>
    <x v="0"/>
    <d v="2015-05-26T00:00:00"/>
    <n v="144.7482"/>
    <n v="8"/>
    <x v="588"/>
    <n v="90069"/>
    <x v="0"/>
  </r>
  <r>
    <n v="26261"/>
    <s v="Not Specified"/>
    <n v="0.06"/>
    <n v="20.99"/>
    <x v="10"/>
    <x v="345"/>
    <x v="1"/>
    <x v="345"/>
    <x v="2"/>
    <x v="0"/>
    <x v="2"/>
    <x v="5"/>
    <x v="0"/>
    <x v="427"/>
    <n v="0.81"/>
    <n v="-6.2921480650588899"/>
    <s v="United States"/>
    <x v="0"/>
    <x v="28"/>
    <x v="285"/>
    <n v="85374"/>
    <x v="40"/>
    <x v="3"/>
    <x v="0"/>
    <d v="2015-05-27T00:00:00"/>
    <n v="-112.18899999999999"/>
    <n v="1"/>
    <x v="589"/>
    <n v="90069"/>
    <x v="0"/>
  </r>
  <r>
    <n v="8200"/>
    <s v="Medium"/>
    <n v="0.09"/>
    <n v="138.75"/>
    <x v="277"/>
    <x v="346"/>
    <x v="1"/>
    <x v="346"/>
    <x v="1"/>
    <x v="2"/>
    <x v="1"/>
    <x v="11"/>
    <x v="5"/>
    <x v="428"/>
    <n v="0.74"/>
    <n v="-0.17642754194375326"/>
    <s v="United States"/>
    <x v="3"/>
    <x v="29"/>
    <x v="135"/>
    <n v="30318"/>
    <x v="120"/>
    <x v="5"/>
    <x v="0"/>
    <d v="2015-03-25T00:00:00"/>
    <n v="-445.97177625000006"/>
    <n v="23"/>
    <x v="590"/>
    <n v="58628"/>
    <x v="0"/>
  </r>
  <r>
    <n v="7980"/>
    <s v="Low"/>
    <n v="7.0000000000000007E-2"/>
    <n v="6.3"/>
    <x v="28"/>
    <x v="346"/>
    <x v="1"/>
    <x v="346"/>
    <x v="2"/>
    <x v="2"/>
    <x v="0"/>
    <x v="9"/>
    <x v="3"/>
    <x v="57"/>
    <n v="0.39"/>
    <n v="3.4195454172478865E-2"/>
    <s v="United States"/>
    <x v="3"/>
    <x v="29"/>
    <x v="135"/>
    <n v="30318"/>
    <x v="155"/>
    <x v="3"/>
    <x v="0"/>
    <d v="2015-05-30T00:00:00"/>
    <n v="4.1673999999999998"/>
    <n v="20"/>
    <x v="591"/>
    <n v="57061"/>
    <x v="0"/>
  </r>
  <r>
    <n v="26200"/>
    <s v="Medium"/>
    <n v="0.09"/>
    <n v="138.75"/>
    <x v="277"/>
    <x v="347"/>
    <x v="1"/>
    <x v="347"/>
    <x v="1"/>
    <x v="2"/>
    <x v="1"/>
    <x v="11"/>
    <x v="5"/>
    <x v="428"/>
    <n v="0.74"/>
    <n v="-0.50850311637499634"/>
    <s v="United States"/>
    <x v="1"/>
    <x v="4"/>
    <x v="286"/>
    <n v="11727"/>
    <x v="120"/>
    <x v="5"/>
    <x v="0"/>
    <d v="2015-03-25T00:00:00"/>
    <n v="-335.31712500000003"/>
    <n v="6"/>
    <x v="592"/>
    <n v="91354"/>
    <x v="0"/>
  </r>
  <r>
    <n v="25979"/>
    <s v="Low"/>
    <n v="0.04"/>
    <n v="22.38"/>
    <x v="278"/>
    <x v="347"/>
    <x v="1"/>
    <x v="347"/>
    <x v="2"/>
    <x v="2"/>
    <x v="0"/>
    <x v="8"/>
    <x v="3"/>
    <x v="429"/>
    <n v="0.38"/>
    <n v="3.9704111218496804E-2"/>
    <s v="United States"/>
    <x v="1"/>
    <x v="4"/>
    <x v="286"/>
    <n v="11727"/>
    <x v="155"/>
    <x v="3"/>
    <x v="0"/>
    <d v="2015-06-07T00:00:00"/>
    <n v="16.021800000000013"/>
    <n v="18"/>
    <x v="593"/>
    <n v="91355"/>
    <x v="0"/>
  </r>
  <r>
    <n v="25981"/>
    <s v="Low"/>
    <n v="0.06"/>
    <n v="17.78"/>
    <x v="110"/>
    <x v="347"/>
    <x v="1"/>
    <x v="347"/>
    <x v="2"/>
    <x v="2"/>
    <x v="1"/>
    <x v="2"/>
    <x v="3"/>
    <x v="430"/>
    <n v="0.54"/>
    <n v="0.69"/>
    <s v="United States"/>
    <x v="1"/>
    <x v="4"/>
    <x v="286"/>
    <n v="11727"/>
    <x v="155"/>
    <x v="3"/>
    <x v="0"/>
    <d v="2015-06-02T00:00:00"/>
    <n v="38.067299999999996"/>
    <n v="3"/>
    <x v="594"/>
    <n v="91355"/>
    <x v="0"/>
  </r>
  <r>
    <n v="19445"/>
    <s v="Critical"/>
    <n v="0.01"/>
    <n v="15.99"/>
    <x v="158"/>
    <x v="348"/>
    <x v="0"/>
    <x v="348"/>
    <x v="2"/>
    <x v="0"/>
    <x v="0"/>
    <x v="8"/>
    <x v="3"/>
    <x v="222"/>
    <n v="0.37"/>
    <n v="-0.26344701144552779"/>
    <s v="United States"/>
    <x v="2"/>
    <x v="12"/>
    <x v="287"/>
    <n v="60459"/>
    <x v="29"/>
    <x v="2"/>
    <x v="0"/>
    <d v="2015-02-20T00:00:00"/>
    <n v="-99.435440000000014"/>
    <n v="23"/>
    <x v="595"/>
    <n v="88899"/>
    <x v="0"/>
  </r>
  <r>
    <n v="20445"/>
    <s v="Low"/>
    <n v="0.04"/>
    <n v="22.84"/>
    <x v="279"/>
    <x v="349"/>
    <x v="0"/>
    <x v="349"/>
    <x v="2"/>
    <x v="1"/>
    <x v="0"/>
    <x v="7"/>
    <x v="3"/>
    <x v="431"/>
    <n v="0.39"/>
    <n v="-0.33966480446927377"/>
    <s v="United States"/>
    <x v="2"/>
    <x v="12"/>
    <x v="288"/>
    <n v="60409"/>
    <x v="44"/>
    <x v="5"/>
    <x v="0"/>
    <d v="2015-03-16T00:00:00"/>
    <n v="-97.28"/>
    <n v="12"/>
    <x v="596"/>
    <n v="87109"/>
    <x v="0"/>
  </r>
  <r>
    <n v="24737"/>
    <s v="Medium"/>
    <n v="0.02"/>
    <n v="15.94"/>
    <x v="280"/>
    <x v="350"/>
    <x v="0"/>
    <x v="350"/>
    <x v="2"/>
    <x v="1"/>
    <x v="0"/>
    <x v="0"/>
    <x v="2"/>
    <x v="432"/>
    <n v="0.55000000000000004"/>
    <n v="0.21015142848541413"/>
    <s v="United States"/>
    <x v="2"/>
    <x v="12"/>
    <x v="289"/>
    <n v="62901"/>
    <x v="50"/>
    <x v="3"/>
    <x v="0"/>
    <d v="2015-05-15T00:00:00"/>
    <n v="139.61200000000002"/>
    <n v="41"/>
    <x v="597"/>
    <n v="87110"/>
    <x v="0"/>
  </r>
  <r>
    <n v="22685"/>
    <s v="Not Specified"/>
    <n v="0.01"/>
    <n v="150.88999999999999"/>
    <x v="281"/>
    <x v="351"/>
    <x v="0"/>
    <x v="351"/>
    <x v="1"/>
    <x v="0"/>
    <x v="1"/>
    <x v="1"/>
    <x v="1"/>
    <x v="433"/>
    <n v="0.77"/>
    <n v="-1.0680632694866219"/>
    <s v="United States"/>
    <x v="1"/>
    <x v="19"/>
    <x v="290"/>
    <n v="18018"/>
    <x v="12"/>
    <x v="5"/>
    <x v="0"/>
    <d v="2015-03-30T00:00:00"/>
    <n v="-505.76"/>
    <n v="3"/>
    <x v="598"/>
    <n v="89631"/>
    <x v="0"/>
  </r>
  <r>
    <n v="26176"/>
    <s v="High"/>
    <n v="0.04"/>
    <n v="19.23"/>
    <x v="119"/>
    <x v="352"/>
    <x v="0"/>
    <x v="352"/>
    <x v="2"/>
    <x v="1"/>
    <x v="1"/>
    <x v="2"/>
    <x v="2"/>
    <x v="159"/>
    <n v="0.44"/>
    <n v="0.68999999999999984"/>
    <s v="United States"/>
    <x v="2"/>
    <x v="12"/>
    <x v="291"/>
    <n v="60441"/>
    <x v="156"/>
    <x v="5"/>
    <x v="0"/>
    <d v="2015-03-10T00:00:00"/>
    <n v="152.43479999999997"/>
    <n v="11"/>
    <x v="599"/>
    <n v="86422"/>
    <x v="0"/>
  </r>
  <r>
    <n v="23312"/>
    <s v="Not Specified"/>
    <n v="0.08"/>
    <n v="13.9"/>
    <x v="173"/>
    <x v="353"/>
    <x v="0"/>
    <x v="353"/>
    <x v="2"/>
    <x v="0"/>
    <x v="0"/>
    <x v="12"/>
    <x v="2"/>
    <x v="243"/>
    <n v="0.56000000000000005"/>
    <n v="5.021129270403752E-2"/>
    <s v="United States"/>
    <x v="2"/>
    <x v="12"/>
    <x v="292"/>
    <n v="60174"/>
    <x v="100"/>
    <x v="3"/>
    <x v="0"/>
    <d v="2015-05-09T00:00:00"/>
    <n v="9.862000000000009"/>
    <n v="14"/>
    <x v="600"/>
    <n v="88461"/>
    <x v="0"/>
  </r>
  <r>
    <n v="24324"/>
    <s v="Not Specified"/>
    <n v="7.0000000000000007E-2"/>
    <n v="55.99"/>
    <x v="104"/>
    <x v="354"/>
    <x v="0"/>
    <x v="354"/>
    <x v="0"/>
    <x v="0"/>
    <x v="2"/>
    <x v="5"/>
    <x v="2"/>
    <x v="134"/>
    <n v="0.83"/>
    <n v="-4.3082655325443788"/>
    <s v="United States"/>
    <x v="2"/>
    <x v="12"/>
    <x v="293"/>
    <n v="62701"/>
    <x v="157"/>
    <x v="5"/>
    <x v="0"/>
    <d v="2015-04-02T00:00:00"/>
    <n v="-232.99100000000001"/>
    <n v="1"/>
    <x v="601"/>
    <n v="88460"/>
    <x v="0"/>
  </r>
  <r>
    <n v="18047"/>
    <s v="Not Specified"/>
    <n v="0.05"/>
    <n v="7.64"/>
    <x v="245"/>
    <x v="355"/>
    <x v="1"/>
    <x v="355"/>
    <x v="2"/>
    <x v="1"/>
    <x v="0"/>
    <x v="7"/>
    <x v="0"/>
    <x v="372"/>
    <n v="0.36"/>
    <n v="-0.85364985163204743"/>
    <s v="United States"/>
    <x v="1"/>
    <x v="4"/>
    <x v="294"/>
    <n v="11729"/>
    <x v="99"/>
    <x v="0"/>
    <x v="0"/>
    <d v="2015-01-06T00:00:00"/>
    <n v="-40.275199999999998"/>
    <n v="6"/>
    <x v="602"/>
    <n v="86122"/>
    <x v="0"/>
  </r>
  <r>
    <n v="25279"/>
    <s v="High"/>
    <n v="0.04"/>
    <n v="9.06"/>
    <x v="147"/>
    <x v="355"/>
    <x v="1"/>
    <x v="355"/>
    <x v="2"/>
    <x v="1"/>
    <x v="0"/>
    <x v="7"/>
    <x v="3"/>
    <x v="204"/>
    <n v="0.4"/>
    <n v="-1.7249757045675413"/>
    <s v="United States"/>
    <x v="1"/>
    <x v="4"/>
    <x v="294"/>
    <n v="11729"/>
    <x v="158"/>
    <x v="4"/>
    <x v="0"/>
    <d v="2015-04-25T00:00:00"/>
    <n v="-53.25"/>
    <n v="3"/>
    <x v="603"/>
    <n v="86123"/>
    <x v="0"/>
  </r>
  <r>
    <n v="23104"/>
    <s v="Not Specified"/>
    <n v="0.06"/>
    <n v="30.42"/>
    <x v="282"/>
    <x v="355"/>
    <x v="1"/>
    <x v="355"/>
    <x v="2"/>
    <x v="0"/>
    <x v="2"/>
    <x v="13"/>
    <x v="3"/>
    <x v="434"/>
    <n v="0.74"/>
    <n v="-0.51528878822197055"/>
    <s v="United States"/>
    <x v="1"/>
    <x v="4"/>
    <x v="294"/>
    <n v="11729"/>
    <x v="116"/>
    <x v="3"/>
    <x v="0"/>
    <d v="2015-05-15T00:00:00"/>
    <n v="-159.25"/>
    <n v="10"/>
    <x v="604"/>
    <n v="86124"/>
    <x v="0"/>
  </r>
  <r>
    <n v="23105"/>
    <s v="Not Specified"/>
    <n v="0.02"/>
    <n v="37.94"/>
    <x v="217"/>
    <x v="355"/>
    <x v="1"/>
    <x v="355"/>
    <x v="2"/>
    <x v="0"/>
    <x v="0"/>
    <x v="7"/>
    <x v="0"/>
    <x v="320"/>
    <n v="0.38"/>
    <n v="0.69"/>
    <s v="United States"/>
    <x v="1"/>
    <x v="4"/>
    <x v="294"/>
    <n v="11729"/>
    <x v="116"/>
    <x v="3"/>
    <x v="0"/>
    <d v="2015-05-14T00:00:00"/>
    <n v="206.517"/>
    <n v="8"/>
    <x v="605"/>
    <n v="86124"/>
    <x v="0"/>
  </r>
  <r>
    <n v="25280"/>
    <s v="High"/>
    <n v="0.04"/>
    <n v="14.27"/>
    <x v="283"/>
    <x v="356"/>
    <x v="0"/>
    <x v="356"/>
    <x v="2"/>
    <x v="1"/>
    <x v="0"/>
    <x v="8"/>
    <x v="3"/>
    <x v="435"/>
    <n v="0.38"/>
    <n v="4.6971706454465072E-2"/>
    <s v="United States"/>
    <x v="1"/>
    <x v="4"/>
    <x v="295"/>
    <n v="11746"/>
    <x v="158"/>
    <x v="4"/>
    <x v="0"/>
    <d v="2015-04-25T00:00:00"/>
    <n v="2.125"/>
    <n v="3"/>
    <x v="606"/>
    <n v="86123"/>
    <x v="0"/>
  </r>
  <r>
    <n v="22537"/>
    <s v="Medium"/>
    <n v="0.02"/>
    <n v="15.14"/>
    <x v="284"/>
    <x v="357"/>
    <x v="0"/>
    <x v="357"/>
    <x v="2"/>
    <x v="2"/>
    <x v="0"/>
    <x v="10"/>
    <x v="3"/>
    <x v="436"/>
    <n v="0.81"/>
    <n v="0.11532732261858109"/>
    <s v="United States"/>
    <x v="0"/>
    <x v="1"/>
    <x v="265"/>
    <n v="93030"/>
    <x v="130"/>
    <x v="3"/>
    <x v="0"/>
    <d v="2015-05-06T00:00:00"/>
    <n v="5.8840000000000074"/>
    <n v="3"/>
    <x v="607"/>
    <n v="91488"/>
    <x v="0"/>
  </r>
  <r>
    <n v="21847"/>
    <s v="Not Specified"/>
    <n v="0.05"/>
    <n v="328.14"/>
    <x v="118"/>
    <x v="358"/>
    <x v="0"/>
    <x v="358"/>
    <x v="1"/>
    <x v="1"/>
    <x v="0"/>
    <x v="15"/>
    <x v="1"/>
    <x v="158"/>
    <n v="0.56999999999999995"/>
    <n v="0.33693085856183363"/>
    <s v="United States"/>
    <x v="2"/>
    <x v="32"/>
    <x v="296"/>
    <n v="68046"/>
    <x v="98"/>
    <x v="4"/>
    <x v="0"/>
    <d v="2015-04-11T00:00:00"/>
    <n v="772.04"/>
    <n v="7"/>
    <x v="608"/>
    <n v="90977"/>
    <x v="0"/>
  </r>
  <r>
    <n v="3847"/>
    <s v="Not Specified"/>
    <n v="0.05"/>
    <n v="328.14"/>
    <x v="118"/>
    <x v="359"/>
    <x v="0"/>
    <x v="359"/>
    <x v="1"/>
    <x v="1"/>
    <x v="0"/>
    <x v="15"/>
    <x v="1"/>
    <x v="158"/>
    <n v="0.56999999999999995"/>
    <n v="8.1327979167632292E-2"/>
    <s v="United States"/>
    <x v="1"/>
    <x v="4"/>
    <x v="8"/>
    <n v="10282"/>
    <x v="98"/>
    <x v="4"/>
    <x v="0"/>
    <d v="2015-04-11T00:00:00"/>
    <n v="772.04"/>
    <n v="29"/>
    <x v="609"/>
    <n v="27456"/>
    <x v="0"/>
  </r>
  <r>
    <n v="2808"/>
    <s v="Medium"/>
    <n v="0.04"/>
    <n v="6.35"/>
    <x v="215"/>
    <x v="360"/>
    <x v="1"/>
    <x v="360"/>
    <x v="2"/>
    <x v="2"/>
    <x v="0"/>
    <x v="7"/>
    <x v="0"/>
    <x v="318"/>
    <n v="0.39"/>
    <n v="0.25719848023361697"/>
    <s v="United States"/>
    <x v="2"/>
    <x v="7"/>
    <x v="188"/>
    <n v="75220"/>
    <x v="135"/>
    <x v="3"/>
    <x v="0"/>
    <d v="2015-05-23T00:00:00"/>
    <n v="81.91"/>
    <n v="52"/>
    <x v="610"/>
    <n v="20261"/>
    <x v="0"/>
  </r>
  <r>
    <n v="106"/>
    <s v="High"/>
    <n v="0.01"/>
    <n v="9.31"/>
    <x v="285"/>
    <x v="360"/>
    <x v="1"/>
    <x v="360"/>
    <x v="2"/>
    <x v="2"/>
    <x v="0"/>
    <x v="12"/>
    <x v="2"/>
    <x v="437"/>
    <n v="0.56000000000000005"/>
    <n v="-1.8570260324383261E-2"/>
    <s v="United States"/>
    <x v="2"/>
    <x v="7"/>
    <x v="188"/>
    <n v="75220"/>
    <x v="8"/>
    <x v="3"/>
    <x v="0"/>
    <d v="2015-05-22T00:00:00"/>
    <n v="-10.9"/>
    <n v="61"/>
    <x v="611"/>
    <n v="646"/>
    <x v="0"/>
  </r>
  <r>
    <n v="6443"/>
    <s v="Not Specified"/>
    <n v="0.08"/>
    <n v="140.81"/>
    <x v="65"/>
    <x v="360"/>
    <x v="1"/>
    <x v="360"/>
    <x v="2"/>
    <x v="3"/>
    <x v="1"/>
    <x v="1"/>
    <x v="6"/>
    <x v="438"/>
    <n v="0.56999999999999995"/>
    <n v="0.10935998871617179"/>
    <s v="United States"/>
    <x v="2"/>
    <x v="7"/>
    <x v="188"/>
    <n v="75220"/>
    <x v="132"/>
    <x v="1"/>
    <x v="0"/>
    <d v="2015-06-08T00:00:00"/>
    <n v="1232.79"/>
    <n v="81"/>
    <x v="612"/>
    <n v="45824"/>
    <x v="0"/>
  </r>
  <r>
    <n v="18106"/>
    <s v="High"/>
    <n v="0.01"/>
    <n v="9.31"/>
    <x v="285"/>
    <x v="361"/>
    <x v="0"/>
    <x v="361"/>
    <x v="2"/>
    <x v="2"/>
    <x v="0"/>
    <x v="12"/>
    <x v="2"/>
    <x v="437"/>
    <n v="0.56000000000000005"/>
    <n v="1.510427492551792E-2"/>
    <s v="United States"/>
    <x v="2"/>
    <x v="7"/>
    <x v="297"/>
    <n v="77566"/>
    <x v="8"/>
    <x v="3"/>
    <x v="0"/>
    <d v="2015-05-22T00:00:00"/>
    <n v="2.1800000000000015"/>
    <n v="15"/>
    <x v="613"/>
    <n v="86411"/>
    <x v="0"/>
  </r>
  <r>
    <n v="20807"/>
    <s v="Medium"/>
    <n v="0.09"/>
    <n v="31.74"/>
    <x v="254"/>
    <x v="362"/>
    <x v="1"/>
    <x v="362"/>
    <x v="0"/>
    <x v="2"/>
    <x v="0"/>
    <x v="8"/>
    <x v="3"/>
    <x v="383"/>
    <n v="0.37"/>
    <n v="0.24804102753649973"/>
    <s v="United States"/>
    <x v="2"/>
    <x v="7"/>
    <x v="298"/>
    <n v="75146"/>
    <x v="135"/>
    <x v="3"/>
    <x v="0"/>
    <d v="2015-05-20T00:00:00"/>
    <n v="67.107500000000002"/>
    <n v="9"/>
    <x v="614"/>
    <n v="86409"/>
    <x v="0"/>
  </r>
  <r>
    <n v="20808"/>
    <s v="Medium"/>
    <n v="0.04"/>
    <n v="6.35"/>
    <x v="215"/>
    <x v="362"/>
    <x v="1"/>
    <x v="362"/>
    <x v="2"/>
    <x v="2"/>
    <x v="0"/>
    <x v="7"/>
    <x v="0"/>
    <x v="318"/>
    <n v="0.39"/>
    <n v="0.69"/>
    <s v="United States"/>
    <x v="2"/>
    <x v="7"/>
    <x v="298"/>
    <n v="75146"/>
    <x v="135"/>
    <x v="3"/>
    <x v="0"/>
    <d v="2015-05-23T00:00:00"/>
    <n v="54.937799999999996"/>
    <n v="13"/>
    <x v="615"/>
    <n v="86409"/>
    <x v="0"/>
  </r>
  <r>
    <n v="20809"/>
    <s v="Medium"/>
    <n v="0.02"/>
    <n v="65.989999999999995"/>
    <x v="20"/>
    <x v="362"/>
    <x v="1"/>
    <x v="362"/>
    <x v="0"/>
    <x v="2"/>
    <x v="2"/>
    <x v="5"/>
    <x v="3"/>
    <x v="210"/>
    <n v="0.56000000000000005"/>
    <n v="0.35064715813168257"/>
    <s v="United States"/>
    <x v="2"/>
    <x v="7"/>
    <x v="298"/>
    <n v="75146"/>
    <x v="135"/>
    <x v="3"/>
    <x v="0"/>
    <d v="2015-05-21T00:00:00"/>
    <n v="168.23699999999999"/>
    <n v="8"/>
    <x v="616"/>
    <n v="86409"/>
    <x v="0"/>
  </r>
  <r>
    <n v="22480"/>
    <s v="Medium"/>
    <n v="0.08"/>
    <n v="8.3699999999999992"/>
    <x v="286"/>
    <x v="363"/>
    <x v="0"/>
    <x v="363"/>
    <x v="2"/>
    <x v="3"/>
    <x v="1"/>
    <x v="2"/>
    <x v="6"/>
    <x v="439"/>
    <n v="0.59"/>
    <n v="-1.5527296082209379"/>
    <s v="United States"/>
    <x v="2"/>
    <x v="7"/>
    <x v="299"/>
    <n v="78041"/>
    <x v="159"/>
    <x v="1"/>
    <x v="0"/>
    <d v="2015-06-29T00:00:00"/>
    <n v="-169.232"/>
    <n v="13"/>
    <x v="617"/>
    <n v="86410"/>
    <x v="0"/>
  </r>
  <r>
    <n v="20176"/>
    <s v="Not Specified"/>
    <n v="0.03"/>
    <n v="300.98"/>
    <x v="42"/>
    <x v="364"/>
    <x v="1"/>
    <x v="364"/>
    <x v="1"/>
    <x v="0"/>
    <x v="1"/>
    <x v="14"/>
    <x v="5"/>
    <x v="52"/>
    <n v="0.55000000000000004"/>
    <n v="0.36072724798884293"/>
    <s v="United States"/>
    <x v="0"/>
    <x v="1"/>
    <x v="300"/>
    <n v="92399"/>
    <x v="57"/>
    <x v="4"/>
    <x v="0"/>
    <d v="2015-04-04T00:00:00"/>
    <n v="1272.5808"/>
    <n v="12"/>
    <x v="618"/>
    <n v="90832"/>
    <x v="0"/>
  </r>
  <r>
    <n v="20177"/>
    <s v="Not Specified"/>
    <n v="0.02"/>
    <n v="2550.14"/>
    <x v="256"/>
    <x v="364"/>
    <x v="1"/>
    <x v="364"/>
    <x v="1"/>
    <x v="0"/>
    <x v="2"/>
    <x v="6"/>
    <x v="1"/>
    <x v="440"/>
    <n v="0.56999999999999995"/>
    <n v="-1.1474027112453467"/>
    <s v="United States"/>
    <x v="0"/>
    <x v="1"/>
    <x v="300"/>
    <n v="92399"/>
    <x v="57"/>
    <x v="4"/>
    <x v="0"/>
    <d v="2015-04-04T00:00:00"/>
    <n v="-5390.7388920000003"/>
    <n v="2"/>
    <x v="619"/>
    <n v="90832"/>
    <x v="0"/>
  </r>
  <r>
    <n v="26060"/>
    <s v="Critical"/>
    <n v="0.01"/>
    <n v="2.89"/>
    <x v="28"/>
    <x v="365"/>
    <x v="1"/>
    <x v="365"/>
    <x v="2"/>
    <x v="0"/>
    <x v="0"/>
    <x v="9"/>
    <x v="3"/>
    <x v="277"/>
    <n v="0.38"/>
    <n v="0.69"/>
    <s v="United States"/>
    <x v="0"/>
    <x v="21"/>
    <x v="301"/>
    <n v="80004"/>
    <x v="34"/>
    <x v="4"/>
    <x v="0"/>
    <d v="2015-04-07T00:00:00"/>
    <n v="29.725199999999997"/>
    <n v="14"/>
    <x v="173"/>
    <n v="90833"/>
    <x v="0"/>
  </r>
  <r>
    <n v="26061"/>
    <s v="Critical"/>
    <n v="0"/>
    <n v="55.99"/>
    <x v="104"/>
    <x v="365"/>
    <x v="1"/>
    <x v="365"/>
    <x v="2"/>
    <x v="0"/>
    <x v="2"/>
    <x v="5"/>
    <x v="2"/>
    <x v="241"/>
    <n v="0.8"/>
    <n v="-0.72262773722627738"/>
    <s v="United States"/>
    <x v="0"/>
    <x v="21"/>
    <x v="301"/>
    <n v="80004"/>
    <x v="34"/>
    <x v="4"/>
    <x v="0"/>
    <d v="2015-04-08T00:00:00"/>
    <n v="-187.11"/>
    <n v="5"/>
    <x v="620"/>
    <n v="90833"/>
    <x v="0"/>
  </r>
  <r>
    <n v="21579"/>
    <s v="Not Specified"/>
    <n v="0.06"/>
    <n v="64.650000000000006"/>
    <x v="97"/>
    <x v="366"/>
    <x v="0"/>
    <x v="366"/>
    <x v="2"/>
    <x v="1"/>
    <x v="0"/>
    <x v="10"/>
    <x v="6"/>
    <x v="333"/>
    <n v="0.8"/>
    <n v="-0.50175504322766573"/>
    <s v="United States"/>
    <x v="0"/>
    <x v="28"/>
    <x v="302"/>
    <n v="85705"/>
    <x v="64"/>
    <x v="2"/>
    <x v="0"/>
    <d v="2015-02-06T00:00:00"/>
    <n v="-139.28720000000001"/>
    <n v="4"/>
    <x v="621"/>
    <n v="86768"/>
    <x v="0"/>
  </r>
  <r>
    <n v="21329"/>
    <s v="Low"/>
    <n v="0.04"/>
    <n v="19.98"/>
    <x v="287"/>
    <x v="367"/>
    <x v="1"/>
    <x v="367"/>
    <x v="2"/>
    <x v="3"/>
    <x v="0"/>
    <x v="7"/>
    <x v="3"/>
    <x v="441"/>
    <n v="0.37"/>
    <n v="0.64270411806712691"/>
    <s v="United States"/>
    <x v="0"/>
    <x v="1"/>
    <x v="303"/>
    <n v="92592"/>
    <x v="131"/>
    <x v="2"/>
    <x v="0"/>
    <d v="2015-02-14T00:00:00"/>
    <n v="108"/>
    <n v="8"/>
    <x v="622"/>
    <n v="86767"/>
    <x v="0"/>
  </r>
  <r>
    <n v="21330"/>
    <s v="Low"/>
    <n v="0.08"/>
    <n v="125.99"/>
    <x v="19"/>
    <x v="367"/>
    <x v="1"/>
    <x v="367"/>
    <x v="2"/>
    <x v="3"/>
    <x v="2"/>
    <x v="5"/>
    <x v="3"/>
    <x v="442"/>
    <n v="0.57999999999999996"/>
    <n v="0.53614135842833988"/>
    <s v="United States"/>
    <x v="0"/>
    <x v="1"/>
    <x v="303"/>
    <n v="92592"/>
    <x v="131"/>
    <x v="2"/>
    <x v="0"/>
    <d v="2015-02-09T00:00:00"/>
    <n v="377.154"/>
    <n v="7"/>
    <x v="623"/>
    <n v="86767"/>
    <x v="0"/>
  </r>
  <r>
    <n v="20612"/>
    <s v="High"/>
    <n v="0.03"/>
    <n v="7.3"/>
    <x v="288"/>
    <x v="368"/>
    <x v="1"/>
    <x v="368"/>
    <x v="2"/>
    <x v="2"/>
    <x v="0"/>
    <x v="8"/>
    <x v="3"/>
    <x v="443"/>
    <n v="0.38"/>
    <n v="-1.2262522922497829"/>
    <s v="United States"/>
    <x v="0"/>
    <x v="1"/>
    <x v="124"/>
    <n v="95661"/>
    <x v="24"/>
    <x v="5"/>
    <x v="0"/>
    <d v="2015-03-18T00:00:00"/>
    <n v="-127.05200000000001"/>
    <n v="14"/>
    <x v="624"/>
    <n v="87015"/>
    <x v="0"/>
  </r>
  <r>
    <n v="18212"/>
    <s v="High"/>
    <n v="0.09"/>
    <n v="175.99"/>
    <x v="7"/>
    <x v="368"/>
    <x v="1"/>
    <x v="368"/>
    <x v="2"/>
    <x v="2"/>
    <x v="2"/>
    <x v="5"/>
    <x v="3"/>
    <x v="32"/>
    <n v="0.59"/>
    <n v="0.69000000000000006"/>
    <s v="United States"/>
    <x v="0"/>
    <x v="1"/>
    <x v="124"/>
    <n v="95661"/>
    <x v="105"/>
    <x v="1"/>
    <x v="0"/>
    <d v="2015-06-22T00:00:00"/>
    <n v="2169.7464"/>
    <n v="22"/>
    <x v="625"/>
    <n v="87016"/>
    <x v="0"/>
  </r>
  <r>
    <n v="18211"/>
    <s v="High"/>
    <n v="0.09"/>
    <n v="160.97999999999999"/>
    <x v="185"/>
    <x v="369"/>
    <x v="0"/>
    <x v="369"/>
    <x v="1"/>
    <x v="2"/>
    <x v="1"/>
    <x v="14"/>
    <x v="5"/>
    <x v="263"/>
    <n v="0.72"/>
    <n v="-8.6667269752960782E-2"/>
    <s v="United States"/>
    <x v="1"/>
    <x v="18"/>
    <x v="304"/>
    <n v="6360"/>
    <x v="105"/>
    <x v="1"/>
    <x v="0"/>
    <d v="2015-06-21T00:00:00"/>
    <n v="-229.93"/>
    <n v="18"/>
    <x v="626"/>
    <n v="87016"/>
    <x v="0"/>
  </r>
  <r>
    <n v="22052"/>
    <s v="Medium"/>
    <n v="0.02"/>
    <n v="4.0599999999999996"/>
    <x v="219"/>
    <x v="370"/>
    <x v="1"/>
    <x v="370"/>
    <x v="2"/>
    <x v="3"/>
    <x v="0"/>
    <x v="15"/>
    <x v="3"/>
    <x v="326"/>
    <n v="0.6"/>
    <n v="-1.4030115252207751"/>
    <s v="United States"/>
    <x v="2"/>
    <x v="7"/>
    <x v="305"/>
    <n v="78852"/>
    <x v="152"/>
    <x v="2"/>
    <x v="0"/>
    <d v="2015-02-26T00:00:00"/>
    <n v="-93.735199999999992"/>
    <n v="16"/>
    <x v="627"/>
    <n v="87221"/>
    <x v="0"/>
  </r>
  <r>
    <n v="26377"/>
    <s v="Low"/>
    <n v="0.04"/>
    <n v="4.71"/>
    <x v="22"/>
    <x v="370"/>
    <x v="1"/>
    <x v="370"/>
    <x v="2"/>
    <x v="3"/>
    <x v="0"/>
    <x v="3"/>
    <x v="0"/>
    <x v="444"/>
    <n v="0.8"/>
    <n v="5.0044189129474156E-2"/>
    <s v="United States"/>
    <x v="2"/>
    <x v="7"/>
    <x v="305"/>
    <n v="78852"/>
    <x v="33"/>
    <x v="1"/>
    <x v="0"/>
    <d v="2015-06-26T00:00:00"/>
    <n v="4.53"/>
    <n v="19"/>
    <x v="628"/>
    <n v="87222"/>
    <x v="0"/>
  </r>
  <r>
    <n v="26378"/>
    <s v="Low"/>
    <n v="0.06"/>
    <n v="4.2"/>
    <x v="289"/>
    <x v="371"/>
    <x v="0"/>
    <x v="371"/>
    <x v="2"/>
    <x v="3"/>
    <x v="0"/>
    <x v="7"/>
    <x v="0"/>
    <x v="445"/>
    <n v="0.36"/>
    <n v="0.17473646596390924"/>
    <s v="United States"/>
    <x v="2"/>
    <x v="7"/>
    <x v="306"/>
    <n v="78539"/>
    <x v="33"/>
    <x v="1"/>
    <x v="0"/>
    <d v="2015-06-27T00:00:00"/>
    <n v="9.7799999999999994"/>
    <n v="13"/>
    <x v="629"/>
    <n v="87222"/>
    <x v="0"/>
  </r>
  <r>
    <n v="4501"/>
    <s v="Low"/>
    <n v="0.04"/>
    <n v="8.6"/>
    <x v="223"/>
    <x v="372"/>
    <x v="1"/>
    <x v="372"/>
    <x v="2"/>
    <x v="1"/>
    <x v="0"/>
    <x v="8"/>
    <x v="3"/>
    <x v="331"/>
    <n v="0.38"/>
    <n v="-0.20475357761663351"/>
    <s v="United States"/>
    <x v="1"/>
    <x v="15"/>
    <x v="28"/>
    <n v="2118"/>
    <x v="160"/>
    <x v="2"/>
    <x v="0"/>
    <d v="2015-02-23T00:00:00"/>
    <n v="-63.813500000000005"/>
    <n v="37"/>
    <x v="630"/>
    <n v="32037"/>
    <x v="0"/>
  </r>
  <r>
    <n v="4502"/>
    <s v="Low"/>
    <n v="7.0000000000000007E-2"/>
    <n v="699.99"/>
    <x v="65"/>
    <x v="372"/>
    <x v="1"/>
    <x v="372"/>
    <x v="2"/>
    <x v="1"/>
    <x v="2"/>
    <x v="16"/>
    <x v="6"/>
    <x v="446"/>
    <n v="0.54"/>
    <n v="3.2982476063395626E-2"/>
    <s v="United States"/>
    <x v="1"/>
    <x v="15"/>
    <x v="28"/>
    <n v="2118"/>
    <x v="160"/>
    <x v="2"/>
    <x v="0"/>
    <d v="2015-02-20T00:00:00"/>
    <n v="325.29000000000002"/>
    <n v="15"/>
    <x v="631"/>
    <n v="32037"/>
    <x v="0"/>
  </r>
  <r>
    <n v="6891"/>
    <s v="Not Specified"/>
    <n v="0.05"/>
    <n v="5.78"/>
    <x v="290"/>
    <x v="372"/>
    <x v="1"/>
    <x v="372"/>
    <x v="0"/>
    <x v="0"/>
    <x v="0"/>
    <x v="7"/>
    <x v="3"/>
    <x v="447"/>
    <n v="0.36"/>
    <n v="-0.65413449072769292"/>
    <s v="United States"/>
    <x v="1"/>
    <x v="15"/>
    <x v="28"/>
    <n v="2118"/>
    <x v="48"/>
    <x v="5"/>
    <x v="0"/>
    <d v="2015-03-31T00:00:00"/>
    <n v="-116.05"/>
    <n v="29"/>
    <x v="632"/>
    <n v="49125"/>
    <x v="0"/>
  </r>
  <r>
    <n v="1917"/>
    <s v="Medium"/>
    <n v="0.02"/>
    <n v="7.64"/>
    <x v="49"/>
    <x v="372"/>
    <x v="1"/>
    <x v="372"/>
    <x v="2"/>
    <x v="1"/>
    <x v="0"/>
    <x v="4"/>
    <x v="3"/>
    <x v="448"/>
    <n v="0.36"/>
    <n v="0.2884667371163156"/>
    <s v="United States"/>
    <x v="1"/>
    <x v="15"/>
    <x v="28"/>
    <n v="2118"/>
    <x v="8"/>
    <x v="3"/>
    <x v="0"/>
    <d v="2015-05-23T00:00:00"/>
    <n v="117.38"/>
    <n v="52"/>
    <x v="633"/>
    <n v="13735"/>
    <x v="0"/>
  </r>
  <r>
    <n v="5568"/>
    <s v="Low"/>
    <n v="0.03"/>
    <n v="30.98"/>
    <x v="150"/>
    <x v="372"/>
    <x v="1"/>
    <x v="372"/>
    <x v="2"/>
    <x v="0"/>
    <x v="2"/>
    <x v="13"/>
    <x v="3"/>
    <x v="449"/>
    <n v="0.79"/>
    <n v="-0.10825094400528493"/>
    <s v="United States"/>
    <x v="1"/>
    <x v="15"/>
    <x v="28"/>
    <n v="2118"/>
    <x v="1"/>
    <x v="1"/>
    <x v="0"/>
    <d v="2015-06-17T00:00:00"/>
    <n v="-144.19999999999999"/>
    <n v="44"/>
    <x v="634"/>
    <n v="39430"/>
    <x v="0"/>
  </r>
  <r>
    <n v="8099"/>
    <s v="Low"/>
    <n v="0.02"/>
    <n v="4.9800000000000004"/>
    <x v="38"/>
    <x v="372"/>
    <x v="1"/>
    <x v="372"/>
    <x v="2"/>
    <x v="1"/>
    <x v="0"/>
    <x v="7"/>
    <x v="3"/>
    <x v="46"/>
    <n v="0.36"/>
    <n v="-0.44473933649289099"/>
    <s v="United States"/>
    <x v="1"/>
    <x v="15"/>
    <x v="28"/>
    <n v="2118"/>
    <x v="161"/>
    <x v="0"/>
    <x v="0"/>
    <d v="2015-01-28T00:00:00"/>
    <n v="-46.92"/>
    <n v="19"/>
    <x v="635"/>
    <n v="57794"/>
    <x v="0"/>
  </r>
  <r>
    <n v="19917"/>
    <s v="Medium"/>
    <n v="0.02"/>
    <n v="7.64"/>
    <x v="49"/>
    <x v="373"/>
    <x v="0"/>
    <x v="373"/>
    <x v="2"/>
    <x v="1"/>
    <x v="0"/>
    <x v="4"/>
    <x v="3"/>
    <x v="448"/>
    <n v="0.36"/>
    <n v="0.69"/>
    <s v="United States"/>
    <x v="2"/>
    <x v="7"/>
    <x v="307"/>
    <n v="79907"/>
    <x v="8"/>
    <x v="3"/>
    <x v="0"/>
    <d v="2015-05-23T00:00:00"/>
    <n v="70.193699999999993"/>
    <n v="13"/>
    <x v="636"/>
    <n v="88103"/>
    <x v="0"/>
  </r>
  <r>
    <n v="23860"/>
    <s v="Medium"/>
    <n v="0.06"/>
    <n v="6.37"/>
    <x v="154"/>
    <x v="374"/>
    <x v="1"/>
    <x v="374"/>
    <x v="2"/>
    <x v="0"/>
    <x v="0"/>
    <x v="8"/>
    <x v="3"/>
    <x v="214"/>
    <n v="0.38"/>
    <n v="-1.2790318302387267"/>
    <s v="United States"/>
    <x v="2"/>
    <x v="7"/>
    <x v="308"/>
    <n v="76039"/>
    <x v="104"/>
    <x v="2"/>
    <x v="0"/>
    <d v="2015-02-11T00:00:00"/>
    <n v="-48.219499999999996"/>
    <n v="6"/>
    <x v="637"/>
    <n v="88101"/>
    <x v="0"/>
  </r>
  <r>
    <n v="22501"/>
    <s v="Low"/>
    <n v="0.04"/>
    <n v="8.6"/>
    <x v="223"/>
    <x v="374"/>
    <x v="1"/>
    <x v="374"/>
    <x v="2"/>
    <x v="1"/>
    <x v="0"/>
    <x v="8"/>
    <x v="3"/>
    <x v="331"/>
    <n v="0.38"/>
    <n v="-0.84175570505210395"/>
    <s v="United States"/>
    <x v="2"/>
    <x v="7"/>
    <x v="308"/>
    <n v="76039"/>
    <x v="160"/>
    <x v="2"/>
    <x v="0"/>
    <d v="2015-02-23T00:00:00"/>
    <n v="-63.813500000000005"/>
    <n v="9"/>
    <x v="638"/>
    <n v="88102"/>
    <x v="0"/>
  </r>
  <r>
    <n v="22502"/>
    <s v="Low"/>
    <n v="7.0000000000000007E-2"/>
    <n v="699.99"/>
    <x v="65"/>
    <x v="374"/>
    <x v="1"/>
    <x v="374"/>
    <x v="2"/>
    <x v="1"/>
    <x v="2"/>
    <x v="16"/>
    <x v="6"/>
    <x v="446"/>
    <n v="0.54"/>
    <n v="0.12368441064638784"/>
    <s v="United States"/>
    <x v="2"/>
    <x v="7"/>
    <x v="308"/>
    <n v="76039"/>
    <x v="160"/>
    <x v="2"/>
    <x v="0"/>
    <d v="2015-02-20T00:00:00"/>
    <n v="325.29000000000002"/>
    <n v="4"/>
    <x v="639"/>
    <n v="88102"/>
    <x v="0"/>
  </r>
  <r>
    <n v="23568"/>
    <s v="Low"/>
    <n v="0.03"/>
    <n v="30.98"/>
    <x v="150"/>
    <x v="374"/>
    <x v="1"/>
    <x v="374"/>
    <x v="2"/>
    <x v="0"/>
    <x v="2"/>
    <x v="13"/>
    <x v="3"/>
    <x v="449"/>
    <n v="0.79"/>
    <n v="-0.34640562128400693"/>
    <s v="United States"/>
    <x v="2"/>
    <x v="7"/>
    <x v="308"/>
    <n v="76039"/>
    <x v="1"/>
    <x v="1"/>
    <x v="0"/>
    <d v="2015-06-17T00:00:00"/>
    <n v="-115.35999999999999"/>
    <n v="11"/>
    <x v="640"/>
    <n v="88104"/>
    <x v="0"/>
  </r>
  <r>
    <n v="26099"/>
    <s v="Low"/>
    <n v="0.02"/>
    <n v="4.9800000000000004"/>
    <x v="38"/>
    <x v="375"/>
    <x v="0"/>
    <x v="375"/>
    <x v="2"/>
    <x v="1"/>
    <x v="0"/>
    <x v="7"/>
    <x v="3"/>
    <x v="46"/>
    <n v="0.36"/>
    <n v="-1.6902017291066282"/>
    <s v="United States"/>
    <x v="2"/>
    <x v="7"/>
    <x v="309"/>
    <n v="75234"/>
    <x v="161"/>
    <x v="0"/>
    <x v="0"/>
    <d v="2015-01-28T00:00:00"/>
    <n v="-46.92"/>
    <n v="5"/>
    <x v="641"/>
    <n v="88105"/>
    <x v="0"/>
  </r>
  <r>
    <n v="22119"/>
    <s v="High"/>
    <n v="0.09"/>
    <n v="270.97000000000003"/>
    <x v="291"/>
    <x v="376"/>
    <x v="0"/>
    <x v="376"/>
    <x v="1"/>
    <x v="3"/>
    <x v="2"/>
    <x v="6"/>
    <x v="1"/>
    <x v="450"/>
    <n v="0.56000000000000005"/>
    <n v="0.69"/>
    <s v="United States"/>
    <x v="2"/>
    <x v="12"/>
    <x v="310"/>
    <n v="60188"/>
    <x v="22"/>
    <x v="0"/>
    <x v="0"/>
    <d v="2015-01-04T00:00:00"/>
    <n v="2660.1432"/>
    <n v="15"/>
    <x v="642"/>
    <n v="87940"/>
    <x v="0"/>
  </r>
  <r>
    <n v="19357"/>
    <s v="Medium"/>
    <n v="0.02"/>
    <n v="160.97999999999999"/>
    <x v="40"/>
    <x v="377"/>
    <x v="0"/>
    <x v="377"/>
    <x v="1"/>
    <x v="1"/>
    <x v="1"/>
    <x v="1"/>
    <x v="1"/>
    <x v="48"/>
    <n v="0.62"/>
    <n v="-0.26555145721855677"/>
    <s v="United States"/>
    <x v="2"/>
    <x v="7"/>
    <x v="311"/>
    <n v="75056"/>
    <x v="160"/>
    <x v="2"/>
    <x v="0"/>
    <d v="2015-02-19T00:00:00"/>
    <n v="-51.116"/>
    <n v="1"/>
    <x v="643"/>
    <n v="86574"/>
    <x v="0"/>
  </r>
  <r>
    <n v="25467"/>
    <s v="Medium"/>
    <n v="0.05"/>
    <n v="363.25"/>
    <x v="3"/>
    <x v="378"/>
    <x v="1"/>
    <x v="378"/>
    <x v="2"/>
    <x v="1"/>
    <x v="0"/>
    <x v="15"/>
    <x v="3"/>
    <x v="451"/>
    <n v="0.56999999999999995"/>
    <n v="0.69"/>
    <s v="United States"/>
    <x v="2"/>
    <x v="7"/>
    <x v="312"/>
    <n v="76706"/>
    <x v="148"/>
    <x v="0"/>
    <x v="0"/>
    <d v="2015-01-06T00:00:00"/>
    <n v="1766.7795000000001"/>
    <n v="7"/>
    <x v="644"/>
    <n v="86573"/>
    <x v="0"/>
  </r>
  <r>
    <n v="24539"/>
    <s v="Medium"/>
    <n v="0.01"/>
    <n v="18.97"/>
    <x v="50"/>
    <x v="378"/>
    <x v="1"/>
    <x v="378"/>
    <x v="2"/>
    <x v="1"/>
    <x v="0"/>
    <x v="7"/>
    <x v="3"/>
    <x v="62"/>
    <n v="0.37"/>
    <n v="0.37719067070760315"/>
    <s v="United States"/>
    <x v="2"/>
    <x v="7"/>
    <x v="312"/>
    <n v="76706"/>
    <x v="132"/>
    <x v="1"/>
    <x v="0"/>
    <d v="2015-06-09T00:00:00"/>
    <n v="85.875"/>
    <n v="11"/>
    <x v="645"/>
    <n v="86575"/>
    <x v="0"/>
  </r>
  <r>
    <n v="25179"/>
    <s v="Low"/>
    <n v="0.05"/>
    <n v="7.59"/>
    <x v="41"/>
    <x v="379"/>
    <x v="0"/>
    <x v="379"/>
    <x v="2"/>
    <x v="0"/>
    <x v="1"/>
    <x v="2"/>
    <x v="0"/>
    <x v="150"/>
    <n v="0.42"/>
    <n v="0.69"/>
    <s v="United States"/>
    <x v="1"/>
    <x v="15"/>
    <x v="313"/>
    <n v="1075"/>
    <x v="62"/>
    <x v="1"/>
    <x v="0"/>
    <d v="2015-06-09T00:00:00"/>
    <n v="6.0926999999999998"/>
    <n v="1"/>
    <x v="646"/>
    <n v="91344"/>
    <x v="0"/>
  </r>
  <r>
    <n v="24224"/>
    <s v="Critical"/>
    <n v="0.09"/>
    <n v="9.11"/>
    <x v="292"/>
    <x v="380"/>
    <x v="1"/>
    <x v="380"/>
    <x v="0"/>
    <x v="3"/>
    <x v="0"/>
    <x v="7"/>
    <x v="0"/>
    <x v="452"/>
    <n v="0.4"/>
    <n v="0.58993315896541709"/>
    <s v="United States"/>
    <x v="0"/>
    <x v="1"/>
    <x v="314"/>
    <n v="90640"/>
    <x v="22"/>
    <x v="0"/>
    <x v="0"/>
    <d v="2015-01-04T00:00:00"/>
    <n v="20.299600000000002"/>
    <n v="4"/>
    <x v="647"/>
    <n v="90853"/>
    <x v="0"/>
  </r>
  <r>
    <n v="24225"/>
    <s v="Critical"/>
    <n v="0.08"/>
    <n v="15.04"/>
    <x v="166"/>
    <x v="380"/>
    <x v="1"/>
    <x v="380"/>
    <x v="2"/>
    <x v="3"/>
    <x v="0"/>
    <x v="7"/>
    <x v="0"/>
    <x v="231"/>
    <n v="0.39"/>
    <n v="0.69"/>
    <s v="United States"/>
    <x v="0"/>
    <x v="1"/>
    <x v="314"/>
    <n v="90640"/>
    <x v="22"/>
    <x v="0"/>
    <x v="0"/>
    <d v="2015-01-02T00:00:00"/>
    <n v="108.5163"/>
    <n v="11"/>
    <x v="648"/>
    <n v="90853"/>
    <x v="0"/>
  </r>
  <r>
    <n v="20212"/>
    <s v="High"/>
    <n v="0.06"/>
    <n v="175.99"/>
    <x v="20"/>
    <x v="381"/>
    <x v="0"/>
    <x v="381"/>
    <x v="2"/>
    <x v="3"/>
    <x v="2"/>
    <x v="5"/>
    <x v="3"/>
    <x v="44"/>
    <n v="0.56999999999999995"/>
    <n v="4.7809792472184962E-2"/>
    <s v="United States"/>
    <x v="1"/>
    <x v="15"/>
    <x v="315"/>
    <n v="1876"/>
    <x v="79"/>
    <x v="2"/>
    <x v="0"/>
    <d v="2015-02-15T00:00:00"/>
    <n v="48.47148"/>
    <n v="7"/>
    <x v="649"/>
    <n v="90855"/>
    <x v="0"/>
  </r>
  <r>
    <n v="20897"/>
    <s v="High"/>
    <n v="0.04"/>
    <n v="100.98"/>
    <x v="61"/>
    <x v="382"/>
    <x v="0"/>
    <x v="382"/>
    <x v="1"/>
    <x v="3"/>
    <x v="1"/>
    <x v="14"/>
    <x v="5"/>
    <x v="77"/>
    <n v="0.62"/>
    <n v="-1.3793227990970653"/>
    <s v="United States"/>
    <x v="1"/>
    <x v="2"/>
    <x v="316"/>
    <n v="7086"/>
    <x v="135"/>
    <x v="3"/>
    <x v="0"/>
    <d v="2015-05-21T00:00:00"/>
    <n v="-152.76"/>
    <n v="1"/>
    <x v="650"/>
    <n v="90854"/>
    <x v="0"/>
  </r>
  <r>
    <n v="18860"/>
    <s v="Not Specified"/>
    <n v="0.09"/>
    <n v="9.7799999999999994"/>
    <x v="49"/>
    <x v="383"/>
    <x v="1"/>
    <x v="383"/>
    <x v="2"/>
    <x v="3"/>
    <x v="0"/>
    <x v="4"/>
    <x v="3"/>
    <x v="453"/>
    <n v="0.39"/>
    <n v="0.69"/>
    <s v="United States"/>
    <x v="1"/>
    <x v="42"/>
    <x v="82"/>
    <n v="19711"/>
    <x v="42"/>
    <x v="1"/>
    <x v="0"/>
    <d v="2015-06-03T00:00:00"/>
    <n v="125.20739999999999"/>
    <n v="19"/>
    <x v="651"/>
    <n v="87520"/>
    <x v="0"/>
  </r>
  <r>
    <n v="18861"/>
    <s v="Not Specified"/>
    <n v="0"/>
    <n v="200.99"/>
    <x v="68"/>
    <x v="383"/>
    <x v="1"/>
    <x v="383"/>
    <x v="2"/>
    <x v="3"/>
    <x v="2"/>
    <x v="5"/>
    <x v="3"/>
    <x v="454"/>
    <n v="0.59"/>
    <n v="0.26157614048127847"/>
    <s v="United States"/>
    <x v="1"/>
    <x v="42"/>
    <x v="82"/>
    <n v="19711"/>
    <x v="42"/>
    <x v="1"/>
    <x v="0"/>
    <d v="2015-06-04T00:00:00"/>
    <n v="281.53440000000001"/>
    <n v="6"/>
    <x v="652"/>
    <n v="87520"/>
    <x v="0"/>
  </r>
  <r>
    <n v="19182"/>
    <s v="High"/>
    <n v="0.03"/>
    <n v="4.4800000000000004"/>
    <x v="164"/>
    <x v="384"/>
    <x v="1"/>
    <x v="384"/>
    <x v="2"/>
    <x v="3"/>
    <x v="0"/>
    <x v="15"/>
    <x v="6"/>
    <x v="238"/>
    <n v="0.6"/>
    <n v="2.9946877912395147"/>
    <s v="United States"/>
    <x v="3"/>
    <x v="26"/>
    <x v="317"/>
    <n v="32701"/>
    <x v="37"/>
    <x v="4"/>
    <x v="0"/>
    <d v="2015-04-11T00:00:00"/>
    <n v="64.265999999999991"/>
    <n v="2"/>
    <x v="653"/>
    <n v="89787"/>
    <x v="0"/>
  </r>
  <r>
    <n v="19183"/>
    <s v="High"/>
    <n v="0.06"/>
    <n v="350.99"/>
    <x v="293"/>
    <x v="384"/>
    <x v="1"/>
    <x v="384"/>
    <x v="1"/>
    <x v="3"/>
    <x v="1"/>
    <x v="1"/>
    <x v="1"/>
    <x v="455"/>
    <n v="0.55000000000000004"/>
    <n v="-8.6294435350948717E-2"/>
    <s v="United States"/>
    <x v="3"/>
    <x v="26"/>
    <x v="317"/>
    <n v="32701"/>
    <x v="37"/>
    <x v="4"/>
    <x v="0"/>
    <d v="2015-04-11T00:00:00"/>
    <n v="-302.61559999999997"/>
    <n v="10"/>
    <x v="654"/>
    <n v="89787"/>
    <x v="0"/>
  </r>
  <r>
    <n v="19184"/>
    <s v="High"/>
    <n v="0.09"/>
    <n v="40.98"/>
    <x v="150"/>
    <x v="384"/>
    <x v="1"/>
    <x v="384"/>
    <x v="0"/>
    <x v="3"/>
    <x v="2"/>
    <x v="13"/>
    <x v="3"/>
    <x v="456"/>
    <n v="0.74"/>
    <n v="2.1261907430236468E-2"/>
    <s v="United States"/>
    <x v="3"/>
    <x v="26"/>
    <x v="317"/>
    <n v="32701"/>
    <x v="37"/>
    <x v="4"/>
    <x v="0"/>
    <d v="2015-04-11T00:00:00"/>
    <n v="5.6916000000000002"/>
    <n v="7"/>
    <x v="655"/>
    <n v="89787"/>
    <x v="0"/>
  </r>
  <r>
    <n v="19185"/>
    <s v="High"/>
    <n v="0.09"/>
    <n v="349.45"/>
    <x v="236"/>
    <x v="384"/>
    <x v="1"/>
    <x v="384"/>
    <x v="1"/>
    <x v="3"/>
    <x v="1"/>
    <x v="11"/>
    <x v="1"/>
    <x v="356"/>
    <m/>
    <n v="-0.15997763581044178"/>
    <s v="United States"/>
    <x v="3"/>
    <x v="26"/>
    <x v="317"/>
    <n v="32701"/>
    <x v="37"/>
    <x v="4"/>
    <x v="0"/>
    <d v="2015-04-10T00:00:00"/>
    <n v="-369.10999999999996"/>
    <n v="7"/>
    <x v="656"/>
    <n v="89787"/>
    <x v="0"/>
  </r>
  <r>
    <n v="19484"/>
    <s v="High"/>
    <n v="7.0000000000000007E-2"/>
    <n v="2.61"/>
    <x v="28"/>
    <x v="385"/>
    <x v="0"/>
    <x v="385"/>
    <x v="2"/>
    <x v="1"/>
    <x v="0"/>
    <x v="9"/>
    <x v="3"/>
    <x v="413"/>
    <n v="0.39"/>
    <n v="0.69"/>
    <s v="United States"/>
    <x v="0"/>
    <x v="17"/>
    <x v="318"/>
    <n v="84660"/>
    <x v="94"/>
    <x v="3"/>
    <x v="0"/>
    <d v="2015-05-23T00:00:00"/>
    <n v="27.013499999999997"/>
    <n v="15"/>
    <x v="657"/>
    <n v="86913"/>
    <x v="0"/>
  </r>
  <r>
    <n v="21522"/>
    <s v="Not Specified"/>
    <n v="0.04"/>
    <n v="35.99"/>
    <x v="136"/>
    <x v="386"/>
    <x v="0"/>
    <x v="386"/>
    <x v="2"/>
    <x v="1"/>
    <x v="2"/>
    <x v="5"/>
    <x v="2"/>
    <x v="457"/>
    <n v="0.39"/>
    <n v="0.69"/>
    <s v="United States"/>
    <x v="0"/>
    <x v="17"/>
    <x v="319"/>
    <n v="84663"/>
    <x v="159"/>
    <x v="1"/>
    <x v="0"/>
    <d v="2015-06-29T00:00:00"/>
    <n v="184.19549999999998"/>
    <n v="9"/>
    <x v="658"/>
    <n v="86914"/>
    <x v="0"/>
  </r>
  <r>
    <n v="22190"/>
    <s v="Medium"/>
    <n v="0"/>
    <n v="6783.02"/>
    <x v="65"/>
    <x v="387"/>
    <x v="1"/>
    <x v="387"/>
    <x v="2"/>
    <x v="3"/>
    <x v="2"/>
    <x v="6"/>
    <x v="6"/>
    <x v="458"/>
    <n v="0.39"/>
    <n v="1.9997518556091578E-4"/>
    <s v="United States"/>
    <x v="3"/>
    <x v="43"/>
    <x v="320"/>
    <n v="35756"/>
    <x v="68"/>
    <x v="5"/>
    <x v="0"/>
    <d v="2015-03-22T00:00:00"/>
    <n v="4.1099999999999994"/>
    <n v="3"/>
    <x v="659"/>
    <n v="85938"/>
    <x v="0"/>
  </r>
  <r>
    <n v="20764"/>
    <s v="Not Specified"/>
    <n v="0.08"/>
    <n v="11.7"/>
    <x v="294"/>
    <x v="387"/>
    <x v="1"/>
    <x v="387"/>
    <x v="2"/>
    <x v="3"/>
    <x v="0"/>
    <x v="15"/>
    <x v="4"/>
    <x v="459"/>
    <n v="0.5"/>
    <n v="0.32535307517084283"/>
    <s v="United States"/>
    <x v="3"/>
    <x v="43"/>
    <x v="320"/>
    <n v="35756"/>
    <x v="98"/>
    <x v="4"/>
    <x v="0"/>
    <d v="2015-04-13T00:00:00"/>
    <n v="28.565999999999999"/>
    <n v="8"/>
    <x v="660"/>
    <n v="85940"/>
    <x v="0"/>
  </r>
  <r>
    <n v="24358"/>
    <s v="Critical"/>
    <n v="7.0000000000000007E-2"/>
    <n v="400.97"/>
    <x v="295"/>
    <x v="388"/>
    <x v="0"/>
    <x v="388"/>
    <x v="1"/>
    <x v="3"/>
    <x v="2"/>
    <x v="6"/>
    <x v="5"/>
    <x v="460"/>
    <n v="0.36"/>
    <n v="0.68999999999999984"/>
    <s v="United States"/>
    <x v="0"/>
    <x v="1"/>
    <x v="321"/>
    <n v="92646"/>
    <x v="37"/>
    <x v="4"/>
    <x v="0"/>
    <d v="2015-04-10T00:00:00"/>
    <n v="2581.5590999999995"/>
    <n v="10"/>
    <x v="661"/>
    <n v="85939"/>
    <x v="0"/>
  </r>
  <r>
    <n v="18829"/>
    <s v="Low"/>
    <n v="0.06"/>
    <n v="10.89"/>
    <x v="60"/>
    <x v="389"/>
    <x v="1"/>
    <x v="389"/>
    <x v="2"/>
    <x v="3"/>
    <x v="0"/>
    <x v="15"/>
    <x v="3"/>
    <x v="76"/>
    <n v="0.59"/>
    <n v="-0.16817572997589073"/>
    <s v="United States"/>
    <x v="0"/>
    <x v="1"/>
    <x v="321"/>
    <n v="92646"/>
    <x v="77"/>
    <x v="1"/>
    <x v="0"/>
    <d v="2015-06-22T00:00:00"/>
    <n v="-25.112000000000002"/>
    <n v="14"/>
    <x v="662"/>
    <n v="87584"/>
    <x v="0"/>
  </r>
  <r>
    <n v="18830"/>
    <s v="Low"/>
    <n v="0.03"/>
    <n v="10.64"/>
    <x v="210"/>
    <x v="389"/>
    <x v="1"/>
    <x v="389"/>
    <x v="2"/>
    <x v="3"/>
    <x v="1"/>
    <x v="2"/>
    <x v="3"/>
    <x v="304"/>
    <n v="0.56999999999999995"/>
    <n v="9.8163945539800027E-2"/>
    <s v="United States"/>
    <x v="0"/>
    <x v="1"/>
    <x v="321"/>
    <n v="92646"/>
    <x v="77"/>
    <x v="1"/>
    <x v="0"/>
    <d v="2015-06-22T00:00:00"/>
    <n v="17.376000000000001"/>
    <n v="16"/>
    <x v="663"/>
    <n v="87584"/>
    <x v="0"/>
  </r>
  <r>
    <n v="18831"/>
    <s v="Low"/>
    <n v="0.03"/>
    <n v="7.96"/>
    <x v="190"/>
    <x v="389"/>
    <x v="1"/>
    <x v="389"/>
    <x v="2"/>
    <x v="3"/>
    <x v="1"/>
    <x v="2"/>
    <x v="3"/>
    <x v="461"/>
    <n v="0.41"/>
    <n v="0.69"/>
    <s v="United States"/>
    <x v="0"/>
    <x v="1"/>
    <x v="321"/>
    <n v="92646"/>
    <x v="77"/>
    <x v="1"/>
    <x v="0"/>
    <d v="2015-06-19T00:00:00"/>
    <n v="24.260399999999997"/>
    <n v="4"/>
    <x v="664"/>
    <n v="87584"/>
    <x v="0"/>
  </r>
  <r>
    <n v="19553"/>
    <s v="Low"/>
    <n v="0.03"/>
    <n v="28.53"/>
    <x v="25"/>
    <x v="390"/>
    <x v="0"/>
    <x v="390"/>
    <x v="2"/>
    <x v="2"/>
    <x v="0"/>
    <x v="8"/>
    <x v="3"/>
    <x v="107"/>
    <n v="0.38"/>
    <n v="0.66907361548851862"/>
    <s v="United States"/>
    <x v="1"/>
    <x v="18"/>
    <x v="322"/>
    <n v="6050"/>
    <x v="162"/>
    <x v="1"/>
    <x v="0"/>
    <d v="2015-07-01T00:00:00"/>
    <n v="59.440499999999993"/>
    <n v="3"/>
    <x v="665"/>
    <n v="87587"/>
    <x v="0"/>
  </r>
  <r>
    <n v="830"/>
    <s v="Low"/>
    <n v="0.03"/>
    <n v="10.64"/>
    <x v="210"/>
    <x v="391"/>
    <x v="1"/>
    <x v="391"/>
    <x v="2"/>
    <x v="3"/>
    <x v="1"/>
    <x v="2"/>
    <x v="3"/>
    <x v="304"/>
    <n v="0.56999999999999995"/>
    <n v="2.0775941230486684E-2"/>
    <s v="United States"/>
    <x v="1"/>
    <x v="41"/>
    <x v="246"/>
    <n v="20016"/>
    <x v="77"/>
    <x v="1"/>
    <x v="0"/>
    <d v="2015-06-22T00:00:00"/>
    <n v="14.48"/>
    <n v="63"/>
    <x v="666"/>
    <n v="5984"/>
    <x v="0"/>
  </r>
  <r>
    <n v="831"/>
    <s v="Low"/>
    <n v="0.03"/>
    <n v="7.96"/>
    <x v="190"/>
    <x v="391"/>
    <x v="1"/>
    <x v="391"/>
    <x v="2"/>
    <x v="3"/>
    <x v="1"/>
    <x v="2"/>
    <x v="3"/>
    <x v="461"/>
    <n v="0.41"/>
    <n v="0.14891908172143767"/>
    <s v="United States"/>
    <x v="1"/>
    <x v="41"/>
    <x v="246"/>
    <n v="20016"/>
    <x v="77"/>
    <x v="1"/>
    <x v="0"/>
    <d v="2015-06-19T00:00:00"/>
    <n v="22.25"/>
    <n v="17"/>
    <x v="667"/>
    <n v="5984"/>
    <x v="0"/>
  </r>
  <r>
    <n v="4131"/>
    <s v="High"/>
    <n v="0.05"/>
    <n v="52.4"/>
    <x v="296"/>
    <x v="391"/>
    <x v="1"/>
    <x v="391"/>
    <x v="2"/>
    <x v="3"/>
    <x v="0"/>
    <x v="8"/>
    <x v="3"/>
    <x v="462"/>
    <n v="0.39"/>
    <n v="0.13003612318753113"/>
    <s v="United States"/>
    <x v="1"/>
    <x v="41"/>
    <x v="246"/>
    <n v="20016"/>
    <x v="147"/>
    <x v="2"/>
    <x v="0"/>
    <d v="2015-02-27T00:00:00"/>
    <n v="592.52650000000006"/>
    <n v="85"/>
    <x v="668"/>
    <n v="29350"/>
    <x v="0"/>
  </r>
  <r>
    <n v="4133"/>
    <s v="High"/>
    <n v="0.05"/>
    <n v="36.549999999999997"/>
    <x v="297"/>
    <x v="391"/>
    <x v="1"/>
    <x v="391"/>
    <x v="0"/>
    <x v="3"/>
    <x v="0"/>
    <x v="0"/>
    <x v="0"/>
    <x v="463"/>
    <n v="0.41"/>
    <n v="7.8952455563808033E-2"/>
    <s v="United States"/>
    <x v="1"/>
    <x v="41"/>
    <x v="246"/>
    <n v="20016"/>
    <x v="147"/>
    <x v="2"/>
    <x v="0"/>
    <d v="2015-02-26T00:00:00"/>
    <n v="232.8"/>
    <n v="83"/>
    <x v="669"/>
    <n v="29350"/>
    <x v="0"/>
  </r>
  <r>
    <n v="5468"/>
    <s v="Not Specified"/>
    <n v="0.03"/>
    <n v="5.98"/>
    <x v="25"/>
    <x v="391"/>
    <x v="1"/>
    <x v="391"/>
    <x v="2"/>
    <x v="2"/>
    <x v="0"/>
    <x v="8"/>
    <x v="3"/>
    <x v="370"/>
    <n v="0.39"/>
    <n v="7.3534807376653466E-2"/>
    <s v="United States"/>
    <x v="1"/>
    <x v="41"/>
    <x v="246"/>
    <n v="20016"/>
    <x v="90"/>
    <x v="3"/>
    <x v="0"/>
    <d v="2015-05-03T00:00:00"/>
    <n v="38.08"/>
    <n v="85"/>
    <x v="670"/>
    <n v="38852"/>
    <x v="0"/>
  </r>
  <r>
    <n v="1552"/>
    <s v="Low"/>
    <n v="0.09"/>
    <n v="49.99"/>
    <x v="3"/>
    <x v="391"/>
    <x v="1"/>
    <x v="391"/>
    <x v="2"/>
    <x v="2"/>
    <x v="2"/>
    <x v="13"/>
    <x v="3"/>
    <x v="84"/>
    <n v="0.41"/>
    <n v="-7.1756021101242141E-3"/>
    <s v="United States"/>
    <x v="1"/>
    <x v="41"/>
    <x v="246"/>
    <n v="20016"/>
    <x v="162"/>
    <x v="1"/>
    <x v="0"/>
    <d v="2015-06-30T00:00:00"/>
    <n v="-17.03"/>
    <n v="48"/>
    <x v="671"/>
    <n v="11206"/>
    <x v="0"/>
  </r>
  <r>
    <n v="1553"/>
    <s v="Low"/>
    <n v="0.03"/>
    <n v="28.53"/>
    <x v="25"/>
    <x v="391"/>
    <x v="1"/>
    <x v="391"/>
    <x v="2"/>
    <x v="2"/>
    <x v="0"/>
    <x v="8"/>
    <x v="3"/>
    <x v="107"/>
    <n v="0.38"/>
    <n v="0.12165597273815734"/>
    <s v="United States"/>
    <x v="1"/>
    <x v="41"/>
    <x v="246"/>
    <n v="20016"/>
    <x v="162"/>
    <x v="1"/>
    <x v="0"/>
    <d v="2015-07-01T00:00:00"/>
    <n v="39.626999999999995"/>
    <n v="11"/>
    <x v="672"/>
    <n v="11206"/>
    <x v="0"/>
  </r>
  <r>
    <n v="23468"/>
    <s v="Not Specified"/>
    <n v="0.03"/>
    <n v="5.98"/>
    <x v="25"/>
    <x v="392"/>
    <x v="0"/>
    <x v="392"/>
    <x v="2"/>
    <x v="2"/>
    <x v="0"/>
    <x v="8"/>
    <x v="3"/>
    <x v="370"/>
    <n v="0.39"/>
    <n v="0.16020009379396588"/>
    <s v="United States"/>
    <x v="3"/>
    <x v="26"/>
    <x v="323"/>
    <n v="34142"/>
    <x v="90"/>
    <x v="3"/>
    <x v="0"/>
    <d v="2015-05-03T00:00:00"/>
    <n v="20.495999999999995"/>
    <n v="21"/>
    <x v="673"/>
    <n v="87586"/>
    <x v="0"/>
  </r>
  <r>
    <n v="19358"/>
    <s v="High"/>
    <n v="0.08"/>
    <n v="355.98"/>
    <x v="298"/>
    <x v="393"/>
    <x v="0"/>
    <x v="393"/>
    <x v="1"/>
    <x v="2"/>
    <x v="1"/>
    <x v="1"/>
    <x v="1"/>
    <x v="464"/>
    <n v="0.64"/>
    <n v="7.6857595452055602E-2"/>
    <s v="United States"/>
    <x v="1"/>
    <x v="15"/>
    <x v="324"/>
    <n v="1776"/>
    <x v="103"/>
    <x v="5"/>
    <x v="0"/>
    <d v="2015-03-20T00:00:00"/>
    <n v="103.83"/>
    <n v="4"/>
    <x v="674"/>
    <n v="87583"/>
    <x v="0"/>
  </r>
  <r>
    <n v="22132"/>
    <s v="High"/>
    <n v="0.1"/>
    <n v="15.14"/>
    <x v="284"/>
    <x v="394"/>
    <x v="0"/>
    <x v="394"/>
    <x v="2"/>
    <x v="3"/>
    <x v="0"/>
    <x v="10"/>
    <x v="3"/>
    <x v="436"/>
    <n v="0.81"/>
    <n v="-0.33121724092058002"/>
    <s v="United States"/>
    <x v="1"/>
    <x v="16"/>
    <x v="325"/>
    <n v="3060"/>
    <x v="147"/>
    <x v="2"/>
    <x v="0"/>
    <d v="2015-02-28T00:00:00"/>
    <n v="-24.897600000000001"/>
    <n v="5"/>
    <x v="675"/>
    <n v="87585"/>
    <x v="0"/>
  </r>
  <r>
    <n v="22131"/>
    <s v="High"/>
    <n v="0.05"/>
    <n v="52.4"/>
    <x v="296"/>
    <x v="395"/>
    <x v="0"/>
    <x v="395"/>
    <x v="2"/>
    <x v="3"/>
    <x v="0"/>
    <x v="8"/>
    <x v="3"/>
    <x v="462"/>
    <n v="0.39"/>
    <n v="0.69"/>
    <s v="United States"/>
    <x v="1"/>
    <x v="2"/>
    <x v="326"/>
    <n v="7407"/>
    <x v="147"/>
    <x v="2"/>
    <x v="0"/>
    <d v="2015-02-27T00:00:00"/>
    <n v="776.7743999999999"/>
    <n v="21"/>
    <x v="676"/>
    <n v="87585"/>
    <x v="0"/>
  </r>
  <r>
    <n v="22133"/>
    <s v="High"/>
    <n v="0.05"/>
    <n v="36.549999999999997"/>
    <x v="297"/>
    <x v="396"/>
    <x v="0"/>
    <x v="396"/>
    <x v="0"/>
    <x v="3"/>
    <x v="0"/>
    <x v="0"/>
    <x v="0"/>
    <x v="463"/>
    <n v="0.41"/>
    <n v="0.46183665536238488"/>
    <s v="United States"/>
    <x v="1"/>
    <x v="2"/>
    <x v="327"/>
    <n v="7079"/>
    <x v="147"/>
    <x v="2"/>
    <x v="0"/>
    <d v="2015-02-26T00:00:00"/>
    <n v="344.54399999999998"/>
    <n v="21"/>
    <x v="677"/>
    <n v="87585"/>
    <x v="0"/>
  </r>
  <r>
    <n v="19552"/>
    <s v="Low"/>
    <n v="0.09"/>
    <n v="49.99"/>
    <x v="3"/>
    <x v="397"/>
    <x v="0"/>
    <x v="397"/>
    <x v="2"/>
    <x v="2"/>
    <x v="2"/>
    <x v="13"/>
    <x v="3"/>
    <x v="84"/>
    <n v="0.41"/>
    <n v="-1.4351204220248428E-2"/>
    <s v="United States"/>
    <x v="1"/>
    <x v="31"/>
    <x v="102"/>
    <n v="2920"/>
    <x v="162"/>
    <x v="1"/>
    <x v="0"/>
    <d v="2015-06-30T00:00:00"/>
    <n v="-8.5150000000000006"/>
    <n v="12"/>
    <x v="678"/>
    <n v="87587"/>
    <x v="0"/>
  </r>
  <r>
    <n v="18636"/>
    <s v="Low"/>
    <n v="0.01"/>
    <n v="3.08"/>
    <x v="28"/>
    <x v="398"/>
    <x v="0"/>
    <x v="398"/>
    <x v="2"/>
    <x v="0"/>
    <x v="0"/>
    <x v="9"/>
    <x v="3"/>
    <x v="465"/>
    <n v="0.37"/>
    <n v="0.69"/>
    <s v="United States"/>
    <x v="2"/>
    <x v="38"/>
    <x v="328"/>
    <n v="46806"/>
    <x v="108"/>
    <x v="2"/>
    <x v="0"/>
    <d v="2015-02-06T00:00:00"/>
    <n v="9.0045000000000002"/>
    <n v="4"/>
    <x v="679"/>
    <n v="88598"/>
    <x v="0"/>
  </r>
  <r>
    <n v="22528"/>
    <s v="High"/>
    <n v="0.08"/>
    <n v="4.91"/>
    <x v="299"/>
    <x v="399"/>
    <x v="1"/>
    <x v="399"/>
    <x v="2"/>
    <x v="0"/>
    <x v="0"/>
    <x v="8"/>
    <x v="3"/>
    <x v="466"/>
    <n v="0.38"/>
    <n v="-1.6923240033927056"/>
    <s v="United States"/>
    <x v="2"/>
    <x v="38"/>
    <x v="329"/>
    <n v="46404"/>
    <x v="43"/>
    <x v="0"/>
    <x v="0"/>
    <d v="2015-01-16T00:00:00"/>
    <n v="-99.762500000000003"/>
    <n v="12"/>
    <x v="680"/>
    <n v="88600"/>
    <x v="0"/>
  </r>
  <r>
    <n v="22529"/>
    <s v="High"/>
    <n v="0.01"/>
    <n v="3499.99"/>
    <x v="65"/>
    <x v="399"/>
    <x v="1"/>
    <x v="399"/>
    <x v="2"/>
    <x v="0"/>
    <x v="2"/>
    <x v="16"/>
    <x v="6"/>
    <x v="467"/>
    <n v="0.37"/>
    <n v="-0.83362692593570742"/>
    <s v="United States"/>
    <x v="2"/>
    <x v="38"/>
    <x v="329"/>
    <n v="46404"/>
    <x v="43"/>
    <x v="0"/>
    <x v="0"/>
    <d v="2015-01-16T00:00:00"/>
    <n v="-3061.82"/>
    <n v="1"/>
    <x v="681"/>
    <n v="88600"/>
    <x v="0"/>
  </r>
  <r>
    <n v="24270"/>
    <s v="Low"/>
    <n v="7.0000000000000007E-2"/>
    <n v="29.89"/>
    <x v="45"/>
    <x v="400"/>
    <x v="1"/>
    <x v="400"/>
    <x v="0"/>
    <x v="0"/>
    <x v="2"/>
    <x v="13"/>
    <x v="2"/>
    <x v="468"/>
    <n v="0.5"/>
    <n v="0.69"/>
    <s v="United States"/>
    <x v="2"/>
    <x v="38"/>
    <x v="330"/>
    <n v="46530"/>
    <x v="128"/>
    <x v="2"/>
    <x v="0"/>
    <d v="2015-02-09T00:00:00"/>
    <n v="258.6189"/>
    <n v="13"/>
    <x v="682"/>
    <n v="88599"/>
    <x v="0"/>
  </r>
  <r>
    <n v="24271"/>
    <s v="Low"/>
    <n v="0.03"/>
    <n v="8.34"/>
    <x v="221"/>
    <x v="400"/>
    <x v="1"/>
    <x v="400"/>
    <x v="2"/>
    <x v="0"/>
    <x v="0"/>
    <x v="7"/>
    <x v="3"/>
    <x v="329"/>
    <n v="0.4"/>
    <n v="-0.15507279870580076"/>
    <s v="United States"/>
    <x v="2"/>
    <x v="38"/>
    <x v="330"/>
    <n v="46530"/>
    <x v="128"/>
    <x v="2"/>
    <x v="0"/>
    <d v="2015-02-08T00:00:00"/>
    <n v="-6.71"/>
    <n v="5"/>
    <x v="683"/>
    <n v="88599"/>
    <x v="0"/>
  </r>
  <r>
    <n v="22530"/>
    <s v="High"/>
    <n v="0.03"/>
    <n v="5.84"/>
    <x v="43"/>
    <x v="400"/>
    <x v="1"/>
    <x v="400"/>
    <x v="2"/>
    <x v="0"/>
    <x v="0"/>
    <x v="0"/>
    <x v="0"/>
    <x v="469"/>
    <n v="0.55000000000000004"/>
    <n v="-8.5178875638839747E-4"/>
    <s v="United States"/>
    <x v="2"/>
    <x v="38"/>
    <x v="330"/>
    <n v="46530"/>
    <x v="43"/>
    <x v="0"/>
    <x v="0"/>
    <d v="2015-01-17T00:00:00"/>
    <n v="-9.9999999999997868E-3"/>
    <n v="2"/>
    <x v="684"/>
    <n v="88600"/>
    <x v="0"/>
  </r>
  <r>
    <n v="7632"/>
    <s v="Medium"/>
    <n v="0.09"/>
    <n v="130.97999999999999"/>
    <x v="40"/>
    <x v="401"/>
    <x v="0"/>
    <x v="401"/>
    <x v="1"/>
    <x v="2"/>
    <x v="1"/>
    <x v="1"/>
    <x v="1"/>
    <x v="185"/>
    <n v="0.78"/>
    <n v="-8.0198671215111789E-2"/>
    <s v="United States"/>
    <x v="1"/>
    <x v="15"/>
    <x v="28"/>
    <n v="2112"/>
    <x v="65"/>
    <x v="4"/>
    <x v="0"/>
    <d v="2015-05-01T00:00:00"/>
    <n v="-421.76"/>
    <n v="41"/>
    <x v="685"/>
    <n v="54595"/>
    <x v="1"/>
  </r>
  <r>
    <n v="25631"/>
    <s v="Medium"/>
    <n v="0.02"/>
    <n v="8.34"/>
    <x v="93"/>
    <x v="402"/>
    <x v="0"/>
    <x v="402"/>
    <x v="2"/>
    <x v="2"/>
    <x v="0"/>
    <x v="12"/>
    <x v="2"/>
    <x v="120"/>
    <n v="0.59"/>
    <n v="0.10173808810308661"/>
    <s v="United States"/>
    <x v="1"/>
    <x v="31"/>
    <x v="331"/>
    <n v="2861"/>
    <x v="65"/>
    <x v="4"/>
    <x v="0"/>
    <d v="2015-04-30T00:00:00"/>
    <n v="6.79"/>
    <n v="8"/>
    <x v="686"/>
    <n v="90800"/>
    <x v="0"/>
  </r>
  <r>
    <n v="25632"/>
    <s v="Medium"/>
    <n v="0.09"/>
    <n v="130.97999999999999"/>
    <x v="40"/>
    <x v="403"/>
    <x v="0"/>
    <x v="403"/>
    <x v="1"/>
    <x v="2"/>
    <x v="1"/>
    <x v="1"/>
    <x v="1"/>
    <x v="185"/>
    <n v="0.78"/>
    <n v="-0.32881411430843471"/>
    <s v="United States"/>
    <x v="1"/>
    <x v="9"/>
    <x v="186"/>
    <n v="5403"/>
    <x v="65"/>
    <x v="4"/>
    <x v="0"/>
    <d v="2015-05-01T00:00:00"/>
    <n v="-421.76"/>
    <n v="10"/>
    <x v="687"/>
    <n v="90800"/>
    <x v="0"/>
  </r>
  <r>
    <n v="7810"/>
    <s v="Medium"/>
    <n v="0"/>
    <n v="7.1"/>
    <x v="162"/>
    <x v="404"/>
    <x v="1"/>
    <x v="404"/>
    <x v="2"/>
    <x v="2"/>
    <x v="0"/>
    <x v="8"/>
    <x v="3"/>
    <x v="227"/>
    <n v="0.39"/>
    <n v="-0.28800938562467077"/>
    <s v="United States"/>
    <x v="1"/>
    <x v="19"/>
    <x v="332"/>
    <n v="19140"/>
    <x v="160"/>
    <x v="2"/>
    <x v="0"/>
    <d v="2015-02-17T00:00:00"/>
    <n v="-60.145000000000003"/>
    <n v="28"/>
    <x v="688"/>
    <n v="55874"/>
    <x v="1"/>
  </r>
  <r>
    <n v="7811"/>
    <s v="Medium"/>
    <n v="0.01"/>
    <n v="4.9800000000000004"/>
    <x v="107"/>
    <x v="404"/>
    <x v="1"/>
    <x v="404"/>
    <x v="0"/>
    <x v="2"/>
    <x v="2"/>
    <x v="13"/>
    <x v="2"/>
    <x v="139"/>
    <n v="0.64"/>
    <n v="-0.48935611038107751"/>
    <s v="United States"/>
    <x v="1"/>
    <x v="19"/>
    <x v="332"/>
    <n v="19140"/>
    <x v="160"/>
    <x v="2"/>
    <x v="0"/>
    <d v="2015-02-18T00:00:00"/>
    <n v="-111.72"/>
    <n v="41"/>
    <x v="689"/>
    <n v="55874"/>
    <x v="1"/>
  </r>
  <r>
    <n v="7812"/>
    <s v="Medium"/>
    <n v="0.06"/>
    <n v="5.68"/>
    <x v="49"/>
    <x v="404"/>
    <x v="1"/>
    <x v="404"/>
    <x v="2"/>
    <x v="2"/>
    <x v="0"/>
    <x v="4"/>
    <x v="3"/>
    <x v="360"/>
    <n v="0.38"/>
    <n v="0.25484443758202729"/>
    <s v="United States"/>
    <x v="1"/>
    <x v="19"/>
    <x v="332"/>
    <n v="19140"/>
    <x v="160"/>
    <x v="2"/>
    <x v="0"/>
    <d v="2015-02-16T00:00:00"/>
    <n v="33.01"/>
    <n v="24"/>
    <x v="690"/>
    <n v="55874"/>
    <x v="1"/>
  </r>
  <r>
    <n v="25811"/>
    <s v="Medium"/>
    <n v="0.01"/>
    <n v="4.9800000000000004"/>
    <x v="107"/>
    <x v="405"/>
    <x v="0"/>
    <x v="405"/>
    <x v="0"/>
    <x v="2"/>
    <x v="2"/>
    <x v="13"/>
    <x v="2"/>
    <x v="139"/>
    <n v="0.64"/>
    <n v="-2.0064655172413794"/>
    <s v="United States"/>
    <x v="2"/>
    <x v="7"/>
    <x v="333"/>
    <n v="75482"/>
    <x v="160"/>
    <x v="2"/>
    <x v="0"/>
    <d v="2015-02-18T00:00:00"/>
    <n v="-111.72"/>
    <n v="10"/>
    <x v="691"/>
    <n v="90378"/>
    <x v="0"/>
  </r>
  <r>
    <n v="21206"/>
    <s v="Critical"/>
    <n v="0.1"/>
    <n v="120.98"/>
    <x v="300"/>
    <x v="406"/>
    <x v="1"/>
    <x v="406"/>
    <x v="0"/>
    <x v="3"/>
    <x v="0"/>
    <x v="8"/>
    <x v="3"/>
    <x v="470"/>
    <n v="0.35"/>
    <n v="0.52347099816978737"/>
    <s v="United States"/>
    <x v="2"/>
    <x v="7"/>
    <x v="334"/>
    <n v="75028"/>
    <x v="37"/>
    <x v="4"/>
    <x v="0"/>
    <d v="2015-04-11T00:00:00"/>
    <n v="297.45715999999999"/>
    <n v="5"/>
    <x v="692"/>
    <n v="89375"/>
    <x v="0"/>
  </r>
  <r>
    <n v="21207"/>
    <s v="Critical"/>
    <n v="0.02"/>
    <n v="152.47999999999999"/>
    <x v="150"/>
    <x v="406"/>
    <x v="1"/>
    <x v="406"/>
    <x v="0"/>
    <x v="3"/>
    <x v="2"/>
    <x v="13"/>
    <x v="3"/>
    <x v="208"/>
    <n v="0.74"/>
    <n v="-3.4657319992633968"/>
    <s v="United States"/>
    <x v="2"/>
    <x v="7"/>
    <x v="334"/>
    <n v="75028"/>
    <x v="37"/>
    <x v="4"/>
    <x v="0"/>
    <d v="2015-04-11T00:00:00"/>
    <n v="-564.60239999999999"/>
    <n v="1"/>
    <x v="693"/>
    <n v="89375"/>
    <x v="0"/>
  </r>
  <r>
    <n v="19874"/>
    <s v="High"/>
    <n v="0.09"/>
    <n v="99.99"/>
    <x v="3"/>
    <x v="406"/>
    <x v="1"/>
    <x v="406"/>
    <x v="2"/>
    <x v="3"/>
    <x v="2"/>
    <x v="13"/>
    <x v="3"/>
    <x v="419"/>
    <n v="0.52"/>
    <n v="-1.6536098310291858"/>
    <s v="United States"/>
    <x v="2"/>
    <x v="7"/>
    <x v="334"/>
    <n v="75028"/>
    <x v="141"/>
    <x v="1"/>
    <x v="0"/>
    <d v="2015-06-06T00:00:00"/>
    <n v="-161.47499999999999"/>
    <n v="1"/>
    <x v="694"/>
    <n v="89376"/>
    <x v="0"/>
  </r>
  <r>
    <n v="19875"/>
    <s v="High"/>
    <n v="0.04"/>
    <n v="205.99"/>
    <x v="126"/>
    <x v="406"/>
    <x v="1"/>
    <x v="406"/>
    <x v="2"/>
    <x v="3"/>
    <x v="2"/>
    <x v="5"/>
    <x v="3"/>
    <x v="291"/>
    <n v="0.56000000000000005"/>
    <n v="-7.9912822375591253E-4"/>
    <s v="United States"/>
    <x v="2"/>
    <x v="7"/>
    <x v="334"/>
    <n v="75028"/>
    <x v="141"/>
    <x v="1"/>
    <x v="0"/>
    <d v="2015-06-05T00:00:00"/>
    <n v="-0.81400000000001005"/>
    <n v="6"/>
    <x v="695"/>
    <n v="89376"/>
    <x v="0"/>
  </r>
  <r>
    <n v="20592"/>
    <s v="Medium"/>
    <n v="0.03"/>
    <n v="128.24"/>
    <x v="152"/>
    <x v="407"/>
    <x v="1"/>
    <x v="407"/>
    <x v="2"/>
    <x v="0"/>
    <x v="1"/>
    <x v="1"/>
    <x v="4"/>
    <x v="212"/>
    <m/>
    <n v="0.69"/>
    <s v="United States"/>
    <x v="2"/>
    <x v="7"/>
    <x v="335"/>
    <n v="75007"/>
    <x v="70"/>
    <x v="0"/>
    <x v="0"/>
    <d v="2015-02-02T00:00:00"/>
    <n v="790.46399999999983"/>
    <n v="9"/>
    <x v="696"/>
    <n v="86075"/>
    <x v="0"/>
  </r>
  <r>
    <n v="18625"/>
    <s v="Not Specified"/>
    <n v="0.02"/>
    <n v="7.38"/>
    <x v="108"/>
    <x v="407"/>
    <x v="1"/>
    <x v="407"/>
    <x v="2"/>
    <x v="0"/>
    <x v="1"/>
    <x v="2"/>
    <x v="3"/>
    <x v="143"/>
    <n v="0.56000000000000005"/>
    <n v="0.31566068515497553"/>
    <s v="United States"/>
    <x v="2"/>
    <x v="7"/>
    <x v="335"/>
    <n v="75007"/>
    <x v="48"/>
    <x v="5"/>
    <x v="0"/>
    <d v="2015-03-30T00:00:00"/>
    <n v="7.74"/>
    <n v="3"/>
    <x v="697"/>
    <n v="86076"/>
    <x v="0"/>
  </r>
  <r>
    <n v="20432"/>
    <s v="Medium"/>
    <n v="0.05"/>
    <n v="300.98"/>
    <x v="100"/>
    <x v="407"/>
    <x v="1"/>
    <x v="407"/>
    <x v="2"/>
    <x v="0"/>
    <x v="2"/>
    <x v="6"/>
    <x v="4"/>
    <x v="471"/>
    <n v="0.39"/>
    <n v="0.69"/>
    <s v="United States"/>
    <x v="2"/>
    <x v="7"/>
    <x v="335"/>
    <n v="75007"/>
    <x v="40"/>
    <x v="3"/>
    <x v="0"/>
    <d v="2015-05-26T00:00:00"/>
    <n v="3985.3089"/>
    <n v="20"/>
    <x v="698"/>
    <n v="86077"/>
    <x v="0"/>
  </r>
  <r>
    <n v="20433"/>
    <s v="Medium"/>
    <n v="0.04"/>
    <n v="205.99"/>
    <x v="104"/>
    <x v="407"/>
    <x v="1"/>
    <x v="407"/>
    <x v="0"/>
    <x v="0"/>
    <x v="2"/>
    <x v="5"/>
    <x v="3"/>
    <x v="472"/>
    <n v="0.59"/>
    <n v="7.4307862679955788E-3"/>
    <s v="United States"/>
    <x v="2"/>
    <x v="7"/>
    <x v="335"/>
    <n v="75007"/>
    <x v="40"/>
    <x v="3"/>
    <x v="0"/>
    <d v="2015-05-26T00:00:00"/>
    <n v="13.956800000000015"/>
    <n v="11"/>
    <x v="699"/>
    <n v="86077"/>
    <x v="0"/>
  </r>
  <r>
    <n v="20593"/>
    <s v="Medium"/>
    <n v="0.01"/>
    <n v="160.97999999999999"/>
    <x v="40"/>
    <x v="408"/>
    <x v="0"/>
    <x v="408"/>
    <x v="1"/>
    <x v="0"/>
    <x v="1"/>
    <x v="1"/>
    <x v="1"/>
    <x v="48"/>
    <n v="0.62"/>
    <n v="0.48253775991484515"/>
    <s v="United States"/>
    <x v="2"/>
    <x v="7"/>
    <x v="336"/>
    <n v="75104"/>
    <x v="70"/>
    <x v="0"/>
    <x v="0"/>
    <d v="2015-02-02T00:00:00"/>
    <n v="788.79"/>
    <n v="10"/>
    <x v="700"/>
    <n v="86075"/>
    <x v="0"/>
  </r>
  <r>
    <n v="20920"/>
    <s v="Not Specified"/>
    <n v="0"/>
    <n v="387.99"/>
    <x v="3"/>
    <x v="409"/>
    <x v="1"/>
    <x v="409"/>
    <x v="2"/>
    <x v="0"/>
    <x v="0"/>
    <x v="8"/>
    <x v="3"/>
    <x v="473"/>
    <n v="0.38"/>
    <n v="-7.557603289399961E-3"/>
    <s v="United States"/>
    <x v="3"/>
    <x v="43"/>
    <x v="113"/>
    <n v="36830"/>
    <x v="44"/>
    <x v="5"/>
    <x v="0"/>
    <d v="2015-03-17T00:00:00"/>
    <n v="-70.14"/>
    <n v="23"/>
    <x v="701"/>
    <n v="90880"/>
    <x v="0"/>
  </r>
  <r>
    <n v="20233"/>
    <s v="Critical"/>
    <n v="0.06"/>
    <n v="200.97"/>
    <x v="301"/>
    <x v="409"/>
    <x v="1"/>
    <x v="409"/>
    <x v="1"/>
    <x v="2"/>
    <x v="2"/>
    <x v="6"/>
    <x v="1"/>
    <x v="474"/>
    <n v="0.36"/>
    <n v="0.39413269277818552"/>
    <s v="United States"/>
    <x v="3"/>
    <x v="43"/>
    <x v="113"/>
    <n v="36830"/>
    <x v="78"/>
    <x v="5"/>
    <x v="0"/>
    <d v="2015-03-25T00:00:00"/>
    <n v="531.61799999999994"/>
    <n v="7"/>
    <x v="702"/>
    <n v="90881"/>
    <x v="0"/>
  </r>
  <r>
    <n v="5117"/>
    <s v="High"/>
    <n v="0.1"/>
    <n v="22.38"/>
    <x v="278"/>
    <x v="410"/>
    <x v="1"/>
    <x v="410"/>
    <x v="2"/>
    <x v="1"/>
    <x v="0"/>
    <x v="8"/>
    <x v="3"/>
    <x v="429"/>
    <n v="0.38"/>
    <n v="-0.19029611667669649"/>
    <s v="United States"/>
    <x v="1"/>
    <x v="4"/>
    <x v="8"/>
    <n v="10009"/>
    <x v="121"/>
    <x v="4"/>
    <x v="0"/>
    <d v="2015-04-06T00:00:00"/>
    <n v="-107.51349999999999"/>
    <n v="26"/>
    <x v="703"/>
    <n v="36452"/>
    <x v="0"/>
  </r>
  <r>
    <n v="5118"/>
    <s v="High"/>
    <n v="0.04"/>
    <n v="6.98"/>
    <x v="202"/>
    <x v="410"/>
    <x v="1"/>
    <x v="410"/>
    <x v="2"/>
    <x v="1"/>
    <x v="1"/>
    <x v="2"/>
    <x v="2"/>
    <x v="475"/>
    <n v="0.37"/>
    <n v="0.35534445474204512"/>
    <s v="United States"/>
    <x v="1"/>
    <x v="4"/>
    <x v="8"/>
    <n v="10009"/>
    <x v="121"/>
    <x v="4"/>
    <x v="0"/>
    <d v="2015-04-07T00:00:00"/>
    <n v="46.01"/>
    <n v="18"/>
    <x v="704"/>
    <n v="36452"/>
    <x v="0"/>
  </r>
  <r>
    <n v="6581"/>
    <s v="Low"/>
    <n v="0.03"/>
    <n v="256.99"/>
    <x v="302"/>
    <x v="410"/>
    <x v="1"/>
    <x v="410"/>
    <x v="2"/>
    <x v="1"/>
    <x v="2"/>
    <x v="13"/>
    <x v="3"/>
    <x v="476"/>
    <n v="0.51"/>
    <n v="0.18132293446669293"/>
    <s v="United States"/>
    <x v="1"/>
    <x v="4"/>
    <x v="8"/>
    <n v="10009"/>
    <x v="55"/>
    <x v="3"/>
    <x v="0"/>
    <d v="2015-05-22T00:00:00"/>
    <n v="1489.8"/>
    <n v="32"/>
    <x v="705"/>
    <n v="46853"/>
    <x v="0"/>
  </r>
  <r>
    <n v="23117"/>
    <s v="High"/>
    <n v="0.1"/>
    <n v="22.38"/>
    <x v="278"/>
    <x v="411"/>
    <x v="1"/>
    <x v="411"/>
    <x v="2"/>
    <x v="1"/>
    <x v="0"/>
    <x v="8"/>
    <x v="3"/>
    <x v="429"/>
    <n v="0.38"/>
    <n v="-0.70681414765630124"/>
    <s v="United States"/>
    <x v="2"/>
    <x v="7"/>
    <x v="337"/>
    <n v="78641"/>
    <x v="121"/>
    <x v="4"/>
    <x v="0"/>
    <d v="2015-04-06T00:00:00"/>
    <n v="-107.51349999999999"/>
    <n v="7"/>
    <x v="706"/>
    <n v="91555"/>
    <x v="0"/>
  </r>
  <r>
    <n v="23118"/>
    <s v="High"/>
    <n v="0.04"/>
    <n v="6.98"/>
    <x v="202"/>
    <x v="411"/>
    <x v="1"/>
    <x v="411"/>
    <x v="2"/>
    <x v="1"/>
    <x v="1"/>
    <x v="2"/>
    <x v="2"/>
    <x v="475"/>
    <n v="0.37"/>
    <n v="0.69"/>
    <s v="United States"/>
    <x v="2"/>
    <x v="7"/>
    <x v="337"/>
    <n v="78641"/>
    <x v="121"/>
    <x v="4"/>
    <x v="0"/>
    <d v="2015-04-07T00:00:00"/>
    <n v="24.819299999999998"/>
    <n v="5"/>
    <x v="707"/>
    <n v="91555"/>
    <x v="0"/>
  </r>
  <r>
    <n v="18413"/>
    <s v="High"/>
    <n v="0"/>
    <n v="3.89"/>
    <x v="303"/>
    <x v="412"/>
    <x v="1"/>
    <x v="412"/>
    <x v="2"/>
    <x v="0"/>
    <x v="0"/>
    <x v="8"/>
    <x v="3"/>
    <x v="477"/>
    <n v="0.37"/>
    <n v="-2.9795527790751986"/>
    <s v="United States"/>
    <x v="2"/>
    <x v="12"/>
    <x v="338"/>
    <n v="60110"/>
    <x v="37"/>
    <x v="4"/>
    <x v="0"/>
    <d v="2015-04-09T00:00:00"/>
    <n v="-255.16890000000001"/>
    <n v="21"/>
    <x v="708"/>
    <n v="87877"/>
    <x v="0"/>
  </r>
  <r>
    <n v="18414"/>
    <s v="High"/>
    <n v="0.09"/>
    <n v="120.98"/>
    <x v="40"/>
    <x v="412"/>
    <x v="1"/>
    <x v="412"/>
    <x v="1"/>
    <x v="0"/>
    <x v="1"/>
    <x v="1"/>
    <x v="1"/>
    <x v="478"/>
    <n v="0.64"/>
    <n v="2.9505731315910132E-2"/>
    <s v="United States"/>
    <x v="2"/>
    <x v="12"/>
    <x v="338"/>
    <n v="60110"/>
    <x v="37"/>
    <x v="4"/>
    <x v="0"/>
    <d v="2015-04-11T00:00:00"/>
    <n v="74.004800000000003"/>
    <n v="22"/>
    <x v="709"/>
    <n v="87877"/>
    <x v="0"/>
  </r>
  <r>
    <n v="18415"/>
    <s v="High"/>
    <n v="0.1"/>
    <n v="30.98"/>
    <x v="220"/>
    <x v="412"/>
    <x v="1"/>
    <x v="412"/>
    <x v="2"/>
    <x v="0"/>
    <x v="0"/>
    <x v="7"/>
    <x v="3"/>
    <x v="479"/>
    <n v="0.4"/>
    <n v="0.48499601099193329"/>
    <s v="United States"/>
    <x v="2"/>
    <x v="12"/>
    <x v="338"/>
    <n v="60110"/>
    <x v="37"/>
    <x v="4"/>
    <x v="0"/>
    <d v="2015-04-10T00:00:00"/>
    <n v="109.42479999999999"/>
    <n v="8"/>
    <x v="710"/>
    <n v="87877"/>
    <x v="0"/>
  </r>
  <r>
    <n v="19322"/>
    <s v="Low"/>
    <n v="0.02"/>
    <n v="46.89"/>
    <x v="304"/>
    <x v="413"/>
    <x v="1"/>
    <x v="413"/>
    <x v="2"/>
    <x v="1"/>
    <x v="0"/>
    <x v="15"/>
    <x v="4"/>
    <x v="480"/>
    <n v="0.46"/>
    <n v="0.69"/>
    <s v="United States"/>
    <x v="2"/>
    <x v="7"/>
    <x v="339"/>
    <n v="78613"/>
    <x v="45"/>
    <x v="4"/>
    <x v="0"/>
    <d v="2015-04-23T00:00:00"/>
    <n v="421.34849999999994"/>
    <n v="13"/>
    <x v="711"/>
    <n v="89981"/>
    <x v="0"/>
  </r>
  <r>
    <n v="19323"/>
    <s v="Low"/>
    <n v="0.05"/>
    <n v="140.97999999999999"/>
    <x v="305"/>
    <x v="413"/>
    <x v="1"/>
    <x v="413"/>
    <x v="1"/>
    <x v="1"/>
    <x v="1"/>
    <x v="14"/>
    <x v="5"/>
    <x v="481"/>
    <n v="0.77"/>
    <n v="-0.53356501344316687"/>
    <s v="United States"/>
    <x v="2"/>
    <x v="7"/>
    <x v="339"/>
    <n v="78613"/>
    <x v="45"/>
    <x v="4"/>
    <x v="0"/>
    <d v="2015-04-25T00:00:00"/>
    <n v="-373.09"/>
    <n v="5"/>
    <x v="712"/>
    <n v="89981"/>
    <x v="0"/>
  </r>
  <r>
    <n v="19324"/>
    <s v="Low"/>
    <n v="0.1"/>
    <n v="212.6"/>
    <x v="306"/>
    <x v="413"/>
    <x v="1"/>
    <x v="413"/>
    <x v="1"/>
    <x v="1"/>
    <x v="1"/>
    <x v="11"/>
    <x v="5"/>
    <x v="482"/>
    <n v="0.73"/>
    <n v="-1.4769939003337553"/>
    <s v="United States"/>
    <x v="2"/>
    <x v="7"/>
    <x v="339"/>
    <n v="78613"/>
    <x v="45"/>
    <x v="4"/>
    <x v="0"/>
    <d v="2015-04-25T00:00:00"/>
    <n v="-3465.0720000000001"/>
    <n v="12"/>
    <x v="713"/>
    <n v="89981"/>
    <x v="0"/>
  </r>
  <r>
    <n v="23455"/>
    <s v="Medium"/>
    <n v="0.04"/>
    <n v="2.08"/>
    <x v="25"/>
    <x v="414"/>
    <x v="1"/>
    <x v="414"/>
    <x v="2"/>
    <x v="1"/>
    <x v="0"/>
    <x v="8"/>
    <x v="3"/>
    <x v="483"/>
    <n v="0.36"/>
    <n v="-0.33406870002961209"/>
    <s v="United States"/>
    <x v="2"/>
    <x v="7"/>
    <x v="340"/>
    <n v="77530"/>
    <x v="8"/>
    <x v="3"/>
    <x v="0"/>
    <d v="2015-05-23T00:00:00"/>
    <n v="-11.281500000000001"/>
    <n v="16"/>
    <x v="714"/>
    <n v="89982"/>
    <x v="0"/>
  </r>
  <r>
    <n v="23815"/>
    <s v="Critical"/>
    <n v="0.06"/>
    <n v="80.98"/>
    <x v="97"/>
    <x v="414"/>
    <x v="1"/>
    <x v="414"/>
    <x v="2"/>
    <x v="1"/>
    <x v="0"/>
    <x v="10"/>
    <x v="6"/>
    <x v="484"/>
    <n v="0.81"/>
    <n v="-1.2661033624631057"/>
    <s v="United States"/>
    <x v="2"/>
    <x v="7"/>
    <x v="340"/>
    <n v="77530"/>
    <x v="14"/>
    <x v="5"/>
    <x v="0"/>
    <d v="2015-03-13T00:00:00"/>
    <n v="-218.77"/>
    <n v="2"/>
    <x v="715"/>
    <n v="89983"/>
    <x v="0"/>
  </r>
  <r>
    <n v="23926"/>
    <s v="Medium"/>
    <n v="0.06"/>
    <n v="3.95"/>
    <x v="167"/>
    <x v="414"/>
    <x v="1"/>
    <x v="414"/>
    <x v="2"/>
    <x v="1"/>
    <x v="0"/>
    <x v="3"/>
    <x v="0"/>
    <x v="485"/>
    <n v="0.53"/>
    <n v="-0.49237029501525942"/>
    <s v="United States"/>
    <x v="2"/>
    <x v="7"/>
    <x v="340"/>
    <n v="77530"/>
    <x v="120"/>
    <x v="5"/>
    <x v="0"/>
    <d v="2015-03-25T00:00:00"/>
    <n v="-9.68"/>
    <n v="5"/>
    <x v="716"/>
    <n v="89984"/>
    <x v="0"/>
  </r>
  <r>
    <n v="18131"/>
    <s v="Medium"/>
    <n v="0.01"/>
    <n v="115.99"/>
    <x v="80"/>
    <x v="415"/>
    <x v="1"/>
    <x v="415"/>
    <x v="1"/>
    <x v="1"/>
    <x v="2"/>
    <x v="6"/>
    <x v="1"/>
    <x v="486"/>
    <n v="0.4"/>
    <n v="-0.27201985604368334"/>
    <s v="United States"/>
    <x v="0"/>
    <x v="21"/>
    <x v="53"/>
    <n v="80013"/>
    <x v="55"/>
    <x v="3"/>
    <x v="0"/>
    <d v="2015-05-23T00:00:00"/>
    <n v="-164.39520000000002"/>
    <n v="5"/>
    <x v="717"/>
    <n v="86535"/>
    <x v="0"/>
  </r>
  <r>
    <n v="18693"/>
    <s v="Critical"/>
    <n v="0.04"/>
    <n v="2.52"/>
    <x v="307"/>
    <x v="415"/>
    <x v="1"/>
    <x v="415"/>
    <x v="2"/>
    <x v="1"/>
    <x v="0"/>
    <x v="12"/>
    <x v="0"/>
    <x v="487"/>
    <n v="0.82"/>
    <n v="-2.6223642172523962"/>
    <s v="United States"/>
    <x v="0"/>
    <x v="21"/>
    <x v="53"/>
    <n v="80013"/>
    <x v="158"/>
    <x v="4"/>
    <x v="0"/>
    <d v="2015-04-24T00:00:00"/>
    <n v="-8.2080000000000002"/>
    <n v="1"/>
    <x v="718"/>
    <n v="86536"/>
    <x v="0"/>
  </r>
  <r>
    <n v="24939"/>
    <s v="High"/>
    <n v="0.03"/>
    <n v="3.69"/>
    <x v="10"/>
    <x v="416"/>
    <x v="0"/>
    <x v="416"/>
    <x v="0"/>
    <x v="1"/>
    <x v="0"/>
    <x v="4"/>
    <x v="3"/>
    <x v="488"/>
    <n v="0.39"/>
    <n v="-56.835291073738688"/>
    <s v="United States"/>
    <x v="3"/>
    <x v="35"/>
    <x v="341"/>
    <n v="40422"/>
    <x v="18"/>
    <x v="4"/>
    <x v="0"/>
    <d v="2015-04-20T00:00:00"/>
    <n v="-2196.6840000000002"/>
    <n v="9"/>
    <x v="207"/>
    <n v="86534"/>
    <x v="0"/>
  </r>
  <r>
    <n v="21771"/>
    <s v="Critical"/>
    <n v="0.02"/>
    <n v="73.98"/>
    <x v="308"/>
    <x v="417"/>
    <x v="0"/>
    <x v="417"/>
    <x v="2"/>
    <x v="1"/>
    <x v="2"/>
    <x v="13"/>
    <x v="3"/>
    <x v="414"/>
    <n v="0.65"/>
    <n v="0.11510985379266586"/>
    <s v="United States"/>
    <x v="0"/>
    <x v="21"/>
    <x v="342"/>
    <n v="80020"/>
    <x v="163"/>
    <x v="3"/>
    <x v="0"/>
    <d v="2015-05-10T00:00:00"/>
    <n v="43.538000000000011"/>
    <n v="5"/>
    <x v="719"/>
    <n v="89730"/>
    <x v="0"/>
  </r>
  <r>
    <n v="24559"/>
    <s v="Critical"/>
    <n v="0.05"/>
    <n v="5.28"/>
    <x v="309"/>
    <x v="418"/>
    <x v="0"/>
    <x v="418"/>
    <x v="2"/>
    <x v="1"/>
    <x v="0"/>
    <x v="7"/>
    <x v="3"/>
    <x v="489"/>
    <n v="0.4"/>
    <n v="-1.5910489510489512"/>
    <s v="United States"/>
    <x v="2"/>
    <x v="23"/>
    <x v="343"/>
    <n v="73521"/>
    <x v="164"/>
    <x v="1"/>
    <x v="0"/>
    <d v="2015-06-12T00:00:00"/>
    <n v="-11.376000000000001"/>
    <n v="1"/>
    <x v="720"/>
    <n v="89729"/>
    <x v="0"/>
  </r>
  <r>
    <n v="22363"/>
    <s v="Critical"/>
    <n v="0.01"/>
    <n v="13.99"/>
    <x v="310"/>
    <x v="419"/>
    <x v="1"/>
    <x v="419"/>
    <x v="2"/>
    <x v="0"/>
    <x v="2"/>
    <x v="6"/>
    <x v="4"/>
    <x v="490"/>
    <n v="0.39"/>
    <n v="17.880804020100502"/>
    <s v="United States"/>
    <x v="3"/>
    <x v="26"/>
    <x v="344"/>
    <n v="33433"/>
    <x v="104"/>
    <x v="2"/>
    <x v="0"/>
    <d v="2015-02-11T00:00:00"/>
    <n v="533.74199999999996"/>
    <n v="2"/>
    <x v="721"/>
    <n v="89514"/>
    <x v="0"/>
  </r>
  <r>
    <n v="21848"/>
    <s v="Not Specified"/>
    <n v="0.08"/>
    <n v="128.24"/>
    <x v="152"/>
    <x v="419"/>
    <x v="1"/>
    <x v="419"/>
    <x v="2"/>
    <x v="0"/>
    <x v="1"/>
    <x v="1"/>
    <x v="4"/>
    <x v="212"/>
    <m/>
    <n v="-1.0352144962340355"/>
    <s v="United States"/>
    <x v="3"/>
    <x v="26"/>
    <x v="344"/>
    <n v="33433"/>
    <x v="3"/>
    <x v="3"/>
    <x v="0"/>
    <d v="2015-05-13T00:00:00"/>
    <n v="-379.34399999999999"/>
    <n v="3"/>
    <x v="722"/>
    <n v="89515"/>
    <x v="0"/>
  </r>
  <r>
    <n v="21849"/>
    <s v="Not Specified"/>
    <n v="0.04"/>
    <n v="5.98"/>
    <x v="311"/>
    <x v="419"/>
    <x v="1"/>
    <x v="419"/>
    <x v="2"/>
    <x v="0"/>
    <x v="2"/>
    <x v="13"/>
    <x v="2"/>
    <x v="491"/>
    <n v="0.75"/>
    <n v="-21.825146953405017"/>
    <s v="United States"/>
    <x v="3"/>
    <x v="26"/>
    <x v="344"/>
    <n v="33433"/>
    <x v="3"/>
    <x v="3"/>
    <x v="0"/>
    <d v="2015-05-14T00:00:00"/>
    <n v="-1522.3039999999999"/>
    <n v="11"/>
    <x v="723"/>
    <n v="89515"/>
    <x v="0"/>
  </r>
  <r>
    <n v="19550"/>
    <s v="Medium"/>
    <n v="7.0000000000000007E-2"/>
    <n v="125.99"/>
    <x v="19"/>
    <x v="420"/>
    <x v="1"/>
    <x v="420"/>
    <x v="2"/>
    <x v="0"/>
    <x v="2"/>
    <x v="5"/>
    <x v="3"/>
    <x v="19"/>
    <n v="0.59"/>
    <n v="0.69"/>
    <s v="United States"/>
    <x v="0"/>
    <x v="1"/>
    <x v="345"/>
    <n v="91941"/>
    <x v="37"/>
    <x v="4"/>
    <x v="0"/>
    <d v="2015-04-10T00:00:00"/>
    <n v="588.24569999999994"/>
    <n v="8"/>
    <x v="724"/>
    <n v="88410"/>
    <x v="0"/>
  </r>
  <r>
    <n v="19398"/>
    <s v="Low"/>
    <n v="0.1"/>
    <n v="34.229999999999997"/>
    <x v="312"/>
    <x v="420"/>
    <x v="1"/>
    <x v="420"/>
    <x v="2"/>
    <x v="0"/>
    <x v="1"/>
    <x v="2"/>
    <x v="3"/>
    <x v="492"/>
    <n v="0.55000000000000004"/>
    <n v="0.69"/>
    <s v="United States"/>
    <x v="0"/>
    <x v="1"/>
    <x v="345"/>
    <n v="91941"/>
    <x v="90"/>
    <x v="3"/>
    <x v="0"/>
    <d v="2015-05-06T00:00:00"/>
    <n v="151.56539999999998"/>
    <n v="7"/>
    <x v="725"/>
    <n v="88411"/>
    <x v="0"/>
  </r>
  <r>
    <n v="20628"/>
    <s v="Critical"/>
    <n v="7.0000000000000007E-2"/>
    <n v="40.98"/>
    <x v="313"/>
    <x v="421"/>
    <x v="1"/>
    <x v="421"/>
    <x v="2"/>
    <x v="0"/>
    <x v="0"/>
    <x v="8"/>
    <x v="3"/>
    <x v="493"/>
    <n v="0.37"/>
    <n v="0.67034798534798534"/>
    <s v="United States"/>
    <x v="2"/>
    <x v="38"/>
    <x v="346"/>
    <n v="46324"/>
    <x v="151"/>
    <x v="5"/>
    <x v="0"/>
    <d v="2015-03-02T00:00:00"/>
    <n v="54.901500000000006"/>
    <n v="2"/>
    <x v="726"/>
    <n v="90114"/>
    <x v="0"/>
  </r>
  <r>
    <n v="25005"/>
    <s v="Not Specified"/>
    <n v="0"/>
    <n v="442.14"/>
    <x v="69"/>
    <x v="421"/>
    <x v="1"/>
    <x v="421"/>
    <x v="1"/>
    <x v="0"/>
    <x v="2"/>
    <x v="6"/>
    <x v="1"/>
    <x v="110"/>
    <n v="0.56000000000000005"/>
    <n v="0.21401503836404448"/>
    <s v="United States"/>
    <x v="2"/>
    <x v="38"/>
    <x v="346"/>
    <n v="46324"/>
    <x v="93"/>
    <x v="5"/>
    <x v="0"/>
    <d v="2015-03-05T00:00:00"/>
    <n v="501.51"/>
    <n v="5"/>
    <x v="727"/>
    <n v="90115"/>
    <x v="0"/>
  </r>
  <r>
    <n v="2628"/>
    <s v="Critical"/>
    <n v="7.0000000000000007E-2"/>
    <n v="40.98"/>
    <x v="313"/>
    <x v="422"/>
    <x v="0"/>
    <x v="422"/>
    <x v="2"/>
    <x v="0"/>
    <x v="0"/>
    <x v="8"/>
    <x v="3"/>
    <x v="493"/>
    <n v="0.37"/>
    <n v="0.16758188089496659"/>
    <s v="United States"/>
    <x v="0"/>
    <x v="0"/>
    <x v="33"/>
    <n v="98119"/>
    <x v="151"/>
    <x v="5"/>
    <x v="0"/>
    <d v="2015-03-02T00:00:00"/>
    <n v="54.901500000000006"/>
    <n v="8"/>
    <x v="728"/>
    <n v="19042"/>
    <x v="0"/>
  </r>
  <r>
    <n v="22125"/>
    <s v="Low"/>
    <n v="0.1"/>
    <n v="238.4"/>
    <x v="65"/>
    <x v="423"/>
    <x v="1"/>
    <x v="423"/>
    <x v="2"/>
    <x v="2"/>
    <x v="1"/>
    <x v="1"/>
    <x v="6"/>
    <x v="494"/>
    <m/>
    <n v="0.49325691744153283"/>
    <s v="United States"/>
    <x v="2"/>
    <x v="38"/>
    <x v="347"/>
    <n v="47591"/>
    <x v="76"/>
    <x v="0"/>
    <x v="0"/>
    <d v="2015-01-26T00:00:00"/>
    <n v="875.28440000000001"/>
    <n v="8"/>
    <x v="729"/>
    <n v="89112"/>
    <x v="0"/>
  </r>
  <r>
    <n v="22126"/>
    <s v="Low"/>
    <n v="0.03"/>
    <n v="199.99"/>
    <x v="65"/>
    <x v="423"/>
    <x v="1"/>
    <x v="423"/>
    <x v="0"/>
    <x v="2"/>
    <x v="2"/>
    <x v="16"/>
    <x v="6"/>
    <x v="495"/>
    <n v="0.46"/>
    <n v="0.69"/>
    <s v="United States"/>
    <x v="2"/>
    <x v="38"/>
    <x v="347"/>
    <n v="47591"/>
    <x v="76"/>
    <x v="0"/>
    <x v="0"/>
    <d v="2015-01-26T00:00:00"/>
    <n v="727.73609999999996"/>
    <n v="5"/>
    <x v="730"/>
    <n v="89112"/>
    <x v="0"/>
  </r>
  <r>
    <n v="4125"/>
    <s v="Low"/>
    <n v="0.1"/>
    <n v="238.4"/>
    <x v="65"/>
    <x v="424"/>
    <x v="1"/>
    <x v="424"/>
    <x v="2"/>
    <x v="2"/>
    <x v="1"/>
    <x v="1"/>
    <x v="6"/>
    <x v="494"/>
    <m/>
    <n v="6.9228884991712245E-2"/>
    <s v="United States"/>
    <x v="1"/>
    <x v="19"/>
    <x v="332"/>
    <n v="19134"/>
    <x v="76"/>
    <x v="0"/>
    <x v="0"/>
    <d v="2015-01-26T00:00:00"/>
    <n v="460.67600000000004"/>
    <n v="30"/>
    <x v="731"/>
    <n v="29319"/>
    <x v="0"/>
  </r>
  <r>
    <n v="4126"/>
    <s v="Low"/>
    <n v="0.03"/>
    <n v="199.99"/>
    <x v="65"/>
    <x v="424"/>
    <x v="1"/>
    <x v="424"/>
    <x v="0"/>
    <x v="2"/>
    <x v="2"/>
    <x v="16"/>
    <x v="6"/>
    <x v="495"/>
    <n v="0.46"/>
    <n v="8.8814341409895498E-2"/>
    <s v="United States"/>
    <x v="1"/>
    <x v="19"/>
    <x v="332"/>
    <n v="19134"/>
    <x v="76"/>
    <x v="0"/>
    <x v="0"/>
    <d v="2015-01-26T00:00:00"/>
    <n v="393.41999999999996"/>
    <n v="21"/>
    <x v="732"/>
    <n v="29319"/>
    <x v="0"/>
  </r>
  <r>
    <n v="19990"/>
    <s v="Not Specified"/>
    <n v="0.04"/>
    <n v="150.97999999999999"/>
    <x v="100"/>
    <x v="425"/>
    <x v="1"/>
    <x v="425"/>
    <x v="2"/>
    <x v="1"/>
    <x v="2"/>
    <x v="6"/>
    <x v="4"/>
    <x v="216"/>
    <n v="0.38"/>
    <n v="0.69"/>
    <s v="United States"/>
    <x v="2"/>
    <x v="7"/>
    <x v="333"/>
    <n v="75482"/>
    <x v="6"/>
    <x v="2"/>
    <x v="0"/>
    <d v="2015-02-15T00:00:00"/>
    <n v="606.05459999999994"/>
    <n v="6"/>
    <x v="733"/>
    <n v="90662"/>
    <x v="0"/>
  </r>
  <r>
    <n v="19991"/>
    <s v="Not Specified"/>
    <n v="0.04"/>
    <n v="176.19"/>
    <x v="314"/>
    <x v="425"/>
    <x v="1"/>
    <x v="425"/>
    <x v="2"/>
    <x v="1"/>
    <x v="0"/>
    <x v="10"/>
    <x v="3"/>
    <x v="496"/>
    <n v="0.62"/>
    <n v="0.47312177601726357"/>
    <s v="United States"/>
    <x v="2"/>
    <x v="7"/>
    <x v="333"/>
    <n v="75482"/>
    <x v="6"/>
    <x v="2"/>
    <x v="0"/>
    <d v="2015-02-14T00:00:00"/>
    <n v="320.10000000000002"/>
    <n v="4"/>
    <x v="734"/>
    <n v="90662"/>
    <x v="0"/>
  </r>
  <r>
    <n v="23120"/>
    <s v="High"/>
    <n v="0.03"/>
    <n v="39.479999999999997"/>
    <x v="45"/>
    <x v="426"/>
    <x v="1"/>
    <x v="426"/>
    <x v="2"/>
    <x v="3"/>
    <x v="2"/>
    <x v="13"/>
    <x v="2"/>
    <x v="246"/>
    <n v="0.54"/>
    <n v="0.69"/>
    <s v="United States"/>
    <x v="0"/>
    <x v="17"/>
    <x v="348"/>
    <n v="84074"/>
    <x v="153"/>
    <x v="2"/>
    <x v="0"/>
    <d v="2015-02-21T00:00:00"/>
    <n v="317.08949999999999"/>
    <n v="12"/>
    <x v="735"/>
    <n v="87003"/>
    <x v="0"/>
  </r>
  <r>
    <n v="20652"/>
    <s v="Low"/>
    <n v="0.01"/>
    <n v="65.989999999999995"/>
    <x v="315"/>
    <x v="426"/>
    <x v="1"/>
    <x v="426"/>
    <x v="2"/>
    <x v="3"/>
    <x v="2"/>
    <x v="5"/>
    <x v="3"/>
    <x v="497"/>
    <n v="0.56999999999999995"/>
    <n v="0.46631164090147148"/>
    <s v="United States"/>
    <x v="0"/>
    <x v="17"/>
    <x v="348"/>
    <n v="84074"/>
    <x v="153"/>
    <x v="2"/>
    <x v="0"/>
    <d v="2015-02-26T00:00:00"/>
    <n v="250.36272000000002"/>
    <n v="9"/>
    <x v="736"/>
    <n v="87005"/>
    <x v="0"/>
  </r>
  <r>
    <n v="25092"/>
    <s v="Medium"/>
    <n v="0.08"/>
    <n v="2.88"/>
    <x v="28"/>
    <x v="427"/>
    <x v="0"/>
    <x v="427"/>
    <x v="2"/>
    <x v="3"/>
    <x v="0"/>
    <x v="9"/>
    <x v="3"/>
    <x v="498"/>
    <n v="0.39"/>
    <n v="0.69"/>
    <s v="United States"/>
    <x v="0"/>
    <x v="17"/>
    <x v="349"/>
    <n v="84084"/>
    <x v="45"/>
    <x v="4"/>
    <x v="0"/>
    <d v="2015-04-24T00:00:00"/>
    <n v="6.0305999999999997"/>
    <n v="3"/>
    <x v="737"/>
    <n v="87004"/>
    <x v="0"/>
  </r>
  <r>
    <n v="26274"/>
    <s v="High"/>
    <n v="0.04"/>
    <n v="62.18"/>
    <x v="316"/>
    <x v="428"/>
    <x v="0"/>
    <x v="428"/>
    <x v="2"/>
    <x v="3"/>
    <x v="1"/>
    <x v="2"/>
    <x v="4"/>
    <x v="499"/>
    <n v="0.63"/>
    <n v="0.69"/>
    <s v="United States"/>
    <x v="0"/>
    <x v="17"/>
    <x v="350"/>
    <n v="84120"/>
    <x v="149"/>
    <x v="2"/>
    <x v="0"/>
    <d v="2015-02-19T00:00:00"/>
    <n v="125.8077"/>
    <n v="3"/>
    <x v="738"/>
    <n v="87002"/>
    <x v="0"/>
  </r>
  <r>
    <n v="22832"/>
    <s v="Low"/>
    <n v="0.04"/>
    <n v="8.33"/>
    <x v="45"/>
    <x v="429"/>
    <x v="0"/>
    <x v="429"/>
    <x v="2"/>
    <x v="2"/>
    <x v="2"/>
    <x v="13"/>
    <x v="2"/>
    <x v="140"/>
    <n v="0.52"/>
    <n v="0.34200822794453756"/>
    <s v="United States"/>
    <x v="0"/>
    <x v="6"/>
    <x v="351"/>
    <n v="97420"/>
    <x v="133"/>
    <x v="1"/>
    <x v="0"/>
    <d v="2015-07-07T00:00:00"/>
    <n v="44.891999999999996"/>
    <n v="16"/>
    <x v="739"/>
    <n v="91451"/>
    <x v="0"/>
  </r>
  <r>
    <n v="3167"/>
    <s v="Medium"/>
    <n v="0.04"/>
    <n v="5.34"/>
    <x v="139"/>
    <x v="430"/>
    <x v="1"/>
    <x v="430"/>
    <x v="2"/>
    <x v="1"/>
    <x v="0"/>
    <x v="8"/>
    <x v="3"/>
    <x v="289"/>
    <n v="0.38"/>
    <n v="1.4343308395677472E-2"/>
    <s v="United States"/>
    <x v="0"/>
    <x v="1"/>
    <x v="154"/>
    <n v="90058"/>
    <x v="25"/>
    <x v="5"/>
    <x v="0"/>
    <d v="2015-04-01T00:00:00"/>
    <n v="3.4509999999999996"/>
    <n v="45"/>
    <x v="740"/>
    <n v="22755"/>
    <x v="0"/>
  </r>
  <r>
    <n v="3168"/>
    <s v="Medium"/>
    <n v="0.06"/>
    <n v="55.99"/>
    <x v="104"/>
    <x v="430"/>
    <x v="1"/>
    <x v="430"/>
    <x v="2"/>
    <x v="1"/>
    <x v="2"/>
    <x v="5"/>
    <x v="2"/>
    <x v="241"/>
    <n v="0.8"/>
    <n v="-1.1619934143870314"/>
    <s v="United States"/>
    <x v="0"/>
    <x v="1"/>
    <x v="154"/>
    <n v="90058"/>
    <x v="25"/>
    <x v="5"/>
    <x v="0"/>
    <d v="2015-04-01T00:00:00"/>
    <n v="-275.25299999999999"/>
    <n v="5"/>
    <x v="741"/>
    <n v="22755"/>
    <x v="0"/>
  </r>
  <r>
    <n v="3791"/>
    <s v="Low"/>
    <n v="0.05"/>
    <n v="80.98"/>
    <x v="97"/>
    <x v="430"/>
    <x v="1"/>
    <x v="430"/>
    <x v="2"/>
    <x v="1"/>
    <x v="0"/>
    <x v="10"/>
    <x v="6"/>
    <x v="484"/>
    <n v="0.81"/>
    <n v="-0.27539135279121335"/>
    <s v="United States"/>
    <x v="0"/>
    <x v="1"/>
    <x v="154"/>
    <n v="90058"/>
    <x v="99"/>
    <x v="0"/>
    <x v="0"/>
    <d v="2015-01-09T00:00:00"/>
    <n v="-746.44"/>
    <n v="34"/>
    <x v="742"/>
    <n v="27013"/>
    <x v="0"/>
  </r>
  <r>
    <n v="3792"/>
    <s v="Low"/>
    <n v="0.05"/>
    <n v="279.48"/>
    <x v="97"/>
    <x v="430"/>
    <x v="1"/>
    <x v="430"/>
    <x v="2"/>
    <x v="1"/>
    <x v="0"/>
    <x v="10"/>
    <x v="6"/>
    <x v="284"/>
    <n v="0.8"/>
    <n v="-3.2909501563784825E-2"/>
    <s v="United States"/>
    <x v="0"/>
    <x v="1"/>
    <x v="154"/>
    <n v="90058"/>
    <x v="99"/>
    <x v="0"/>
    <x v="0"/>
    <d v="2015-01-05T00:00:00"/>
    <n v="-274.95"/>
    <n v="31"/>
    <x v="743"/>
    <n v="27013"/>
    <x v="0"/>
  </r>
  <r>
    <n v="21166"/>
    <s v="Medium"/>
    <n v="0"/>
    <n v="4.91"/>
    <x v="317"/>
    <x v="431"/>
    <x v="0"/>
    <x v="431"/>
    <x v="2"/>
    <x v="1"/>
    <x v="0"/>
    <x v="8"/>
    <x v="3"/>
    <x v="500"/>
    <n v="0.36"/>
    <n v="-1.967857142857143"/>
    <s v="United States"/>
    <x v="0"/>
    <x v="21"/>
    <x v="352"/>
    <n v="80906"/>
    <x v="25"/>
    <x v="5"/>
    <x v="0"/>
    <d v="2015-03-31T00:00:00"/>
    <n v="-95.047499999999999"/>
    <n v="9"/>
    <x v="744"/>
    <n v="87602"/>
    <x v="0"/>
  </r>
  <r>
    <n v="21167"/>
    <s v="Medium"/>
    <n v="0.04"/>
    <n v="5.34"/>
    <x v="139"/>
    <x v="432"/>
    <x v="1"/>
    <x v="432"/>
    <x v="2"/>
    <x v="1"/>
    <x v="0"/>
    <x v="8"/>
    <x v="3"/>
    <x v="289"/>
    <n v="0.38"/>
    <n v="5.8680496514198259E-2"/>
    <s v="United States"/>
    <x v="0"/>
    <x v="21"/>
    <x v="353"/>
    <n v="80022"/>
    <x v="25"/>
    <x v="5"/>
    <x v="0"/>
    <d v="2015-04-01T00:00:00"/>
    <n v="3.4509999999999996"/>
    <n v="11"/>
    <x v="745"/>
    <n v="87602"/>
    <x v="0"/>
  </r>
  <r>
    <n v="21168"/>
    <s v="Medium"/>
    <n v="0.06"/>
    <n v="55.99"/>
    <x v="104"/>
    <x v="432"/>
    <x v="1"/>
    <x v="432"/>
    <x v="2"/>
    <x v="1"/>
    <x v="2"/>
    <x v="5"/>
    <x v="2"/>
    <x v="241"/>
    <n v="0.8"/>
    <n v="-5.8094765723934145"/>
    <s v="United States"/>
    <x v="0"/>
    <x v="21"/>
    <x v="353"/>
    <n v="80022"/>
    <x v="25"/>
    <x v="5"/>
    <x v="0"/>
    <d v="2015-04-01T00:00:00"/>
    <n v="-275.25299999999999"/>
    <n v="1"/>
    <x v="746"/>
    <n v="87602"/>
    <x v="0"/>
  </r>
  <r>
    <n v="21791"/>
    <s v="Low"/>
    <n v="0.05"/>
    <n v="80.98"/>
    <x v="97"/>
    <x v="432"/>
    <x v="1"/>
    <x v="432"/>
    <x v="2"/>
    <x v="1"/>
    <x v="0"/>
    <x v="10"/>
    <x v="6"/>
    <x v="484"/>
    <n v="0.81"/>
    <n v="-1.1704089312594079"/>
    <s v="United States"/>
    <x v="0"/>
    <x v="21"/>
    <x v="353"/>
    <n v="80022"/>
    <x v="99"/>
    <x v="0"/>
    <x v="0"/>
    <d v="2015-01-09T00:00:00"/>
    <n v="-746.44"/>
    <n v="8"/>
    <x v="747"/>
    <n v="87603"/>
    <x v="0"/>
  </r>
  <r>
    <n v="21792"/>
    <s v="Low"/>
    <n v="0.05"/>
    <n v="279.48"/>
    <x v="97"/>
    <x v="432"/>
    <x v="1"/>
    <x v="432"/>
    <x v="2"/>
    <x v="1"/>
    <x v="0"/>
    <x v="10"/>
    <x v="6"/>
    <x v="284"/>
    <n v="0.8"/>
    <n v="-0.1275242804003599"/>
    <s v="United States"/>
    <x v="0"/>
    <x v="21"/>
    <x v="353"/>
    <n v="80022"/>
    <x v="99"/>
    <x v="0"/>
    <x v="0"/>
    <d v="2015-01-05T00:00:00"/>
    <n v="-274.95"/>
    <n v="8"/>
    <x v="748"/>
    <n v="87603"/>
    <x v="0"/>
  </r>
  <r>
    <n v="21006"/>
    <s v="Low"/>
    <n v="0.02"/>
    <n v="55.99"/>
    <x v="136"/>
    <x v="433"/>
    <x v="0"/>
    <x v="433"/>
    <x v="2"/>
    <x v="1"/>
    <x v="2"/>
    <x v="5"/>
    <x v="2"/>
    <x v="501"/>
    <n v="0.59"/>
    <n v="0.69"/>
    <s v="United States"/>
    <x v="2"/>
    <x v="12"/>
    <x v="25"/>
    <n v="60623"/>
    <x v="104"/>
    <x v="2"/>
    <x v="0"/>
    <d v="2015-02-10T00:00:00"/>
    <n v="525.20039999999995"/>
    <n v="16"/>
    <x v="749"/>
    <n v="91244"/>
    <x v="0"/>
  </r>
  <r>
    <n v="3004"/>
    <s v="Low"/>
    <n v="0"/>
    <n v="22.38"/>
    <x v="278"/>
    <x v="434"/>
    <x v="1"/>
    <x v="434"/>
    <x v="0"/>
    <x v="1"/>
    <x v="0"/>
    <x v="8"/>
    <x v="3"/>
    <x v="429"/>
    <n v="0.38"/>
    <n v="-7.7118122692916152E-2"/>
    <s v="United States"/>
    <x v="1"/>
    <x v="4"/>
    <x v="8"/>
    <n v="10170"/>
    <x v="104"/>
    <x v="2"/>
    <x v="0"/>
    <d v="2015-02-17T00:00:00"/>
    <n v="-52.646999999999998"/>
    <n v="29"/>
    <x v="750"/>
    <n v="21636"/>
    <x v="0"/>
  </r>
  <r>
    <n v="3005"/>
    <s v="Low"/>
    <n v="7.0000000000000007E-2"/>
    <n v="5.98"/>
    <x v="318"/>
    <x v="434"/>
    <x v="1"/>
    <x v="434"/>
    <x v="2"/>
    <x v="1"/>
    <x v="0"/>
    <x v="10"/>
    <x v="3"/>
    <x v="502"/>
    <n v="0.68"/>
    <n v="-0.33278867102396514"/>
    <s v="United States"/>
    <x v="1"/>
    <x v="4"/>
    <x v="8"/>
    <n v="10170"/>
    <x v="104"/>
    <x v="2"/>
    <x v="0"/>
    <d v="2015-02-15T00:00:00"/>
    <n v="-24.44"/>
    <n v="11"/>
    <x v="751"/>
    <n v="21636"/>
    <x v="0"/>
  </r>
  <r>
    <n v="3006"/>
    <s v="Low"/>
    <n v="0.02"/>
    <n v="55.99"/>
    <x v="136"/>
    <x v="434"/>
    <x v="1"/>
    <x v="434"/>
    <x v="2"/>
    <x v="1"/>
    <x v="2"/>
    <x v="5"/>
    <x v="2"/>
    <x v="501"/>
    <n v="0.59"/>
    <n v="0.12228843503822066"/>
    <s v="United States"/>
    <x v="1"/>
    <x v="4"/>
    <x v="8"/>
    <n v="10170"/>
    <x v="104"/>
    <x v="2"/>
    <x v="0"/>
    <d v="2015-02-10T00:00:00"/>
    <n v="366.50700000000001"/>
    <n v="63"/>
    <x v="752"/>
    <n v="21636"/>
    <x v="0"/>
  </r>
  <r>
    <n v="3431"/>
    <s v="Not Specified"/>
    <n v="7.0000000000000007E-2"/>
    <n v="3.98"/>
    <x v="227"/>
    <x v="434"/>
    <x v="1"/>
    <x v="434"/>
    <x v="2"/>
    <x v="1"/>
    <x v="0"/>
    <x v="0"/>
    <x v="0"/>
    <x v="503"/>
    <n v="0.51"/>
    <n v="9.6800424253137687E-2"/>
    <s v="United States"/>
    <x v="1"/>
    <x v="4"/>
    <x v="8"/>
    <n v="10170"/>
    <x v="132"/>
    <x v="1"/>
    <x v="0"/>
    <d v="2015-06-09T00:00:00"/>
    <n v="27.38"/>
    <n v="76"/>
    <x v="753"/>
    <n v="24455"/>
    <x v="0"/>
  </r>
  <r>
    <n v="21005"/>
    <s v="Low"/>
    <n v="7.0000000000000007E-2"/>
    <n v="5.98"/>
    <x v="318"/>
    <x v="435"/>
    <x v="1"/>
    <x v="435"/>
    <x v="2"/>
    <x v="1"/>
    <x v="0"/>
    <x v="10"/>
    <x v="3"/>
    <x v="502"/>
    <n v="0.68"/>
    <n v="-0.63448826759860211"/>
    <s v="United States"/>
    <x v="1"/>
    <x v="19"/>
    <x v="354"/>
    <n v="17201"/>
    <x v="104"/>
    <x v="2"/>
    <x v="0"/>
    <d v="2015-02-15T00:00:00"/>
    <n v="-12.708800000000002"/>
    <n v="3"/>
    <x v="754"/>
    <n v="91244"/>
    <x v="0"/>
  </r>
  <r>
    <n v="21430"/>
    <s v="Not Specified"/>
    <n v="0"/>
    <n v="20.89"/>
    <x v="45"/>
    <x v="435"/>
    <x v="1"/>
    <x v="435"/>
    <x v="2"/>
    <x v="1"/>
    <x v="2"/>
    <x v="13"/>
    <x v="2"/>
    <x v="504"/>
    <n v="0.48"/>
    <n v="-6.2618259224219486E-2"/>
    <s v="United States"/>
    <x v="1"/>
    <x v="19"/>
    <x v="354"/>
    <n v="17201"/>
    <x v="132"/>
    <x v="1"/>
    <x v="0"/>
    <d v="2015-06-08T00:00:00"/>
    <n v="-5.2949999999999999"/>
    <n v="4"/>
    <x v="755"/>
    <n v="91245"/>
    <x v="0"/>
  </r>
  <r>
    <n v="21431"/>
    <s v="Not Specified"/>
    <n v="7.0000000000000007E-2"/>
    <n v="3.98"/>
    <x v="227"/>
    <x v="435"/>
    <x v="1"/>
    <x v="435"/>
    <x v="2"/>
    <x v="1"/>
    <x v="0"/>
    <x v="0"/>
    <x v="0"/>
    <x v="503"/>
    <n v="0.51"/>
    <n v="0.58082308018667805"/>
    <s v="United States"/>
    <x v="1"/>
    <x v="19"/>
    <x v="354"/>
    <n v="17201"/>
    <x v="132"/>
    <x v="1"/>
    <x v="0"/>
    <d v="2015-06-09T00:00:00"/>
    <n v="41.07"/>
    <n v="19"/>
    <x v="756"/>
    <n v="91245"/>
    <x v="0"/>
  </r>
  <r>
    <n v="20804"/>
    <s v="Low"/>
    <n v="0.1"/>
    <n v="2.62"/>
    <x v="134"/>
    <x v="436"/>
    <x v="0"/>
    <x v="436"/>
    <x v="2"/>
    <x v="1"/>
    <x v="0"/>
    <x v="3"/>
    <x v="0"/>
    <x v="505"/>
    <n v="0.39"/>
    <n v="-1.8220381797146161"/>
    <s v="United States"/>
    <x v="3"/>
    <x v="26"/>
    <x v="355"/>
    <n v="33511"/>
    <x v="122"/>
    <x v="4"/>
    <x v="0"/>
    <d v="2015-05-06T00:00:00"/>
    <n v="-94.490899999999996"/>
    <n v="21"/>
    <x v="757"/>
    <n v="89686"/>
    <x v="0"/>
  </r>
  <r>
    <n v="22414"/>
    <s v="High"/>
    <n v="0"/>
    <n v="12.2"/>
    <x v="319"/>
    <x v="437"/>
    <x v="0"/>
    <x v="437"/>
    <x v="0"/>
    <x v="1"/>
    <x v="1"/>
    <x v="2"/>
    <x v="2"/>
    <x v="506"/>
    <n v="0.43"/>
    <n v="-3.0636201991465151"/>
    <s v="United States"/>
    <x v="3"/>
    <x v="26"/>
    <x v="356"/>
    <n v="33055"/>
    <x v="89"/>
    <x v="4"/>
    <x v="0"/>
    <d v="2015-04-18T00:00:00"/>
    <n v="-172.298"/>
    <n v="4"/>
    <x v="758"/>
    <n v="88233"/>
    <x v="0"/>
  </r>
  <r>
    <n v="18499"/>
    <s v="Not Specified"/>
    <n v="0.1"/>
    <n v="110.99"/>
    <x v="20"/>
    <x v="438"/>
    <x v="0"/>
    <x v="438"/>
    <x v="0"/>
    <x v="1"/>
    <x v="2"/>
    <x v="5"/>
    <x v="3"/>
    <x v="507"/>
    <n v="0.56999999999999995"/>
    <n v="5.2334894389754378"/>
    <s v="United States"/>
    <x v="3"/>
    <x v="26"/>
    <x v="357"/>
    <n v="33063"/>
    <x v="39"/>
    <x v="0"/>
    <x v="0"/>
    <d v="2015-01-29T00:00:00"/>
    <n v="3285.48"/>
    <n v="7"/>
    <x v="759"/>
    <n v="88232"/>
    <x v="0"/>
  </r>
  <r>
    <n v="24232"/>
    <s v="High"/>
    <n v="0.05"/>
    <n v="17.670000000000002"/>
    <x v="20"/>
    <x v="439"/>
    <x v="0"/>
    <x v="439"/>
    <x v="2"/>
    <x v="1"/>
    <x v="1"/>
    <x v="2"/>
    <x v="2"/>
    <x v="283"/>
    <n v="0.47"/>
    <n v="0.1624216765453006"/>
    <s v="United States"/>
    <x v="1"/>
    <x v="30"/>
    <x v="358"/>
    <n v="20746"/>
    <x v="122"/>
    <x v="4"/>
    <x v="0"/>
    <d v="2015-05-01T00:00:00"/>
    <n v="46.036799999999999"/>
    <n v="16"/>
    <x v="760"/>
    <n v="88234"/>
    <x v="0"/>
  </r>
  <r>
    <n v="20870"/>
    <s v="High"/>
    <n v="0.1"/>
    <n v="4.13"/>
    <x v="90"/>
    <x v="440"/>
    <x v="1"/>
    <x v="440"/>
    <x v="2"/>
    <x v="3"/>
    <x v="0"/>
    <x v="9"/>
    <x v="3"/>
    <x v="508"/>
    <n v="0.39"/>
    <n v="-0.12906024096385543"/>
    <s v="United States"/>
    <x v="2"/>
    <x v="7"/>
    <x v="359"/>
    <n v="76086"/>
    <x v="143"/>
    <x v="2"/>
    <x v="0"/>
    <d v="2015-02-11T00:00:00"/>
    <n v="-1.0712000000000002"/>
    <n v="2"/>
    <x v="161"/>
    <n v="91209"/>
    <x v="0"/>
  </r>
  <r>
    <n v="20871"/>
    <s v="High"/>
    <n v="0.04"/>
    <n v="4.9800000000000004"/>
    <x v="243"/>
    <x v="440"/>
    <x v="1"/>
    <x v="440"/>
    <x v="2"/>
    <x v="3"/>
    <x v="0"/>
    <x v="9"/>
    <x v="3"/>
    <x v="509"/>
    <n v="0.39"/>
    <n v="0.43928286852589649"/>
    <s v="United States"/>
    <x v="2"/>
    <x v="7"/>
    <x v="359"/>
    <n v="76086"/>
    <x v="143"/>
    <x v="2"/>
    <x v="0"/>
    <d v="2015-02-13T00:00:00"/>
    <n v="4.4104000000000001"/>
    <n v="2"/>
    <x v="761"/>
    <n v="91209"/>
    <x v="0"/>
  </r>
  <r>
    <n v="18733"/>
    <s v="Medium"/>
    <n v="0.03"/>
    <n v="125.99"/>
    <x v="19"/>
    <x v="441"/>
    <x v="1"/>
    <x v="441"/>
    <x v="2"/>
    <x v="1"/>
    <x v="2"/>
    <x v="5"/>
    <x v="3"/>
    <x v="442"/>
    <n v="0.57999999999999996"/>
    <n v="0.51032241633983599"/>
    <s v="United States"/>
    <x v="2"/>
    <x v="7"/>
    <x v="360"/>
    <n v="78596"/>
    <x v="26"/>
    <x v="1"/>
    <x v="0"/>
    <d v="2015-06-05T00:00:00"/>
    <n v="500.95799999999997"/>
    <n v="9"/>
    <x v="762"/>
    <n v="88184"/>
    <x v="0"/>
  </r>
  <r>
    <n v="18645"/>
    <s v="High"/>
    <n v="7.0000000000000007E-2"/>
    <n v="119.99"/>
    <x v="320"/>
    <x v="441"/>
    <x v="1"/>
    <x v="441"/>
    <x v="1"/>
    <x v="1"/>
    <x v="2"/>
    <x v="6"/>
    <x v="5"/>
    <x v="510"/>
    <n v="0.35"/>
    <n v="0.69"/>
    <s v="United States"/>
    <x v="2"/>
    <x v="7"/>
    <x v="360"/>
    <n v="78596"/>
    <x v="162"/>
    <x v="1"/>
    <x v="0"/>
    <d v="2015-06-30T00:00:00"/>
    <n v="1206.5961"/>
    <n v="15"/>
    <x v="763"/>
    <n v="88185"/>
    <x v="0"/>
  </r>
  <r>
    <n v="20830"/>
    <s v="High"/>
    <n v="0.03"/>
    <n v="14.34"/>
    <x v="104"/>
    <x v="442"/>
    <x v="0"/>
    <x v="442"/>
    <x v="2"/>
    <x v="3"/>
    <x v="1"/>
    <x v="2"/>
    <x v="2"/>
    <x v="511"/>
    <n v="0.49"/>
    <n v="0.69"/>
    <s v="United States"/>
    <x v="2"/>
    <x v="25"/>
    <x v="361"/>
    <n v="52761"/>
    <x v="161"/>
    <x v="0"/>
    <x v="0"/>
    <d v="2015-01-27T00:00:00"/>
    <n v="82.310099999999991"/>
    <n v="8"/>
    <x v="764"/>
    <n v="89595"/>
    <x v="0"/>
  </r>
  <r>
    <n v="20829"/>
    <s v="High"/>
    <n v="0.01"/>
    <n v="2.89"/>
    <x v="28"/>
    <x v="443"/>
    <x v="1"/>
    <x v="443"/>
    <x v="2"/>
    <x v="3"/>
    <x v="0"/>
    <x v="9"/>
    <x v="3"/>
    <x v="277"/>
    <n v="0.38"/>
    <n v="0.39727272727272728"/>
    <s v="United States"/>
    <x v="2"/>
    <x v="22"/>
    <x v="362"/>
    <n v="48101"/>
    <x v="161"/>
    <x v="0"/>
    <x v="0"/>
    <d v="2015-01-28T00:00:00"/>
    <n v="1.2236"/>
    <n v="1"/>
    <x v="765"/>
    <n v="89595"/>
    <x v="0"/>
  </r>
  <r>
    <n v="24432"/>
    <s v="Critical"/>
    <n v="0.01"/>
    <n v="6.48"/>
    <x v="83"/>
    <x v="443"/>
    <x v="1"/>
    <x v="443"/>
    <x v="0"/>
    <x v="3"/>
    <x v="0"/>
    <x v="7"/>
    <x v="3"/>
    <x v="512"/>
    <n v="0.37"/>
    <n v="-0.22503887129283043"/>
    <s v="United States"/>
    <x v="2"/>
    <x v="22"/>
    <x v="362"/>
    <n v="48101"/>
    <x v="104"/>
    <x v="2"/>
    <x v="0"/>
    <d v="2015-02-11T00:00:00"/>
    <n v="-15.6312"/>
    <n v="9"/>
    <x v="766"/>
    <n v="89596"/>
    <x v="0"/>
  </r>
  <r>
    <n v="24433"/>
    <s v="Critical"/>
    <n v="0.03"/>
    <n v="85.99"/>
    <x v="136"/>
    <x v="443"/>
    <x v="1"/>
    <x v="443"/>
    <x v="2"/>
    <x v="3"/>
    <x v="2"/>
    <x v="5"/>
    <x v="2"/>
    <x v="181"/>
    <n v="0.37"/>
    <n v="0.69"/>
    <s v="United States"/>
    <x v="2"/>
    <x v="22"/>
    <x v="362"/>
    <n v="48101"/>
    <x v="104"/>
    <x v="2"/>
    <x v="0"/>
    <d v="2015-02-12T00:00:00"/>
    <n v="790.54679999999996"/>
    <n v="16"/>
    <x v="767"/>
    <n v="89596"/>
    <x v="0"/>
  </r>
  <r>
    <n v="23011"/>
    <s v="Medium"/>
    <n v="0.05"/>
    <n v="12.97"/>
    <x v="25"/>
    <x v="444"/>
    <x v="1"/>
    <x v="444"/>
    <x v="2"/>
    <x v="3"/>
    <x v="0"/>
    <x v="8"/>
    <x v="3"/>
    <x v="513"/>
    <n v="0.35"/>
    <n v="0.20728100113765641"/>
    <s v="United States"/>
    <x v="3"/>
    <x v="26"/>
    <x v="363"/>
    <n v="32707"/>
    <x v="128"/>
    <x v="2"/>
    <x v="0"/>
    <d v="2015-02-06T00:00:00"/>
    <n v="5.4659999999999993"/>
    <n v="2"/>
    <x v="768"/>
    <n v="89993"/>
    <x v="0"/>
  </r>
  <r>
    <n v="23012"/>
    <s v="Medium"/>
    <n v="0.06"/>
    <n v="5.81"/>
    <x v="51"/>
    <x v="444"/>
    <x v="1"/>
    <x v="444"/>
    <x v="2"/>
    <x v="3"/>
    <x v="0"/>
    <x v="3"/>
    <x v="0"/>
    <x v="514"/>
    <n v="0.54"/>
    <n v="-2.7903854790419165"/>
    <s v="United States"/>
    <x v="3"/>
    <x v="26"/>
    <x v="363"/>
    <n v="32707"/>
    <x v="128"/>
    <x v="2"/>
    <x v="0"/>
    <d v="2015-02-06T00:00:00"/>
    <n v="-149.1182"/>
    <n v="9"/>
    <x v="769"/>
    <n v="89993"/>
    <x v="0"/>
  </r>
  <r>
    <n v="19333"/>
    <s v="Not Specified"/>
    <n v="0.1"/>
    <n v="5.98"/>
    <x v="321"/>
    <x v="445"/>
    <x v="0"/>
    <x v="445"/>
    <x v="2"/>
    <x v="1"/>
    <x v="0"/>
    <x v="7"/>
    <x v="3"/>
    <x v="515"/>
    <n v="0.4"/>
    <n v="-1.5741192884548307"/>
    <s v="United States"/>
    <x v="1"/>
    <x v="30"/>
    <x v="358"/>
    <n v="20746"/>
    <x v="83"/>
    <x v="5"/>
    <x v="0"/>
    <d v="2015-03-17T00:00:00"/>
    <n v="-90.26"/>
    <n v="10"/>
    <x v="770"/>
    <n v="89994"/>
    <x v="0"/>
  </r>
  <r>
    <n v="20539"/>
    <s v="Medium"/>
    <n v="0.03"/>
    <n v="73.98"/>
    <x v="308"/>
    <x v="446"/>
    <x v="0"/>
    <x v="446"/>
    <x v="2"/>
    <x v="3"/>
    <x v="2"/>
    <x v="13"/>
    <x v="3"/>
    <x v="414"/>
    <n v="0.65"/>
    <n v="-4.1284687420906092"/>
    <s v="United States"/>
    <x v="2"/>
    <x v="7"/>
    <x v="364"/>
    <n v="79424"/>
    <x v="0"/>
    <x v="0"/>
    <x v="0"/>
    <d v="2015-01-10T00:00:00"/>
    <n v="-326.23159999999996"/>
    <n v="1"/>
    <x v="771"/>
    <n v="90513"/>
    <x v="0"/>
  </r>
  <r>
    <n v="26034"/>
    <s v="Medium"/>
    <n v="0.09"/>
    <n v="4.55"/>
    <x v="25"/>
    <x v="447"/>
    <x v="0"/>
    <x v="447"/>
    <x v="2"/>
    <x v="3"/>
    <x v="0"/>
    <x v="8"/>
    <x v="3"/>
    <x v="516"/>
    <n v="0.35"/>
    <n v="0.66396856581532415"/>
    <s v="United States"/>
    <x v="2"/>
    <x v="7"/>
    <x v="365"/>
    <n v="75901"/>
    <x v="165"/>
    <x v="5"/>
    <x v="0"/>
    <d v="2015-03-25T00:00:00"/>
    <n v="16.898"/>
    <n v="6"/>
    <x v="772"/>
    <n v="90514"/>
    <x v="0"/>
  </r>
  <r>
    <n v="26035"/>
    <s v="Medium"/>
    <n v="7.0000000000000007E-2"/>
    <n v="9.7799999999999994"/>
    <x v="220"/>
    <x v="448"/>
    <x v="0"/>
    <x v="448"/>
    <x v="0"/>
    <x v="3"/>
    <x v="0"/>
    <x v="4"/>
    <x v="3"/>
    <x v="453"/>
    <n v="0.35"/>
    <n v="0.18190028901734104"/>
    <s v="United States"/>
    <x v="2"/>
    <x v="7"/>
    <x v="366"/>
    <n v="76063"/>
    <x v="165"/>
    <x v="5"/>
    <x v="0"/>
    <d v="2015-03-25T00:00:00"/>
    <n v="20.14"/>
    <n v="11"/>
    <x v="773"/>
    <n v="90514"/>
    <x v="0"/>
  </r>
  <r>
    <n v="24534"/>
    <s v="Critical"/>
    <n v="0.06"/>
    <n v="44.01"/>
    <x v="169"/>
    <x v="449"/>
    <x v="0"/>
    <x v="449"/>
    <x v="2"/>
    <x v="1"/>
    <x v="0"/>
    <x v="15"/>
    <x v="3"/>
    <x v="517"/>
    <n v="0.59"/>
    <n v="-0.45232211333617384"/>
    <s v="United States"/>
    <x v="0"/>
    <x v="1"/>
    <x v="367"/>
    <n v="95207"/>
    <x v="31"/>
    <x v="1"/>
    <x v="0"/>
    <d v="2015-06-08T00:00:00"/>
    <n v="-21.231999999999999"/>
    <n v="1"/>
    <x v="774"/>
    <n v="88212"/>
    <x v="0"/>
  </r>
  <r>
    <n v="19932"/>
    <s v="Low"/>
    <n v="0.05"/>
    <n v="2.89"/>
    <x v="28"/>
    <x v="450"/>
    <x v="0"/>
    <x v="450"/>
    <x v="2"/>
    <x v="1"/>
    <x v="0"/>
    <x v="9"/>
    <x v="3"/>
    <x v="277"/>
    <n v="0.38"/>
    <n v="0.69"/>
    <s v="United States"/>
    <x v="1"/>
    <x v="16"/>
    <x v="368"/>
    <n v="3801"/>
    <x v="150"/>
    <x v="1"/>
    <x v="0"/>
    <d v="2015-07-03T00:00:00"/>
    <n v="18.0642"/>
    <n v="9"/>
    <x v="775"/>
    <n v="88213"/>
    <x v="0"/>
  </r>
  <r>
    <n v="19018"/>
    <s v="Medium"/>
    <n v="0.03"/>
    <n v="2.23"/>
    <x v="322"/>
    <x v="451"/>
    <x v="0"/>
    <x v="451"/>
    <x v="2"/>
    <x v="3"/>
    <x v="1"/>
    <x v="2"/>
    <x v="2"/>
    <x v="518"/>
    <n v="0.41"/>
    <n v="-3.2536636427076062"/>
    <s v="United States"/>
    <x v="0"/>
    <x v="17"/>
    <x v="350"/>
    <n v="84120"/>
    <x v="90"/>
    <x v="3"/>
    <x v="0"/>
    <d v="2015-05-02T00:00:00"/>
    <n v="-93.25"/>
    <n v="12"/>
    <x v="776"/>
    <n v="89406"/>
    <x v="0"/>
  </r>
  <r>
    <n v="25790"/>
    <s v="Not Specified"/>
    <n v="7.0000000000000007E-2"/>
    <n v="11.29"/>
    <x v="110"/>
    <x v="452"/>
    <x v="1"/>
    <x v="452"/>
    <x v="2"/>
    <x v="3"/>
    <x v="0"/>
    <x v="10"/>
    <x v="3"/>
    <x v="519"/>
    <n v="0.59"/>
    <n v="-1.3235103101152783"/>
    <s v="United States"/>
    <x v="3"/>
    <x v="8"/>
    <x v="369"/>
    <n v="22304"/>
    <x v="133"/>
    <x v="1"/>
    <x v="0"/>
    <d v="2015-07-02T00:00:00"/>
    <n v="-163.03"/>
    <n v="11"/>
    <x v="777"/>
    <n v="89407"/>
    <x v="0"/>
  </r>
  <r>
    <n v="22984"/>
    <s v="Low"/>
    <n v="0.02"/>
    <n v="70.97"/>
    <x v="169"/>
    <x v="452"/>
    <x v="1"/>
    <x v="452"/>
    <x v="2"/>
    <x v="3"/>
    <x v="0"/>
    <x v="15"/>
    <x v="3"/>
    <x v="235"/>
    <n v="0.59"/>
    <n v="1.5399161444714657E-2"/>
    <s v="United States"/>
    <x v="3"/>
    <x v="8"/>
    <x v="369"/>
    <n v="22304"/>
    <x v="31"/>
    <x v="1"/>
    <x v="0"/>
    <d v="2015-06-14T00:00:00"/>
    <n v="23.61599999999995"/>
    <n v="21"/>
    <x v="778"/>
    <n v="89408"/>
    <x v="0"/>
  </r>
  <r>
    <n v="18970"/>
    <s v="Critical"/>
    <n v="0.06"/>
    <n v="1.74"/>
    <x v="48"/>
    <x v="453"/>
    <x v="1"/>
    <x v="453"/>
    <x v="2"/>
    <x v="0"/>
    <x v="1"/>
    <x v="2"/>
    <x v="2"/>
    <x v="60"/>
    <n v="0.53"/>
    <n v="-3.9975451263537907"/>
    <s v="United States"/>
    <x v="0"/>
    <x v="1"/>
    <x v="370"/>
    <n v="94025"/>
    <x v="51"/>
    <x v="0"/>
    <x v="0"/>
    <d v="2015-01-26T00:00:00"/>
    <n v="-11.0732"/>
    <n v="1"/>
    <x v="779"/>
    <n v="88726"/>
    <x v="0"/>
  </r>
  <r>
    <n v="19852"/>
    <s v="High"/>
    <n v="0.08"/>
    <n v="2.62"/>
    <x v="134"/>
    <x v="453"/>
    <x v="1"/>
    <x v="453"/>
    <x v="0"/>
    <x v="2"/>
    <x v="0"/>
    <x v="3"/>
    <x v="0"/>
    <x v="505"/>
    <n v="0.39"/>
    <n v="0.69"/>
    <s v="United States"/>
    <x v="0"/>
    <x v="1"/>
    <x v="370"/>
    <n v="94025"/>
    <x v="116"/>
    <x v="3"/>
    <x v="0"/>
    <d v="2015-05-15T00:00:00"/>
    <n v="21.769499999999997"/>
    <n v="12"/>
    <x v="780"/>
    <n v="88728"/>
    <x v="0"/>
  </r>
  <r>
    <n v="19111"/>
    <s v="High"/>
    <n v="0.09"/>
    <n v="2.61"/>
    <x v="28"/>
    <x v="453"/>
    <x v="1"/>
    <x v="453"/>
    <x v="2"/>
    <x v="3"/>
    <x v="0"/>
    <x v="9"/>
    <x v="3"/>
    <x v="413"/>
    <n v="0.39"/>
    <n v="0.69"/>
    <s v="United States"/>
    <x v="0"/>
    <x v="1"/>
    <x v="370"/>
    <n v="94025"/>
    <x v="26"/>
    <x v="1"/>
    <x v="0"/>
    <d v="2015-06-05T00:00:00"/>
    <n v="29.380199999999995"/>
    <n v="17"/>
    <x v="781"/>
    <n v="88729"/>
    <x v="0"/>
  </r>
  <r>
    <n v="18702"/>
    <s v="Critical"/>
    <n v="0.1"/>
    <n v="8.17"/>
    <x v="323"/>
    <x v="454"/>
    <x v="1"/>
    <x v="454"/>
    <x v="2"/>
    <x v="0"/>
    <x v="0"/>
    <x v="7"/>
    <x v="0"/>
    <x v="520"/>
    <n v="0.38"/>
    <n v="0.69"/>
    <s v="United States"/>
    <x v="0"/>
    <x v="1"/>
    <x v="367"/>
    <n v="95207"/>
    <x v="41"/>
    <x v="3"/>
    <x v="0"/>
    <d v="2015-05-16T00:00:00"/>
    <n v="100.2984"/>
    <n v="19"/>
    <x v="782"/>
    <n v="88731"/>
    <x v="0"/>
  </r>
  <r>
    <n v="18703"/>
    <s v="Critical"/>
    <n v="0.03"/>
    <n v="110.99"/>
    <x v="10"/>
    <x v="454"/>
    <x v="1"/>
    <x v="454"/>
    <x v="2"/>
    <x v="0"/>
    <x v="2"/>
    <x v="5"/>
    <x v="3"/>
    <x v="170"/>
    <n v="0.56999999999999995"/>
    <n v="0.69"/>
    <s v="United States"/>
    <x v="0"/>
    <x v="1"/>
    <x v="367"/>
    <n v="95207"/>
    <x v="41"/>
    <x v="3"/>
    <x v="0"/>
    <d v="2015-05-18T00:00:00"/>
    <n v="2495.3987999999999"/>
    <n v="38"/>
    <x v="783"/>
    <n v="88731"/>
    <x v="0"/>
  </r>
  <r>
    <n v="20523"/>
    <s v="Not Specified"/>
    <n v="0"/>
    <n v="2.88"/>
    <x v="22"/>
    <x v="455"/>
    <x v="1"/>
    <x v="455"/>
    <x v="0"/>
    <x v="3"/>
    <x v="0"/>
    <x v="0"/>
    <x v="0"/>
    <x v="122"/>
    <n v="0.56000000000000005"/>
    <n v="-1.3819095477386863E-2"/>
    <s v="United States"/>
    <x v="0"/>
    <x v="1"/>
    <x v="371"/>
    <n v="94086"/>
    <x v="158"/>
    <x v="4"/>
    <x v="0"/>
    <d v="2015-04-24T00:00:00"/>
    <n v="-0.10999999999999943"/>
    <n v="1"/>
    <x v="784"/>
    <n v="88727"/>
    <x v="0"/>
  </r>
  <r>
    <n v="20163"/>
    <s v="Low"/>
    <n v="7.0000000000000007E-2"/>
    <n v="12.28"/>
    <x v="273"/>
    <x v="455"/>
    <x v="1"/>
    <x v="455"/>
    <x v="2"/>
    <x v="2"/>
    <x v="0"/>
    <x v="10"/>
    <x v="3"/>
    <x v="521"/>
    <n v="0.56999999999999995"/>
    <n v="3.9107779973818681E-2"/>
    <s v="United States"/>
    <x v="0"/>
    <x v="1"/>
    <x v="371"/>
    <n v="94086"/>
    <x v="32"/>
    <x v="3"/>
    <x v="0"/>
    <d v="2015-05-10T00:00:00"/>
    <n v="15.236000000000018"/>
    <n v="33"/>
    <x v="785"/>
    <n v="88730"/>
    <x v="0"/>
  </r>
  <r>
    <n v="5297"/>
    <s v="Not Specified"/>
    <n v="0"/>
    <n v="8.6"/>
    <x v="223"/>
    <x v="456"/>
    <x v="1"/>
    <x v="456"/>
    <x v="2"/>
    <x v="0"/>
    <x v="0"/>
    <x v="8"/>
    <x v="3"/>
    <x v="331"/>
    <n v="0.38"/>
    <n v="-9.5678849717564587E-2"/>
    <s v="United States"/>
    <x v="2"/>
    <x v="12"/>
    <x v="25"/>
    <n v="60653"/>
    <x v="43"/>
    <x v="0"/>
    <x v="0"/>
    <d v="2015-01-15T00:00:00"/>
    <n v="-42.8536"/>
    <n v="48"/>
    <x v="786"/>
    <n v="37729"/>
    <x v="0"/>
  </r>
  <r>
    <n v="6080"/>
    <s v="Medium"/>
    <n v="0.04"/>
    <n v="30.73"/>
    <x v="41"/>
    <x v="456"/>
    <x v="1"/>
    <x v="456"/>
    <x v="2"/>
    <x v="1"/>
    <x v="2"/>
    <x v="13"/>
    <x v="3"/>
    <x v="88"/>
    <n v="0.75"/>
    <n v="-1.4632189409081951E-2"/>
    <s v="United States"/>
    <x v="2"/>
    <x v="12"/>
    <x v="25"/>
    <n v="60653"/>
    <x v="72"/>
    <x v="0"/>
    <x v="0"/>
    <d v="2015-01-22T00:00:00"/>
    <n v="-20.79"/>
    <n v="48"/>
    <x v="787"/>
    <n v="43079"/>
    <x v="0"/>
  </r>
  <r>
    <n v="23297"/>
    <s v="Not Specified"/>
    <n v="0"/>
    <n v="8.6"/>
    <x v="223"/>
    <x v="457"/>
    <x v="1"/>
    <x v="457"/>
    <x v="2"/>
    <x v="0"/>
    <x v="0"/>
    <x v="8"/>
    <x v="3"/>
    <x v="331"/>
    <n v="0.38"/>
    <n v="-0.29661105653299991"/>
    <s v="United States"/>
    <x v="2"/>
    <x v="22"/>
    <x v="372"/>
    <n v="49017"/>
    <x v="43"/>
    <x v="0"/>
    <x v="0"/>
    <d v="2015-01-15T00:00:00"/>
    <n v="-33.211539999999999"/>
    <n v="12"/>
    <x v="788"/>
    <n v="86144"/>
    <x v="0"/>
  </r>
  <r>
    <n v="24080"/>
    <s v="Medium"/>
    <n v="0.04"/>
    <n v="30.73"/>
    <x v="41"/>
    <x v="457"/>
    <x v="1"/>
    <x v="457"/>
    <x v="2"/>
    <x v="1"/>
    <x v="2"/>
    <x v="13"/>
    <x v="3"/>
    <x v="88"/>
    <n v="0.75"/>
    <n v="-5.8528757636327804E-2"/>
    <s v="United States"/>
    <x v="2"/>
    <x v="22"/>
    <x v="372"/>
    <n v="49017"/>
    <x v="72"/>
    <x v="0"/>
    <x v="0"/>
    <d v="2015-01-22T00:00:00"/>
    <n v="-20.79"/>
    <n v="12"/>
    <x v="789"/>
    <n v="86145"/>
    <x v="0"/>
  </r>
  <r>
    <n v="19417"/>
    <s v="Medium"/>
    <n v="0"/>
    <n v="65.989999999999995"/>
    <x v="126"/>
    <x v="458"/>
    <x v="0"/>
    <x v="458"/>
    <x v="2"/>
    <x v="0"/>
    <x v="2"/>
    <x v="5"/>
    <x v="3"/>
    <x v="522"/>
    <n v="0.59"/>
    <n v="0.69"/>
    <s v="United States"/>
    <x v="0"/>
    <x v="1"/>
    <x v="373"/>
    <n v="92553"/>
    <x v="74"/>
    <x v="4"/>
    <x v="0"/>
    <d v="2015-04-08T00:00:00"/>
    <n v="369.99869999999999"/>
    <n v="9"/>
    <x v="790"/>
    <n v="87086"/>
    <x v="0"/>
  </r>
  <r>
    <n v="24407"/>
    <s v="Not Specified"/>
    <n v="0.08"/>
    <n v="3.38"/>
    <x v="324"/>
    <x v="459"/>
    <x v="0"/>
    <x v="459"/>
    <x v="2"/>
    <x v="0"/>
    <x v="0"/>
    <x v="0"/>
    <x v="0"/>
    <x v="523"/>
    <n v="0.48"/>
    <n v="0.52701880958515845"/>
    <s v="United States"/>
    <x v="0"/>
    <x v="1"/>
    <x v="374"/>
    <n v="94043"/>
    <x v="23"/>
    <x v="2"/>
    <x v="0"/>
    <d v="2015-02-04T00:00:00"/>
    <n v="20.453600000000002"/>
    <n v="12"/>
    <x v="791"/>
    <n v="87087"/>
    <x v="0"/>
  </r>
  <r>
    <n v="1417"/>
    <s v="Medium"/>
    <n v="0"/>
    <n v="65.989999999999995"/>
    <x v="126"/>
    <x v="460"/>
    <x v="1"/>
    <x v="460"/>
    <x v="2"/>
    <x v="0"/>
    <x v="2"/>
    <x v="5"/>
    <x v="3"/>
    <x v="522"/>
    <n v="0.59"/>
    <n v="0.25280663148275928"/>
    <s v="United States"/>
    <x v="1"/>
    <x v="15"/>
    <x v="28"/>
    <n v="2113"/>
    <x v="74"/>
    <x v="4"/>
    <x v="0"/>
    <d v="2015-04-08T00:00:00"/>
    <n v="542.25"/>
    <n v="36"/>
    <x v="792"/>
    <n v="10277"/>
    <x v="0"/>
  </r>
  <r>
    <n v="6406"/>
    <s v="Not Specified"/>
    <n v="0.02"/>
    <n v="16.48"/>
    <x v="45"/>
    <x v="460"/>
    <x v="1"/>
    <x v="460"/>
    <x v="0"/>
    <x v="0"/>
    <x v="2"/>
    <x v="13"/>
    <x v="2"/>
    <x v="524"/>
    <n v="0.42"/>
    <n v="0.14365610037972593"/>
    <s v="United States"/>
    <x v="1"/>
    <x v="15"/>
    <x v="28"/>
    <n v="2113"/>
    <x v="23"/>
    <x v="2"/>
    <x v="0"/>
    <d v="2015-02-04T00:00:00"/>
    <n v="69.61"/>
    <n v="27"/>
    <x v="793"/>
    <n v="45539"/>
    <x v="0"/>
  </r>
  <r>
    <n v="25129"/>
    <s v="Critical"/>
    <n v="0.02"/>
    <n v="417.4"/>
    <x v="176"/>
    <x v="461"/>
    <x v="1"/>
    <x v="461"/>
    <x v="1"/>
    <x v="2"/>
    <x v="1"/>
    <x v="11"/>
    <x v="5"/>
    <x v="249"/>
    <n v="0.79"/>
    <n v="-1.3473088431909341"/>
    <s v="United States"/>
    <x v="2"/>
    <x v="38"/>
    <x v="375"/>
    <n v="46203"/>
    <x v="166"/>
    <x v="3"/>
    <x v="0"/>
    <d v="2015-05-07T00:00:00"/>
    <n v="-634.86540000000002"/>
    <n v="1"/>
    <x v="794"/>
    <n v="90538"/>
    <x v="0"/>
  </r>
  <r>
    <n v="24722"/>
    <s v="High"/>
    <n v="0.04"/>
    <n v="46.89"/>
    <x v="304"/>
    <x v="461"/>
    <x v="1"/>
    <x v="461"/>
    <x v="2"/>
    <x v="2"/>
    <x v="0"/>
    <x v="15"/>
    <x v="4"/>
    <x v="480"/>
    <n v="0.46"/>
    <n v="0.47708230655495315"/>
    <s v="United States"/>
    <x v="2"/>
    <x v="38"/>
    <x v="375"/>
    <n v="46203"/>
    <x v="97"/>
    <x v="1"/>
    <x v="0"/>
    <d v="2015-06-27T00:00:00"/>
    <n v="87.12"/>
    <n v="4"/>
    <x v="795"/>
    <n v="90540"/>
    <x v="0"/>
  </r>
  <r>
    <n v="22823"/>
    <s v="Low"/>
    <n v="7.0000000000000007E-2"/>
    <n v="4.84"/>
    <x v="188"/>
    <x v="462"/>
    <x v="0"/>
    <x v="462"/>
    <x v="2"/>
    <x v="2"/>
    <x v="0"/>
    <x v="0"/>
    <x v="0"/>
    <x v="525"/>
    <n v="0.52"/>
    <n v="0.69"/>
    <s v="United States"/>
    <x v="2"/>
    <x v="38"/>
    <x v="376"/>
    <n v="46901"/>
    <x v="167"/>
    <x v="0"/>
    <x v="0"/>
    <d v="2015-01-03T00:00:00"/>
    <n v="25.240199999999998"/>
    <n v="8"/>
    <x v="796"/>
    <n v="90539"/>
    <x v="0"/>
  </r>
  <r>
    <n v="24295"/>
    <s v="Not Specified"/>
    <n v="0.01"/>
    <n v="124.49"/>
    <x v="117"/>
    <x v="463"/>
    <x v="0"/>
    <x v="463"/>
    <x v="1"/>
    <x v="2"/>
    <x v="1"/>
    <x v="11"/>
    <x v="5"/>
    <x v="156"/>
    <n v="0.63"/>
    <n v="-3.9844218726326958E-2"/>
    <s v="United States"/>
    <x v="2"/>
    <x v="38"/>
    <x v="377"/>
    <n v="47905"/>
    <x v="97"/>
    <x v="1"/>
    <x v="0"/>
    <d v="2015-06-26T00:00:00"/>
    <n v="-94.674644999999998"/>
    <n v="18"/>
    <x v="797"/>
    <n v="90540"/>
    <x v="0"/>
  </r>
  <r>
    <n v="19024"/>
    <s v="Low"/>
    <n v="0.05"/>
    <n v="350.99"/>
    <x v="293"/>
    <x v="464"/>
    <x v="1"/>
    <x v="464"/>
    <x v="1"/>
    <x v="1"/>
    <x v="1"/>
    <x v="1"/>
    <x v="1"/>
    <x v="455"/>
    <n v="0.55000000000000004"/>
    <n v="0.44239706689671393"/>
    <s v="United States"/>
    <x v="0"/>
    <x v="21"/>
    <x v="378"/>
    <n v="80112"/>
    <x v="38"/>
    <x v="0"/>
    <x v="0"/>
    <d v="2015-01-14T00:00:00"/>
    <n v="451.28039999999999"/>
    <n v="3"/>
    <x v="798"/>
    <n v="89448"/>
    <x v="0"/>
  </r>
  <r>
    <n v="19025"/>
    <s v="Low"/>
    <n v="0"/>
    <n v="8.74"/>
    <x v="49"/>
    <x v="464"/>
    <x v="1"/>
    <x v="464"/>
    <x v="2"/>
    <x v="1"/>
    <x v="0"/>
    <x v="4"/>
    <x v="3"/>
    <x v="526"/>
    <n v="0.38"/>
    <n v="0.69"/>
    <s v="United States"/>
    <x v="0"/>
    <x v="21"/>
    <x v="378"/>
    <n v="80112"/>
    <x v="38"/>
    <x v="0"/>
    <x v="0"/>
    <d v="2015-01-16T00:00:00"/>
    <n v="44.988"/>
    <n v="7"/>
    <x v="799"/>
    <n v="89448"/>
    <x v="0"/>
  </r>
  <r>
    <n v="19026"/>
    <s v="Low"/>
    <n v="0.02"/>
    <n v="1.98"/>
    <x v="22"/>
    <x v="464"/>
    <x v="1"/>
    <x v="464"/>
    <x v="2"/>
    <x v="1"/>
    <x v="0"/>
    <x v="3"/>
    <x v="0"/>
    <x v="133"/>
    <n v="0.83"/>
    <n v="-0.9177866312527666"/>
    <s v="United States"/>
    <x v="0"/>
    <x v="21"/>
    <x v="378"/>
    <n v="80112"/>
    <x v="38"/>
    <x v="0"/>
    <x v="0"/>
    <d v="2015-01-16T00:00:00"/>
    <n v="-20.732799999999997"/>
    <n v="11"/>
    <x v="800"/>
    <n v="89448"/>
    <x v="0"/>
  </r>
  <r>
    <n v="23620"/>
    <s v="Not Specified"/>
    <n v="0.05"/>
    <n v="8.0399999999999991"/>
    <x v="249"/>
    <x v="464"/>
    <x v="1"/>
    <x v="464"/>
    <x v="2"/>
    <x v="1"/>
    <x v="0"/>
    <x v="8"/>
    <x v="3"/>
    <x v="376"/>
    <n v="0.4"/>
    <n v="-1.3546044825313115"/>
    <s v="United States"/>
    <x v="0"/>
    <x v="21"/>
    <x v="378"/>
    <n v="80112"/>
    <x v="105"/>
    <x v="1"/>
    <x v="0"/>
    <d v="2015-06-22T00:00:00"/>
    <n v="-164.39479999999998"/>
    <n v="15"/>
    <x v="801"/>
    <n v="89449"/>
    <x v="0"/>
  </r>
  <r>
    <n v="22824"/>
    <s v="Low"/>
    <n v="0.04"/>
    <n v="2036.48"/>
    <x v="69"/>
    <x v="465"/>
    <x v="0"/>
    <x v="465"/>
    <x v="1"/>
    <x v="2"/>
    <x v="2"/>
    <x v="6"/>
    <x v="1"/>
    <x v="220"/>
    <n v="0.55000000000000004"/>
    <n v="-2.3802331067155986"/>
    <s v="United States"/>
    <x v="0"/>
    <x v="21"/>
    <x v="44"/>
    <n v="80525"/>
    <x v="167"/>
    <x v="0"/>
    <x v="0"/>
    <d v="2015-01-06T00:00:00"/>
    <n v="-4793.0039999999999"/>
    <n v="1"/>
    <x v="802"/>
    <n v="89450"/>
    <x v="0"/>
  </r>
  <r>
    <n v="22407"/>
    <s v="Low"/>
    <n v="0.09"/>
    <n v="125.99"/>
    <x v="10"/>
    <x v="466"/>
    <x v="0"/>
    <x v="466"/>
    <x v="2"/>
    <x v="1"/>
    <x v="2"/>
    <x v="5"/>
    <x v="3"/>
    <x v="418"/>
    <n v="0.6"/>
    <n v="0.69"/>
    <s v="United States"/>
    <x v="2"/>
    <x v="22"/>
    <x v="379"/>
    <n v="48708"/>
    <x v="64"/>
    <x v="2"/>
    <x v="0"/>
    <d v="2015-02-09T00:00:00"/>
    <n v="1258.7876999999999"/>
    <n v="18"/>
    <x v="803"/>
    <n v="90905"/>
    <x v="0"/>
  </r>
  <r>
    <n v="19810"/>
    <s v="Not Specified"/>
    <n v="0.05"/>
    <n v="9.7799999999999994"/>
    <x v="49"/>
    <x v="467"/>
    <x v="1"/>
    <x v="467"/>
    <x v="2"/>
    <x v="0"/>
    <x v="0"/>
    <x v="4"/>
    <x v="3"/>
    <x v="453"/>
    <n v="0.39"/>
    <n v="0.69"/>
    <s v="United States"/>
    <x v="2"/>
    <x v="38"/>
    <x v="375"/>
    <n v="46203"/>
    <x v="93"/>
    <x v="5"/>
    <x v="0"/>
    <d v="2015-03-06T00:00:00"/>
    <n v="74.278499999999994"/>
    <n v="11"/>
    <x v="804"/>
    <n v="86826"/>
    <x v="0"/>
  </r>
  <r>
    <n v="18762"/>
    <s v="Low"/>
    <n v="7.0000000000000007E-2"/>
    <n v="10.98"/>
    <x v="55"/>
    <x v="467"/>
    <x v="1"/>
    <x v="467"/>
    <x v="2"/>
    <x v="0"/>
    <x v="0"/>
    <x v="4"/>
    <x v="3"/>
    <x v="182"/>
    <n v="0.36"/>
    <n v="0.32031959324496095"/>
    <s v="United States"/>
    <x v="2"/>
    <x v="38"/>
    <x v="375"/>
    <n v="46203"/>
    <x v="105"/>
    <x v="1"/>
    <x v="0"/>
    <d v="2015-06-27T00:00:00"/>
    <n v="52.92"/>
    <n v="16"/>
    <x v="805"/>
    <n v="86827"/>
    <x v="0"/>
  </r>
  <r>
    <n v="19811"/>
    <s v="Not Specified"/>
    <n v="0.02"/>
    <n v="3.28"/>
    <x v="240"/>
    <x v="468"/>
    <x v="1"/>
    <x v="468"/>
    <x v="0"/>
    <x v="0"/>
    <x v="0"/>
    <x v="0"/>
    <x v="0"/>
    <x v="365"/>
    <n v="0.56000000000000005"/>
    <n v="-2.6381709741550696"/>
    <s v="United States"/>
    <x v="2"/>
    <x v="38"/>
    <x v="380"/>
    <n v="47130"/>
    <x v="93"/>
    <x v="5"/>
    <x v="0"/>
    <d v="2015-03-06T00:00:00"/>
    <n v="-66.349999999999994"/>
    <n v="7"/>
    <x v="806"/>
    <n v="86826"/>
    <x v="0"/>
  </r>
  <r>
    <n v="20124"/>
    <s v="High"/>
    <n v="7.0000000000000007E-2"/>
    <n v="300.98"/>
    <x v="325"/>
    <x v="468"/>
    <x v="1"/>
    <x v="468"/>
    <x v="1"/>
    <x v="0"/>
    <x v="1"/>
    <x v="1"/>
    <x v="1"/>
    <x v="527"/>
    <n v="0.56000000000000005"/>
    <n v="0.32659442406593309"/>
    <s v="United States"/>
    <x v="2"/>
    <x v="38"/>
    <x v="380"/>
    <n v="47130"/>
    <x v="168"/>
    <x v="3"/>
    <x v="0"/>
    <d v="2015-05-21T00:00:00"/>
    <n v="1399.6400000000003"/>
    <n v="14"/>
    <x v="807"/>
    <n v="86828"/>
    <x v="0"/>
  </r>
  <r>
    <n v="20125"/>
    <s v="High"/>
    <n v="0.01"/>
    <n v="20.98"/>
    <x v="31"/>
    <x v="468"/>
    <x v="1"/>
    <x v="468"/>
    <x v="1"/>
    <x v="0"/>
    <x v="0"/>
    <x v="10"/>
    <x v="1"/>
    <x v="528"/>
    <n v="0.61"/>
    <n v="0.36847173606601563"/>
    <s v="United States"/>
    <x v="2"/>
    <x v="38"/>
    <x v="380"/>
    <n v="47130"/>
    <x v="168"/>
    <x v="3"/>
    <x v="0"/>
    <d v="2015-05-19T00:00:00"/>
    <n v="232.64200000000028"/>
    <n v="28"/>
    <x v="808"/>
    <n v="86828"/>
    <x v="0"/>
  </r>
  <r>
    <n v="21955"/>
    <s v="Critical"/>
    <n v="0.01"/>
    <n v="80.98"/>
    <x v="97"/>
    <x v="469"/>
    <x v="0"/>
    <x v="469"/>
    <x v="2"/>
    <x v="0"/>
    <x v="0"/>
    <x v="10"/>
    <x v="6"/>
    <x v="354"/>
    <n v="0.83"/>
    <n v="-1.528482992943285"/>
    <s v="United States"/>
    <x v="1"/>
    <x v="10"/>
    <x v="381"/>
    <n v="44035"/>
    <x v="46"/>
    <x v="0"/>
    <x v="0"/>
    <d v="2015-01-24T00:00:00"/>
    <n v="-409.37360000000001"/>
    <n v="3"/>
    <x v="809"/>
    <n v="90120"/>
    <x v="0"/>
  </r>
  <r>
    <n v="23415"/>
    <s v="Critical"/>
    <n v="0.05"/>
    <n v="6.48"/>
    <x v="83"/>
    <x v="470"/>
    <x v="0"/>
    <x v="470"/>
    <x v="2"/>
    <x v="0"/>
    <x v="0"/>
    <x v="7"/>
    <x v="3"/>
    <x v="512"/>
    <n v="0.37"/>
    <n v="-1.3546132339235788"/>
    <s v="United States"/>
    <x v="1"/>
    <x v="10"/>
    <x v="382"/>
    <n v="44117"/>
    <x v="65"/>
    <x v="4"/>
    <x v="0"/>
    <d v="2015-04-29T00:00:00"/>
    <n v="-29.07"/>
    <n v="3"/>
    <x v="653"/>
    <n v="90121"/>
    <x v="0"/>
  </r>
  <r>
    <n v="22672"/>
    <s v="Not Specified"/>
    <n v="0.04"/>
    <n v="177.98"/>
    <x v="90"/>
    <x v="471"/>
    <x v="1"/>
    <x v="471"/>
    <x v="2"/>
    <x v="0"/>
    <x v="0"/>
    <x v="15"/>
    <x v="3"/>
    <x v="529"/>
    <n v="0.56000000000000005"/>
    <n v="0.69"/>
    <s v="United States"/>
    <x v="2"/>
    <x v="33"/>
    <x v="293"/>
    <n v="65807"/>
    <x v="97"/>
    <x v="1"/>
    <x v="0"/>
    <d v="2015-06-27T00:00:00"/>
    <n v="1909.8854999999996"/>
    <n v="15"/>
    <x v="810"/>
    <n v="89076"/>
    <x v="0"/>
  </r>
  <r>
    <n v="21945"/>
    <s v="Low"/>
    <n v="0.02"/>
    <n v="15.99"/>
    <x v="158"/>
    <x v="471"/>
    <x v="1"/>
    <x v="471"/>
    <x v="0"/>
    <x v="0"/>
    <x v="0"/>
    <x v="8"/>
    <x v="3"/>
    <x v="222"/>
    <n v="0.37"/>
    <n v="-0.62580264976022115"/>
    <s v="United States"/>
    <x v="2"/>
    <x v="33"/>
    <x v="293"/>
    <n v="65807"/>
    <x v="111"/>
    <x v="0"/>
    <x v="0"/>
    <d v="2015-02-03T00:00:00"/>
    <n v="-76.992500000000007"/>
    <n v="7"/>
    <x v="811"/>
    <n v="89077"/>
    <x v="0"/>
  </r>
  <r>
    <n v="21946"/>
    <s v="Low"/>
    <n v="0.09"/>
    <n v="46.94"/>
    <x v="326"/>
    <x v="471"/>
    <x v="1"/>
    <x v="471"/>
    <x v="0"/>
    <x v="0"/>
    <x v="1"/>
    <x v="2"/>
    <x v="3"/>
    <x v="530"/>
    <n v="0.44"/>
    <n v="0.69"/>
    <s v="United States"/>
    <x v="2"/>
    <x v="33"/>
    <x v="293"/>
    <n v="65807"/>
    <x v="111"/>
    <x v="0"/>
    <x v="0"/>
    <d v="2015-01-30T00:00:00"/>
    <n v="297.96959999999996"/>
    <n v="10"/>
    <x v="812"/>
    <n v="89077"/>
    <x v="0"/>
  </r>
  <r>
    <n v="23793"/>
    <s v="Medium"/>
    <n v="0.1"/>
    <n v="218.08"/>
    <x v="327"/>
    <x v="472"/>
    <x v="0"/>
    <x v="472"/>
    <x v="0"/>
    <x v="3"/>
    <x v="1"/>
    <x v="1"/>
    <x v="6"/>
    <x v="531"/>
    <n v="0.56999999999999995"/>
    <n v="0.55728900363826894"/>
    <s v="United States"/>
    <x v="0"/>
    <x v="1"/>
    <x v="383"/>
    <n v="96150"/>
    <x v="84"/>
    <x v="3"/>
    <x v="0"/>
    <d v="2015-05-25T00:00:00"/>
    <n v="1318.83"/>
    <n v="12"/>
    <x v="813"/>
    <n v="86735"/>
    <x v="0"/>
  </r>
  <r>
    <n v="25006"/>
    <s v="High"/>
    <n v="0.05"/>
    <n v="85.99"/>
    <x v="90"/>
    <x v="473"/>
    <x v="0"/>
    <x v="473"/>
    <x v="2"/>
    <x v="3"/>
    <x v="2"/>
    <x v="5"/>
    <x v="0"/>
    <x v="141"/>
    <n v="0.55000000000000004"/>
    <n v="0.12418049650253736"/>
    <s v="United States"/>
    <x v="3"/>
    <x v="39"/>
    <x v="384"/>
    <n v="29687"/>
    <x v="121"/>
    <x v="4"/>
    <x v="0"/>
    <d v="2015-04-07T00:00:00"/>
    <n v="36.215999999999994"/>
    <n v="4"/>
    <x v="814"/>
    <n v="86734"/>
    <x v="0"/>
  </r>
  <r>
    <n v="18105"/>
    <s v="High"/>
    <n v="0.05"/>
    <n v="12.95"/>
    <x v="145"/>
    <x v="474"/>
    <x v="0"/>
    <x v="474"/>
    <x v="2"/>
    <x v="3"/>
    <x v="0"/>
    <x v="8"/>
    <x v="3"/>
    <x v="532"/>
    <n v="0.4"/>
    <n v="0.53165418449833568"/>
    <s v="United States"/>
    <x v="2"/>
    <x v="38"/>
    <x v="377"/>
    <n v="47905"/>
    <x v="42"/>
    <x v="1"/>
    <x v="0"/>
    <d v="2015-06-04T00:00:00"/>
    <n v="134.16825"/>
    <n v="19"/>
    <x v="815"/>
    <n v="86397"/>
    <x v="0"/>
  </r>
  <r>
    <n v="23735"/>
    <s v="High"/>
    <n v="0"/>
    <n v="65.989999999999995"/>
    <x v="20"/>
    <x v="475"/>
    <x v="1"/>
    <x v="475"/>
    <x v="2"/>
    <x v="2"/>
    <x v="2"/>
    <x v="5"/>
    <x v="3"/>
    <x v="377"/>
    <n v="0.56000000000000005"/>
    <n v="0.44047368146486504"/>
    <s v="United States"/>
    <x v="2"/>
    <x v="32"/>
    <x v="94"/>
    <n v="68601"/>
    <x v="164"/>
    <x v="1"/>
    <x v="0"/>
    <d v="2015-06-13T00:00:00"/>
    <n v="253.30319999999998"/>
    <n v="10"/>
    <x v="816"/>
    <n v="91115"/>
    <x v="0"/>
  </r>
  <r>
    <n v="25917"/>
    <s v="Low"/>
    <n v="0.04"/>
    <n v="130.97999999999999"/>
    <x v="106"/>
    <x v="475"/>
    <x v="1"/>
    <x v="475"/>
    <x v="1"/>
    <x v="2"/>
    <x v="1"/>
    <x v="14"/>
    <x v="5"/>
    <x v="136"/>
    <n v="0.69"/>
    <n v="-0.4062413704073729"/>
    <s v="United States"/>
    <x v="2"/>
    <x v="32"/>
    <x v="94"/>
    <n v="68601"/>
    <x v="20"/>
    <x v="1"/>
    <x v="0"/>
    <d v="2015-06-12T00:00:00"/>
    <n v="-723.78399999999999"/>
    <n v="14"/>
    <x v="817"/>
    <n v="91116"/>
    <x v="0"/>
  </r>
  <r>
    <n v="25915"/>
    <s v="Low"/>
    <n v="0.04"/>
    <n v="105.29"/>
    <x v="328"/>
    <x v="476"/>
    <x v="1"/>
    <x v="476"/>
    <x v="2"/>
    <x v="2"/>
    <x v="1"/>
    <x v="2"/>
    <x v="6"/>
    <x v="533"/>
    <n v="0.79"/>
    <n v="0.62636928048987928"/>
    <s v="United States"/>
    <x v="0"/>
    <x v="17"/>
    <x v="385"/>
    <n v="84015"/>
    <x v="20"/>
    <x v="1"/>
    <x v="0"/>
    <d v="2015-06-16T00:00:00"/>
    <n v="589.18799999999999"/>
    <n v="9"/>
    <x v="818"/>
    <n v="91116"/>
    <x v="0"/>
  </r>
  <r>
    <n v="25916"/>
    <s v="Low"/>
    <n v="7.0000000000000007E-2"/>
    <n v="31.76"/>
    <x v="94"/>
    <x v="476"/>
    <x v="1"/>
    <x v="476"/>
    <x v="1"/>
    <x v="2"/>
    <x v="1"/>
    <x v="11"/>
    <x v="5"/>
    <x v="123"/>
    <n v="0.65"/>
    <n v="-2.9935848111639767"/>
    <s v="United States"/>
    <x v="0"/>
    <x v="17"/>
    <x v="385"/>
    <n v="84015"/>
    <x v="20"/>
    <x v="1"/>
    <x v="0"/>
    <d v="2015-06-14T00:00:00"/>
    <n v="-1314.992"/>
    <n v="18"/>
    <x v="819"/>
    <n v="91116"/>
    <x v="0"/>
  </r>
  <r>
    <n v="21710"/>
    <s v="High"/>
    <n v="0.03"/>
    <n v="420.98"/>
    <x v="3"/>
    <x v="477"/>
    <x v="0"/>
    <x v="477"/>
    <x v="2"/>
    <x v="1"/>
    <x v="0"/>
    <x v="8"/>
    <x v="3"/>
    <x v="534"/>
    <n v="0.35"/>
    <n v="0.69"/>
    <s v="United States"/>
    <x v="1"/>
    <x v="10"/>
    <x v="386"/>
    <n v="43081"/>
    <x v="68"/>
    <x v="5"/>
    <x v="0"/>
    <d v="2015-03-22T00:00:00"/>
    <n v="3043.0310999999997"/>
    <n v="10"/>
    <x v="820"/>
    <n v="87077"/>
    <x v="0"/>
  </r>
  <r>
    <n v="23958"/>
    <s v="Not Specified"/>
    <n v="0.02"/>
    <n v="30.98"/>
    <x v="150"/>
    <x v="478"/>
    <x v="1"/>
    <x v="478"/>
    <x v="0"/>
    <x v="1"/>
    <x v="2"/>
    <x v="13"/>
    <x v="3"/>
    <x v="449"/>
    <n v="0.79"/>
    <n v="-8.0710448733021037E-2"/>
    <s v="United States"/>
    <x v="1"/>
    <x v="10"/>
    <x v="387"/>
    <n v="44145"/>
    <x v="133"/>
    <x v="1"/>
    <x v="0"/>
    <d v="2015-07-01T00:00:00"/>
    <n v="-44.624000000000002"/>
    <n v="17"/>
    <x v="821"/>
    <n v="87078"/>
    <x v="0"/>
  </r>
  <r>
    <n v="22313"/>
    <s v="Medium"/>
    <n v="0.05"/>
    <n v="20.27"/>
    <x v="196"/>
    <x v="478"/>
    <x v="1"/>
    <x v="478"/>
    <x v="2"/>
    <x v="1"/>
    <x v="0"/>
    <x v="15"/>
    <x v="3"/>
    <x v="535"/>
    <n v="0.56999999999999995"/>
    <n v="0.49754488705836936"/>
    <s v="United States"/>
    <x v="1"/>
    <x v="10"/>
    <x v="387"/>
    <n v="44145"/>
    <x v="40"/>
    <x v="3"/>
    <x v="0"/>
    <d v="2015-05-26T00:00:00"/>
    <n v="309.25400000000002"/>
    <n v="30"/>
    <x v="822"/>
    <n v="87079"/>
    <x v="0"/>
  </r>
  <r>
    <n v="24937"/>
    <s v="Critical"/>
    <n v="0.04"/>
    <n v="9.7799999999999994"/>
    <x v="45"/>
    <x v="479"/>
    <x v="0"/>
    <x v="479"/>
    <x v="0"/>
    <x v="1"/>
    <x v="2"/>
    <x v="13"/>
    <x v="2"/>
    <x v="536"/>
    <n v="0.43"/>
    <n v="0.69"/>
    <s v="United States"/>
    <x v="1"/>
    <x v="10"/>
    <x v="388"/>
    <n v="44691"/>
    <x v="72"/>
    <x v="0"/>
    <x v="0"/>
    <d v="2015-01-22T00:00:00"/>
    <n v="61.292699999999996"/>
    <n v="9"/>
    <x v="823"/>
    <n v="87076"/>
    <x v="0"/>
  </r>
  <r>
    <n v="7544"/>
    <s v="Not Specified"/>
    <n v="7.0000000000000007E-2"/>
    <n v="8.9499999999999993"/>
    <x v="329"/>
    <x v="480"/>
    <x v="0"/>
    <x v="480"/>
    <x v="2"/>
    <x v="0"/>
    <x v="0"/>
    <x v="7"/>
    <x v="0"/>
    <x v="537"/>
    <n v="0.39"/>
    <n v="0.29816349748090365"/>
    <s v="United States"/>
    <x v="0"/>
    <x v="1"/>
    <x v="154"/>
    <n v="90049"/>
    <x v="12"/>
    <x v="5"/>
    <x v="0"/>
    <d v="2015-03-28T00:00:00"/>
    <n v="91.73"/>
    <n v="36"/>
    <x v="824"/>
    <n v="53953"/>
    <x v="0"/>
  </r>
  <r>
    <n v="25544"/>
    <s v="Not Specified"/>
    <n v="7.0000000000000007E-2"/>
    <n v="8.9499999999999993"/>
    <x v="329"/>
    <x v="481"/>
    <x v="1"/>
    <x v="481"/>
    <x v="2"/>
    <x v="0"/>
    <x v="0"/>
    <x v="7"/>
    <x v="0"/>
    <x v="537"/>
    <n v="0.39"/>
    <n v="0.69"/>
    <s v="United States"/>
    <x v="2"/>
    <x v="22"/>
    <x v="379"/>
    <n v="48708"/>
    <x v="12"/>
    <x v="5"/>
    <x v="0"/>
    <d v="2015-03-28T00:00:00"/>
    <n v="53.067899999999995"/>
    <n v="9"/>
    <x v="825"/>
    <n v="91362"/>
    <x v="0"/>
  </r>
  <r>
    <n v="22745"/>
    <s v="Not Specified"/>
    <n v="0.05"/>
    <n v="9.65"/>
    <x v="83"/>
    <x v="481"/>
    <x v="1"/>
    <x v="481"/>
    <x v="2"/>
    <x v="0"/>
    <x v="1"/>
    <x v="2"/>
    <x v="3"/>
    <x v="105"/>
    <n v="0.55000000000000004"/>
    <n v="-9.6756971058543681E-2"/>
    <s v="United States"/>
    <x v="2"/>
    <x v="22"/>
    <x v="379"/>
    <n v="48708"/>
    <x v="136"/>
    <x v="2"/>
    <x v="0"/>
    <d v="2015-02-28T00:00:00"/>
    <n v="-14.6432"/>
    <n v="15"/>
    <x v="826"/>
    <n v="91363"/>
    <x v="0"/>
  </r>
  <r>
    <n v="21806"/>
    <s v="High"/>
    <n v="0.06"/>
    <n v="99.99"/>
    <x v="3"/>
    <x v="482"/>
    <x v="1"/>
    <x v="482"/>
    <x v="2"/>
    <x v="1"/>
    <x v="2"/>
    <x v="13"/>
    <x v="3"/>
    <x v="419"/>
    <n v="0.52"/>
    <n v="-0.43949834619625139"/>
    <s v="United States"/>
    <x v="2"/>
    <x v="12"/>
    <x v="389"/>
    <n v="60016"/>
    <x v="140"/>
    <x v="5"/>
    <x v="0"/>
    <d v="2015-03-14T00:00:00"/>
    <n v="-127.56"/>
    <n v="3"/>
    <x v="827"/>
    <n v="91235"/>
    <x v="0"/>
  </r>
  <r>
    <n v="21807"/>
    <s v="High"/>
    <n v="0"/>
    <n v="193.17"/>
    <x v="3"/>
    <x v="482"/>
    <x v="1"/>
    <x v="482"/>
    <x v="2"/>
    <x v="1"/>
    <x v="0"/>
    <x v="10"/>
    <x v="3"/>
    <x v="538"/>
    <n v="0.71"/>
    <n v="0.2904879555281038"/>
    <s v="United States"/>
    <x v="2"/>
    <x v="12"/>
    <x v="389"/>
    <n v="60016"/>
    <x v="140"/>
    <x v="5"/>
    <x v="0"/>
    <d v="2015-03-12T00:00:00"/>
    <n v="282.18"/>
    <n v="5"/>
    <x v="828"/>
    <n v="91235"/>
    <x v="0"/>
  </r>
  <r>
    <n v="21808"/>
    <s v="High"/>
    <n v="0.08"/>
    <n v="20.99"/>
    <x v="136"/>
    <x v="482"/>
    <x v="1"/>
    <x v="482"/>
    <x v="0"/>
    <x v="1"/>
    <x v="2"/>
    <x v="5"/>
    <x v="2"/>
    <x v="321"/>
    <n v="0.81"/>
    <n v="-0.49784507260606686"/>
    <s v="United States"/>
    <x v="2"/>
    <x v="12"/>
    <x v="389"/>
    <n v="60016"/>
    <x v="140"/>
    <x v="5"/>
    <x v="0"/>
    <d v="2015-03-11T00:00:00"/>
    <n v="-96.337999999999994"/>
    <n v="11"/>
    <x v="829"/>
    <n v="91235"/>
    <x v="0"/>
  </r>
  <r>
    <n v="22763"/>
    <s v="Not Specified"/>
    <n v="0.04"/>
    <n v="11.5"/>
    <x v="330"/>
    <x v="483"/>
    <x v="1"/>
    <x v="483"/>
    <x v="2"/>
    <x v="1"/>
    <x v="0"/>
    <x v="8"/>
    <x v="3"/>
    <x v="539"/>
    <n v="0.4"/>
    <n v="-0.14801267346809455"/>
    <s v="United States"/>
    <x v="2"/>
    <x v="12"/>
    <x v="390"/>
    <n v="60516"/>
    <x v="63"/>
    <x v="2"/>
    <x v="0"/>
    <d v="2015-02-23T00:00:00"/>
    <n v="-23.357880000000002"/>
    <n v="14"/>
    <x v="830"/>
    <n v="91236"/>
    <x v="0"/>
  </r>
  <r>
    <n v="22764"/>
    <s v="Not Specified"/>
    <n v="0.02"/>
    <n v="15.7"/>
    <x v="302"/>
    <x v="483"/>
    <x v="1"/>
    <x v="483"/>
    <x v="2"/>
    <x v="1"/>
    <x v="0"/>
    <x v="10"/>
    <x v="3"/>
    <x v="540"/>
    <n v="0.6"/>
    <n v="-0.9383539094650204"/>
    <s v="United States"/>
    <x v="2"/>
    <x v="12"/>
    <x v="390"/>
    <n v="60516"/>
    <x v="63"/>
    <x v="2"/>
    <x v="0"/>
    <d v="2015-02-21T00:00:00"/>
    <n v="-18.241599999999998"/>
    <n v="1"/>
    <x v="831"/>
    <n v="91236"/>
    <x v="0"/>
  </r>
  <r>
    <n v="22765"/>
    <s v="Not Specified"/>
    <n v="0.05"/>
    <n v="225.02"/>
    <x v="331"/>
    <x v="483"/>
    <x v="1"/>
    <x v="483"/>
    <x v="1"/>
    <x v="1"/>
    <x v="0"/>
    <x v="10"/>
    <x v="1"/>
    <x v="541"/>
    <n v="0.72"/>
    <n v="0.30817865561841251"/>
    <s v="United States"/>
    <x v="2"/>
    <x v="12"/>
    <x v="390"/>
    <n v="60516"/>
    <x v="63"/>
    <x v="2"/>
    <x v="0"/>
    <d v="2015-02-22T00:00:00"/>
    <n v="1428.9104"/>
    <n v="21"/>
    <x v="832"/>
    <n v="91236"/>
    <x v="0"/>
  </r>
  <r>
    <n v="18460"/>
    <s v="High"/>
    <n v="0.04"/>
    <n v="119.99"/>
    <x v="216"/>
    <x v="484"/>
    <x v="0"/>
    <x v="484"/>
    <x v="1"/>
    <x v="0"/>
    <x v="2"/>
    <x v="6"/>
    <x v="1"/>
    <x v="319"/>
    <n v="0.36"/>
    <n v="0.69"/>
    <s v="United States"/>
    <x v="2"/>
    <x v="33"/>
    <x v="391"/>
    <n v="65721"/>
    <x v="154"/>
    <x v="1"/>
    <x v="0"/>
    <d v="2015-06-18T00:00:00"/>
    <n v="509.95830000000001"/>
    <n v="6"/>
    <x v="833"/>
    <n v="88004"/>
    <x v="0"/>
  </r>
  <r>
    <n v="19472"/>
    <s v="Critical"/>
    <n v="0.06"/>
    <n v="8.3699999999999992"/>
    <x v="286"/>
    <x v="485"/>
    <x v="1"/>
    <x v="485"/>
    <x v="2"/>
    <x v="0"/>
    <x v="1"/>
    <x v="2"/>
    <x v="6"/>
    <x v="439"/>
    <n v="0.59"/>
    <n v="-1.6217330626744484"/>
    <s v="United States"/>
    <x v="1"/>
    <x v="30"/>
    <x v="392"/>
    <n v="21222"/>
    <x v="140"/>
    <x v="5"/>
    <x v="0"/>
    <d v="2015-03-13T00:00:00"/>
    <n v="-255.65"/>
    <n v="18"/>
    <x v="834"/>
    <n v="85880"/>
    <x v="0"/>
  </r>
  <r>
    <n v="19473"/>
    <s v="Critical"/>
    <n v="0.09"/>
    <n v="6.48"/>
    <x v="71"/>
    <x v="485"/>
    <x v="1"/>
    <x v="485"/>
    <x v="0"/>
    <x v="0"/>
    <x v="0"/>
    <x v="7"/>
    <x v="3"/>
    <x v="92"/>
    <n v="0.37"/>
    <n v="-1.8154648956356738"/>
    <s v="United States"/>
    <x v="1"/>
    <x v="30"/>
    <x v="392"/>
    <n v="21222"/>
    <x v="140"/>
    <x v="5"/>
    <x v="0"/>
    <d v="2015-03-13T00:00:00"/>
    <n v="-76.540000000000006"/>
    <n v="6"/>
    <x v="835"/>
    <n v="85880"/>
    <x v="0"/>
  </r>
  <r>
    <n v="24286"/>
    <s v="Critical"/>
    <n v="0.09"/>
    <n v="6.28"/>
    <x v="111"/>
    <x v="486"/>
    <x v="1"/>
    <x v="486"/>
    <x v="2"/>
    <x v="0"/>
    <x v="1"/>
    <x v="2"/>
    <x v="3"/>
    <x v="148"/>
    <n v="0.43"/>
    <n v="-0.71661931818181812"/>
    <s v="United States"/>
    <x v="1"/>
    <x v="4"/>
    <x v="393"/>
    <n v="14901"/>
    <x v="140"/>
    <x v="5"/>
    <x v="0"/>
    <d v="2015-03-12T00:00:00"/>
    <n v="-10.09"/>
    <n v="2"/>
    <x v="836"/>
    <n v="85880"/>
    <x v="0"/>
  </r>
  <r>
    <n v="24287"/>
    <s v="Critical"/>
    <n v="0.03"/>
    <n v="15.14"/>
    <x v="284"/>
    <x v="486"/>
    <x v="1"/>
    <x v="486"/>
    <x v="2"/>
    <x v="0"/>
    <x v="0"/>
    <x v="10"/>
    <x v="3"/>
    <x v="436"/>
    <n v="0.81"/>
    <n v="-0.36174190784092236"/>
    <s v="United States"/>
    <x v="1"/>
    <x v="4"/>
    <x v="393"/>
    <n v="14901"/>
    <x v="140"/>
    <x v="5"/>
    <x v="0"/>
    <d v="2015-03-13T00:00:00"/>
    <n v="-92.87"/>
    <n v="17"/>
    <x v="837"/>
    <n v="85880"/>
    <x v="0"/>
  </r>
  <r>
    <n v="20016"/>
    <s v="Medium"/>
    <n v="0.05"/>
    <n v="2.16"/>
    <x v="162"/>
    <x v="487"/>
    <x v="1"/>
    <x v="487"/>
    <x v="2"/>
    <x v="1"/>
    <x v="0"/>
    <x v="8"/>
    <x v="3"/>
    <x v="542"/>
    <n v="0.37"/>
    <n v="-16.077783754706832"/>
    <s v="United States"/>
    <x v="3"/>
    <x v="26"/>
    <x v="394"/>
    <n v="33134"/>
    <x v="128"/>
    <x v="2"/>
    <x v="0"/>
    <d v="2015-02-05T00:00:00"/>
    <n v="-298.88600000000002"/>
    <n v="8"/>
    <x v="450"/>
    <n v="90731"/>
    <x v="0"/>
  </r>
  <r>
    <n v="20017"/>
    <s v="Medium"/>
    <n v="0.03"/>
    <n v="6.48"/>
    <x v="16"/>
    <x v="487"/>
    <x v="1"/>
    <x v="487"/>
    <x v="2"/>
    <x v="1"/>
    <x v="0"/>
    <x v="7"/>
    <x v="3"/>
    <x v="205"/>
    <n v="0.37"/>
    <n v="-2.4792112867584568"/>
    <s v="United States"/>
    <x v="3"/>
    <x v="26"/>
    <x v="394"/>
    <n v="33134"/>
    <x v="128"/>
    <x v="2"/>
    <x v="0"/>
    <d v="2015-02-05T00:00:00"/>
    <n v="-145.852"/>
    <n v="9"/>
    <x v="838"/>
    <n v="90731"/>
    <x v="0"/>
  </r>
  <r>
    <n v="20018"/>
    <s v="Medium"/>
    <n v="0.08"/>
    <n v="146.05000000000001"/>
    <x v="89"/>
    <x v="487"/>
    <x v="1"/>
    <x v="487"/>
    <x v="1"/>
    <x v="1"/>
    <x v="1"/>
    <x v="11"/>
    <x v="5"/>
    <x v="115"/>
    <n v="0.71"/>
    <n v="-1.7944224028350216E-2"/>
    <s v="United States"/>
    <x v="3"/>
    <x v="26"/>
    <x v="394"/>
    <n v="33134"/>
    <x v="128"/>
    <x v="2"/>
    <x v="0"/>
    <d v="2015-02-05T00:00:00"/>
    <n v="-27.951000000000001"/>
    <n v="11"/>
    <x v="839"/>
    <n v="90731"/>
    <x v="0"/>
  </r>
  <r>
    <n v="21682"/>
    <s v="Critical"/>
    <n v="0.08"/>
    <n v="3.69"/>
    <x v="28"/>
    <x v="488"/>
    <x v="1"/>
    <x v="488"/>
    <x v="2"/>
    <x v="2"/>
    <x v="0"/>
    <x v="9"/>
    <x v="3"/>
    <x v="543"/>
    <n v="0.38"/>
    <n v="-2.8236884802595997E-2"/>
    <s v="United States"/>
    <x v="3"/>
    <x v="26"/>
    <x v="395"/>
    <n v="33065"/>
    <x v="163"/>
    <x v="3"/>
    <x v="0"/>
    <d v="2015-05-10T00:00:00"/>
    <n v="-3.6547000000000001"/>
    <n v="38"/>
    <x v="840"/>
    <n v="89193"/>
    <x v="0"/>
  </r>
  <r>
    <n v="18868"/>
    <s v="Low"/>
    <n v="0.08"/>
    <n v="5.84"/>
    <x v="332"/>
    <x v="488"/>
    <x v="1"/>
    <x v="488"/>
    <x v="0"/>
    <x v="2"/>
    <x v="0"/>
    <x v="0"/>
    <x v="0"/>
    <x v="544"/>
    <n v="0.38"/>
    <n v="11.922495520443068"/>
    <s v="United States"/>
    <x v="3"/>
    <x v="26"/>
    <x v="395"/>
    <n v="33065"/>
    <x v="159"/>
    <x v="1"/>
    <x v="0"/>
    <d v="2015-07-03T00:00:00"/>
    <n v="731.92199999999991"/>
    <n v="11"/>
    <x v="841"/>
    <n v="89194"/>
    <x v="0"/>
  </r>
  <r>
    <n v="18869"/>
    <s v="Low"/>
    <n v="0"/>
    <n v="205.99"/>
    <x v="20"/>
    <x v="488"/>
    <x v="1"/>
    <x v="488"/>
    <x v="2"/>
    <x v="2"/>
    <x v="2"/>
    <x v="5"/>
    <x v="3"/>
    <x v="545"/>
    <n v="0.6"/>
    <n v="7.6598837209302328E-2"/>
    <s v="United States"/>
    <x v="3"/>
    <x v="26"/>
    <x v="395"/>
    <n v="33065"/>
    <x v="159"/>
    <x v="1"/>
    <x v="0"/>
    <d v="2015-07-02T00:00:00"/>
    <n v="186.55799999999999"/>
    <n v="13"/>
    <x v="842"/>
    <n v="89194"/>
    <x v="0"/>
  </r>
  <r>
    <n v="18061"/>
    <s v="Low"/>
    <n v="0"/>
    <n v="85.99"/>
    <x v="90"/>
    <x v="489"/>
    <x v="0"/>
    <x v="489"/>
    <x v="2"/>
    <x v="2"/>
    <x v="2"/>
    <x v="5"/>
    <x v="0"/>
    <x v="163"/>
    <n v="0.85"/>
    <n v="-0.29694273544723149"/>
    <s v="United States"/>
    <x v="2"/>
    <x v="7"/>
    <x v="396"/>
    <n v="77840"/>
    <x v="1"/>
    <x v="1"/>
    <x v="0"/>
    <d v="2015-06-18T00:00:00"/>
    <n v="-138.03680000000003"/>
    <n v="6"/>
    <x v="843"/>
    <n v="86181"/>
    <x v="0"/>
  </r>
  <r>
    <n v="23329"/>
    <s v="Critical"/>
    <n v="0.09"/>
    <n v="20.98"/>
    <x v="25"/>
    <x v="490"/>
    <x v="0"/>
    <x v="490"/>
    <x v="2"/>
    <x v="0"/>
    <x v="0"/>
    <x v="8"/>
    <x v="3"/>
    <x v="546"/>
    <n v="0.35"/>
    <n v="0.69"/>
    <s v="United States"/>
    <x v="2"/>
    <x v="38"/>
    <x v="397"/>
    <n v="47302"/>
    <x v="33"/>
    <x v="1"/>
    <x v="0"/>
    <d v="2015-06-24T00:00:00"/>
    <n v="199.1823"/>
    <n v="14"/>
    <x v="844"/>
    <n v="90303"/>
    <x v="0"/>
  </r>
  <r>
    <n v="23470"/>
    <s v="Critical"/>
    <n v="0.06"/>
    <n v="55.48"/>
    <x v="333"/>
    <x v="491"/>
    <x v="0"/>
    <x v="491"/>
    <x v="2"/>
    <x v="3"/>
    <x v="0"/>
    <x v="7"/>
    <x v="3"/>
    <x v="547"/>
    <n v="0.37"/>
    <n v="0.69"/>
    <s v="United States"/>
    <x v="1"/>
    <x v="14"/>
    <x v="113"/>
    <n v="4210"/>
    <x v="110"/>
    <x v="1"/>
    <x v="0"/>
    <d v="2015-06-14T00:00:00"/>
    <n v="711.05189999999993"/>
    <n v="19"/>
    <x v="845"/>
    <n v="89957"/>
    <x v="0"/>
  </r>
  <r>
    <n v="23471"/>
    <s v="Critical"/>
    <n v="0.1"/>
    <n v="122.99"/>
    <x v="32"/>
    <x v="492"/>
    <x v="0"/>
    <x v="492"/>
    <x v="1"/>
    <x v="3"/>
    <x v="1"/>
    <x v="1"/>
    <x v="1"/>
    <x v="36"/>
    <n v="0.74"/>
    <n v="-0.44386529248955303"/>
    <s v="United States"/>
    <x v="2"/>
    <x v="3"/>
    <x v="398"/>
    <n v="55305"/>
    <x v="110"/>
    <x v="1"/>
    <x v="0"/>
    <d v="2015-06-15T00:00:00"/>
    <n v="-899.67499999999995"/>
    <n v="17"/>
    <x v="846"/>
    <n v="89957"/>
    <x v="0"/>
  </r>
  <r>
    <n v="19269"/>
    <s v="High"/>
    <n v="0.04"/>
    <n v="11.34"/>
    <x v="144"/>
    <x v="493"/>
    <x v="0"/>
    <x v="493"/>
    <x v="2"/>
    <x v="1"/>
    <x v="0"/>
    <x v="7"/>
    <x v="3"/>
    <x v="195"/>
    <n v="0.36"/>
    <n v="-1.637877607547823"/>
    <s v="United States"/>
    <x v="3"/>
    <x v="43"/>
    <x v="399"/>
    <n v="35211"/>
    <x v="104"/>
    <x v="2"/>
    <x v="0"/>
    <d v="2015-02-11T00:00:00"/>
    <n v="-189.22399999999999"/>
    <n v="10"/>
    <x v="847"/>
    <n v="86812"/>
    <x v="0"/>
  </r>
  <r>
    <n v="24974"/>
    <s v="Critical"/>
    <n v="0.03"/>
    <n v="30.98"/>
    <x v="20"/>
    <x v="494"/>
    <x v="1"/>
    <x v="494"/>
    <x v="0"/>
    <x v="2"/>
    <x v="0"/>
    <x v="0"/>
    <x v="2"/>
    <x v="548"/>
    <n v="0.57999999999999996"/>
    <n v="3.1405874745981817E-3"/>
    <s v="United States"/>
    <x v="3"/>
    <x v="43"/>
    <x v="400"/>
    <n v="35601"/>
    <x v="85"/>
    <x v="0"/>
    <x v="0"/>
    <d v="2015-01-11T00:00:00"/>
    <n v="0.50999999999999868"/>
    <n v="5"/>
    <x v="848"/>
    <n v="86813"/>
    <x v="0"/>
  </r>
  <r>
    <n v="22253"/>
    <s v="Low"/>
    <n v="0.03"/>
    <n v="65.989999999999995"/>
    <x v="126"/>
    <x v="494"/>
    <x v="1"/>
    <x v="494"/>
    <x v="2"/>
    <x v="1"/>
    <x v="2"/>
    <x v="5"/>
    <x v="3"/>
    <x v="167"/>
    <n v="0.56000000000000005"/>
    <n v="-3.9701222616505709E-2"/>
    <s v="United States"/>
    <x v="3"/>
    <x v="43"/>
    <x v="400"/>
    <n v="35601"/>
    <x v="25"/>
    <x v="5"/>
    <x v="0"/>
    <d v="2015-04-09T00:00:00"/>
    <n v="-52.248000000000005"/>
    <n v="23"/>
    <x v="849"/>
    <n v="86814"/>
    <x v="0"/>
  </r>
  <r>
    <n v="21455"/>
    <s v="Low"/>
    <n v="0.09"/>
    <n v="50.98"/>
    <x v="150"/>
    <x v="494"/>
    <x v="1"/>
    <x v="494"/>
    <x v="2"/>
    <x v="1"/>
    <x v="2"/>
    <x v="13"/>
    <x v="3"/>
    <x v="338"/>
    <n v="0.73"/>
    <n v="5.0290595595559713E-2"/>
    <s v="United States"/>
    <x v="3"/>
    <x v="43"/>
    <x v="400"/>
    <n v="35601"/>
    <x v="8"/>
    <x v="3"/>
    <x v="0"/>
    <d v="2015-05-28T00:00:00"/>
    <n v="70.175999999999988"/>
    <n v="28"/>
    <x v="850"/>
    <n v="86815"/>
    <x v="0"/>
  </r>
  <r>
    <n v="24975"/>
    <s v="Critical"/>
    <n v="0.01"/>
    <n v="525.98"/>
    <x v="3"/>
    <x v="495"/>
    <x v="0"/>
    <x v="495"/>
    <x v="2"/>
    <x v="2"/>
    <x v="0"/>
    <x v="8"/>
    <x v="3"/>
    <x v="549"/>
    <n v="0.37"/>
    <n v="-3.2905964668418407E-2"/>
    <s v="United States"/>
    <x v="3"/>
    <x v="24"/>
    <x v="401"/>
    <n v="27288"/>
    <x v="85"/>
    <x v="0"/>
    <x v="0"/>
    <d v="2015-01-11T00:00:00"/>
    <n v="-161.92400000000001"/>
    <n v="9"/>
    <x v="851"/>
    <n v="86813"/>
    <x v="0"/>
  </r>
  <r>
    <n v="21199"/>
    <s v="Critical"/>
    <n v="7.0000000000000007E-2"/>
    <n v="4.91"/>
    <x v="28"/>
    <x v="496"/>
    <x v="0"/>
    <x v="496"/>
    <x v="2"/>
    <x v="3"/>
    <x v="0"/>
    <x v="9"/>
    <x v="3"/>
    <x v="550"/>
    <n v="0.36"/>
    <n v="-5.5880935506732818"/>
    <s v="United States"/>
    <x v="3"/>
    <x v="26"/>
    <x v="402"/>
    <n v="32137"/>
    <x v="60"/>
    <x v="0"/>
    <x v="0"/>
    <d v="2015-01-18T00:00:00"/>
    <n v="-157.696"/>
    <n v="6"/>
    <x v="852"/>
    <n v="88852"/>
    <x v="0"/>
  </r>
  <r>
    <n v="21596"/>
    <s v="High"/>
    <n v="0.02"/>
    <n v="4.8899999999999997"/>
    <x v="115"/>
    <x v="497"/>
    <x v="1"/>
    <x v="497"/>
    <x v="2"/>
    <x v="0"/>
    <x v="2"/>
    <x v="13"/>
    <x v="2"/>
    <x v="154"/>
    <n v="0.66"/>
    <n v="-0.76268071882178079"/>
    <s v="United States"/>
    <x v="2"/>
    <x v="33"/>
    <x v="403"/>
    <n v="63130"/>
    <x v="92"/>
    <x v="2"/>
    <x v="0"/>
    <d v="2015-02-07T00:00:00"/>
    <n v="-56.445999999999998"/>
    <n v="14"/>
    <x v="853"/>
    <n v="91328"/>
    <x v="0"/>
  </r>
  <r>
    <n v="21597"/>
    <s v="High"/>
    <n v="7.0000000000000007E-2"/>
    <n v="10.06"/>
    <x v="67"/>
    <x v="497"/>
    <x v="1"/>
    <x v="497"/>
    <x v="2"/>
    <x v="0"/>
    <x v="0"/>
    <x v="7"/>
    <x v="0"/>
    <x v="85"/>
    <n v="0.39"/>
    <n v="0.69"/>
    <s v="United States"/>
    <x v="2"/>
    <x v="33"/>
    <x v="403"/>
    <n v="63130"/>
    <x v="92"/>
    <x v="2"/>
    <x v="0"/>
    <d v="2015-02-07T00:00:00"/>
    <n v="33.189"/>
    <n v="5"/>
    <x v="854"/>
    <n v="91328"/>
    <x v="0"/>
  </r>
  <r>
    <n v="23147"/>
    <s v="Low"/>
    <n v="0"/>
    <n v="599.99"/>
    <x v="65"/>
    <x v="498"/>
    <x v="0"/>
    <x v="498"/>
    <x v="2"/>
    <x v="0"/>
    <x v="2"/>
    <x v="16"/>
    <x v="6"/>
    <x v="551"/>
    <n v="0.44"/>
    <n v="-3.3330700755822083E-2"/>
    <s v="United States"/>
    <x v="2"/>
    <x v="38"/>
    <x v="404"/>
    <n v="47374"/>
    <x v="96"/>
    <x v="1"/>
    <x v="0"/>
    <d v="2015-06-25T00:00:00"/>
    <n v="-367.16500000000002"/>
    <n v="18"/>
    <x v="855"/>
    <n v="88487"/>
    <x v="0"/>
  </r>
  <r>
    <n v="19627"/>
    <s v="Low"/>
    <n v="7.0000000000000007E-2"/>
    <n v="17.7"/>
    <x v="334"/>
    <x v="499"/>
    <x v="0"/>
    <x v="499"/>
    <x v="2"/>
    <x v="3"/>
    <x v="0"/>
    <x v="10"/>
    <x v="3"/>
    <x v="552"/>
    <n v="0.59"/>
    <n v="-0.81000432367712105"/>
    <s v="United States"/>
    <x v="3"/>
    <x v="37"/>
    <x v="405"/>
    <n v="39530"/>
    <x v="97"/>
    <x v="1"/>
    <x v="0"/>
    <d v="2015-07-01T00:00:00"/>
    <n v="-243.54400000000001"/>
    <n v="18"/>
    <x v="856"/>
    <n v="87488"/>
    <x v="0"/>
  </r>
  <r>
    <n v="20993"/>
    <s v="Critical"/>
    <n v="0.01"/>
    <n v="348.21"/>
    <x v="335"/>
    <x v="500"/>
    <x v="0"/>
    <x v="500"/>
    <x v="1"/>
    <x v="2"/>
    <x v="1"/>
    <x v="11"/>
    <x v="5"/>
    <x v="553"/>
    <n v="0.62"/>
    <n v="-0.46589269425325486"/>
    <s v="United States"/>
    <x v="3"/>
    <x v="37"/>
    <x v="406"/>
    <n v="39056"/>
    <x v="167"/>
    <x v="0"/>
    <x v="0"/>
    <d v="2015-01-04T00:00:00"/>
    <n v="-337.09199999999998"/>
    <n v="2"/>
    <x v="857"/>
    <n v="87486"/>
    <x v="0"/>
  </r>
  <r>
    <n v="24862"/>
    <s v="Not Specified"/>
    <n v="0.03"/>
    <n v="12.28"/>
    <x v="198"/>
    <x v="501"/>
    <x v="0"/>
    <x v="501"/>
    <x v="2"/>
    <x v="2"/>
    <x v="0"/>
    <x v="7"/>
    <x v="3"/>
    <x v="554"/>
    <n v="0.38"/>
    <n v="0.78459956586313251"/>
    <s v="United States"/>
    <x v="3"/>
    <x v="37"/>
    <x v="407"/>
    <n v="38701"/>
    <x v="27"/>
    <x v="5"/>
    <x v="0"/>
    <d v="2015-03-24T00:00:00"/>
    <n v="68.675999999999988"/>
    <n v="7"/>
    <x v="858"/>
    <n v="87484"/>
    <x v="0"/>
  </r>
  <r>
    <n v="26135"/>
    <s v="High"/>
    <n v="0.04"/>
    <n v="10.98"/>
    <x v="196"/>
    <x v="502"/>
    <x v="1"/>
    <x v="502"/>
    <x v="2"/>
    <x v="2"/>
    <x v="0"/>
    <x v="15"/>
    <x v="3"/>
    <x v="555"/>
    <n v="0.57999999999999996"/>
    <n v="2.7931250725815815"/>
    <s v="United States"/>
    <x v="3"/>
    <x v="37"/>
    <x v="408"/>
    <n v="39503"/>
    <x v="73"/>
    <x v="3"/>
    <x v="0"/>
    <d v="2015-05-18T00:00:00"/>
    <n v="481.03199999999998"/>
    <n v="15"/>
    <x v="859"/>
    <n v="87485"/>
    <x v="0"/>
  </r>
  <r>
    <n v="25409"/>
    <s v="High"/>
    <n v="0.03"/>
    <n v="124.49"/>
    <x v="117"/>
    <x v="502"/>
    <x v="1"/>
    <x v="502"/>
    <x v="1"/>
    <x v="3"/>
    <x v="1"/>
    <x v="11"/>
    <x v="5"/>
    <x v="156"/>
    <n v="0.63"/>
    <n v="-4.4899874843554455E-3"/>
    <s v="United States"/>
    <x v="3"/>
    <x v="37"/>
    <x v="408"/>
    <n v="39503"/>
    <x v="169"/>
    <x v="2"/>
    <x v="0"/>
    <d v="2015-02-14T00:00:00"/>
    <n v="-4.0180000000000007"/>
    <n v="7"/>
    <x v="860"/>
    <n v="87487"/>
    <x v="0"/>
  </r>
  <r>
    <n v="18294"/>
    <s v="Not Specified"/>
    <n v="0.06"/>
    <n v="2.89"/>
    <x v="90"/>
    <x v="503"/>
    <x v="1"/>
    <x v="503"/>
    <x v="2"/>
    <x v="3"/>
    <x v="0"/>
    <x v="9"/>
    <x v="3"/>
    <x v="556"/>
    <n v="0.38"/>
    <n v="-0.12055788842231553"/>
    <s v="United States"/>
    <x v="3"/>
    <x v="8"/>
    <x v="369"/>
    <n v="22304"/>
    <x v="144"/>
    <x v="1"/>
    <x v="0"/>
    <d v="2015-06-03T00:00:00"/>
    <n v="-2.0097"/>
    <n v="6"/>
    <x v="861"/>
    <n v="87425"/>
    <x v="0"/>
  </r>
  <r>
    <n v="18295"/>
    <s v="Not Specified"/>
    <n v="0.08"/>
    <n v="22.84"/>
    <x v="52"/>
    <x v="503"/>
    <x v="1"/>
    <x v="503"/>
    <x v="2"/>
    <x v="3"/>
    <x v="0"/>
    <x v="7"/>
    <x v="3"/>
    <x v="64"/>
    <n v="0.39"/>
    <n v="-2.4460545193687233"/>
    <s v="United States"/>
    <x v="3"/>
    <x v="8"/>
    <x v="369"/>
    <n v="22304"/>
    <x v="144"/>
    <x v="1"/>
    <x v="0"/>
    <d v="2015-06-03T00:00:00"/>
    <n v="-477.37200000000007"/>
    <n v="9"/>
    <x v="862"/>
    <n v="87425"/>
    <x v="0"/>
  </r>
  <r>
    <n v="18511"/>
    <s v="Low"/>
    <n v="0.09"/>
    <n v="60.98"/>
    <x v="164"/>
    <x v="504"/>
    <x v="1"/>
    <x v="504"/>
    <x v="2"/>
    <x v="3"/>
    <x v="0"/>
    <x v="15"/>
    <x v="6"/>
    <x v="557"/>
    <n v="0.59"/>
    <n v="-1.0854209772401719"/>
    <s v="United States"/>
    <x v="3"/>
    <x v="8"/>
    <x v="409"/>
    <n v="22003"/>
    <x v="78"/>
    <x v="5"/>
    <x v="0"/>
    <d v="2015-04-02T00:00:00"/>
    <n v="-954.75800000000004"/>
    <n v="15"/>
    <x v="863"/>
    <n v="87426"/>
    <x v="0"/>
  </r>
  <r>
    <n v="18512"/>
    <s v="Low"/>
    <n v="0.05"/>
    <n v="29.89"/>
    <x v="45"/>
    <x v="504"/>
    <x v="1"/>
    <x v="504"/>
    <x v="2"/>
    <x v="3"/>
    <x v="2"/>
    <x v="13"/>
    <x v="2"/>
    <x v="468"/>
    <n v="0.5"/>
    <n v="0.60763974639386475"/>
    <s v="United States"/>
    <x v="3"/>
    <x v="8"/>
    <x v="409"/>
    <n v="22003"/>
    <x v="78"/>
    <x v="5"/>
    <x v="0"/>
    <d v="2015-03-27T00:00:00"/>
    <n v="219.4734"/>
    <n v="12"/>
    <x v="864"/>
    <n v="87426"/>
    <x v="0"/>
  </r>
  <r>
    <n v="26229"/>
    <s v="Critical"/>
    <n v="0.1"/>
    <n v="226.67"/>
    <x v="336"/>
    <x v="505"/>
    <x v="0"/>
    <x v="505"/>
    <x v="1"/>
    <x v="3"/>
    <x v="1"/>
    <x v="1"/>
    <x v="1"/>
    <x v="558"/>
    <n v="0.59"/>
    <n v="-0.3590759561134288"/>
    <s v="United States"/>
    <x v="3"/>
    <x v="8"/>
    <x v="410"/>
    <n v="24060"/>
    <x v="112"/>
    <x v="4"/>
    <x v="0"/>
    <d v="2015-04-17T00:00:00"/>
    <n v="-390.76800000000003"/>
    <n v="5"/>
    <x v="865"/>
    <n v="87424"/>
    <x v="0"/>
  </r>
  <r>
    <n v="19130"/>
    <s v="High"/>
    <n v="0.02"/>
    <n v="11.34"/>
    <x v="302"/>
    <x v="506"/>
    <x v="1"/>
    <x v="506"/>
    <x v="2"/>
    <x v="0"/>
    <x v="0"/>
    <x v="7"/>
    <x v="3"/>
    <x v="559"/>
    <n v="0.36"/>
    <n v="-1.4677068557919621"/>
    <s v="United States"/>
    <x v="2"/>
    <x v="7"/>
    <x v="366"/>
    <n v="76063"/>
    <x v="151"/>
    <x v="5"/>
    <x v="0"/>
    <d v="2015-03-02T00:00:00"/>
    <n v="-155.21"/>
    <n v="9"/>
    <x v="866"/>
    <n v="88093"/>
    <x v="0"/>
  </r>
  <r>
    <n v="19208"/>
    <s v="Critical"/>
    <n v="0.05"/>
    <n v="12.2"/>
    <x v="319"/>
    <x v="506"/>
    <x v="1"/>
    <x v="506"/>
    <x v="2"/>
    <x v="0"/>
    <x v="1"/>
    <x v="2"/>
    <x v="2"/>
    <x v="506"/>
    <n v="0.43"/>
    <n v="-0.10389488503050212"/>
    <s v="United States"/>
    <x v="2"/>
    <x v="7"/>
    <x v="366"/>
    <n v="76063"/>
    <x v="53"/>
    <x v="4"/>
    <x v="0"/>
    <d v="2015-04-14T00:00:00"/>
    <n v="-6.6420000000000003"/>
    <n v="5"/>
    <x v="867"/>
    <n v="88094"/>
    <x v="0"/>
  </r>
  <r>
    <n v="20464"/>
    <s v="Medium"/>
    <n v="7.0000000000000007E-2"/>
    <n v="20.95"/>
    <x v="165"/>
    <x v="507"/>
    <x v="0"/>
    <x v="507"/>
    <x v="2"/>
    <x v="3"/>
    <x v="2"/>
    <x v="13"/>
    <x v="3"/>
    <x v="560"/>
    <n v="0.65"/>
    <n v="6.9580991313234544E-2"/>
    <s v="United States"/>
    <x v="3"/>
    <x v="24"/>
    <x v="411"/>
    <n v="28314"/>
    <x v="170"/>
    <x v="2"/>
    <x v="0"/>
    <d v="2015-02-10T00:00:00"/>
    <n v="27.233999999999998"/>
    <n v="19"/>
    <x v="868"/>
    <n v="86966"/>
    <x v="0"/>
  </r>
  <r>
    <n v="22127"/>
    <s v="Low"/>
    <n v="0.1"/>
    <n v="11.58"/>
    <x v="337"/>
    <x v="508"/>
    <x v="0"/>
    <x v="508"/>
    <x v="2"/>
    <x v="0"/>
    <x v="0"/>
    <x v="4"/>
    <x v="3"/>
    <x v="240"/>
    <n v="0.35"/>
    <n v="-0.57797660013764629"/>
    <s v="United States"/>
    <x v="1"/>
    <x v="14"/>
    <x v="412"/>
    <n v="4901"/>
    <x v="160"/>
    <x v="2"/>
    <x v="0"/>
    <d v="2015-02-20T00:00:00"/>
    <n v="-8.3979999999999997"/>
    <n v="1"/>
    <x v="869"/>
    <n v="90934"/>
    <x v="0"/>
  </r>
  <r>
    <n v="25013"/>
    <s v="Medium"/>
    <n v="0.03"/>
    <n v="19.04"/>
    <x v="338"/>
    <x v="509"/>
    <x v="0"/>
    <x v="509"/>
    <x v="0"/>
    <x v="0"/>
    <x v="1"/>
    <x v="2"/>
    <x v="3"/>
    <x v="561"/>
    <n v="0.56000000000000005"/>
    <n v="0.58177879608414906"/>
    <s v="United States"/>
    <x v="1"/>
    <x v="10"/>
    <x v="413"/>
    <n v="44094"/>
    <x v="36"/>
    <x v="4"/>
    <x v="0"/>
    <d v="2015-04-04T00:00:00"/>
    <n v="83.793599999999998"/>
    <n v="7"/>
    <x v="870"/>
    <n v="86668"/>
    <x v="0"/>
  </r>
  <r>
    <n v="25011"/>
    <s v="Medium"/>
    <n v="0.02"/>
    <n v="5.53"/>
    <x v="339"/>
    <x v="510"/>
    <x v="0"/>
    <x v="510"/>
    <x v="2"/>
    <x v="0"/>
    <x v="0"/>
    <x v="8"/>
    <x v="3"/>
    <x v="562"/>
    <n v="0.39"/>
    <n v="-1.5944216349108786"/>
    <s v="United States"/>
    <x v="2"/>
    <x v="23"/>
    <x v="57"/>
    <n v="74006"/>
    <x v="36"/>
    <x v="4"/>
    <x v="0"/>
    <d v="2015-04-06T00:00:00"/>
    <n v="-77.823719999999994"/>
    <n v="8"/>
    <x v="871"/>
    <n v="86668"/>
    <x v="0"/>
  </r>
  <r>
    <n v="21059"/>
    <s v="High"/>
    <n v="0.01"/>
    <n v="500.98"/>
    <x v="1"/>
    <x v="511"/>
    <x v="1"/>
    <x v="511"/>
    <x v="1"/>
    <x v="0"/>
    <x v="1"/>
    <x v="1"/>
    <x v="1"/>
    <x v="1"/>
    <n v="0.6"/>
    <n v="0.69"/>
    <s v="United States"/>
    <x v="1"/>
    <x v="36"/>
    <x v="414"/>
    <n v="25705"/>
    <x v="171"/>
    <x v="3"/>
    <x v="0"/>
    <d v="2015-05-12T00:00:00"/>
    <n v="5078.5379999999996"/>
    <n v="14"/>
    <x v="872"/>
    <n v="90796"/>
    <x v="0"/>
  </r>
  <r>
    <n v="21060"/>
    <s v="High"/>
    <n v="0.08"/>
    <n v="9.77"/>
    <x v="319"/>
    <x v="511"/>
    <x v="1"/>
    <x v="511"/>
    <x v="2"/>
    <x v="0"/>
    <x v="1"/>
    <x v="2"/>
    <x v="4"/>
    <x v="563"/>
    <n v="0.48"/>
    <n v="0.26135189759712557"/>
    <s v="United States"/>
    <x v="1"/>
    <x v="36"/>
    <x v="414"/>
    <n v="25705"/>
    <x v="171"/>
    <x v="3"/>
    <x v="0"/>
    <d v="2015-05-12T00:00:00"/>
    <n v="23.276000000000003"/>
    <n v="9"/>
    <x v="873"/>
    <n v="90796"/>
    <x v="0"/>
  </r>
  <r>
    <n v="21061"/>
    <s v="High"/>
    <n v="0.09"/>
    <n v="3.28"/>
    <x v="340"/>
    <x v="511"/>
    <x v="1"/>
    <x v="511"/>
    <x v="2"/>
    <x v="0"/>
    <x v="0"/>
    <x v="0"/>
    <x v="0"/>
    <x v="564"/>
    <n v="0.59"/>
    <n v="0.13154034229828851"/>
    <s v="United States"/>
    <x v="1"/>
    <x v="36"/>
    <x v="414"/>
    <n v="25705"/>
    <x v="171"/>
    <x v="3"/>
    <x v="0"/>
    <d v="2015-05-13T00:00:00"/>
    <n v="17.754000000000001"/>
    <n v="42"/>
    <x v="874"/>
    <n v="90796"/>
    <x v="0"/>
  </r>
  <r>
    <n v="21928"/>
    <s v="Critical"/>
    <n v="0.1"/>
    <n v="9.11"/>
    <x v="292"/>
    <x v="512"/>
    <x v="0"/>
    <x v="512"/>
    <x v="2"/>
    <x v="1"/>
    <x v="0"/>
    <x v="7"/>
    <x v="0"/>
    <x v="452"/>
    <n v="0.4"/>
    <n v="-0.22567164179104476"/>
    <s v="United States"/>
    <x v="1"/>
    <x v="30"/>
    <x v="415"/>
    <n v="20601"/>
    <x v="98"/>
    <x v="4"/>
    <x v="0"/>
    <d v="2015-04-12T00:00:00"/>
    <n v="-3.9312"/>
    <n v="2"/>
    <x v="379"/>
    <n v="89680"/>
    <x v="0"/>
  </r>
  <r>
    <n v="23533"/>
    <s v="Critical"/>
    <n v="0.09"/>
    <n v="2.1800000000000002"/>
    <x v="341"/>
    <x v="513"/>
    <x v="1"/>
    <x v="513"/>
    <x v="2"/>
    <x v="2"/>
    <x v="0"/>
    <x v="3"/>
    <x v="0"/>
    <x v="565"/>
    <n v="0.52"/>
    <n v="0.12838912133891214"/>
    <s v="United States"/>
    <x v="1"/>
    <x v="4"/>
    <x v="416"/>
    <n v="11598"/>
    <x v="59"/>
    <x v="0"/>
    <x v="0"/>
    <d v="2015-01-18T00:00:00"/>
    <n v="2.4548000000000001"/>
    <n v="9"/>
    <x v="875"/>
    <n v="89679"/>
    <x v="0"/>
  </r>
  <r>
    <n v="23534"/>
    <s v="Critical"/>
    <n v="0.05"/>
    <n v="179.29"/>
    <x v="156"/>
    <x v="513"/>
    <x v="1"/>
    <x v="513"/>
    <x v="1"/>
    <x v="2"/>
    <x v="1"/>
    <x v="11"/>
    <x v="5"/>
    <x v="218"/>
    <n v="0.76"/>
    <n v="-2.878695763609088"/>
    <s v="United States"/>
    <x v="1"/>
    <x v="4"/>
    <x v="416"/>
    <n v="11598"/>
    <x v="59"/>
    <x v="0"/>
    <x v="0"/>
    <d v="2015-01-18T00:00:00"/>
    <n v="-537.27977732000011"/>
    <n v="1"/>
    <x v="876"/>
    <n v="89679"/>
    <x v="0"/>
  </r>
  <r>
    <n v="18450"/>
    <s v="Medium"/>
    <n v="0.05"/>
    <n v="1.98"/>
    <x v="342"/>
    <x v="514"/>
    <x v="1"/>
    <x v="514"/>
    <x v="2"/>
    <x v="1"/>
    <x v="0"/>
    <x v="8"/>
    <x v="3"/>
    <x v="566"/>
    <n v="0.4"/>
    <n v="-4.0679376770538251"/>
    <s v="United States"/>
    <x v="1"/>
    <x v="4"/>
    <x v="417"/>
    <n v="11010"/>
    <x v="0"/>
    <x v="0"/>
    <x v="0"/>
    <d v="2015-01-08T00:00:00"/>
    <n v="-14.359820000000001"/>
    <n v="1"/>
    <x v="877"/>
    <n v="87993"/>
    <x v="0"/>
  </r>
  <r>
    <n v="18451"/>
    <s v="Medium"/>
    <n v="7.0000000000000007E-2"/>
    <n v="699.99"/>
    <x v="65"/>
    <x v="514"/>
    <x v="1"/>
    <x v="514"/>
    <x v="0"/>
    <x v="1"/>
    <x v="2"/>
    <x v="16"/>
    <x v="6"/>
    <x v="199"/>
    <n v="0.41"/>
    <n v="-4.0623267663043476"/>
    <s v="United States"/>
    <x v="1"/>
    <x v="4"/>
    <x v="417"/>
    <n v="11010"/>
    <x v="0"/>
    <x v="0"/>
    <x v="0"/>
    <d v="2015-01-08T00:00:00"/>
    <n v="-2870.2775999999994"/>
    <n v="1"/>
    <x v="878"/>
    <n v="87993"/>
    <x v="0"/>
  </r>
  <r>
    <n v="18452"/>
    <s v="Medium"/>
    <n v="7.0000000000000007E-2"/>
    <n v="6783.02"/>
    <x v="65"/>
    <x v="514"/>
    <x v="1"/>
    <x v="514"/>
    <x v="2"/>
    <x v="1"/>
    <x v="2"/>
    <x v="6"/>
    <x v="6"/>
    <x v="458"/>
    <n v="0.39"/>
    <n v="5.9433872389978619E-3"/>
    <s v="United States"/>
    <x v="1"/>
    <x v="4"/>
    <x v="417"/>
    <n v="11010"/>
    <x v="0"/>
    <x v="0"/>
    <x v="0"/>
    <d v="2015-01-08T00:00:00"/>
    <n v="77.983599999997679"/>
    <n v="2"/>
    <x v="879"/>
    <n v="87993"/>
    <x v="0"/>
  </r>
  <r>
    <n v="22921"/>
    <s v="Not Specified"/>
    <n v="0.01"/>
    <n v="15.16"/>
    <x v="343"/>
    <x v="515"/>
    <x v="1"/>
    <x v="515"/>
    <x v="2"/>
    <x v="1"/>
    <x v="0"/>
    <x v="8"/>
    <x v="3"/>
    <x v="567"/>
    <n v="0.39"/>
    <n v="-1.810682412332101"/>
    <s v="United States"/>
    <x v="1"/>
    <x v="4"/>
    <x v="418"/>
    <n v="11520"/>
    <x v="112"/>
    <x v="4"/>
    <x v="0"/>
    <d v="2015-04-15T00:00:00"/>
    <n v="-200.85899999999998"/>
    <n v="7"/>
    <x v="880"/>
    <n v="87994"/>
    <x v="0"/>
  </r>
  <r>
    <n v="24951"/>
    <s v="Low"/>
    <n v="0.1"/>
    <n v="5.68"/>
    <x v="344"/>
    <x v="515"/>
    <x v="1"/>
    <x v="515"/>
    <x v="0"/>
    <x v="1"/>
    <x v="0"/>
    <x v="12"/>
    <x v="2"/>
    <x v="568"/>
    <n v="0.56000000000000005"/>
    <n v="-0.28133164343050276"/>
    <s v="United States"/>
    <x v="1"/>
    <x v="4"/>
    <x v="418"/>
    <n v="11520"/>
    <x v="92"/>
    <x v="2"/>
    <x v="0"/>
    <d v="2015-02-10T00:00:00"/>
    <n v="-33.2956"/>
    <n v="21"/>
    <x v="881"/>
    <n v="87995"/>
    <x v="0"/>
  </r>
  <r>
    <n v="22682"/>
    <s v="High"/>
    <n v="0.03"/>
    <n v="2.16"/>
    <x v="162"/>
    <x v="516"/>
    <x v="1"/>
    <x v="516"/>
    <x v="2"/>
    <x v="3"/>
    <x v="0"/>
    <x v="8"/>
    <x v="3"/>
    <x v="542"/>
    <n v="0.37"/>
    <n v="-5.2331311380704797"/>
    <s v="United States"/>
    <x v="0"/>
    <x v="1"/>
    <x v="419"/>
    <n v="95823"/>
    <x v="171"/>
    <x v="3"/>
    <x v="0"/>
    <d v="2015-05-12T00:00:00"/>
    <n v="-90.585499999999996"/>
    <n v="7"/>
    <x v="882"/>
    <n v="87824"/>
    <x v="0"/>
  </r>
  <r>
    <n v="22683"/>
    <s v="High"/>
    <n v="0.03"/>
    <n v="9.7100000000000009"/>
    <x v="131"/>
    <x v="516"/>
    <x v="1"/>
    <x v="516"/>
    <x v="2"/>
    <x v="3"/>
    <x v="0"/>
    <x v="10"/>
    <x v="3"/>
    <x v="173"/>
    <n v="0.6"/>
    <n v="-1.5662139219015281"/>
    <s v="United States"/>
    <x v="0"/>
    <x v="1"/>
    <x v="419"/>
    <n v="95823"/>
    <x v="171"/>
    <x v="3"/>
    <x v="0"/>
    <d v="2015-05-11T00:00:00"/>
    <n v="-36.9"/>
    <n v="2"/>
    <x v="883"/>
    <n v="87824"/>
    <x v="0"/>
  </r>
  <r>
    <n v="18394"/>
    <s v="Low"/>
    <n v="0.06"/>
    <n v="40.97"/>
    <x v="45"/>
    <x v="517"/>
    <x v="0"/>
    <x v="517"/>
    <x v="2"/>
    <x v="3"/>
    <x v="2"/>
    <x v="13"/>
    <x v="2"/>
    <x v="569"/>
    <n v="0.42"/>
    <n v="0.69"/>
    <s v="United States"/>
    <x v="1"/>
    <x v="15"/>
    <x v="420"/>
    <n v="1748"/>
    <x v="4"/>
    <x v="4"/>
    <x v="0"/>
    <d v="2015-04-12T00:00:00"/>
    <n v="341.19809999999995"/>
    <n v="12"/>
    <x v="884"/>
    <n v="87823"/>
    <x v="0"/>
  </r>
  <r>
    <n v="19501"/>
    <s v="High"/>
    <n v="0.09"/>
    <n v="12.88"/>
    <x v="345"/>
    <x v="518"/>
    <x v="0"/>
    <x v="518"/>
    <x v="2"/>
    <x v="3"/>
    <x v="0"/>
    <x v="12"/>
    <x v="0"/>
    <x v="570"/>
    <n v="0.82"/>
    <n v="-1.1075064820084741"/>
    <s v="United States"/>
    <x v="2"/>
    <x v="38"/>
    <x v="421"/>
    <n v="46322"/>
    <x v="34"/>
    <x v="4"/>
    <x v="0"/>
    <d v="2015-04-06T00:00:00"/>
    <n v="-175.13"/>
    <n v="13"/>
    <x v="885"/>
    <n v="90248"/>
    <x v="0"/>
  </r>
  <r>
    <n v="19502"/>
    <s v="High"/>
    <n v="0.02"/>
    <n v="45.99"/>
    <x v="7"/>
    <x v="519"/>
    <x v="0"/>
    <x v="519"/>
    <x v="0"/>
    <x v="3"/>
    <x v="2"/>
    <x v="5"/>
    <x v="3"/>
    <x v="571"/>
    <n v="0.56999999999999995"/>
    <n v="2.4292988160235569E-2"/>
    <s v="United States"/>
    <x v="1"/>
    <x v="19"/>
    <x v="298"/>
    <n v="17602"/>
    <x v="34"/>
    <x v="4"/>
    <x v="0"/>
    <d v="2015-04-07T00:00:00"/>
    <n v="3.96"/>
    <n v="4"/>
    <x v="886"/>
    <n v="90248"/>
    <x v="0"/>
  </r>
  <r>
    <n v="23750"/>
    <s v="High"/>
    <n v="0.06"/>
    <n v="15.01"/>
    <x v="182"/>
    <x v="520"/>
    <x v="1"/>
    <x v="520"/>
    <x v="2"/>
    <x v="2"/>
    <x v="0"/>
    <x v="8"/>
    <x v="3"/>
    <x v="572"/>
    <n v="0.39"/>
    <n v="4.8549723756906105E-3"/>
    <s v="United States"/>
    <x v="2"/>
    <x v="38"/>
    <x v="422"/>
    <n v="46375"/>
    <x v="84"/>
    <x v="3"/>
    <x v="0"/>
    <d v="2015-05-26T00:00:00"/>
    <n v="1.6169000000000011"/>
    <n v="22"/>
    <x v="887"/>
    <n v="87611"/>
    <x v="0"/>
  </r>
  <r>
    <n v="23751"/>
    <s v="High"/>
    <n v="0.09"/>
    <n v="40.479999999999997"/>
    <x v="3"/>
    <x v="520"/>
    <x v="1"/>
    <x v="520"/>
    <x v="2"/>
    <x v="2"/>
    <x v="2"/>
    <x v="13"/>
    <x v="3"/>
    <x v="295"/>
    <n v="0.77"/>
    <n v="0.13841757683515379"/>
    <s v="United States"/>
    <x v="2"/>
    <x v="38"/>
    <x v="422"/>
    <n v="46375"/>
    <x v="84"/>
    <x v="3"/>
    <x v="0"/>
    <d v="2015-05-26T00:00:00"/>
    <n v="65.394000000000062"/>
    <n v="12"/>
    <x v="888"/>
    <n v="87611"/>
    <x v="0"/>
  </r>
  <r>
    <n v="23752"/>
    <s v="High"/>
    <n v="0.05"/>
    <n v="12.28"/>
    <x v="273"/>
    <x v="520"/>
    <x v="1"/>
    <x v="520"/>
    <x v="2"/>
    <x v="2"/>
    <x v="0"/>
    <x v="10"/>
    <x v="3"/>
    <x v="521"/>
    <n v="0.56999999999999995"/>
    <n v="7.1329418045915652E-2"/>
    <s v="United States"/>
    <x v="2"/>
    <x v="38"/>
    <x v="422"/>
    <n v="46375"/>
    <x v="84"/>
    <x v="3"/>
    <x v="0"/>
    <d v="2015-05-25T00:00:00"/>
    <n v="1.3360000000000003"/>
    <n v="1"/>
    <x v="889"/>
    <n v="87611"/>
    <x v="0"/>
  </r>
  <r>
    <n v="21145"/>
    <s v="Medium"/>
    <n v="0.08"/>
    <n v="213.45"/>
    <x v="69"/>
    <x v="521"/>
    <x v="1"/>
    <x v="521"/>
    <x v="1"/>
    <x v="1"/>
    <x v="2"/>
    <x v="6"/>
    <x v="1"/>
    <x v="90"/>
    <n v="0.59"/>
    <n v="0.69"/>
    <s v="United States"/>
    <x v="1"/>
    <x v="4"/>
    <x v="423"/>
    <n v="11542"/>
    <x v="12"/>
    <x v="5"/>
    <x v="0"/>
    <d v="2015-03-29T00:00:00"/>
    <n v="1674.7541999999999"/>
    <n v="12"/>
    <x v="890"/>
    <n v="90600"/>
    <x v="0"/>
  </r>
  <r>
    <n v="21146"/>
    <s v="Medium"/>
    <n v="0.1"/>
    <n v="55.98"/>
    <x v="346"/>
    <x v="521"/>
    <x v="1"/>
    <x v="521"/>
    <x v="2"/>
    <x v="1"/>
    <x v="0"/>
    <x v="7"/>
    <x v="3"/>
    <x v="573"/>
    <n v="0.36"/>
    <n v="0.69"/>
    <s v="United States"/>
    <x v="1"/>
    <x v="4"/>
    <x v="423"/>
    <n v="11542"/>
    <x v="12"/>
    <x v="5"/>
    <x v="0"/>
    <d v="2015-03-29T00:00:00"/>
    <n v="300.04649999999998"/>
    <n v="8"/>
    <x v="891"/>
    <n v="90600"/>
    <x v="0"/>
  </r>
  <r>
    <n v="21147"/>
    <s v="Medium"/>
    <n v="0"/>
    <n v="16.059999999999999"/>
    <x v="347"/>
    <x v="521"/>
    <x v="1"/>
    <x v="521"/>
    <x v="2"/>
    <x v="1"/>
    <x v="0"/>
    <x v="10"/>
    <x v="3"/>
    <x v="574"/>
    <n v="0.59"/>
    <n v="-1.4660751565762005"/>
    <s v="United States"/>
    <x v="1"/>
    <x v="4"/>
    <x v="423"/>
    <n v="11542"/>
    <x v="12"/>
    <x v="5"/>
    <x v="0"/>
    <d v="2015-03-28T00:00:00"/>
    <n v="-28.09"/>
    <n v="1"/>
    <x v="892"/>
    <n v="90600"/>
    <x v="0"/>
  </r>
  <r>
    <n v="21270"/>
    <s v="Medium"/>
    <n v="0"/>
    <n v="209.37"/>
    <x v="54"/>
    <x v="521"/>
    <x v="1"/>
    <x v="521"/>
    <x v="2"/>
    <x v="1"/>
    <x v="1"/>
    <x v="11"/>
    <x v="6"/>
    <x v="575"/>
    <n v="0.79"/>
    <n v="-0.13424899946935531"/>
    <s v="United States"/>
    <x v="1"/>
    <x v="4"/>
    <x v="423"/>
    <n v="11542"/>
    <x v="160"/>
    <x v="2"/>
    <x v="0"/>
    <d v="2015-02-18T00:00:00"/>
    <n v="-263.1119290800001"/>
    <n v="11"/>
    <x v="893"/>
    <n v="90601"/>
    <x v="0"/>
  </r>
  <r>
    <n v="23604"/>
    <s v="High"/>
    <n v="0.06"/>
    <n v="43.57"/>
    <x v="348"/>
    <x v="522"/>
    <x v="0"/>
    <x v="522"/>
    <x v="2"/>
    <x v="0"/>
    <x v="0"/>
    <x v="10"/>
    <x v="3"/>
    <x v="576"/>
    <n v="0.55000000000000004"/>
    <n v="-5.4646840148698889E-2"/>
    <s v="United States"/>
    <x v="3"/>
    <x v="20"/>
    <x v="424"/>
    <n v="37743"/>
    <x v="5"/>
    <x v="3"/>
    <x v="0"/>
    <d v="2015-05-30T00:00:00"/>
    <n v="-38.808"/>
    <n v="17"/>
    <x v="894"/>
    <n v="90602"/>
    <x v="0"/>
  </r>
  <r>
    <n v="19769"/>
    <s v="High"/>
    <n v="0.08"/>
    <n v="8.09"/>
    <x v="34"/>
    <x v="523"/>
    <x v="1"/>
    <x v="523"/>
    <x v="0"/>
    <x v="1"/>
    <x v="1"/>
    <x v="2"/>
    <x v="3"/>
    <x v="38"/>
    <n v="0.49"/>
    <n v="0.33127461139896375"/>
    <s v="United States"/>
    <x v="3"/>
    <x v="37"/>
    <x v="425"/>
    <n v="39401"/>
    <x v="43"/>
    <x v="0"/>
    <x v="0"/>
    <d v="2015-01-16T00:00:00"/>
    <n v="15.984"/>
    <n v="6"/>
    <x v="895"/>
    <n v="90530"/>
    <x v="0"/>
  </r>
  <r>
    <n v="20359"/>
    <s v="High"/>
    <n v="0.02"/>
    <n v="25.99"/>
    <x v="123"/>
    <x v="523"/>
    <x v="1"/>
    <x v="523"/>
    <x v="2"/>
    <x v="1"/>
    <x v="0"/>
    <x v="0"/>
    <x v="3"/>
    <x v="577"/>
    <n v="0.56000000000000005"/>
    <n v="-0.36243216576221016"/>
    <s v="United States"/>
    <x v="3"/>
    <x v="37"/>
    <x v="425"/>
    <n v="39401"/>
    <x v="112"/>
    <x v="4"/>
    <x v="0"/>
    <d v="2015-04-17T00:00:00"/>
    <n v="-88.158000000000001"/>
    <n v="9"/>
    <x v="896"/>
    <n v="90533"/>
    <x v="0"/>
  </r>
  <r>
    <n v="24786"/>
    <s v="Not Specified"/>
    <n v="0.03"/>
    <n v="5.98"/>
    <x v="270"/>
    <x v="524"/>
    <x v="0"/>
    <x v="524"/>
    <x v="2"/>
    <x v="1"/>
    <x v="2"/>
    <x v="13"/>
    <x v="2"/>
    <x v="412"/>
    <n v="0.68"/>
    <n v="-1.9747483134405814"/>
    <s v="United States"/>
    <x v="3"/>
    <x v="37"/>
    <x v="426"/>
    <n v="38637"/>
    <x v="104"/>
    <x v="2"/>
    <x v="0"/>
    <d v="2015-02-12T00:00:00"/>
    <n v="-76.106800000000007"/>
    <n v="6"/>
    <x v="897"/>
    <n v="90531"/>
    <x v="0"/>
  </r>
  <r>
    <n v="26340"/>
    <s v="Not Specified"/>
    <n v="0.08"/>
    <n v="100.97"/>
    <x v="216"/>
    <x v="525"/>
    <x v="0"/>
    <x v="525"/>
    <x v="1"/>
    <x v="1"/>
    <x v="2"/>
    <x v="6"/>
    <x v="1"/>
    <x v="578"/>
    <n v="0.37"/>
    <n v="-4.9552388144232538E-2"/>
    <s v="United States"/>
    <x v="3"/>
    <x v="37"/>
    <x v="427"/>
    <n v="39212"/>
    <x v="37"/>
    <x v="4"/>
    <x v="0"/>
    <d v="2015-04-10T00:00:00"/>
    <n v="-73.494119999999938"/>
    <n v="15"/>
    <x v="898"/>
    <n v="90532"/>
    <x v="0"/>
  </r>
  <r>
    <n v="19144"/>
    <s v="Critical"/>
    <n v="0.08"/>
    <n v="115.99"/>
    <x v="80"/>
    <x v="526"/>
    <x v="1"/>
    <x v="526"/>
    <x v="1"/>
    <x v="1"/>
    <x v="2"/>
    <x v="6"/>
    <x v="1"/>
    <x v="486"/>
    <n v="0.4"/>
    <n v="-0.48471547794574815"/>
    <s v="United States"/>
    <x v="0"/>
    <x v="1"/>
    <x v="428"/>
    <n v="93905"/>
    <x v="101"/>
    <x v="0"/>
    <x v="0"/>
    <d v="2015-01-16T00:00:00"/>
    <n v="-272.860884"/>
    <n v="5"/>
    <x v="899"/>
    <n v="89704"/>
    <x v="0"/>
  </r>
  <r>
    <n v="19145"/>
    <s v="Critical"/>
    <n v="0.08"/>
    <n v="4.28"/>
    <x v="349"/>
    <x v="526"/>
    <x v="1"/>
    <x v="526"/>
    <x v="2"/>
    <x v="1"/>
    <x v="0"/>
    <x v="0"/>
    <x v="0"/>
    <x v="579"/>
    <n v="0.56000000000000005"/>
    <n v="0.36254969156956823"/>
    <s v="United States"/>
    <x v="0"/>
    <x v="1"/>
    <x v="428"/>
    <n v="93905"/>
    <x v="101"/>
    <x v="0"/>
    <x v="0"/>
    <d v="2015-01-17T00:00:00"/>
    <n v="10.5792"/>
    <n v="7"/>
    <x v="900"/>
    <n v="89704"/>
    <x v="0"/>
  </r>
  <r>
    <n v="20869"/>
    <s v="High"/>
    <n v="0.04"/>
    <n v="136.97999999999999"/>
    <x v="65"/>
    <x v="526"/>
    <x v="1"/>
    <x v="526"/>
    <x v="0"/>
    <x v="1"/>
    <x v="1"/>
    <x v="2"/>
    <x v="6"/>
    <x v="580"/>
    <n v="0.59"/>
    <n v="0.69"/>
    <s v="United States"/>
    <x v="0"/>
    <x v="1"/>
    <x v="428"/>
    <n v="93905"/>
    <x v="38"/>
    <x v="0"/>
    <x v="0"/>
    <d v="2015-01-14T00:00:00"/>
    <n v="1127.5497"/>
    <n v="12"/>
    <x v="901"/>
    <n v="89706"/>
    <x v="0"/>
  </r>
  <r>
    <n v="26109"/>
    <s v="Critical"/>
    <n v="0.08"/>
    <n v="55.48"/>
    <x v="350"/>
    <x v="527"/>
    <x v="0"/>
    <x v="527"/>
    <x v="2"/>
    <x v="1"/>
    <x v="0"/>
    <x v="7"/>
    <x v="3"/>
    <x v="581"/>
    <n v="0.37"/>
    <n v="0.69000000000000006"/>
    <s v="United States"/>
    <x v="1"/>
    <x v="18"/>
    <x v="429"/>
    <n v="6901"/>
    <x v="115"/>
    <x v="2"/>
    <x v="0"/>
    <d v="2015-02-28T00:00:00"/>
    <n v="147.75659999999999"/>
    <n v="4"/>
    <x v="902"/>
    <n v="89705"/>
    <x v="0"/>
  </r>
  <r>
    <n v="18274"/>
    <s v="Low"/>
    <n v="0.09"/>
    <n v="107.53"/>
    <x v="194"/>
    <x v="528"/>
    <x v="0"/>
    <x v="528"/>
    <x v="2"/>
    <x v="2"/>
    <x v="1"/>
    <x v="2"/>
    <x v="4"/>
    <x v="582"/>
    <n v="0.65"/>
    <n v="0.69000000000000006"/>
    <s v="United States"/>
    <x v="2"/>
    <x v="7"/>
    <x v="430"/>
    <n v="77546"/>
    <x v="110"/>
    <x v="1"/>
    <x v="0"/>
    <d v="2015-06-16T00:00:00"/>
    <n v="69.545100000000005"/>
    <n v="1"/>
    <x v="903"/>
    <n v="87342"/>
    <x v="0"/>
  </r>
  <r>
    <n v="24265"/>
    <s v="Not Specified"/>
    <n v="0.06"/>
    <n v="3.29"/>
    <x v="72"/>
    <x v="529"/>
    <x v="0"/>
    <x v="529"/>
    <x v="2"/>
    <x v="2"/>
    <x v="0"/>
    <x v="3"/>
    <x v="0"/>
    <x v="93"/>
    <n v="0.4"/>
    <n v="0.23714206283013622"/>
    <s v="United States"/>
    <x v="1"/>
    <x v="4"/>
    <x v="431"/>
    <n v="11714"/>
    <x v="24"/>
    <x v="5"/>
    <x v="0"/>
    <d v="2015-03-17T00:00:00"/>
    <n v="8.5299999999999994"/>
    <n v="11"/>
    <x v="707"/>
    <n v="90932"/>
    <x v="0"/>
  </r>
  <r>
    <n v="21947"/>
    <s v="Critical"/>
    <n v="0.08"/>
    <n v="46.89"/>
    <x v="304"/>
    <x v="530"/>
    <x v="1"/>
    <x v="530"/>
    <x v="2"/>
    <x v="0"/>
    <x v="0"/>
    <x v="15"/>
    <x v="4"/>
    <x v="480"/>
    <n v="0.46"/>
    <n v="0.69"/>
    <s v="United States"/>
    <x v="2"/>
    <x v="12"/>
    <x v="432"/>
    <n v="60098"/>
    <x v="78"/>
    <x v="5"/>
    <x v="0"/>
    <d v="2015-03-27T00:00:00"/>
    <n v="507.63299999999998"/>
    <n v="17"/>
    <x v="904"/>
    <n v="91043"/>
    <x v="0"/>
  </r>
  <r>
    <n v="21948"/>
    <s v="Critical"/>
    <n v="0.05"/>
    <n v="12.98"/>
    <x v="39"/>
    <x v="530"/>
    <x v="1"/>
    <x v="530"/>
    <x v="2"/>
    <x v="0"/>
    <x v="0"/>
    <x v="12"/>
    <x v="2"/>
    <x v="47"/>
    <n v="0.6"/>
    <n v="0.16946673168136883"/>
    <s v="United States"/>
    <x v="2"/>
    <x v="12"/>
    <x v="432"/>
    <n v="60098"/>
    <x v="78"/>
    <x v="5"/>
    <x v="0"/>
    <d v="2015-03-25T00:00:00"/>
    <n v="38.229999999999997"/>
    <n v="18"/>
    <x v="905"/>
    <n v="91043"/>
    <x v="0"/>
  </r>
  <r>
    <n v="20603"/>
    <s v="Critical"/>
    <n v="0.03"/>
    <n v="48.58"/>
    <x v="196"/>
    <x v="531"/>
    <x v="0"/>
    <x v="531"/>
    <x v="0"/>
    <x v="0"/>
    <x v="0"/>
    <x v="15"/>
    <x v="3"/>
    <x v="583"/>
    <n v="0.56000000000000005"/>
    <n v="0.69"/>
    <s v="United States"/>
    <x v="1"/>
    <x v="4"/>
    <x v="416"/>
    <n v="11598"/>
    <x v="152"/>
    <x v="2"/>
    <x v="0"/>
    <d v="2015-02-26T00:00:00"/>
    <n v="100.13279999999999"/>
    <n v="3"/>
    <x v="906"/>
    <n v="91041"/>
    <x v="0"/>
  </r>
  <r>
    <n v="24016"/>
    <s v="High"/>
    <n v="0.05"/>
    <n v="6.48"/>
    <x v="351"/>
    <x v="532"/>
    <x v="1"/>
    <x v="532"/>
    <x v="2"/>
    <x v="0"/>
    <x v="2"/>
    <x v="13"/>
    <x v="2"/>
    <x v="584"/>
    <n v="0.71"/>
    <n v="0.16013578020579189"/>
    <s v="United States"/>
    <x v="3"/>
    <x v="24"/>
    <x v="433"/>
    <n v="27203"/>
    <x v="19"/>
    <x v="3"/>
    <x v="0"/>
    <d v="2015-05-09T00:00:00"/>
    <n v="15.096"/>
    <n v="15"/>
    <x v="907"/>
    <n v="91042"/>
    <x v="0"/>
  </r>
  <r>
    <n v="24017"/>
    <s v="High"/>
    <n v="0.09"/>
    <n v="12.53"/>
    <x v="28"/>
    <x v="532"/>
    <x v="1"/>
    <x v="532"/>
    <x v="2"/>
    <x v="0"/>
    <x v="0"/>
    <x v="9"/>
    <x v="3"/>
    <x v="585"/>
    <n v="0.38"/>
    <n v="0.18139399099866196"/>
    <s v="United States"/>
    <x v="3"/>
    <x v="24"/>
    <x v="433"/>
    <n v="27203"/>
    <x v="19"/>
    <x v="3"/>
    <x v="0"/>
    <d v="2015-05-10T00:00:00"/>
    <n v="14.912399999999998"/>
    <n v="7"/>
    <x v="908"/>
    <n v="91042"/>
    <x v="0"/>
  </r>
  <r>
    <n v="24019"/>
    <s v="High"/>
    <n v="0.08"/>
    <n v="65.989999999999995"/>
    <x v="20"/>
    <x v="532"/>
    <x v="1"/>
    <x v="532"/>
    <x v="0"/>
    <x v="0"/>
    <x v="2"/>
    <x v="5"/>
    <x v="3"/>
    <x v="586"/>
    <n v="0.55000000000000004"/>
    <n v="-0.32391788631518431"/>
    <s v="United States"/>
    <x v="3"/>
    <x v="24"/>
    <x v="433"/>
    <n v="27203"/>
    <x v="19"/>
    <x v="3"/>
    <x v="0"/>
    <d v="2015-05-11T00:00:00"/>
    <n v="-135.226"/>
    <n v="8"/>
    <x v="909"/>
    <n v="91042"/>
    <x v="0"/>
  </r>
  <r>
    <n v="19251"/>
    <s v="Not Specified"/>
    <n v="0"/>
    <n v="101.41"/>
    <x v="97"/>
    <x v="533"/>
    <x v="1"/>
    <x v="533"/>
    <x v="0"/>
    <x v="0"/>
    <x v="0"/>
    <x v="10"/>
    <x v="6"/>
    <x v="308"/>
    <n v="0.82"/>
    <n v="-0.4144903651115619"/>
    <s v="United States"/>
    <x v="0"/>
    <x v="1"/>
    <x v="434"/>
    <n v="91360"/>
    <x v="76"/>
    <x v="0"/>
    <x v="0"/>
    <d v="2015-01-25T00:00:00"/>
    <n v="-457.73"/>
    <n v="10"/>
    <x v="910"/>
    <n v="89885"/>
    <x v="0"/>
  </r>
  <r>
    <n v="19252"/>
    <s v="Not Specified"/>
    <n v="0.1"/>
    <n v="95.99"/>
    <x v="59"/>
    <x v="533"/>
    <x v="1"/>
    <x v="533"/>
    <x v="2"/>
    <x v="0"/>
    <x v="2"/>
    <x v="5"/>
    <x v="3"/>
    <x v="75"/>
    <n v="0.56000000000000005"/>
    <n v="-1.7934846461949263"/>
    <s v="United States"/>
    <x v="0"/>
    <x v="1"/>
    <x v="434"/>
    <n v="91360"/>
    <x v="76"/>
    <x v="0"/>
    <x v="0"/>
    <d v="2015-01-25T00:00:00"/>
    <n v="-268.66399999999999"/>
    <n v="2"/>
    <x v="911"/>
    <n v="89885"/>
    <x v="0"/>
  </r>
  <r>
    <n v="24187"/>
    <s v="High"/>
    <n v="0.1"/>
    <n v="3.6"/>
    <x v="352"/>
    <x v="534"/>
    <x v="0"/>
    <x v="534"/>
    <x v="2"/>
    <x v="3"/>
    <x v="0"/>
    <x v="7"/>
    <x v="0"/>
    <x v="587"/>
    <n v="0.39"/>
    <n v="-1.187948350071736"/>
    <s v="United States"/>
    <x v="0"/>
    <x v="1"/>
    <x v="435"/>
    <n v="92653"/>
    <x v="115"/>
    <x v="2"/>
    <x v="0"/>
    <d v="2015-02-27T00:00:00"/>
    <n v="-8.2799999999999994"/>
    <n v="2"/>
    <x v="912"/>
    <n v="90678"/>
    <x v="0"/>
  </r>
  <r>
    <n v="21491"/>
    <s v="Low"/>
    <n v="0.03"/>
    <n v="35.409999999999997"/>
    <x v="45"/>
    <x v="535"/>
    <x v="1"/>
    <x v="535"/>
    <x v="2"/>
    <x v="2"/>
    <x v="2"/>
    <x v="13"/>
    <x v="2"/>
    <x v="588"/>
    <n v="0.43"/>
    <n v="5.203586199390509"/>
    <s v="United States"/>
    <x v="3"/>
    <x v="8"/>
    <x v="410"/>
    <n v="24060"/>
    <x v="158"/>
    <x v="4"/>
    <x v="0"/>
    <d v="2015-04-26T00:00:00"/>
    <n v="1912.4219999999998"/>
    <n v="10"/>
    <x v="913"/>
    <n v="86722"/>
    <x v="0"/>
  </r>
  <r>
    <n v="21492"/>
    <s v="Low"/>
    <n v="0"/>
    <n v="142.86000000000001"/>
    <x v="3"/>
    <x v="535"/>
    <x v="1"/>
    <x v="535"/>
    <x v="2"/>
    <x v="2"/>
    <x v="0"/>
    <x v="10"/>
    <x v="3"/>
    <x v="589"/>
    <n v="0.56000000000000005"/>
    <n v="-0.46901132362736708"/>
    <s v="United States"/>
    <x v="3"/>
    <x v="8"/>
    <x v="410"/>
    <n v="24060"/>
    <x v="158"/>
    <x v="4"/>
    <x v="0"/>
    <d v="2015-05-03T00:00:00"/>
    <n v="-739.32600000000002"/>
    <n v="11"/>
    <x v="914"/>
    <n v="86722"/>
    <x v="0"/>
  </r>
  <r>
    <n v="23578"/>
    <s v="Low"/>
    <n v="0.1"/>
    <n v="4.13"/>
    <x v="90"/>
    <x v="536"/>
    <x v="1"/>
    <x v="536"/>
    <x v="2"/>
    <x v="2"/>
    <x v="0"/>
    <x v="9"/>
    <x v="3"/>
    <x v="508"/>
    <n v="0.39"/>
    <n v="-0.77703220858895716"/>
    <s v="United States"/>
    <x v="3"/>
    <x v="8"/>
    <x v="436"/>
    <n v="22015"/>
    <x v="170"/>
    <x v="2"/>
    <x v="0"/>
    <d v="2015-02-13T00:00:00"/>
    <n v="-40.53"/>
    <n v="13"/>
    <x v="915"/>
    <n v="86724"/>
    <x v="0"/>
  </r>
  <r>
    <n v="22007"/>
    <s v="Critical"/>
    <n v="0.03"/>
    <n v="223.98"/>
    <x v="353"/>
    <x v="536"/>
    <x v="1"/>
    <x v="536"/>
    <x v="2"/>
    <x v="2"/>
    <x v="0"/>
    <x v="8"/>
    <x v="3"/>
    <x v="590"/>
    <n v="0.38"/>
    <n v="1.4256919522147386E-4"/>
    <s v="United States"/>
    <x v="3"/>
    <x v="8"/>
    <x v="436"/>
    <n v="22015"/>
    <x v="3"/>
    <x v="3"/>
    <x v="0"/>
    <d v="2015-05-13T00:00:00"/>
    <n v="0.69599999999999995"/>
    <n v="21"/>
    <x v="916"/>
    <n v="86725"/>
    <x v="0"/>
  </r>
  <r>
    <n v="25066"/>
    <s v="Low"/>
    <n v="0.02"/>
    <n v="284.98"/>
    <x v="259"/>
    <x v="537"/>
    <x v="1"/>
    <x v="537"/>
    <x v="1"/>
    <x v="2"/>
    <x v="1"/>
    <x v="1"/>
    <x v="1"/>
    <x v="391"/>
    <n v="0.6"/>
    <n v="1.676346755910612E-2"/>
    <s v="United States"/>
    <x v="3"/>
    <x v="8"/>
    <x v="437"/>
    <n v="22901"/>
    <x v="31"/>
    <x v="1"/>
    <x v="0"/>
    <d v="2015-06-12T00:00:00"/>
    <n v="15.527999999999999"/>
    <n v="3"/>
    <x v="917"/>
    <n v="86723"/>
    <x v="0"/>
  </r>
  <r>
    <n v="25067"/>
    <s v="Low"/>
    <n v="0.08"/>
    <n v="55.48"/>
    <x v="14"/>
    <x v="537"/>
    <x v="1"/>
    <x v="537"/>
    <x v="2"/>
    <x v="2"/>
    <x v="0"/>
    <x v="7"/>
    <x v="3"/>
    <x v="14"/>
    <n v="0.37"/>
    <n v="-0.23931736920840715"/>
    <s v="United States"/>
    <x v="3"/>
    <x v="8"/>
    <x v="437"/>
    <n v="22901"/>
    <x v="31"/>
    <x v="1"/>
    <x v="0"/>
    <d v="2015-06-09T00:00:00"/>
    <n v="-225.56379999999999"/>
    <n v="17"/>
    <x v="918"/>
    <n v="86723"/>
    <x v="0"/>
  </r>
  <r>
    <n v="18150"/>
    <s v="Medium"/>
    <n v="7.0000000000000007E-2"/>
    <n v="13.73"/>
    <x v="161"/>
    <x v="538"/>
    <x v="0"/>
    <x v="538"/>
    <x v="2"/>
    <x v="3"/>
    <x v="1"/>
    <x v="2"/>
    <x v="0"/>
    <x v="226"/>
    <n v="0.54"/>
    <n v="-8.2128397917871604E-2"/>
    <s v="United States"/>
    <x v="1"/>
    <x v="10"/>
    <x v="438"/>
    <n v="45324"/>
    <x v="80"/>
    <x v="5"/>
    <x v="0"/>
    <d v="2015-03-21T00:00:00"/>
    <n v="-22.72"/>
    <n v="21"/>
    <x v="919"/>
    <n v="86646"/>
    <x v="0"/>
  </r>
  <r>
    <n v="23524"/>
    <s v="Low"/>
    <n v="0.09"/>
    <n v="30.98"/>
    <x v="354"/>
    <x v="539"/>
    <x v="1"/>
    <x v="539"/>
    <x v="2"/>
    <x v="3"/>
    <x v="0"/>
    <x v="4"/>
    <x v="3"/>
    <x v="591"/>
    <n v="0.36"/>
    <n v="-0.31776845050717034"/>
    <s v="United States"/>
    <x v="1"/>
    <x v="10"/>
    <x v="79"/>
    <n v="45014"/>
    <x v="32"/>
    <x v="3"/>
    <x v="0"/>
    <d v="2015-05-05T00:00:00"/>
    <n v="-163.53"/>
    <n v="18"/>
    <x v="920"/>
    <n v="86645"/>
    <x v="0"/>
  </r>
  <r>
    <n v="23525"/>
    <s v="Low"/>
    <n v="0.03"/>
    <n v="49.34"/>
    <x v="355"/>
    <x v="539"/>
    <x v="1"/>
    <x v="539"/>
    <x v="2"/>
    <x v="3"/>
    <x v="1"/>
    <x v="2"/>
    <x v="6"/>
    <x v="592"/>
    <n v="0.56999999999999995"/>
    <n v="0.67876719032936905"/>
    <s v="United States"/>
    <x v="1"/>
    <x v="10"/>
    <x v="79"/>
    <n v="45014"/>
    <x v="32"/>
    <x v="3"/>
    <x v="0"/>
    <d v="2015-05-05T00:00:00"/>
    <n v="554.77"/>
    <n v="17"/>
    <x v="921"/>
    <n v="86645"/>
    <x v="0"/>
  </r>
  <r>
    <n v="1976"/>
    <s v="Not Specified"/>
    <n v="0.04"/>
    <n v="6.28"/>
    <x v="21"/>
    <x v="540"/>
    <x v="1"/>
    <x v="540"/>
    <x v="2"/>
    <x v="3"/>
    <x v="1"/>
    <x v="2"/>
    <x v="3"/>
    <x v="593"/>
    <n v="0.53"/>
    <n v="-0.13491282339707536"/>
    <s v="United States"/>
    <x v="2"/>
    <x v="12"/>
    <x v="25"/>
    <n v="60611"/>
    <x v="79"/>
    <x v="2"/>
    <x v="0"/>
    <d v="2015-02-16T00:00:00"/>
    <n v="-38.380000000000003"/>
    <n v="43"/>
    <x v="922"/>
    <n v="14115"/>
    <x v="0"/>
  </r>
  <r>
    <n v="5358"/>
    <s v="Not Specified"/>
    <n v="0.08"/>
    <n v="4.9800000000000004"/>
    <x v="356"/>
    <x v="540"/>
    <x v="1"/>
    <x v="540"/>
    <x v="2"/>
    <x v="3"/>
    <x v="0"/>
    <x v="7"/>
    <x v="3"/>
    <x v="594"/>
    <n v="0.38"/>
    <n v="-0.24935835029648643"/>
    <s v="United States"/>
    <x v="2"/>
    <x v="12"/>
    <x v="25"/>
    <n v="60611"/>
    <x v="88"/>
    <x v="5"/>
    <x v="0"/>
    <d v="2015-03-15T00:00:00"/>
    <n v="-56.35"/>
    <n v="47"/>
    <x v="923"/>
    <n v="38080"/>
    <x v="0"/>
  </r>
  <r>
    <n v="19976"/>
    <s v="Not Specified"/>
    <n v="0.04"/>
    <n v="6.28"/>
    <x v="21"/>
    <x v="541"/>
    <x v="1"/>
    <x v="541"/>
    <x v="2"/>
    <x v="3"/>
    <x v="1"/>
    <x v="2"/>
    <x v="3"/>
    <x v="593"/>
    <n v="0.53"/>
    <n v="-0.27425587467362927"/>
    <s v="United States"/>
    <x v="2"/>
    <x v="7"/>
    <x v="439"/>
    <n v="77301"/>
    <x v="79"/>
    <x v="2"/>
    <x v="0"/>
    <d v="2015-02-16T00:00:00"/>
    <n v="-19.957600000000003"/>
    <n v="11"/>
    <x v="924"/>
    <n v="90612"/>
    <x v="0"/>
  </r>
  <r>
    <n v="23358"/>
    <s v="Not Specified"/>
    <n v="0.08"/>
    <n v="4.9800000000000004"/>
    <x v="356"/>
    <x v="541"/>
    <x v="1"/>
    <x v="541"/>
    <x v="2"/>
    <x v="3"/>
    <x v="0"/>
    <x v="7"/>
    <x v="3"/>
    <x v="594"/>
    <n v="0.38"/>
    <n v="-0.97660311958405543"/>
    <s v="United States"/>
    <x v="2"/>
    <x v="7"/>
    <x v="439"/>
    <n v="77301"/>
    <x v="88"/>
    <x v="5"/>
    <x v="0"/>
    <d v="2015-03-15T00:00:00"/>
    <n v="-56.35"/>
    <n v="12"/>
    <x v="925"/>
    <n v="90613"/>
    <x v="0"/>
  </r>
  <r>
    <n v="19751"/>
    <s v="Low"/>
    <n v="0.08"/>
    <n v="2.08"/>
    <x v="183"/>
    <x v="542"/>
    <x v="0"/>
    <x v="542"/>
    <x v="2"/>
    <x v="0"/>
    <x v="1"/>
    <x v="2"/>
    <x v="3"/>
    <x v="261"/>
    <n v="0.43"/>
    <n v="-6.5587188612099636"/>
    <s v="United States"/>
    <x v="2"/>
    <x v="12"/>
    <x v="440"/>
    <n v="60123"/>
    <x v="95"/>
    <x v="5"/>
    <x v="0"/>
    <d v="2015-03-10T00:00:00"/>
    <n v="-129.01"/>
    <n v="9"/>
    <x v="926"/>
    <n v="86973"/>
    <x v="0"/>
  </r>
  <r>
    <n v="25690"/>
    <s v="High"/>
    <n v="0"/>
    <n v="48.91"/>
    <x v="97"/>
    <x v="543"/>
    <x v="0"/>
    <x v="543"/>
    <x v="2"/>
    <x v="0"/>
    <x v="0"/>
    <x v="10"/>
    <x v="6"/>
    <x v="595"/>
    <n v="0.83"/>
    <n v="-1.2206530818391967"/>
    <s v="United States"/>
    <x v="2"/>
    <x v="38"/>
    <x v="421"/>
    <n v="46322"/>
    <x v="120"/>
    <x v="5"/>
    <x v="0"/>
    <d v="2015-03-25T00:00:00"/>
    <n v="-628.38"/>
    <n v="10"/>
    <x v="927"/>
    <n v="91077"/>
    <x v="0"/>
  </r>
  <r>
    <n v="22798"/>
    <s v="Low"/>
    <n v="0.05"/>
    <n v="115.99"/>
    <x v="126"/>
    <x v="544"/>
    <x v="1"/>
    <x v="544"/>
    <x v="2"/>
    <x v="0"/>
    <x v="2"/>
    <x v="5"/>
    <x v="3"/>
    <x v="596"/>
    <n v="0.56999999999999995"/>
    <n v="0.69"/>
    <s v="United States"/>
    <x v="1"/>
    <x v="19"/>
    <x v="441"/>
    <n v="17112"/>
    <x v="76"/>
    <x v="0"/>
    <x v="0"/>
    <d v="2015-01-28T00:00:00"/>
    <n v="616.53569999999991"/>
    <n v="9"/>
    <x v="928"/>
    <n v="91076"/>
    <x v="0"/>
  </r>
  <r>
    <n v="23626"/>
    <s v="Not Specified"/>
    <n v="0.09"/>
    <n v="95.43"/>
    <x v="3"/>
    <x v="544"/>
    <x v="1"/>
    <x v="544"/>
    <x v="2"/>
    <x v="0"/>
    <x v="0"/>
    <x v="10"/>
    <x v="3"/>
    <x v="303"/>
    <n v="0.79"/>
    <n v="-6.9748246980911574E-2"/>
    <s v="United States"/>
    <x v="1"/>
    <x v="19"/>
    <x v="441"/>
    <n v="17112"/>
    <x v="144"/>
    <x v="1"/>
    <x v="0"/>
    <d v="2015-06-02T00:00:00"/>
    <n v="-143.23500000000001"/>
    <n v="22"/>
    <x v="929"/>
    <n v="91078"/>
    <x v="0"/>
  </r>
  <r>
    <n v="19481"/>
    <s v="Not Specified"/>
    <n v="0"/>
    <n v="6.84"/>
    <x v="357"/>
    <x v="545"/>
    <x v="0"/>
    <x v="545"/>
    <x v="2"/>
    <x v="3"/>
    <x v="0"/>
    <x v="12"/>
    <x v="2"/>
    <x v="597"/>
    <n v="0.57999999999999996"/>
    <n v="-3.2510319345473739"/>
    <s v="United States"/>
    <x v="2"/>
    <x v="13"/>
    <x v="63"/>
    <n v="67114"/>
    <x v="172"/>
    <x v="0"/>
    <x v="0"/>
    <d v="2015-01-24T00:00:00"/>
    <n v="-123.1816"/>
    <n v="5"/>
    <x v="930"/>
    <n v="90189"/>
    <x v="0"/>
  </r>
  <r>
    <n v="19482"/>
    <s v="Not Specified"/>
    <n v="7.0000000000000007E-2"/>
    <n v="30.98"/>
    <x v="220"/>
    <x v="546"/>
    <x v="1"/>
    <x v="546"/>
    <x v="2"/>
    <x v="3"/>
    <x v="0"/>
    <x v="7"/>
    <x v="3"/>
    <x v="479"/>
    <n v="0.4"/>
    <n v="-8.3766252654236595E-2"/>
    <s v="United States"/>
    <x v="3"/>
    <x v="8"/>
    <x v="442"/>
    <n v="20190"/>
    <x v="172"/>
    <x v="0"/>
    <x v="0"/>
    <d v="2015-01-25T00:00:00"/>
    <n v="-28.798000000000002"/>
    <n v="11"/>
    <x v="931"/>
    <n v="90189"/>
    <x v="0"/>
  </r>
  <r>
    <n v="21262"/>
    <s v="Low"/>
    <n v="0.01"/>
    <n v="15.67"/>
    <x v="49"/>
    <x v="546"/>
    <x v="1"/>
    <x v="546"/>
    <x v="0"/>
    <x v="3"/>
    <x v="0"/>
    <x v="4"/>
    <x v="3"/>
    <x v="598"/>
    <n v="0.38"/>
    <n v="-1.4566430963900261"/>
    <s v="United States"/>
    <x v="3"/>
    <x v="8"/>
    <x v="442"/>
    <n v="20190"/>
    <x v="171"/>
    <x v="3"/>
    <x v="0"/>
    <d v="2015-05-11T00:00:00"/>
    <n v="-273.98"/>
    <n v="11"/>
    <x v="932"/>
    <n v="90190"/>
    <x v="0"/>
  </r>
  <r>
    <n v="24941"/>
    <s v="Medium"/>
    <n v="0"/>
    <n v="13.43"/>
    <x v="57"/>
    <x v="547"/>
    <x v="0"/>
    <x v="547"/>
    <x v="2"/>
    <x v="1"/>
    <x v="0"/>
    <x v="10"/>
    <x v="3"/>
    <x v="599"/>
    <n v="0.56999999999999995"/>
    <n v="-1.9590705573568012"/>
    <s v="United States"/>
    <x v="3"/>
    <x v="40"/>
    <x v="443"/>
    <n v="71901"/>
    <x v="59"/>
    <x v="0"/>
    <x v="0"/>
    <d v="2015-01-17T00:00:00"/>
    <n v="-253.77800000000002"/>
    <n v="9"/>
    <x v="933"/>
    <n v="86338"/>
    <x v="0"/>
  </r>
  <r>
    <n v="18275"/>
    <s v="Low"/>
    <n v="0.05"/>
    <n v="3.98"/>
    <x v="126"/>
    <x v="548"/>
    <x v="1"/>
    <x v="548"/>
    <x v="2"/>
    <x v="2"/>
    <x v="0"/>
    <x v="8"/>
    <x v="3"/>
    <x v="600"/>
    <n v="0.38"/>
    <n v="-3.0850424757281552"/>
    <s v="United States"/>
    <x v="1"/>
    <x v="19"/>
    <x v="444"/>
    <n v="19057"/>
    <x v="78"/>
    <x v="5"/>
    <x v="0"/>
    <d v="2015-03-29T00:00:00"/>
    <n v="-152.52449999999999"/>
    <n v="12"/>
    <x v="934"/>
    <n v="87345"/>
    <x v="0"/>
  </r>
  <r>
    <n v="18276"/>
    <s v="Low"/>
    <n v="0.01"/>
    <n v="6.48"/>
    <x v="358"/>
    <x v="548"/>
    <x v="1"/>
    <x v="548"/>
    <x v="2"/>
    <x v="2"/>
    <x v="0"/>
    <x v="7"/>
    <x v="3"/>
    <x v="601"/>
    <n v="0.37"/>
    <n v="-1.3191042687193844"/>
    <s v="United States"/>
    <x v="1"/>
    <x v="19"/>
    <x v="444"/>
    <n v="19057"/>
    <x v="78"/>
    <x v="5"/>
    <x v="0"/>
    <d v="2015-03-25T00:00:00"/>
    <n v="-18.850000000000001"/>
    <n v="2"/>
    <x v="935"/>
    <n v="87345"/>
    <x v="0"/>
  </r>
  <r>
    <n v="24158"/>
    <s v="Medium"/>
    <n v="0.05"/>
    <n v="14.81"/>
    <x v="204"/>
    <x v="549"/>
    <x v="1"/>
    <x v="549"/>
    <x v="2"/>
    <x v="1"/>
    <x v="0"/>
    <x v="15"/>
    <x v="3"/>
    <x v="296"/>
    <n v="0.43"/>
    <n v="-4.8598056537102474"/>
    <s v="United States"/>
    <x v="3"/>
    <x v="37"/>
    <x v="445"/>
    <n v="39301"/>
    <x v="60"/>
    <x v="0"/>
    <x v="0"/>
    <d v="2015-01-20T00:00:00"/>
    <n v="-220.05200000000002"/>
    <n v="3"/>
    <x v="936"/>
    <n v="90473"/>
    <x v="0"/>
  </r>
  <r>
    <n v="24159"/>
    <s v="Medium"/>
    <n v="0.05"/>
    <n v="4.2"/>
    <x v="289"/>
    <x v="549"/>
    <x v="1"/>
    <x v="549"/>
    <x v="0"/>
    <x v="1"/>
    <x v="0"/>
    <x v="7"/>
    <x v="0"/>
    <x v="445"/>
    <n v="0.36"/>
    <n v="1.502827560795873"/>
    <s v="United States"/>
    <x v="3"/>
    <x v="37"/>
    <x v="445"/>
    <n v="39301"/>
    <x v="60"/>
    <x v="0"/>
    <x v="0"/>
    <d v="2015-01-19T00:00:00"/>
    <n v="20.393369999999997"/>
    <n v="3"/>
    <x v="937"/>
    <n v="90473"/>
    <x v="0"/>
  </r>
  <r>
    <n v="25761"/>
    <s v="Medium"/>
    <n v="0.05"/>
    <n v="5.68"/>
    <x v="49"/>
    <x v="550"/>
    <x v="1"/>
    <x v="550"/>
    <x v="2"/>
    <x v="2"/>
    <x v="0"/>
    <x v="4"/>
    <x v="3"/>
    <x v="360"/>
    <n v="0.38"/>
    <n v="0.69000000000000006"/>
    <s v="United States"/>
    <x v="1"/>
    <x v="10"/>
    <x v="446"/>
    <n v="44118"/>
    <x v="60"/>
    <x v="0"/>
    <x v="0"/>
    <d v="2015-01-18T00:00:00"/>
    <n v="38.281199999999998"/>
    <n v="10"/>
    <x v="938"/>
    <n v="88781"/>
    <x v="0"/>
  </r>
  <r>
    <n v="26037"/>
    <s v="Not Specified"/>
    <n v="0.03"/>
    <n v="205.99"/>
    <x v="46"/>
    <x v="550"/>
    <x v="1"/>
    <x v="550"/>
    <x v="2"/>
    <x v="2"/>
    <x v="2"/>
    <x v="5"/>
    <x v="3"/>
    <x v="58"/>
    <n v="0.57999999999999996"/>
    <n v="0.69"/>
    <s v="United States"/>
    <x v="1"/>
    <x v="10"/>
    <x v="446"/>
    <n v="44118"/>
    <x v="135"/>
    <x v="3"/>
    <x v="0"/>
    <d v="2015-05-21T00:00:00"/>
    <n v="3670.3514999999998"/>
    <n v="29"/>
    <x v="939"/>
    <n v="88784"/>
    <x v="0"/>
  </r>
  <r>
    <n v="23822"/>
    <s v="Not Specified"/>
    <n v="0.01"/>
    <n v="14.28"/>
    <x v="139"/>
    <x v="551"/>
    <x v="1"/>
    <x v="551"/>
    <x v="2"/>
    <x v="3"/>
    <x v="0"/>
    <x v="8"/>
    <x v="3"/>
    <x v="602"/>
    <n v="0.39"/>
    <n v="0.68999671484888314"/>
    <s v="United States"/>
    <x v="1"/>
    <x v="19"/>
    <x v="447"/>
    <n v="19464"/>
    <x v="72"/>
    <x v="0"/>
    <x v="0"/>
    <d v="2015-01-22T00:00:00"/>
    <n v="21.003500000000003"/>
    <n v="2"/>
    <x v="940"/>
    <n v="88782"/>
    <x v="0"/>
  </r>
  <r>
    <n v="24577"/>
    <s v="Medium"/>
    <n v="0.04"/>
    <n v="95.43"/>
    <x v="3"/>
    <x v="551"/>
    <x v="1"/>
    <x v="551"/>
    <x v="2"/>
    <x v="2"/>
    <x v="0"/>
    <x v="10"/>
    <x v="3"/>
    <x v="303"/>
    <n v="0.79"/>
    <n v="4.1626688316480963E-3"/>
    <s v="United States"/>
    <x v="1"/>
    <x v="19"/>
    <x v="447"/>
    <n v="19464"/>
    <x v="16"/>
    <x v="3"/>
    <x v="0"/>
    <d v="2015-05-12T00:00:00"/>
    <n v="13.536000000000016"/>
    <n v="33"/>
    <x v="941"/>
    <n v="88783"/>
    <x v="0"/>
  </r>
  <r>
    <n v="19287"/>
    <s v="Not Specified"/>
    <n v="7.0000000000000007E-2"/>
    <n v="7.59"/>
    <x v="41"/>
    <x v="552"/>
    <x v="0"/>
    <x v="552"/>
    <x v="2"/>
    <x v="0"/>
    <x v="1"/>
    <x v="2"/>
    <x v="0"/>
    <x v="150"/>
    <n v="0.42"/>
    <n v="-7.4309608540925263"/>
    <s v="United States"/>
    <x v="3"/>
    <x v="29"/>
    <x v="448"/>
    <n v="30062"/>
    <x v="44"/>
    <x v="5"/>
    <x v="0"/>
    <d v="2015-03-18T00:00:00"/>
    <n v="-167.048"/>
    <n v="3"/>
    <x v="942"/>
    <n v="87747"/>
    <x v="0"/>
  </r>
  <r>
    <n v="21655"/>
    <s v="Low"/>
    <n v="0.03"/>
    <n v="11.66"/>
    <x v="359"/>
    <x v="553"/>
    <x v="0"/>
    <x v="553"/>
    <x v="2"/>
    <x v="0"/>
    <x v="0"/>
    <x v="0"/>
    <x v="2"/>
    <x v="603"/>
    <n v="0.57999999999999996"/>
    <n v="-0.11631752207092624"/>
    <s v="United States"/>
    <x v="3"/>
    <x v="29"/>
    <x v="449"/>
    <n v="30907"/>
    <x v="86"/>
    <x v="4"/>
    <x v="0"/>
    <d v="2015-04-20T00:00:00"/>
    <n v="-31.094000000000001"/>
    <n v="22"/>
    <x v="943"/>
    <n v="87749"/>
    <x v="0"/>
  </r>
  <r>
    <n v="25078"/>
    <s v="High"/>
    <n v="0.01"/>
    <n v="23.99"/>
    <x v="360"/>
    <x v="554"/>
    <x v="0"/>
    <x v="554"/>
    <x v="2"/>
    <x v="0"/>
    <x v="2"/>
    <x v="6"/>
    <x v="4"/>
    <x v="604"/>
    <n v="0.38"/>
    <n v="-2.1808080452899187E-2"/>
    <s v="United States"/>
    <x v="3"/>
    <x v="29"/>
    <x v="450"/>
    <n v="30265"/>
    <x v="124"/>
    <x v="3"/>
    <x v="0"/>
    <d v="2015-05-31T00:00:00"/>
    <n v="-6.202"/>
    <n v="11"/>
    <x v="944"/>
    <n v="87748"/>
    <x v="0"/>
  </r>
  <r>
    <n v="19884"/>
    <s v="Low"/>
    <n v="0.01"/>
    <n v="300.98"/>
    <x v="325"/>
    <x v="555"/>
    <x v="0"/>
    <x v="555"/>
    <x v="1"/>
    <x v="3"/>
    <x v="1"/>
    <x v="1"/>
    <x v="1"/>
    <x v="527"/>
    <n v="0.56000000000000005"/>
    <n v="-5.0171433264212535E-2"/>
    <s v="United States"/>
    <x v="3"/>
    <x v="24"/>
    <x v="451"/>
    <n v="27529"/>
    <x v="129"/>
    <x v="5"/>
    <x v="0"/>
    <d v="2015-03-15T00:00:00"/>
    <n v="-48.873999999999995"/>
    <n v="3"/>
    <x v="945"/>
    <n v="90621"/>
    <x v="0"/>
  </r>
  <r>
    <n v="20619"/>
    <s v="Medium"/>
    <n v="0.06"/>
    <n v="16.48"/>
    <x v="45"/>
    <x v="556"/>
    <x v="0"/>
    <x v="556"/>
    <x v="2"/>
    <x v="0"/>
    <x v="2"/>
    <x v="13"/>
    <x v="2"/>
    <x v="524"/>
    <n v="0.42"/>
    <n v="-1.1284788886287367"/>
    <s v="United States"/>
    <x v="3"/>
    <x v="43"/>
    <x v="452"/>
    <n v="35473"/>
    <x v="60"/>
    <x v="0"/>
    <x v="0"/>
    <d v="2015-01-19T00:00:00"/>
    <n v="-144.59200000000001"/>
    <n v="8"/>
    <x v="946"/>
    <n v="90786"/>
    <x v="0"/>
  </r>
  <r>
    <n v="22596"/>
    <s v="High"/>
    <n v="0.04"/>
    <n v="12.44"/>
    <x v="135"/>
    <x v="557"/>
    <x v="0"/>
    <x v="557"/>
    <x v="2"/>
    <x v="0"/>
    <x v="0"/>
    <x v="10"/>
    <x v="4"/>
    <x v="605"/>
    <n v="0.56999999999999995"/>
    <n v="-0.556127672387835"/>
    <s v="United States"/>
    <x v="3"/>
    <x v="40"/>
    <x v="453"/>
    <n v="72401"/>
    <x v="41"/>
    <x v="3"/>
    <x v="0"/>
    <d v="2015-05-17T00:00:00"/>
    <n v="-258.56600000000003"/>
    <n v="37"/>
    <x v="947"/>
    <n v="90787"/>
    <x v="0"/>
  </r>
  <r>
    <n v="5670"/>
    <s v="Low"/>
    <n v="0.1"/>
    <n v="49.99"/>
    <x v="3"/>
    <x v="558"/>
    <x v="1"/>
    <x v="558"/>
    <x v="0"/>
    <x v="0"/>
    <x v="2"/>
    <x v="13"/>
    <x v="3"/>
    <x v="606"/>
    <n v="0.45"/>
    <n v="6.1735052969297015E-3"/>
    <s v="United States"/>
    <x v="0"/>
    <x v="1"/>
    <x v="454"/>
    <n v="92037"/>
    <x v="70"/>
    <x v="0"/>
    <x v="0"/>
    <d v="2015-02-05T00:00:00"/>
    <n v="13.508000000000003"/>
    <n v="46"/>
    <x v="948"/>
    <n v="40101"/>
    <x v="0"/>
  </r>
  <r>
    <n v="6212"/>
    <s v="Medium"/>
    <n v="0.05"/>
    <n v="6.68"/>
    <x v="128"/>
    <x v="558"/>
    <x v="1"/>
    <x v="558"/>
    <x v="2"/>
    <x v="0"/>
    <x v="0"/>
    <x v="7"/>
    <x v="3"/>
    <x v="424"/>
    <n v="0.37"/>
    <n v="-0.20714797619418565"/>
    <s v="United States"/>
    <x v="0"/>
    <x v="1"/>
    <x v="454"/>
    <n v="92037"/>
    <x v="131"/>
    <x v="2"/>
    <x v="0"/>
    <d v="2015-02-09T00:00:00"/>
    <n v="-66.48"/>
    <n v="46"/>
    <x v="949"/>
    <n v="44002"/>
    <x v="0"/>
  </r>
  <r>
    <n v="6213"/>
    <s v="Medium"/>
    <n v="0.03"/>
    <n v="17.7"/>
    <x v="334"/>
    <x v="558"/>
    <x v="1"/>
    <x v="558"/>
    <x v="2"/>
    <x v="0"/>
    <x v="0"/>
    <x v="10"/>
    <x v="3"/>
    <x v="552"/>
    <n v="0.59"/>
    <n v="-0.19984724078670993"/>
    <s v="United States"/>
    <x v="0"/>
    <x v="1"/>
    <x v="454"/>
    <n v="92037"/>
    <x v="131"/>
    <x v="2"/>
    <x v="0"/>
    <d v="2015-02-07T00:00:00"/>
    <n v="-52.33"/>
    <n v="14"/>
    <x v="950"/>
    <n v="44002"/>
    <x v="0"/>
  </r>
  <r>
    <n v="4596"/>
    <s v="High"/>
    <n v="0.04"/>
    <n v="12.44"/>
    <x v="135"/>
    <x v="558"/>
    <x v="1"/>
    <x v="558"/>
    <x v="2"/>
    <x v="0"/>
    <x v="0"/>
    <x v="10"/>
    <x v="4"/>
    <x v="605"/>
    <n v="0.56999999999999995"/>
    <n v="-3.2192128027210144E-2"/>
    <s v="United States"/>
    <x v="0"/>
    <x v="1"/>
    <x v="454"/>
    <n v="92037"/>
    <x v="41"/>
    <x v="3"/>
    <x v="0"/>
    <d v="2015-05-17T00:00:00"/>
    <n v="-59.06"/>
    <n v="146"/>
    <x v="951"/>
    <n v="32710"/>
    <x v="0"/>
  </r>
  <r>
    <n v="18244"/>
    <s v="High"/>
    <n v="0.05"/>
    <n v="35.99"/>
    <x v="226"/>
    <x v="559"/>
    <x v="0"/>
    <x v="559"/>
    <x v="2"/>
    <x v="0"/>
    <x v="2"/>
    <x v="5"/>
    <x v="3"/>
    <x v="337"/>
    <n v="0.55000000000000004"/>
    <n v="0.57029362287811591"/>
    <s v="United States"/>
    <x v="1"/>
    <x v="10"/>
    <x v="455"/>
    <n v="43026"/>
    <x v="163"/>
    <x v="3"/>
    <x v="0"/>
    <d v="2015-05-09T00:00:00"/>
    <n v="149.166"/>
    <n v="9"/>
    <x v="952"/>
    <n v="87193"/>
    <x v="0"/>
  </r>
  <r>
    <n v="24872"/>
    <s v="Not Specified"/>
    <n v="0.1"/>
    <n v="14.98"/>
    <x v="19"/>
    <x v="560"/>
    <x v="0"/>
    <x v="560"/>
    <x v="0"/>
    <x v="2"/>
    <x v="0"/>
    <x v="10"/>
    <x v="3"/>
    <x v="607"/>
    <n v="0.56999999999999995"/>
    <n v="-0.66980228203118197"/>
    <s v="United States"/>
    <x v="1"/>
    <x v="10"/>
    <x v="456"/>
    <n v="44240"/>
    <x v="72"/>
    <x v="0"/>
    <x v="0"/>
    <d v="2015-01-23T00:00:00"/>
    <n v="-76.900000000000006"/>
    <n v="8"/>
    <x v="953"/>
    <n v="87194"/>
    <x v="0"/>
  </r>
  <r>
    <n v="26066"/>
    <s v="High"/>
    <n v="0.04"/>
    <n v="55.48"/>
    <x v="350"/>
    <x v="561"/>
    <x v="0"/>
    <x v="561"/>
    <x v="2"/>
    <x v="0"/>
    <x v="0"/>
    <x v="7"/>
    <x v="3"/>
    <x v="581"/>
    <n v="0.37"/>
    <n v="0.69"/>
    <s v="United States"/>
    <x v="1"/>
    <x v="10"/>
    <x v="457"/>
    <n v="45429"/>
    <x v="11"/>
    <x v="2"/>
    <x v="0"/>
    <d v="2015-02-24T00:00:00"/>
    <n v="376.88490000000002"/>
    <n v="10"/>
    <x v="954"/>
    <n v="87195"/>
    <x v="0"/>
  </r>
  <r>
    <n v="24545"/>
    <s v="High"/>
    <n v="0.1"/>
    <n v="65.989999999999995"/>
    <x v="196"/>
    <x v="562"/>
    <x v="0"/>
    <x v="562"/>
    <x v="0"/>
    <x v="2"/>
    <x v="2"/>
    <x v="5"/>
    <x v="3"/>
    <x v="382"/>
    <n v="0.59"/>
    <n v="-0.32479953089496444"/>
    <s v="United States"/>
    <x v="0"/>
    <x v="44"/>
    <x v="458"/>
    <n v="83843"/>
    <x v="74"/>
    <x v="4"/>
    <x v="0"/>
    <d v="2015-04-09T00:00:00"/>
    <n v="-88.624800000000008"/>
    <n v="5"/>
    <x v="955"/>
    <n v="90653"/>
    <x v="0"/>
  </r>
  <r>
    <n v="566"/>
    <s v="Not Specified"/>
    <n v="0.02"/>
    <n v="60.98"/>
    <x v="164"/>
    <x v="563"/>
    <x v="1"/>
    <x v="563"/>
    <x v="2"/>
    <x v="2"/>
    <x v="0"/>
    <x v="15"/>
    <x v="6"/>
    <x v="557"/>
    <n v="0.59"/>
    <n v="-0.31257725732942054"/>
    <s v="United States"/>
    <x v="1"/>
    <x v="41"/>
    <x v="246"/>
    <n v="20012"/>
    <x v="36"/>
    <x v="4"/>
    <x v="0"/>
    <d v="2015-04-06T00:00:00"/>
    <n v="-662.52"/>
    <n v="34"/>
    <x v="956"/>
    <n v="3841"/>
    <x v="0"/>
  </r>
  <r>
    <n v="567"/>
    <s v="Not Specified"/>
    <n v="0.02"/>
    <n v="1270.99"/>
    <x v="3"/>
    <x v="563"/>
    <x v="1"/>
    <x v="563"/>
    <x v="2"/>
    <x v="2"/>
    <x v="0"/>
    <x v="8"/>
    <x v="3"/>
    <x v="219"/>
    <n v="0.35"/>
    <n v="0.20176572615847929"/>
    <s v="United States"/>
    <x v="1"/>
    <x v="41"/>
    <x v="246"/>
    <n v="20012"/>
    <x v="36"/>
    <x v="4"/>
    <x v="0"/>
    <d v="2015-04-06T00:00:00"/>
    <n v="9228.2255999999998"/>
    <n v="36"/>
    <x v="957"/>
    <n v="3841"/>
    <x v="0"/>
  </r>
  <r>
    <n v="8389"/>
    <s v="High"/>
    <n v="0.02"/>
    <n v="30.98"/>
    <x v="361"/>
    <x v="563"/>
    <x v="1"/>
    <x v="563"/>
    <x v="2"/>
    <x v="2"/>
    <x v="0"/>
    <x v="7"/>
    <x v="3"/>
    <x v="608"/>
    <n v="0.4"/>
    <n v="-7.365658870507702E-2"/>
    <s v="United States"/>
    <x v="1"/>
    <x v="41"/>
    <x v="246"/>
    <n v="20012"/>
    <x v="162"/>
    <x v="1"/>
    <x v="0"/>
    <d v="2015-06-29T00:00:00"/>
    <n v="-32.28"/>
    <n v="13"/>
    <x v="958"/>
    <n v="59937"/>
    <x v="1"/>
  </r>
  <r>
    <n v="18566"/>
    <s v="Not Specified"/>
    <n v="0.02"/>
    <n v="60.98"/>
    <x v="164"/>
    <x v="564"/>
    <x v="1"/>
    <x v="564"/>
    <x v="2"/>
    <x v="2"/>
    <x v="0"/>
    <x v="15"/>
    <x v="6"/>
    <x v="557"/>
    <n v="0.59"/>
    <n v="-1.062752646775746"/>
    <s v="United States"/>
    <x v="1"/>
    <x v="4"/>
    <x v="459"/>
    <n v="10528"/>
    <x v="36"/>
    <x v="4"/>
    <x v="0"/>
    <d v="2015-04-06T00:00:00"/>
    <n v="-596.26800000000003"/>
    <n v="9"/>
    <x v="959"/>
    <n v="88443"/>
    <x v="0"/>
  </r>
  <r>
    <n v="18567"/>
    <s v="Not Specified"/>
    <n v="0.02"/>
    <n v="1270.99"/>
    <x v="3"/>
    <x v="564"/>
    <x v="1"/>
    <x v="564"/>
    <x v="2"/>
    <x v="2"/>
    <x v="0"/>
    <x v="8"/>
    <x v="3"/>
    <x v="219"/>
    <n v="0.35"/>
    <n v="0.69"/>
    <s v="United States"/>
    <x v="1"/>
    <x v="4"/>
    <x v="459"/>
    <n v="10528"/>
    <x v="36"/>
    <x v="4"/>
    <x v="0"/>
    <d v="2015-04-06T00:00:00"/>
    <n v="7889.6876999999995"/>
    <n v="9"/>
    <x v="960"/>
    <n v="88443"/>
    <x v="0"/>
  </r>
  <r>
    <n v="18568"/>
    <s v="Not Specified"/>
    <n v="0.05"/>
    <n v="205.99"/>
    <x v="20"/>
    <x v="564"/>
    <x v="1"/>
    <x v="564"/>
    <x v="0"/>
    <x v="2"/>
    <x v="2"/>
    <x v="5"/>
    <x v="3"/>
    <x v="545"/>
    <n v="0.6"/>
    <n v="0.47869150636062979"/>
    <s v="United States"/>
    <x v="1"/>
    <x v="4"/>
    <x v="459"/>
    <n v="10528"/>
    <x v="36"/>
    <x v="4"/>
    <x v="0"/>
    <d v="2015-04-06T00:00:00"/>
    <n v="1545.8097600000001"/>
    <n v="19"/>
    <x v="961"/>
    <n v="88443"/>
    <x v="0"/>
  </r>
  <r>
    <n v="26389"/>
    <s v="High"/>
    <n v="0.02"/>
    <n v="30.98"/>
    <x v="361"/>
    <x v="565"/>
    <x v="0"/>
    <x v="565"/>
    <x v="2"/>
    <x v="2"/>
    <x v="0"/>
    <x v="7"/>
    <x v="3"/>
    <x v="608"/>
    <n v="0.4"/>
    <n v="-0.159596558884604"/>
    <s v="United States"/>
    <x v="1"/>
    <x v="4"/>
    <x v="460"/>
    <n v="11550"/>
    <x v="162"/>
    <x v="1"/>
    <x v="0"/>
    <d v="2015-06-29T00:00:00"/>
    <n v="-16.14"/>
    <n v="3"/>
    <x v="962"/>
    <n v="88444"/>
    <x v="0"/>
  </r>
  <r>
    <n v="18012"/>
    <s v="Not Specified"/>
    <n v="0.09"/>
    <n v="30.93"/>
    <x v="362"/>
    <x v="566"/>
    <x v="1"/>
    <x v="566"/>
    <x v="2"/>
    <x v="0"/>
    <x v="1"/>
    <x v="2"/>
    <x v="2"/>
    <x v="609"/>
    <n v="0.44"/>
    <n v="-0.28865723834185425"/>
    <s v="United States"/>
    <x v="3"/>
    <x v="24"/>
    <x v="451"/>
    <n v="27529"/>
    <x v="26"/>
    <x v="1"/>
    <x v="0"/>
    <d v="2015-06-05T00:00:00"/>
    <n v="-130.42400000000001"/>
    <n v="16"/>
    <x v="963"/>
    <n v="85866"/>
    <x v="0"/>
  </r>
  <r>
    <n v="18013"/>
    <s v="Not Specified"/>
    <n v="0.03"/>
    <n v="1.68"/>
    <x v="22"/>
    <x v="566"/>
    <x v="1"/>
    <x v="566"/>
    <x v="0"/>
    <x v="0"/>
    <x v="0"/>
    <x v="0"/>
    <x v="0"/>
    <x v="610"/>
    <n v="0.6"/>
    <n v="-5.2579545454545462"/>
    <s v="United States"/>
    <x v="3"/>
    <x v="24"/>
    <x v="451"/>
    <n v="27529"/>
    <x v="26"/>
    <x v="1"/>
    <x v="0"/>
    <d v="2015-06-05T00:00:00"/>
    <n v="-106.42100000000001"/>
    <n v="11"/>
    <x v="964"/>
    <n v="85866"/>
    <x v="0"/>
  </r>
  <r>
    <n v="18306"/>
    <s v="Medium"/>
    <n v="0.08"/>
    <n v="175.99"/>
    <x v="7"/>
    <x v="567"/>
    <x v="1"/>
    <x v="567"/>
    <x v="2"/>
    <x v="0"/>
    <x v="2"/>
    <x v="5"/>
    <x v="3"/>
    <x v="32"/>
    <n v="0.59"/>
    <n v="-11.085510717601625"/>
    <s v="United States"/>
    <x v="3"/>
    <x v="24"/>
    <x v="461"/>
    <n v="28052"/>
    <x v="145"/>
    <x v="5"/>
    <x v="0"/>
    <d v="2015-03-28T00:00:00"/>
    <n v="-16476.838"/>
    <n v="10"/>
    <x v="965"/>
    <n v="85865"/>
    <x v="0"/>
  </r>
  <r>
    <n v="18804"/>
    <s v="Low"/>
    <n v="0.04"/>
    <n v="35.44"/>
    <x v="3"/>
    <x v="567"/>
    <x v="1"/>
    <x v="567"/>
    <x v="2"/>
    <x v="0"/>
    <x v="0"/>
    <x v="7"/>
    <x v="3"/>
    <x v="611"/>
    <n v="0.38"/>
    <n v="-0.26651036282183826"/>
    <s v="United States"/>
    <x v="3"/>
    <x v="24"/>
    <x v="461"/>
    <n v="28052"/>
    <x v="110"/>
    <x v="1"/>
    <x v="0"/>
    <d v="2015-06-21T00:00:00"/>
    <n v="-108.27250000000001"/>
    <n v="11"/>
    <x v="966"/>
    <n v="85868"/>
    <x v="0"/>
  </r>
  <r>
    <n v="22593"/>
    <s v="High"/>
    <n v="0.09"/>
    <n v="349.45"/>
    <x v="236"/>
    <x v="568"/>
    <x v="0"/>
    <x v="568"/>
    <x v="1"/>
    <x v="0"/>
    <x v="1"/>
    <x v="11"/>
    <x v="1"/>
    <x v="356"/>
    <m/>
    <n v="-1.5551263750104962E-2"/>
    <s v="United States"/>
    <x v="3"/>
    <x v="24"/>
    <x v="462"/>
    <n v="27534"/>
    <x v="32"/>
    <x v="3"/>
    <x v="0"/>
    <d v="2015-05-04T00:00:00"/>
    <n v="-90.74799999999999"/>
    <n v="17"/>
    <x v="967"/>
    <n v="85867"/>
    <x v="0"/>
  </r>
  <r>
    <n v="20591"/>
    <s v="Medium"/>
    <n v="0"/>
    <n v="55.99"/>
    <x v="10"/>
    <x v="569"/>
    <x v="0"/>
    <x v="569"/>
    <x v="2"/>
    <x v="3"/>
    <x v="2"/>
    <x v="5"/>
    <x v="2"/>
    <x v="612"/>
    <n v="0.83"/>
    <n v="-2.323571593090211"/>
    <s v="United States"/>
    <x v="2"/>
    <x v="7"/>
    <x v="430"/>
    <n v="77546"/>
    <x v="6"/>
    <x v="2"/>
    <x v="0"/>
    <d v="2015-02-14T00:00:00"/>
    <n v="-121.05807999999999"/>
    <n v="1"/>
    <x v="968"/>
    <n v="91025"/>
    <x v="0"/>
  </r>
  <r>
    <n v="2571"/>
    <s v="Not Specified"/>
    <n v="0.02"/>
    <n v="4.13"/>
    <x v="219"/>
    <x v="570"/>
    <x v="1"/>
    <x v="570"/>
    <x v="2"/>
    <x v="1"/>
    <x v="0"/>
    <x v="9"/>
    <x v="3"/>
    <x v="613"/>
    <n v="0.39"/>
    <n v="-1.127904948768258"/>
    <s v="United States"/>
    <x v="3"/>
    <x v="29"/>
    <x v="135"/>
    <n v="30305"/>
    <x v="85"/>
    <x v="0"/>
    <x v="0"/>
    <d v="2015-01-10T00:00:00"/>
    <n v="-51.736999999999995"/>
    <n v="9"/>
    <x v="969"/>
    <n v="18561"/>
    <x v="0"/>
  </r>
  <r>
    <n v="1863"/>
    <s v="Low"/>
    <n v="0.04"/>
    <n v="60.65"/>
    <x v="363"/>
    <x v="570"/>
    <x v="1"/>
    <x v="570"/>
    <x v="2"/>
    <x v="1"/>
    <x v="1"/>
    <x v="2"/>
    <x v="4"/>
    <x v="614"/>
    <n v="0.64"/>
    <n v="0.45373797562020479"/>
    <s v="United States"/>
    <x v="3"/>
    <x v="29"/>
    <x v="135"/>
    <n v="30305"/>
    <x v="79"/>
    <x v="2"/>
    <x v="0"/>
    <d v="2015-02-16T00:00:00"/>
    <n v="116.50629999999998"/>
    <n v="4"/>
    <x v="970"/>
    <n v="13408"/>
    <x v="0"/>
  </r>
  <r>
    <n v="1692"/>
    <s v="High"/>
    <n v="0.04"/>
    <n v="124.49"/>
    <x v="117"/>
    <x v="570"/>
    <x v="1"/>
    <x v="570"/>
    <x v="1"/>
    <x v="3"/>
    <x v="1"/>
    <x v="11"/>
    <x v="5"/>
    <x v="156"/>
    <n v="0.63"/>
    <n v="-0.40862231355848272"/>
    <s v="United States"/>
    <x v="3"/>
    <x v="29"/>
    <x v="135"/>
    <n v="30305"/>
    <x v="20"/>
    <x v="1"/>
    <x v="0"/>
    <d v="2015-06-14T00:00:00"/>
    <n v="-247.55157000000003"/>
    <n v="4"/>
    <x v="971"/>
    <n v="12224"/>
    <x v="0"/>
  </r>
  <r>
    <n v="1693"/>
    <s v="High"/>
    <n v="0.1"/>
    <n v="35.99"/>
    <x v="104"/>
    <x v="570"/>
    <x v="1"/>
    <x v="570"/>
    <x v="2"/>
    <x v="3"/>
    <x v="2"/>
    <x v="5"/>
    <x v="0"/>
    <x v="615"/>
    <n v="0.82"/>
    <n v="-0.17667892925430212"/>
    <s v="United States"/>
    <x v="3"/>
    <x v="29"/>
    <x v="135"/>
    <n v="30305"/>
    <x v="20"/>
    <x v="1"/>
    <x v="0"/>
    <d v="2015-06-12T00:00:00"/>
    <n v="-277.20924000000002"/>
    <n v="54"/>
    <x v="972"/>
    <n v="12224"/>
    <x v="0"/>
  </r>
  <r>
    <n v="19692"/>
    <s v="High"/>
    <n v="0.04"/>
    <n v="124.49"/>
    <x v="117"/>
    <x v="571"/>
    <x v="0"/>
    <x v="571"/>
    <x v="1"/>
    <x v="3"/>
    <x v="1"/>
    <x v="11"/>
    <x v="5"/>
    <x v="156"/>
    <n v="0.63"/>
    <n v="-0.6144493595668824"/>
    <s v="United States"/>
    <x v="2"/>
    <x v="23"/>
    <x v="463"/>
    <n v="73703"/>
    <x v="20"/>
    <x v="1"/>
    <x v="0"/>
    <d v="2015-06-14T00:00:00"/>
    <n v="-93.06450000000001"/>
    <n v="1"/>
    <x v="973"/>
    <n v="87245"/>
    <x v="0"/>
  </r>
  <r>
    <n v="20571"/>
    <s v="Not Specified"/>
    <n v="0.02"/>
    <n v="4.13"/>
    <x v="219"/>
    <x v="572"/>
    <x v="1"/>
    <x v="572"/>
    <x v="2"/>
    <x v="1"/>
    <x v="0"/>
    <x v="9"/>
    <x v="3"/>
    <x v="613"/>
    <n v="0.39"/>
    <n v="-4.7336604514229634"/>
    <s v="United States"/>
    <x v="2"/>
    <x v="23"/>
    <x v="464"/>
    <n v="73505"/>
    <x v="85"/>
    <x v="0"/>
    <x v="0"/>
    <d v="2015-01-10T00:00:00"/>
    <n v="-48.235999999999997"/>
    <n v="2"/>
    <x v="974"/>
    <n v="87243"/>
    <x v="0"/>
  </r>
  <r>
    <n v="19863"/>
    <s v="Low"/>
    <n v="0.04"/>
    <n v="60.65"/>
    <x v="363"/>
    <x v="572"/>
    <x v="1"/>
    <x v="572"/>
    <x v="2"/>
    <x v="1"/>
    <x v="1"/>
    <x v="2"/>
    <x v="4"/>
    <x v="614"/>
    <n v="0.64"/>
    <n v="0.69"/>
    <s v="United States"/>
    <x v="2"/>
    <x v="23"/>
    <x v="464"/>
    <n v="73505"/>
    <x v="79"/>
    <x v="2"/>
    <x v="0"/>
    <d v="2015-02-16T00:00:00"/>
    <n v="44.291099999999993"/>
    <n v="1"/>
    <x v="975"/>
    <n v="87244"/>
    <x v="0"/>
  </r>
  <r>
    <n v="19477"/>
    <s v="Low"/>
    <n v="0.04"/>
    <n v="8.5"/>
    <x v="45"/>
    <x v="573"/>
    <x v="1"/>
    <x v="573"/>
    <x v="2"/>
    <x v="3"/>
    <x v="2"/>
    <x v="13"/>
    <x v="2"/>
    <x v="302"/>
    <n v="0.49"/>
    <n v="0.36497596356582612"/>
    <s v="United States"/>
    <x v="0"/>
    <x v="1"/>
    <x v="465"/>
    <n v="90503"/>
    <x v="139"/>
    <x v="2"/>
    <x v="0"/>
    <d v="2015-02-28T00:00:00"/>
    <n v="43.275199999999998"/>
    <n v="14"/>
    <x v="976"/>
    <n v="90178"/>
    <x v="0"/>
  </r>
  <r>
    <n v="19478"/>
    <s v="Low"/>
    <n v="0.1"/>
    <n v="15.99"/>
    <x v="364"/>
    <x v="573"/>
    <x v="1"/>
    <x v="573"/>
    <x v="2"/>
    <x v="3"/>
    <x v="2"/>
    <x v="6"/>
    <x v="3"/>
    <x v="616"/>
    <n v="0.49"/>
    <n v="-0.4557017742544357"/>
    <s v="United States"/>
    <x v="0"/>
    <x v="1"/>
    <x v="465"/>
    <n v="90503"/>
    <x v="139"/>
    <x v="2"/>
    <x v="0"/>
    <d v="2015-02-27T00:00:00"/>
    <n v="-36.214620000000004"/>
    <n v="5"/>
    <x v="977"/>
    <n v="90178"/>
    <x v="0"/>
  </r>
  <r>
    <n v="19479"/>
    <s v="Low"/>
    <n v="0.09"/>
    <n v="95.99"/>
    <x v="20"/>
    <x v="573"/>
    <x v="1"/>
    <x v="573"/>
    <x v="2"/>
    <x v="3"/>
    <x v="2"/>
    <x v="5"/>
    <x v="3"/>
    <x v="617"/>
    <n v="0.56999999999999995"/>
    <n v="1.1211835225098842E-2"/>
    <s v="United States"/>
    <x v="0"/>
    <x v="1"/>
    <x v="465"/>
    <n v="90503"/>
    <x v="139"/>
    <x v="2"/>
    <x v="0"/>
    <d v="2015-03-03T00:00:00"/>
    <n v="7.032960000000001"/>
    <n v="8"/>
    <x v="978"/>
    <n v="90178"/>
    <x v="0"/>
  </r>
  <r>
    <n v="25920"/>
    <s v="High"/>
    <n v="0"/>
    <n v="115.99"/>
    <x v="78"/>
    <x v="574"/>
    <x v="1"/>
    <x v="574"/>
    <x v="2"/>
    <x v="3"/>
    <x v="2"/>
    <x v="5"/>
    <x v="3"/>
    <x v="618"/>
    <n v="0.57999999999999996"/>
    <n v="-1.4453387566570726E-2"/>
    <s v="United States"/>
    <x v="3"/>
    <x v="26"/>
    <x v="466"/>
    <n v="34698"/>
    <x v="46"/>
    <x v="0"/>
    <x v="0"/>
    <d v="2015-01-22T00:00:00"/>
    <n v="-16.772000000000002"/>
    <n v="11"/>
    <x v="979"/>
    <n v="89775"/>
    <x v="0"/>
  </r>
  <r>
    <n v="25608"/>
    <s v="High"/>
    <n v="0.06"/>
    <n v="19.98"/>
    <x v="365"/>
    <x v="574"/>
    <x v="1"/>
    <x v="574"/>
    <x v="2"/>
    <x v="3"/>
    <x v="1"/>
    <x v="2"/>
    <x v="3"/>
    <x v="619"/>
    <n v="0.49"/>
    <n v="4.9741433684821512"/>
    <s v="United States"/>
    <x v="3"/>
    <x v="26"/>
    <x v="466"/>
    <n v="34698"/>
    <x v="151"/>
    <x v="5"/>
    <x v="0"/>
    <d v="2015-03-03T00:00:00"/>
    <n v="514.17719999999997"/>
    <n v="5"/>
    <x v="980"/>
    <n v="89776"/>
    <x v="0"/>
  </r>
  <r>
    <n v="25609"/>
    <s v="High"/>
    <n v="0.08"/>
    <n v="1.76"/>
    <x v="27"/>
    <x v="574"/>
    <x v="1"/>
    <x v="574"/>
    <x v="2"/>
    <x v="3"/>
    <x v="1"/>
    <x v="2"/>
    <x v="3"/>
    <x v="620"/>
    <n v="0.41"/>
    <n v="5.8591745400298354"/>
    <s v="United States"/>
    <x v="3"/>
    <x v="26"/>
    <x v="466"/>
    <n v="34698"/>
    <x v="151"/>
    <x v="5"/>
    <x v="0"/>
    <d v="2015-03-02T00:00:00"/>
    <n v="235.65599999999998"/>
    <n v="23"/>
    <x v="981"/>
    <n v="89776"/>
    <x v="0"/>
  </r>
  <r>
    <n v="25054"/>
    <s v="Not Specified"/>
    <n v="0"/>
    <n v="5.77"/>
    <x v="299"/>
    <x v="575"/>
    <x v="0"/>
    <x v="575"/>
    <x v="2"/>
    <x v="3"/>
    <x v="0"/>
    <x v="8"/>
    <x v="3"/>
    <x v="621"/>
    <n v="0.35"/>
    <n v="6.7863818424566152E-2"/>
    <s v="United States"/>
    <x v="2"/>
    <x v="33"/>
    <x v="467"/>
    <n v="63141"/>
    <x v="82"/>
    <x v="3"/>
    <x v="0"/>
    <d v="2015-05-05T00:00:00"/>
    <n v="3.5581000000000031"/>
    <n v="8"/>
    <x v="982"/>
    <n v="89777"/>
    <x v="0"/>
  </r>
  <r>
    <n v="20636"/>
    <s v="Critical"/>
    <n v="0.01"/>
    <n v="50.98"/>
    <x v="150"/>
    <x v="576"/>
    <x v="0"/>
    <x v="576"/>
    <x v="2"/>
    <x v="1"/>
    <x v="2"/>
    <x v="13"/>
    <x v="3"/>
    <x v="338"/>
    <n v="0.73"/>
    <n v="6.5238426859216356E-3"/>
    <s v="United States"/>
    <x v="3"/>
    <x v="29"/>
    <x v="450"/>
    <n v="30265"/>
    <x v="173"/>
    <x v="5"/>
    <x v="0"/>
    <d v="2015-03-27T00:00:00"/>
    <n v="5.3396999999999997"/>
    <n v="16"/>
    <x v="983"/>
    <n v="89211"/>
    <x v="0"/>
  </r>
  <r>
    <n v="24894"/>
    <s v="Medium"/>
    <n v="7.0000000000000007E-2"/>
    <n v="60.98"/>
    <x v="164"/>
    <x v="577"/>
    <x v="0"/>
    <x v="577"/>
    <x v="2"/>
    <x v="1"/>
    <x v="0"/>
    <x v="15"/>
    <x v="6"/>
    <x v="557"/>
    <n v="0.59"/>
    <n v="-1.9696467318428943"/>
    <s v="United States"/>
    <x v="2"/>
    <x v="12"/>
    <x v="418"/>
    <n v="61032"/>
    <x v="127"/>
    <x v="5"/>
    <x v="0"/>
    <d v="2015-03-07T00:00:00"/>
    <n v="-807.89"/>
    <n v="7"/>
    <x v="984"/>
    <n v="89106"/>
    <x v="0"/>
  </r>
  <r>
    <n v="19826"/>
    <s v="Low"/>
    <n v="0.09"/>
    <n v="12.95"/>
    <x v="145"/>
    <x v="578"/>
    <x v="0"/>
    <x v="578"/>
    <x v="2"/>
    <x v="3"/>
    <x v="0"/>
    <x v="8"/>
    <x v="3"/>
    <x v="532"/>
    <n v="0.4"/>
    <n v="0.45964142613341247"/>
    <s v="United States"/>
    <x v="2"/>
    <x v="38"/>
    <x v="468"/>
    <n v="46614"/>
    <x v="110"/>
    <x v="1"/>
    <x v="0"/>
    <d v="2015-06-21T00:00:00"/>
    <n v="123.89175"/>
    <n v="21"/>
    <x v="985"/>
    <n v="89944"/>
    <x v="0"/>
  </r>
  <r>
    <n v="20278"/>
    <s v="Not Specified"/>
    <n v="0.08"/>
    <n v="5.78"/>
    <x v="157"/>
    <x v="579"/>
    <x v="0"/>
    <x v="579"/>
    <x v="2"/>
    <x v="3"/>
    <x v="0"/>
    <x v="7"/>
    <x v="3"/>
    <x v="221"/>
    <n v="0.36"/>
    <n v="-0.50575208782959569"/>
    <s v="United States"/>
    <x v="2"/>
    <x v="38"/>
    <x v="469"/>
    <n v="47802"/>
    <x v="128"/>
    <x v="2"/>
    <x v="0"/>
    <d v="2015-02-05T00:00:00"/>
    <n v="-53.898000000000003"/>
    <n v="19"/>
    <x v="986"/>
    <n v="89941"/>
    <x v="0"/>
  </r>
  <r>
    <n v="20391"/>
    <s v="Low"/>
    <n v="7.0000000000000007E-2"/>
    <n v="5.43"/>
    <x v="155"/>
    <x v="580"/>
    <x v="1"/>
    <x v="580"/>
    <x v="2"/>
    <x v="3"/>
    <x v="0"/>
    <x v="7"/>
    <x v="0"/>
    <x v="217"/>
    <n v="0.36"/>
    <n v="0.69"/>
    <s v="United States"/>
    <x v="2"/>
    <x v="38"/>
    <x v="470"/>
    <n v="46383"/>
    <x v="126"/>
    <x v="4"/>
    <x v="0"/>
    <d v="2015-04-26T00:00:00"/>
    <n v="26.502899999999997"/>
    <n v="7"/>
    <x v="987"/>
    <n v="89939"/>
    <x v="0"/>
  </r>
  <r>
    <n v="21163"/>
    <s v="Low"/>
    <n v="0.02"/>
    <n v="10.06"/>
    <x v="67"/>
    <x v="580"/>
    <x v="1"/>
    <x v="580"/>
    <x v="2"/>
    <x v="3"/>
    <x v="0"/>
    <x v="7"/>
    <x v="0"/>
    <x v="85"/>
    <n v="0.39"/>
    <n v="0.69"/>
    <s v="United States"/>
    <x v="2"/>
    <x v="38"/>
    <x v="470"/>
    <n v="46383"/>
    <x v="35"/>
    <x v="0"/>
    <x v="0"/>
    <d v="2015-01-08T00:00:00"/>
    <n v="90.624600000000001"/>
    <n v="13"/>
    <x v="988"/>
    <n v="89940"/>
    <x v="0"/>
  </r>
  <r>
    <n v="20600"/>
    <s v="Not Specified"/>
    <n v="0.03"/>
    <n v="19.989999999999998"/>
    <x v="130"/>
    <x v="580"/>
    <x v="1"/>
    <x v="580"/>
    <x v="2"/>
    <x v="0"/>
    <x v="1"/>
    <x v="2"/>
    <x v="6"/>
    <x v="172"/>
    <n v="0.6"/>
    <n v="-8.2971265053058282E-2"/>
    <s v="United States"/>
    <x v="2"/>
    <x v="38"/>
    <x v="470"/>
    <n v="46383"/>
    <x v="57"/>
    <x v="4"/>
    <x v="0"/>
    <d v="2015-04-03T00:00:00"/>
    <n v="-20.876399999999997"/>
    <n v="12"/>
    <x v="989"/>
    <n v="89942"/>
    <x v="0"/>
  </r>
  <r>
    <n v="25498"/>
    <s v="High"/>
    <n v="0.06"/>
    <n v="13.99"/>
    <x v="310"/>
    <x v="581"/>
    <x v="1"/>
    <x v="581"/>
    <x v="2"/>
    <x v="3"/>
    <x v="2"/>
    <x v="6"/>
    <x v="4"/>
    <x v="490"/>
    <n v="0.39"/>
    <n v="2.2512031667766247E-2"/>
    <s v="United States"/>
    <x v="2"/>
    <x v="38"/>
    <x v="471"/>
    <n v="47906"/>
    <x v="16"/>
    <x v="3"/>
    <x v="0"/>
    <d v="2015-05-12T00:00:00"/>
    <n v="6.4832400000000021"/>
    <n v="21"/>
    <x v="990"/>
    <n v="89943"/>
    <x v="0"/>
  </r>
  <r>
    <n v="25499"/>
    <s v="High"/>
    <n v="0.06"/>
    <n v="15.04"/>
    <x v="166"/>
    <x v="581"/>
    <x v="1"/>
    <x v="581"/>
    <x v="2"/>
    <x v="3"/>
    <x v="0"/>
    <x v="7"/>
    <x v="0"/>
    <x v="231"/>
    <n v="0.39"/>
    <n v="4.9765258215962449E-2"/>
    <s v="United States"/>
    <x v="2"/>
    <x v="38"/>
    <x v="471"/>
    <n v="47906"/>
    <x v="16"/>
    <x v="3"/>
    <x v="0"/>
    <d v="2015-05-10T00:00:00"/>
    <n v="2.3320000000000003"/>
    <n v="3"/>
    <x v="991"/>
    <n v="89943"/>
    <x v="0"/>
  </r>
  <r>
    <n v="19237"/>
    <s v="High"/>
    <n v="0"/>
    <n v="55.48"/>
    <x v="14"/>
    <x v="582"/>
    <x v="1"/>
    <x v="582"/>
    <x v="2"/>
    <x v="0"/>
    <x v="0"/>
    <x v="7"/>
    <x v="3"/>
    <x v="14"/>
    <n v="0.37"/>
    <n v="0.69"/>
    <s v="United States"/>
    <x v="0"/>
    <x v="1"/>
    <x v="472"/>
    <n v="94070"/>
    <x v="20"/>
    <x v="1"/>
    <x v="0"/>
    <d v="2015-06-14T00:00:00"/>
    <n v="454.44779999999997"/>
    <n v="11"/>
    <x v="992"/>
    <n v="89857"/>
    <x v="0"/>
  </r>
  <r>
    <n v="19419"/>
    <s v="Low"/>
    <n v="0.03"/>
    <n v="5.08"/>
    <x v="366"/>
    <x v="582"/>
    <x v="1"/>
    <x v="582"/>
    <x v="2"/>
    <x v="1"/>
    <x v="1"/>
    <x v="2"/>
    <x v="0"/>
    <x v="622"/>
    <n v="0.51"/>
    <n v="0.69"/>
    <s v="United States"/>
    <x v="0"/>
    <x v="1"/>
    <x v="472"/>
    <n v="94070"/>
    <x v="0"/>
    <x v="0"/>
    <x v="0"/>
    <d v="2015-01-12T00:00:00"/>
    <n v="15.1524"/>
    <n v="4"/>
    <x v="993"/>
    <n v="89858"/>
    <x v="0"/>
  </r>
  <r>
    <n v="21283"/>
    <s v="High"/>
    <n v="0.03"/>
    <n v="3.28"/>
    <x v="240"/>
    <x v="583"/>
    <x v="0"/>
    <x v="583"/>
    <x v="2"/>
    <x v="1"/>
    <x v="0"/>
    <x v="0"/>
    <x v="0"/>
    <x v="623"/>
    <n v="0.56000000000000005"/>
    <n v="-3.6937566137566136"/>
    <s v="United States"/>
    <x v="0"/>
    <x v="1"/>
    <x v="473"/>
    <n v="92672"/>
    <x v="61"/>
    <x v="0"/>
    <x v="0"/>
    <d v="2015-01-08T00:00:00"/>
    <n v="-90.755600000000001"/>
    <n v="7"/>
    <x v="994"/>
    <n v="89856"/>
    <x v="0"/>
  </r>
  <r>
    <n v="23966"/>
    <s v="Critical"/>
    <n v="0.04"/>
    <n v="205.99"/>
    <x v="20"/>
    <x v="584"/>
    <x v="0"/>
    <x v="584"/>
    <x v="2"/>
    <x v="3"/>
    <x v="2"/>
    <x v="5"/>
    <x v="3"/>
    <x v="20"/>
    <n v="0.56000000000000005"/>
    <n v="0.95285613715010964"/>
    <s v="United States"/>
    <x v="3"/>
    <x v="29"/>
    <x v="432"/>
    <n v="30188"/>
    <x v="72"/>
    <x v="0"/>
    <x v="0"/>
    <d v="2015-01-22T00:00:00"/>
    <n v="960.98400000000004"/>
    <n v="6"/>
    <x v="995"/>
    <n v="88256"/>
    <x v="0"/>
  </r>
  <r>
    <n v="21284"/>
    <s v="Critical"/>
    <n v="0.04"/>
    <n v="880.98"/>
    <x v="189"/>
    <x v="585"/>
    <x v="0"/>
    <x v="585"/>
    <x v="1"/>
    <x v="1"/>
    <x v="1"/>
    <x v="14"/>
    <x v="5"/>
    <x v="270"/>
    <n v="0.62"/>
    <n v="-1.9668045172121857"/>
    <s v="United States"/>
    <x v="2"/>
    <x v="12"/>
    <x v="474"/>
    <n v="61401"/>
    <x v="61"/>
    <x v="0"/>
    <x v="0"/>
    <d v="2015-01-07T00:00:00"/>
    <n v="-13706.464"/>
    <n v="8"/>
    <x v="996"/>
    <n v="87853"/>
    <x v="0"/>
  </r>
  <r>
    <n v="22986"/>
    <s v="Critical"/>
    <n v="0.04"/>
    <n v="3.68"/>
    <x v="208"/>
    <x v="586"/>
    <x v="0"/>
    <x v="586"/>
    <x v="2"/>
    <x v="0"/>
    <x v="0"/>
    <x v="12"/>
    <x v="0"/>
    <x v="300"/>
    <n v="0.83"/>
    <n v="7.2881036570598203"/>
    <s v="United States"/>
    <x v="3"/>
    <x v="26"/>
    <x v="466"/>
    <n v="34698"/>
    <x v="144"/>
    <x v="1"/>
    <x v="0"/>
    <d v="2015-06-02T00:00:00"/>
    <n v="300.92579999999998"/>
    <n v="11"/>
    <x v="997"/>
    <n v="91543"/>
    <x v="0"/>
  </r>
  <r>
    <n v="18901"/>
    <s v="Medium"/>
    <n v="0.01"/>
    <n v="8.1199999999999992"/>
    <x v="202"/>
    <x v="587"/>
    <x v="0"/>
    <x v="587"/>
    <x v="0"/>
    <x v="1"/>
    <x v="2"/>
    <x v="13"/>
    <x v="2"/>
    <x v="293"/>
    <n v="0.77"/>
    <n v="-0.45983754512635377"/>
    <s v="United States"/>
    <x v="1"/>
    <x v="36"/>
    <x v="475"/>
    <n v="26101"/>
    <x v="83"/>
    <x v="5"/>
    <x v="0"/>
    <d v="2015-03-18T00:00:00"/>
    <n v="-40.76"/>
    <n v="10"/>
    <x v="998"/>
    <n v="89251"/>
    <x v="0"/>
  </r>
  <r>
    <n v="21746"/>
    <s v="Not Specified"/>
    <n v="0.09"/>
    <n v="77.510000000000005"/>
    <x v="41"/>
    <x v="588"/>
    <x v="1"/>
    <x v="588"/>
    <x v="0"/>
    <x v="1"/>
    <x v="2"/>
    <x v="13"/>
    <x v="3"/>
    <x v="624"/>
    <n v="0.76"/>
    <n v="-0.75854952558168143"/>
    <s v="United States"/>
    <x v="3"/>
    <x v="37"/>
    <x v="476"/>
    <n v="38654"/>
    <x v="94"/>
    <x v="3"/>
    <x v="0"/>
    <d v="2015-05-25T00:00:00"/>
    <n v="-986.52399999999989"/>
    <n v="17"/>
    <x v="999"/>
    <n v="90524"/>
    <x v="0"/>
  </r>
  <r>
    <n v="21747"/>
    <s v="Not Specified"/>
    <n v="0"/>
    <n v="2.88"/>
    <x v="22"/>
    <x v="588"/>
    <x v="1"/>
    <x v="588"/>
    <x v="2"/>
    <x v="1"/>
    <x v="0"/>
    <x v="0"/>
    <x v="0"/>
    <x v="122"/>
    <n v="0.56000000000000005"/>
    <n v="-3.7221755123489224"/>
    <s v="United States"/>
    <x v="3"/>
    <x v="37"/>
    <x v="476"/>
    <n v="38654"/>
    <x v="94"/>
    <x v="3"/>
    <x v="0"/>
    <d v="2015-05-25T00:00:00"/>
    <n v="-141.666"/>
    <n v="13"/>
    <x v="1000"/>
    <n v="90524"/>
    <x v="0"/>
  </r>
  <r>
    <n v="24463"/>
    <s v="Medium"/>
    <n v="0.06"/>
    <n v="90.97"/>
    <x v="216"/>
    <x v="589"/>
    <x v="0"/>
    <x v="589"/>
    <x v="1"/>
    <x v="1"/>
    <x v="2"/>
    <x v="6"/>
    <x v="1"/>
    <x v="625"/>
    <n v="0.36"/>
    <n v="3.7467051885859033E-2"/>
    <s v="United States"/>
    <x v="3"/>
    <x v="37"/>
    <x v="477"/>
    <n v="39208"/>
    <x v="143"/>
    <x v="2"/>
    <x v="0"/>
    <d v="2015-02-12T00:00:00"/>
    <n v="47.334000000000003"/>
    <n v="14"/>
    <x v="1001"/>
    <n v="90525"/>
    <x v="0"/>
  </r>
  <r>
    <n v="22843"/>
    <s v="Low"/>
    <n v="0.01"/>
    <n v="10.48"/>
    <x v="367"/>
    <x v="590"/>
    <x v="0"/>
    <x v="590"/>
    <x v="2"/>
    <x v="3"/>
    <x v="0"/>
    <x v="0"/>
    <x v="2"/>
    <x v="626"/>
    <n v="0.6"/>
    <n v="0.2992469611621702"/>
    <s v="United States"/>
    <x v="2"/>
    <x v="22"/>
    <x v="20"/>
    <n v="48187"/>
    <x v="64"/>
    <x v="2"/>
    <x v="0"/>
    <d v="2015-02-07T00:00:00"/>
    <n v="60.561599999999999"/>
    <n v="19"/>
    <x v="1002"/>
    <n v="85990"/>
    <x v="0"/>
  </r>
  <r>
    <n v="24622"/>
    <s v="Not Specified"/>
    <n v="0.06"/>
    <n v="17.98"/>
    <x v="18"/>
    <x v="591"/>
    <x v="1"/>
    <x v="591"/>
    <x v="2"/>
    <x v="3"/>
    <x v="2"/>
    <x v="6"/>
    <x v="4"/>
    <x v="18"/>
    <n v="0.4"/>
    <n v="-0.83794054629301162"/>
    <s v="United States"/>
    <x v="2"/>
    <x v="22"/>
    <x v="478"/>
    <n v="48126"/>
    <x v="112"/>
    <x v="4"/>
    <x v="0"/>
    <d v="2015-04-17T00:00:00"/>
    <n v="-47.243088"/>
    <n v="3"/>
    <x v="1003"/>
    <n v="85991"/>
    <x v="0"/>
  </r>
  <r>
    <n v="24623"/>
    <s v="Not Specified"/>
    <n v="0.1"/>
    <n v="9.99"/>
    <x v="368"/>
    <x v="591"/>
    <x v="1"/>
    <x v="591"/>
    <x v="0"/>
    <x v="3"/>
    <x v="0"/>
    <x v="7"/>
    <x v="3"/>
    <x v="627"/>
    <n v="0.4"/>
    <n v="7.6840426424913968E-2"/>
    <s v="United States"/>
    <x v="2"/>
    <x v="22"/>
    <x v="478"/>
    <n v="48126"/>
    <x v="112"/>
    <x v="4"/>
    <x v="0"/>
    <d v="2015-04-18T00:00:00"/>
    <n v="9.1539999999999999"/>
    <n v="12"/>
    <x v="1004"/>
    <n v="85991"/>
    <x v="0"/>
  </r>
  <r>
    <n v="4843"/>
    <s v="Low"/>
    <n v="0.01"/>
    <n v="10.48"/>
    <x v="367"/>
    <x v="592"/>
    <x v="1"/>
    <x v="592"/>
    <x v="2"/>
    <x v="3"/>
    <x v="0"/>
    <x v="0"/>
    <x v="2"/>
    <x v="626"/>
    <n v="0.6"/>
    <n v="5.0549097602253221E-2"/>
    <s v="United States"/>
    <x v="1"/>
    <x v="4"/>
    <x v="8"/>
    <n v="10177"/>
    <x v="64"/>
    <x v="2"/>
    <x v="0"/>
    <d v="2015-02-07T00:00:00"/>
    <n v="40.92"/>
    <n v="76"/>
    <x v="1005"/>
    <n v="34435"/>
    <x v="0"/>
  </r>
  <r>
    <n v="6621"/>
    <s v="Not Specified"/>
    <n v="7.0000000000000007E-2"/>
    <n v="18.649999999999999"/>
    <x v="369"/>
    <x v="592"/>
    <x v="1"/>
    <x v="592"/>
    <x v="2"/>
    <x v="3"/>
    <x v="1"/>
    <x v="2"/>
    <x v="2"/>
    <x v="628"/>
    <n v="0.39"/>
    <n v="0.2326145050027966"/>
    <s v="United States"/>
    <x v="1"/>
    <x v="4"/>
    <x v="8"/>
    <n v="10177"/>
    <x v="112"/>
    <x v="4"/>
    <x v="0"/>
    <d v="2015-04-16T00:00:00"/>
    <n v="149.72"/>
    <n v="34"/>
    <x v="1006"/>
    <n v="47108"/>
    <x v="0"/>
  </r>
  <r>
    <n v="6622"/>
    <s v="Not Specified"/>
    <n v="0.06"/>
    <n v="17.98"/>
    <x v="18"/>
    <x v="592"/>
    <x v="1"/>
    <x v="592"/>
    <x v="2"/>
    <x v="3"/>
    <x v="2"/>
    <x v="6"/>
    <x v="4"/>
    <x v="18"/>
    <n v="0.4"/>
    <n v="-0.21485948180590234"/>
    <s v="United States"/>
    <x v="1"/>
    <x v="4"/>
    <x v="8"/>
    <n v="10177"/>
    <x v="112"/>
    <x v="4"/>
    <x v="0"/>
    <d v="2015-04-17T00:00:00"/>
    <n v="-52.492319999999999"/>
    <n v="13"/>
    <x v="1007"/>
    <n v="47108"/>
    <x v="0"/>
  </r>
  <r>
    <n v="6623"/>
    <s v="Not Specified"/>
    <n v="0.1"/>
    <n v="9.99"/>
    <x v="368"/>
    <x v="592"/>
    <x v="1"/>
    <x v="592"/>
    <x v="0"/>
    <x v="3"/>
    <x v="0"/>
    <x v="7"/>
    <x v="3"/>
    <x v="627"/>
    <n v="0.4"/>
    <n v="1.7060311200651549E-2"/>
    <s v="United States"/>
    <x v="1"/>
    <x v="4"/>
    <x v="8"/>
    <n v="10177"/>
    <x v="112"/>
    <x v="4"/>
    <x v="0"/>
    <d v="2015-04-18T00:00:00"/>
    <n v="7.9599999999999991"/>
    <n v="47"/>
    <x v="1008"/>
    <n v="47108"/>
    <x v="0"/>
  </r>
  <r>
    <n v="6624"/>
    <s v="Not Specified"/>
    <n v="0.08"/>
    <n v="175.99"/>
    <x v="20"/>
    <x v="592"/>
    <x v="1"/>
    <x v="592"/>
    <x v="0"/>
    <x v="3"/>
    <x v="2"/>
    <x v="5"/>
    <x v="3"/>
    <x v="44"/>
    <n v="0.56999999999999995"/>
    <n v="-0.20041245214324069"/>
    <s v="United States"/>
    <x v="1"/>
    <x v="4"/>
    <x v="8"/>
    <n v="10177"/>
    <x v="112"/>
    <x v="4"/>
    <x v="0"/>
    <d v="2015-04-16T00:00:00"/>
    <n v="-459.08280000000002"/>
    <n v="16"/>
    <x v="1009"/>
    <n v="47108"/>
    <x v="0"/>
  </r>
  <r>
    <n v="19596"/>
    <s v="Medium"/>
    <n v="0.1"/>
    <n v="52.99"/>
    <x v="3"/>
    <x v="593"/>
    <x v="1"/>
    <x v="593"/>
    <x v="0"/>
    <x v="0"/>
    <x v="0"/>
    <x v="10"/>
    <x v="3"/>
    <x v="629"/>
    <n v="0.81"/>
    <n v="-1.5319470363458634"/>
    <s v="United States"/>
    <x v="2"/>
    <x v="25"/>
    <x v="479"/>
    <n v="52722"/>
    <x v="106"/>
    <x v="4"/>
    <x v="0"/>
    <d v="2015-04-19T00:00:00"/>
    <n v="-517.16999999999996"/>
    <n v="7"/>
    <x v="1010"/>
    <n v="86958"/>
    <x v="0"/>
  </r>
  <r>
    <n v="18199"/>
    <s v="Medium"/>
    <n v="0"/>
    <n v="9.27"/>
    <x v="370"/>
    <x v="593"/>
    <x v="1"/>
    <x v="593"/>
    <x v="2"/>
    <x v="0"/>
    <x v="0"/>
    <x v="7"/>
    <x v="0"/>
    <x v="630"/>
    <n v="0.38"/>
    <n v="-0.71455399061032865"/>
    <s v="United States"/>
    <x v="2"/>
    <x v="25"/>
    <x v="479"/>
    <n v="52722"/>
    <x v="3"/>
    <x v="3"/>
    <x v="0"/>
    <d v="2015-05-14T00:00:00"/>
    <n v="-7.61"/>
    <n v="1"/>
    <x v="1011"/>
    <n v="86959"/>
    <x v="0"/>
  </r>
  <r>
    <n v="20551"/>
    <s v="Not Specified"/>
    <n v="0"/>
    <n v="5.98"/>
    <x v="146"/>
    <x v="594"/>
    <x v="1"/>
    <x v="594"/>
    <x v="2"/>
    <x v="0"/>
    <x v="0"/>
    <x v="0"/>
    <x v="0"/>
    <x v="631"/>
    <n v="0.6"/>
    <n v="0.69"/>
    <s v="United States"/>
    <x v="2"/>
    <x v="25"/>
    <x v="19"/>
    <n v="52601"/>
    <x v="153"/>
    <x v="2"/>
    <x v="0"/>
    <d v="2015-02-20T00:00:00"/>
    <n v="38.039699999999996"/>
    <n v="9"/>
    <x v="1012"/>
    <n v="86956"/>
    <x v="0"/>
  </r>
  <r>
    <n v="19597"/>
    <s v="Medium"/>
    <n v="7.0000000000000007E-2"/>
    <n v="100.98"/>
    <x v="371"/>
    <x v="594"/>
    <x v="1"/>
    <x v="594"/>
    <x v="1"/>
    <x v="0"/>
    <x v="1"/>
    <x v="14"/>
    <x v="5"/>
    <x v="632"/>
    <n v="0.78"/>
    <n v="-1.9963774846739737"/>
    <s v="United States"/>
    <x v="2"/>
    <x v="25"/>
    <x v="19"/>
    <n v="52601"/>
    <x v="106"/>
    <x v="4"/>
    <x v="0"/>
    <d v="2015-04-21T00:00:00"/>
    <n v="-429.86"/>
    <n v="2"/>
    <x v="1013"/>
    <n v="86958"/>
    <x v="0"/>
  </r>
  <r>
    <n v="19598"/>
    <s v="Medium"/>
    <n v="0.03"/>
    <n v="85.99"/>
    <x v="90"/>
    <x v="594"/>
    <x v="1"/>
    <x v="594"/>
    <x v="2"/>
    <x v="0"/>
    <x v="2"/>
    <x v="5"/>
    <x v="0"/>
    <x v="141"/>
    <n v="0.55000000000000004"/>
    <n v="0.69"/>
    <s v="United States"/>
    <x v="2"/>
    <x v="25"/>
    <x v="19"/>
    <n v="52601"/>
    <x v="106"/>
    <x v="4"/>
    <x v="0"/>
    <d v="2015-04-20T00:00:00"/>
    <n v="264.16649999999998"/>
    <n v="5"/>
    <x v="1014"/>
    <n v="86958"/>
    <x v="0"/>
  </r>
  <r>
    <n v="20553"/>
    <s v="Not Specified"/>
    <n v="0.02"/>
    <n v="5.98"/>
    <x v="253"/>
    <x v="595"/>
    <x v="1"/>
    <x v="595"/>
    <x v="2"/>
    <x v="0"/>
    <x v="0"/>
    <x v="7"/>
    <x v="3"/>
    <x v="381"/>
    <n v="0.36"/>
    <n v="-1.0517857142857143"/>
    <s v="United States"/>
    <x v="2"/>
    <x v="25"/>
    <x v="480"/>
    <n v="50613"/>
    <x v="153"/>
    <x v="2"/>
    <x v="0"/>
    <d v="2015-02-20T00:00:00"/>
    <n v="-47.12"/>
    <n v="7"/>
    <x v="1015"/>
    <n v="86956"/>
    <x v="0"/>
  </r>
  <r>
    <n v="21383"/>
    <s v="Low"/>
    <n v="0.05"/>
    <n v="7.1"/>
    <x v="162"/>
    <x v="595"/>
    <x v="1"/>
    <x v="595"/>
    <x v="2"/>
    <x v="0"/>
    <x v="0"/>
    <x v="8"/>
    <x v="3"/>
    <x v="227"/>
    <n v="0.39"/>
    <n v="-1.0025349044459848"/>
    <s v="United States"/>
    <x v="2"/>
    <x v="25"/>
    <x v="480"/>
    <n v="50613"/>
    <x v="61"/>
    <x v="0"/>
    <x v="0"/>
    <d v="2015-01-06T00:00:00"/>
    <n v="-101.24600000000001"/>
    <n v="14"/>
    <x v="1016"/>
    <n v="86960"/>
    <x v="0"/>
  </r>
  <r>
    <n v="21384"/>
    <s v="Low"/>
    <n v="0.04"/>
    <n v="20.95"/>
    <x v="41"/>
    <x v="595"/>
    <x v="1"/>
    <x v="595"/>
    <x v="2"/>
    <x v="0"/>
    <x v="2"/>
    <x v="13"/>
    <x v="3"/>
    <x v="560"/>
    <n v="0.6"/>
    <n v="-1.3233844854286921E-2"/>
    <s v="United States"/>
    <x v="2"/>
    <x v="25"/>
    <x v="480"/>
    <n v="50613"/>
    <x v="61"/>
    <x v="0"/>
    <x v="0"/>
    <d v="2015-01-11T00:00:00"/>
    <n v="-1.88"/>
    <n v="7"/>
    <x v="1017"/>
    <n v="86960"/>
    <x v="0"/>
  </r>
  <r>
    <n v="23430"/>
    <s v="Critical"/>
    <n v="0.01"/>
    <n v="10.64"/>
    <x v="210"/>
    <x v="596"/>
    <x v="1"/>
    <x v="596"/>
    <x v="0"/>
    <x v="0"/>
    <x v="1"/>
    <x v="2"/>
    <x v="3"/>
    <x v="304"/>
    <n v="0.56999999999999995"/>
    <n v="-0.19976076555023922"/>
    <s v="United States"/>
    <x v="2"/>
    <x v="25"/>
    <x v="481"/>
    <n v="52402"/>
    <x v="78"/>
    <x v="5"/>
    <x v="0"/>
    <d v="2015-03-27T00:00:00"/>
    <n v="-11.69"/>
    <n v="5"/>
    <x v="1018"/>
    <n v="86957"/>
    <x v="0"/>
  </r>
  <r>
    <n v="21385"/>
    <s v="Low"/>
    <n v="0.05"/>
    <n v="39.06"/>
    <x v="269"/>
    <x v="596"/>
    <x v="1"/>
    <x v="596"/>
    <x v="2"/>
    <x v="0"/>
    <x v="0"/>
    <x v="8"/>
    <x v="3"/>
    <x v="410"/>
    <n v="0.37"/>
    <n v="0.69"/>
    <s v="United States"/>
    <x v="2"/>
    <x v="25"/>
    <x v="481"/>
    <n v="52402"/>
    <x v="61"/>
    <x v="0"/>
    <x v="0"/>
    <d v="2015-01-13T00:00:00"/>
    <n v="250.98059999999998"/>
    <n v="9"/>
    <x v="1019"/>
    <n v="86960"/>
    <x v="0"/>
  </r>
  <r>
    <n v="21386"/>
    <s v="Low"/>
    <n v="0.04"/>
    <n v="3.52"/>
    <x v="372"/>
    <x v="596"/>
    <x v="1"/>
    <x v="596"/>
    <x v="2"/>
    <x v="0"/>
    <x v="0"/>
    <x v="8"/>
    <x v="3"/>
    <x v="633"/>
    <n v="0.38"/>
    <n v="-3.6254237288135593"/>
    <s v="United States"/>
    <x v="2"/>
    <x v="25"/>
    <x v="481"/>
    <n v="52402"/>
    <x v="61"/>
    <x v="0"/>
    <x v="0"/>
    <d v="2015-01-15T00:00:00"/>
    <n v="-57.753"/>
    <n v="4"/>
    <x v="1020"/>
    <n v="86960"/>
    <x v="0"/>
  </r>
  <r>
    <n v="21387"/>
    <s v="Low"/>
    <n v="0.02"/>
    <n v="15.51"/>
    <x v="172"/>
    <x v="596"/>
    <x v="1"/>
    <x v="596"/>
    <x v="2"/>
    <x v="0"/>
    <x v="0"/>
    <x v="10"/>
    <x v="3"/>
    <x v="242"/>
    <n v="0.59"/>
    <n v="-2.2542293233082704"/>
    <s v="United States"/>
    <x v="2"/>
    <x v="25"/>
    <x v="481"/>
    <n v="52402"/>
    <x v="61"/>
    <x v="0"/>
    <x v="0"/>
    <d v="2015-01-13T00:00:00"/>
    <n v="-47.97"/>
    <n v="1"/>
    <x v="1021"/>
    <n v="86960"/>
    <x v="0"/>
  </r>
  <r>
    <n v="23589"/>
    <s v="High"/>
    <n v="0.01"/>
    <n v="155.99"/>
    <x v="20"/>
    <x v="597"/>
    <x v="0"/>
    <x v="597"/>
    <x v="0"/>
    <x v="0"/>
    <x v="2"/>
    <x v="5"/>
    <x v="3"/>
    <x v="359"/>
    <n v="0.57999999999999996"/>
    <n v="-0.324162999570898"/>
    <s v="United States"/>
    <x v="0"/>
    <x v="1"/>
    <x v="49"/>
    <n v="94110"/>
    <x v="47"/>
    <x v="4"/>
    <x v="0"/>
    <d v="2015-04-20T00:00:00"/>
    <n v="-219.07908"/>
    <n v="5"/>
    <x v="1022"/>
    <n v="86600"/>
    <x v="0"/>
  </r>
  <r>
    <n v="23590"/>
    <s v="High"/>
    <n v="0.01"/>
    <n v="5.98"/>
    <x v="253"/>
    <x v="598"/>
    <x v="0"/>
    <x v="598"/>
    <x v="2"/>
    <x v="0"/>
    <x v="0"/>
    <x v="7"/>
    <x v="3"/>
    <x v="381"/>
    <n v="0.36"/>
    <n v="-0.6742285714285714"/>
    <s v="United States"/>
    <x v="0"/>
    <x v="1"/>
    <x v="1"/>
    <n v="91776"/>
    <x v="47"/>
    <x v="4"/>
    <x v="0"/>
    <d v="2015-04-21T00:00:00"/>
    <n v="-18.878399999999999"/>
    <n v="4"/>
    <x v="1023"/>
    <n v="86600"/>
    <x v="0"/>
  </r>
  <r>
    <n v="18141"/>
    <s v="Not Specified"/>
    <n v="7.0000000000000007E-2"/>
    <n v="40.98"/>
    <x v="139"/>
    <x v="599"/>
    <x v="0"/>
    <x v="599"/>
    <x v="2"/>
    <x v="1"/>
    <x v="0"/>
    <x v="8"/>
    <x v="3"/>
    <x v="385"/>
    <n v="0.36"/>
    <n v="0.69"/>
    <s v="United States"/>
    <x v="1"/>
    <x v="15"/>
    <x v="482"/>
    <n v="1469"/>
    <x v="25"/>
    <x v="5"/>
    <x v="0"/>
    <d v="2015-04-01T00:00:00"/>
    <n v="369.20519999999999"/>
    <n v="13"/>
    <x v="1024"/>
    <n v="86599"/>
    <x v="0"/>
  </r>
  <r>
    <n v="19139"/>
    <s v="High"/>
    <n v="0.09"/>
    <n v="35.99"/>
    <x v="226"/>
    <x v="600"/>
    <x v="1"/>
    <x v="600"/>
    <x v="2"/>
    <x v="3"/>
    <x v="2"/>
    <x v="5"/>
    <x v="3"/>
    <x v="337"/>
    <n v="0.55000000000000004"/>
    <n v="8.6884288985676447E-2"/>
    <s v="United States"/>
    <x v="3"/>
    <x v="43"/>
    <x v="483"/>
    <n v="36330"/>
    <x v="113"/>
    <x v="4"/>
    <x v="0"/>
    <d v="2015-04-03T00:00:00"/>
    <n v="19.350000000000001"/>
    <n v="8"/>
    <x v="1025"/>
    <n v="89697"/>
    <x v="0"/>
  </r>
  <r>
    <n v="19140"/>
    <s v="High"/>
    <n v="0.01"/>
    <n v="125.99"/>
    <x v="10"/>
    <x v="600"/>
    <x v="1"/>
    <x v="600"/>
    <x v="2"/>
    <x v="3"/>
    <x v="2"/>
    <x v="5"/>
    <x v="3"/>
    <x v="418"/>
    <n v="0.6"/>
    <n v="-4.3888717576637033"/>
    <s v="United States"/>
    <x v="3"/>
    <x v="43"/>
    <x v="483"/>
    <n v="36330"/>
    <x v="113"/>
    <x v="4"/>
    <x v="0"/>
    <d v="2015-04-02T00:00:00"/>
    <n v="-967.83399999999995"/>
    <n v="2"/>
    <x v="1026"/>
    <n v="89697"/>
    <x v="0"/>
  </r>
  <r>
    <n v="19141"/>
    <s v="Not Specified"/>
    <n v="0.06"/>
    <n v="6.48"/>
    <x v="209"/>
    <x v="601"/>
    <x v="0"/>
    <x v="601"/>
    <x v="0"/>
    <x v="1"/>
    <x v="0"/>
    <x v="7"/>
    <x v="3"/>
    <x v="339"/>
    <n v="0.37"/>
    <n v="-0.41630084869768802"/>
    <s v="United States"/>
    <x v="0"/>
    <x v="1"/>
    <x v="484"/>
    <n v="92008"/>
    <x v="91"/>
    <x v="5"/>
    <x v="0"/>
    <d v="2015-03-21T00:00:00"/>
    <n v="-28.45"/>
    <n v="10"/>
    <x v="1027"/>
    <n v="86847"/>
    <x v="0"/>
  </r>
  <r>
    <n v="19142"/>
    <s v="Not Specified"/>
    <n v="0.02"/>
    <n v="30.73"/>
    <x v="41"/>
    <x v="602"/>
    <x v="0"/>
    <x v="602"/>
    <x v="2"/>
    <x v="1"/>
    <x v="2"/>
    <x v="13"/>
    <x v="3"/>
    <x v="88"/>
    <n v="0.75"/>
    <n v="0.13936655049595956"/>
    <s v="United States"/>
    <x v="1"/>
    <x v="18"/>
    <x v="161"/>
    <n v="6478"/>
    <x v="91"/>
    <x v="5"/>
    <x v="0"/>
    <d v="2015-03-22T00:00:00"/>
    <n v="72.78"/>
    <n v="16"/>
    <x v="1028"/>
    <n v="86847"/>
    <x v="0"/>
  </r>
  <r>
    <n v="20036"/>
    <s v="Critical"/>
    <n v="0.09"/>
    <n v="5.98"/>
    <x v="25"/>
    <x v="603"/>
    <x v="0"/>
    <x v="603"/>
    <x v="2"/>
    <x v="1"/>
    <x v="0"/>
    <x v="8"/>
    <x v="3"/>
    <x v="370"/>
    <n v="0.39"/>
    <n v="0.47230988932524098"/>
    <s v="United States"/>
    <x v="1"/>
    <x v="15"/>
    <x v="485"/>
    <n v="1570"/>
    <x v="15"/>
    <x v="1"/>
    <x v="0"/>
    <d v="2015-06-17T00:00:00"/>
    <n v="13.2294"/>
    <n v="5"/>
    <x v="1029"/>
    <n v="86846"/>
    <x v="0"/>
  </r>
  <r>
    <n v="18879"/>
    <s v="Not Specified"/>
    <n v="0.08"/>
    <n v="8.09"/>
    <x v="34"/>
    <x v="604"/>
    <x v="0"/>
    <x v="604"/>
    <x v="2"/>
    <x v="3"/>
    <x v="1"/>
    <x v="2"/>
    <x v="3"/>
    <x v="38"/>
    <n v="0.49"/>
    <n v="-1.1054138145612944"/>
    <s v="United States"/>
    <x v="0"/>
    <x v="27"/>
    <x v="486"/>
    <n v="88310"/>
    <x v="32"/>
    <x v="3"/>
    <x v="0"/>
    <d v="2015-05-04T00:00:00"/>
    <n v="-88.82"/>
    <n v="10"/>
    <x v="1030"/>
    <n v="89209"/>
    <x v="0"/>
  </r>
  <r>
    <n v="19415"/>
    <s v="Medium"/>
    <n v="0.03"/>
    <n v="90.48"/>
    <x v="3"/>
    <x v="605"/>
    <x v="1"/>
    <x v="605"/>
    <x v="2"/>
    <x v="0"/>
    <x v="0"/>
    <x v="4"/>
    <x v="3"/>
    <x v="634"/>
    <n v="0.4"/>
    <n v="0.15401745410773396"/>
    <s v="United States"/>
    <x v="3"/>
    <x v="26"/>
    <x v="487"/>
    <n v="33403"/>
    <x v="60"/>
    <x v="0"/>
    <x v="0"/>
    <d v="2015-01-19T00:00:00"/>
    <n v="15.353999999999999"/>
    <n v="1"/>
    <x v="1031"/>
    <n v="90099"/>
    <x v="0"/>
  </r>
  <r>
    <n v="19416"/>
    <s v="Medium"/>
    <n v="0.06"/>
    <n v="22.84"/>
    <x v="373"/>
    <x v="605"/>
    <x v="1"/>
    <x v="605"/>
    <x v="2"/>
    <x v="0"/>
    <x v="0"/>
    <x v="7"/>
    <x v="3"/>
    <x v="635"/>
    <n v="0.39"/>
    <n v="-2.3471965374778669"/>
    <s v="United States"/>
    <x v="3"/>
    <x v="26"/>
    <x v="487"/>
    <n v="33403"/>
    <x v="60"/>
    <x v="0"/>
    <x v="0"/>
    <d v="2015-01-17T00:00:00"/>
    <n v="-357.92399999999998"/>
    <n v="7"/>
    <x v="1032"/>
    <n v="90099"/>
    <x v="0"/>
  </r>
  <r>
    <n v="20844"/>
    <s v="Critical"/>
    <n v="0.09"/>
    <n v="95.99"/>
    <x v="59"/>
    <x v="606"/>
    <x v="0"/>
    <x v="606"/>
    <x v="2"/>
    <x v="3"/>
    <x v="2"/>
    <x v="5"/>
    <x v="3"/>
    <x v="75"/>
    <n v="0.56000000000000005"/>
    <n v="0.10694310210444272"/>
    <s v="United States"/>
    <x v="3"/>
    <x v="8"/>
    <x v="488"/>
    <n v="23320"/>
    <x v="134"/>
    <x v="0"/>
    <x v="0"/>
    <d v="2015-01-31T00:00:00"/>
    <n v="34.302"/>
    <n v="4"/>
    <x v="1033"/>
    <n v="90899"/>
    <x v="0"/>
  </r>
  <r>
    <n v="18284"/>
    <s v="Not Specified"/>
    <n v="0.09"/>
    <n v="5.78"/>
    <x v="157"/>
    <x v="607"/>
    <x v="0"/>
    <x v="607"/>
    <x v="2"/>
    <x v="1"/>
    <x v="0"/>
    <x v="7"/>
    <x v="3"/>
    <x v="221"/>
    <n v="0.36"/>
    <n v="-0.70132158590308369"/>
    <s v="United States"/>
    <x v="1"/>
    <x v="2"/>
    <x v="489"/>
    <n v="7036"/>
    <x v="151"/>
    <x v="5"/>
    <x v="0"/>
    <d v="2015-03-03T00:00:00"/>
    <n v="-7.96"/>
    <n v="1"/>
    <x v="1034"/>
    <n v="87378"/>
    <x v="0"/>
  </r>
  <r>
    <n v="18283"/>
    <s v="Not Specified"/>
    <n v="0.05"/>
    <n v="535.64"/>
    <x v="69"/>
    <x v="608"/>
    <x v="0"/>
    <x v="608"/>
    <x v="1"/>
    <x v="1"/>
    <x v="2"/>
    <x v="6"/>
    <x v="1"/>
    <x v="636"/>
    <n v="0.59"/>
    <n v="0.62702764223015739"/>
    <s v="United States"/>
    <x v="1"/>
    <x v="31"/>
    <x v="490"/>
    <n v="2806"/>
    <x v="151"/>
    <x v="5"/>
    <x v="0"/>
    <d v="2015-03-03T00:00:00"/>
    <n v="4407.4399999999996"/>
    <n v="15"/>
    <x v="1035"/>
    <n v="87378"/>
    <x v="0"/>
  </r>
  <r>
    <n v="19918"/>
    <s v="Low"/>
    <n v="0.09"/>
    <n v="78.8"/>
    <x v="97"/>
    <x v="609"/>
    <x v="0"/>
    <x v="609"/>
    <x v="2"/>
    <x v="1"/>
    <x v="0"/>
    <x v="10"/>
    <x v="6"/>
    <x v="637"/>
    <n v="0.83"/>
    <n v="-0.9675632917366761"/>
    <s v="United States"/>
    <x v="1"/>
    <x v="10"/>
    <x v="457"/>
    <n v="45429"/>
    <x v="89"/>
    <x v="4"/>
    <x v="0"/>
    <d v="2015-04-21T00:00:00"/>
    <n v="-1025.0172"/>
    <n v="14"/>
    <x v="1036"/>
    <n v="90631"/>
    <x v="0"/>
  </r>
  <r>
    <n v="23886"/>
    <s v="Not Specified"/>
    <n v="0.03"/>
    <n v="320.64"/>
    <x v="374"/>
    <x v="610"/>
    <x v="0"/>
    <x v="610"/>
    <x v="1"/>
    <x v="1"/>
    <x v="1"/>
    <x v="11"/>
    <x v="5"/>
    <x v="638"/>
    <n v="0.66"/>
    <n v="0.19241641041254379"/>
    <s v="United States"/>
    <x v="1"/>
    <x v="10"/>
    <x v="491"/>
    <n v="45801"/>
    <x v="121"/>
    <x v="4"/>
    <x v="0"/>
    <d v="2015-04-07T00:00:00"/>
    <n v="429.75435600000003"/>
    <n v="7"/>
    <x v="1037"/>
    <n v="90630"/>
    <x v="0"/>
  </r>
  <r>
    <n v="22858"/>
    <s v="Low"/>
    <n v="0.03"/>
    <n v="180.98"/>
    <x v="56"/>
    <x v="611"/>
    <x v="0"/>
    <x v="611"/>
    <x v="1"/>
    <x v="3"/>
    <x v="1"/>
    <x v="1"/>
    <x v="1"/>
    <x v="68"/>
    <n v="0.59"/>
    <n v="0.63357447358222452"/>
    <s v="United States"/>
    <x v="2"/>
    <x v="33"/>
    <x v="492"/>
    <n v="63119"/>
    <x v="138"/>
    <x v="4"/>
    <x v="0"/>
    <d v="2015-04-30T00:00:00"/>
    <n v="588.54"/>
    <n v="5"/>
    <x v="1038"/>
    <n v="91262"/>
    <x v="0"/>
  </r>
  <r>
    <n v="23260"/>
    <s v="Critical"/>
    <n v="0"/>
    <n v="300.98"/>
    <x v="375"/>
    <x v="612"/>
    <x v="1"/>
    <x v="612"/>
    <x v="1"/>
    <x v="1"/>
    <x v="1"/>
    <x v="1"/>
    <x v="1"/>
    <x v="527"/>
    <n v="0.56000000000000005"/>
    <n v="0.69"/>
    <s v="United States"/>
    <x v="2"/>
    <x v="45"/>
    <x v="493"/>
    <n v="54915"/>
    <x v="152"/>
    <x v="2"/>
    <x v="0"/>
    <d v="2015-02-25T00:00:00"/>
    <n v="2653.2914999999998"/>
    <n v="12"/>
    <x v="1039"/>
    <n v="91261"/>
    <x v="0"/>
  </r>
  <r>
    <n v="23261"/>
    <s v="Critical"/>
    <n v="0.09"/>
    <n v="2.94"/>
    <x v="146"/>
    <x v="612"/>
    <x v="1"/>
    <x v="612"/>
    <x v="2"/>
    <x v="1"/>
    <x v="0"/>
    <x v="0"/>
    <x v="0"/>
    <x v="202"/>
    <n v="0.57999999999999996"/>
    <n v="-0.48806366047745359"/>
    <s v="United States"/>
    <x v="2"/>
    <x v="45"/>
    <x v="493"/>
    <n v="54915"/>
    <x v="152"/>
    <x v="2"/>
    <x v="0"/>
    <d v="2015-02-26T00:00:00"/>
    <n v="-1.84"/>
    <n v="1"/>
    <x v="1040"/>
    <n v="91261"/>
    <x v="0"/>
  </r>
  <r>
    <n v="23237"/>
    <s v="High"/>
    <n v="0.01"/>
    <n v="26.17"/>
    <x v="49"/>
    <x v="612"/>
    <x v="1"/>
    <x v="612"/>
    <x v="2"/>
    <x v="3"/>
    <x v="0"/>
    <x v="4"/>
    <x v="3"/>
    <x v="639"/>
    <n v="0.38"/>
    <n v="0.69"/>
    <s v="United States"/>
    <x v="2"/>
    <x v="45"/>
    <x v="493"/>
    <n v="54915"/>
    <x v="103"/>
    <x v="5"/>
    <x v="0"/>
    <d v="2015-03-19T00:00:00"/>
    <n v="237.04259999999999"/>
    <n v="13"/>
    <x v="1041"/>
    <n v="91263"/>
    <x v="0"/>
  </r>
  <r>
    <n v="19048"/>
    <s v="Low"/>
    <n v="7.0000000000000007E-2"/>
    <n v="172.99"/>
    <x v="3"/>
    <x v="613"/>
    <x v="0"/>
    <x v="613"/>
    <x v="2"/>
    <x v="0"/>
    <x v="0"/>
    <x v="8"/>
    <x v="3"/>
    <x v="640"/>
    <n v="0.39"/>
    <n v="0.69"/>
    <s v="United States"/>
    <x v="1"/>
    <x v="10"/>
    <x v="491"/>
    <n v="45801"/>
    <x v="28"/>
    <x v="3"/>
    <x v="0"/>
    <d v="2015-05-17T00:00:00"/>
    <n v="2502.6851999999999"/>
    <n v="22"/>
    <x v="1042"/>
    <n v="86500"/>
    <x v="0"/>
  </r>
  <r>
    <n v="19049"/>
    <s v="Low"/>
    <n v="0.09"/>
    <n v="7.64"/>
    <x v="49"/>
    <x v="614"/>
    <x v="0"/>
    <x v="614"/>
    <x v="2"/>
    <x v="0"/>
    <x v="0"/>
    <x v="4"/>
    <x v="3"/>
    <x v="448"/>
    <n v="0.36"/>
    <n v="8.249400479616309E-2"/>
    <s v="United States"/>
    <x v="1"/>
    <x v="10"/>
    <x v="494"/>
    <n v="44052"/>
    <x v="28"/>
    <x v="3"/>
    <x v="0"/>
    <d v="2015-05-26T00:00:00"/>
    <n v="0.68800000000000017"/>
    <n v="1"/>
    <x v="1043"/>
    <n v="86500"/>
    <x v="0"/>
  </r>
  <r>
    <n v="23812"/>
    <s v="Not Specified"/>
    <n v="0.02"/>
    <n v="29.17"/>
    <x v="135"/>
    <x v="615"/>
    <x v="0"/>
    <x v="615"/>
    <x v="2"/>
    <x v="1"/>
    <x v="0"/>
    <x v="8"/>
    <x v="3"/>
    <x v="178"/>
    <n v="0.37"/>
    <n v="0.58284902084649393"/>
    <s v="United States"/>
    <x v="3"/>
    <x v="29"/>
    <x v="495"/>
    <n v="30269"/>
    <x v="167"/>
    <x v="0"/>
    <x v="0"/>
    <d v="2015-01-02T00:00:00"/>
    <n v="36.905999999999999"/>
    <n v="2"/>
    <x v="1044"/>
    <n v="91371"/>
    <x v="0"/>
  </r>
  <r>
    <n v="18962"/>
    <s v="Critical"/>
    <n v="0.03"/>
    <n v="11.99"/>
    <x v="165"/>
    <x v="616"/>
    <x v="1"/>
    <x v="616"/>
    <x v="2"/>
    <x v="1"/>
    <x v="2"/>
    <x v="6"/>
    <x v="4"/>
    <x v="641"/>
    <n v="0.36"/>
    <n v="-2.5803846153846157"/>
    <s v="United States"/>
    <x v="3"/>
    <x v="40"/>
    <x v="496"/>
    <n v="72209"/>
    <x v="139"/>
    <x v="2"/>
    <x v="0"/>
    <d v="2015-02-28T00:00:00"/>
    <n v="-216.02980000000002"/>
    <n v="7"/>
    <x v="1045"/>
    <n v="85893"/>
    <x v="0"/>
  </r>
  <r>
    <n v="18016"/>
    <s v="High"/>
    <n v="0.01"/>
    <n v="125.99"/>
    <x v="20"/>
    <x v="616"/>
    <x v="1"/>
    <x v="616"/>
    <x v="2"/>
    <x v="1"/>
    <x v="2"/>
    <x v="5"/>
    <x v="3"/>
    <x v="307"/>
    <n v="0.55000000000000004"/>
    <n v="-4.4957684093965035E-2"/>
    <s v="United States"/>
    <x v="3"/>
    <x v="40"/>
    <x v="496"/>
    <n v="72209"/>
    <x v="125"/>
    <x v="4"/>
    <x v="0"/>
    <d v="2015-04-18T00:00:00"/>
    <n v="-45.471999999999994"/>
    <n v="9"/>
    <x v="1046"/>
    <n v="85895"/>
    <x v="0"/>
  </r>
  <r>
    <n v="21000"/>
    <s v="Medium"/>
    <n v="0.08"/>
    <n v="18.7"/>
    <x v="20"/>
    <x v="617"/>
    <x v="1"/>
    <x v="617"/>
    <x v="2"/>
    <x v="1"/>
    <x v="1"/>
    <x v="2"/>
    <x v="2"/>
    <x v="642"/>
    <n v="0.47"/>
    <n v="0.12203282159872951"/>
    <s v="United States"/>
    <x v="3"/>
    <x v="40"/>
    <x v="497"/>
    <n v="72113"/>
    <x v="12"/>
    <x v="5"/>
    <x v="0"/>
    <d v="2015-03-28T00:00:00"/>
    <n v="16.136400000000002"/>
    <n v="7"/>
    <x v="1047"/>
    <n v="85894"/>
    <x v="0"/>
  </r>
  <r>
    <n v="19967"/>
    <s v="High"/>
    <n v="0.08"/>
    <n v="22.23"/>
    <x v="376"/>
    <x v="617"/>
    <x v="1"/>
    <x v="617"/>
    <x v="2"/>
    <x v="1"/>
    <x v="1"/>
    <x v="2"/>
    <x v="2"/>
    <x v="643"/>
    <n v="0.52"/>
    <n v="-0.14077877620881471"/>
    <s v="United States"/>
    <x v="3"/>
    <x v="40"/>
    <x v="497"/>
    <n v="72113"/>
    <x v="151"/>
    <x v="5"/>
    <x v="0"/>
    <d v="2015-03-03T00:00:00"/>
    <n v="-29.61"/>
    <n v="10"/>
    <x v="1048"/>
    <n v="85897"/>
    <x v="0"/>
  </r>
  <r>
    <n v="22246"/>
    <s v="Low"/>
    <n v="0.1"/>
    <n v="10.44"/>
    <x v="377"/>
    <x v="618"/>
    <x v="0"/>
    <x v="618"/>
    <x v="0"/>
    <x v="1"/>
    <x v="0"/>
    <x v="8"/>
    <x v="3"/>
    <x v="644"/>
    <n v="0.39"/>
    <n v="0.74817900499880974"/>
    <s v="United States"/>
    <x v="3"/>
    <x v="40"/>
    <x v="498"/>
    <n v="72450"/>
    <x v="36"/>
    <x v="4"/>
    <x v="0"/>
    <d v="2015-04-11T00:00:00"/>
    <n v="125.72399999999999"/>
    <n v="17"/>
    <x v="622"/>
    <n v="85898"/>
    <x v="0"/>
  </r>
  <r>
    <n v="24971"/>
    <s v="High"/>
    <n v="0"/>
    <n v="195.99"/>
    <x v="20"/>
    <x v="619"/>
    <x v="0"/>
    <x v="619"/>
    <x v="2"/>
    <x v="1"/>
    <x v="2"/>
    <x v="5"/>
    <x v="3"/>
    <x v="258"/>
    <n v="0.6"/>
    <n v="0.13011450511365566"/>
    <s v="United States"/>
    <x v="3"/>
    <x v="40"/>
    <x v="499"/>
    <n v="71603"/>
    <x v="152"/>
    <x v="2"/>
    <x v="0"/>
    <d v="2015-02-25T00:00:00"/>
    <n v="114.88199999999999"/>
    <n v="5"/>
    <x v="1049"/>
    <n v="85896"/>
    <x v="0"/>
  </r>
  <r>
    <n v="21563"/>
    <s v="High"/>
    <n v="0.02"/>
    <n v="259.70999999999998"/>
    <x v="87"/>
    <x v="620"/>
    <x v="0"/>
    <x v="620"/>
    <x v="1"/>
    <x v="1"/>
    <x v="1"/>
    <x v="11"/>
    <x v="5"/>
    <x v="112"/>
    <n v="0.65"/>
    <n v="-8.2224055999772349E-3"/>
    <s v="United States"/>
    <x v="3"/>
    <x v="39"/>
    <x v="407"/>
    <n v="29611"/>
    <x v="92"/>
    <x v="2"/>
    <x v="0"/>
    <d v="2015-02-06T00:00:00"/>
    <n v="-14.448"/>
    <n v="8"/>
    <x v="1050"/>
    <n v="88579"/>
    <x v="0"/>
  </r>
  <r>
    <n v="22686"/>
    <s v="Not Specified"/>
    <n v="0.1"/>
    <n v="1889.99"/>
    <x v="3"/>
    <x v="621"/>
    <x v="0"/>
    <x v="621"/>
    <x v="2"/>
    <x v="1"/>
    <x v="0"/>
    <x v="8"/>
    <x v="3"/>
    <x v="645"/>
    <n v="0.36"/>
    <n v="-2.3821414973908758E-2"/>
    <s v="United States"/>
    <x v="3"/>
    <x v="39"/>
    <x v="500"/>
    <n v="29651"/>
    <x v="72"/>
    <x v="0"/>
    <x v="0"/>
    <d v="2015-01-21T00:00:00"/>
    <n v="-42.545999999999999"/>
    <n v="1"/>
    <x v="1051"/>
    <n v="88580"/>
    <x v="0"/>
  </r>
  <r>
    <n v="18159"/>
    <s v="Low"/>
    <n v="0.06"/>
    <n v="3.58"/>
    <x v="6"/>
    <x v="622"/>
    <x v="0"/>
    <x v="622"/>
    <x v="2"/>
    <x v="0"/>
    <x v="0"/>
    <x v="3"/>
    <x v="0"/>
    <x v="6"/>
    <n v="0.36"/>
    <n v="0.40276179516685851"/>
    <s v="United States"/>
    <x v="2"/>
    <x v="7"/>
    <x v="501"/>
    <n v="75043"/>
    <x v="47"/>
    <x v="4"/>
    <x v="0"/>
    <d v="2015-04-23T00:00:00"/>
    <n v="14"/>
    <n v="10"/>
    <x v="1052"/>
    <n v="86687"/>
    <x v="0"/>
  </r>
  <r>
    <n v="19697"/>
    <s v="Low"/>
    <n v="0.04"/>
    <n v="180.98"/>
    <x v="40"/>
    <x v="623"/>
    <x v="0"/>
    <x v="623"/>
    <x v="1"/>
    <x v="1"/>
    <x v="1"/>
    <x v="1"/>
    <x v="1"/>
    <x v="646"/>
    <n v="0.69"/>
    <n v="9.434345232796236E-2"/>
    <s v="United States"/>
    <x v="2"/>
    <x v="7"/>
    <x v="212"/>
    <n v="78626"/>
    <x v="155"/>
    <x v="3"/>
    <x v="0"/>
    <d v="2015-05-30T00:00:00"/>
    <n v="52.988000000000056"/>
    <n v="3"/>
    <x v="1053"/>
    <n v="86688"/>
    <x v="0"/>
  </r>
  <r>
    <n v="19780"/>
    <s v="Critical"/>
    <n v="0.01"/>
    <n v="42.98"/>
    <x v="107"/>
    <x v="624"/>
    <x v="1"/>
    <x v="624"/>
    <x v="0"/>
    <x v="0"/>
    <x v="0"/>
    <x v="15"/>
    <x v="3"/>
    <x v="647"/>
    <n v="0.56000000000000005"/>
    <n v="0.69"/>
    <s v="United States"/>
    <x v="2"/>
    <x v="7"/>
    <x v="502"/>
    <n v="75051"/>
    <x v="4"/>
    <x v="4"/>
    <x v="0"/>
    <d v="2015-04-10T00:00:00"/>
    <n v="285.47370000000001"/>
    <n v="9"/>
    <x v="1054"/>
    <n v="86686"/>
    <x v="0"/>
  </r>
  <r>
    <n v="19698"/>
    <s v="Low"/>
    <n v="0.06"/>
    <n v="3.25"/>
    <x v="164"/>
    <x v="624"/>
    <x v="1"/>
    <x v="624"/>
    <x v="2"/>
    <x v="1"/>
    <x v="0"/>
    <x v="15"/>
    <x v="6"/>
    <x v="648"/>
    <n v="0.56000000000000005"/>
    <n v="0.18899280575539584"/>
    <s v="United States"/>
    <x v="2"/>
    <x v="7"/>
    <x v="502"/>
    <n v="75051"/>
    <x v="155"/>
    <x v="3"/>
    <x v="0"/>
    <d v="2015-06-05T00:00:00"/>
    <n v="10.50800000000001"/>
    <n v="2"/>
    <x v="1055"/>
    <n v="86688"/>
    <x v="0"/>
  </r>
  <r>
    <n v="19699"/>
    <s v="Low"/>
    <n v="0.01"/>
    <n v="110.98"/>
    <x v="100"/>
    <x v="624"/>
    <x v="1"/>
    <x v="624"/>
    <x v="2"/>
    <x v="1"/>
    <x v="1"/>
    <x v="2"/>
    <x v="4"/>
    <x v="649"/>
    <n v="0.69"/>
    <n v="0.69"/>
    <s v="United States"/>
    <x v="2"/>
    <x v="7"/>
    <x v="502"/>
    <n v="75051"/>
    <x v="155"/>
    <x v="3"/>
    <x v="0"/>
    <d v="2015-06-04T00:00:00"/>
    <n v="1448.7309"/>
    <n v="19"/>
    <x v="1056"/>
    <n v="86688"/>
    <x v="0"/>
  </r>
  <r>
    <n v="19700"/>
    <s v="Low"/>
    <n v="0.05"/>
    <n v="3.95"/>
    <x v="167"/>
    <x v="624"/>
    <x v="1"/>
    <x v="624"/>
    <x v="0"/>
    <x v="1"/>
    <x v="0"/>
    <x v="3"/>
    <x v="0"/>
    <x v="485"/>
    <n v="0.53"/>
    <n v="1.0393374741200834E-2"/>
    <s v="United States"/>
    <x v="2"/>
    <x v="7"/>
    <x v="502"/>
    <n v="75051"/>
    <x v="155"/>
    <x v="3"/>
    <x v="0"/>
    <d v="2015-06-07T00:00:00"/>
    <n v="1.0040000000000004"/>
    <n v="23"/>
    <x v="1057"/>
    <n v="86688"/>
    <x v="0"/>
  </r>
  <r>
    <n v="23551"/>
    <s v="Medium"/>
    <n v="0.1"/>
    <n v="152.47999999999999"/>
    <x v="41"/>
    <x v="625"/>
    <x v="0"/>
    <x v="625"/>
    <x v="0"/>
    <x v="0"/>
    <x v="2"/>
    <x v="13"/>
    <x v="3"/>
    <x v="208"/>
    <n v="0.79"/>
    <n v="-0.93356862604582846"/>
    <s v="United States"/>
    <x v="2"/>
    <x v="13"/>
    <x v="503"/>
    <n v="66801"/>
    <x v="27"/>
    <x v="5"/>
    <x v="0"/>
    <d v="2015-03-23T00:00:00"/>
    <n v="-521.09"/>
    <n v="4"/>
    <x v="1058"/>
    <n v="88870"/>
    <x v="0"/>
  </r>
  <r>
    <n v="23550"/>
    <s v="Medium"/>
    <n v="0.08"/>
    <n v="6.84"/>
    <x v="357"/>
    <x v="626"/>
    <x v="1"/>
    <x v="626"/>
    <x v="2"/>
    <x v="0"/>
    <x v="0"/>
    <x v="12"/>
    <x v="2"/>
    <x v="597"/>
    <n v="0.57999999999999996"/>
    <n v="-3.514898688915375"/>
    <s v="United States"/>
    <x v="0"/>
    <x v="17"/>
    <x v="504"/>
    <n v="84020"/>
    <x v="27"/>
    <x v="5"/>
    <x v="0"/>
    <d v="2015-03-24T00:00:00"/>
    <n v="-29.49"/>
    <n v="1"/>
    <x v="1059"/>
    <n v="88870"/>
    <x v="0"/>
  </r>
  <r>
    <n v="25531"/>
    <s v="Low"/>
    <n v="0"/>
    <n v="78.650000000000006"/>
    <x v="100"/>
    <x v="626"/>
    <x v="1"/>
    <x v="626"/>
    <x v="2"/>
    <x v="0"/>
    <x v="0"/>
    <x v="15"/>
    <x v="4"/>
    <x v="650"/>
    <n v="0.52"/>
    <n v="0.69"/>
    <s v="United States"/>
    <x v="0"/>
    <x v="17"/>
    <x v="504"/>
    <n v="84020"/>
    <x v="47"/>
    <x v="4"/>
    <x v="0"/>
    <d v="2015-04-26T00:00:00"/>
    <n v="386.00669999999991"/>
    <n v="7"/>
    <x v="1060"/>
    <n v="88871"/>
    <x v="0"/>
  </r>
  <r>
    <n v="25532"/>
    <s v="Low"/>
    <n v="0.08"/>
    <n v="122.99"/>
    <x v="32"/>
    <x v="626"/>
    <x v="1"/>
    <x v="626"/>
    <x v="1"/>
    <x v="0"/>
    <x v="1"/>
    <x v="1"/>
    <x v="1"/>
    <x v="36"/>
    <n v="0.74"/>
    <n v="-1.5355029099398283"/>
    <s v="United States"/>
    <x v="0"/>
    <x v="17"/>
    <x v="504"/>
    <n v="84020"/>
    <x v="47"/>
    <x v="4"/>
    <x v="0"/>
    <d v="2015-04-24T00:00:00"/>
    <n v="-1867.97"/>
    <n v="10"/>
    <x v="1061"/>
    <n v="88871"/>
    <x v="0"/>
  </r>
  <r>
    <n v="20371"/>
    <s v="Medium"/>
    <n v="0.08"/>
    <n v="90.98"/>
    <x v="255"/>
    <x v="627"/>
    <x v="1"/>
    <x v="627"/>
    <x v="2"/>
    <x v="3"/>
    <x v="1"/>
    <x v="2"/>
    <x v="4"/>
    <x v="384"/>
    <n v="0.74"/>
    <n v="-1.8150096375524398"/>
    <s v="United States"/>
    <x v="1"/>
    <x v="19"/>
    <x v="505"/>
    <n v="15228"/>
    <x v="161"/>
    <x v="0"/>
    <x v="0"/>
    <d v="2015-01-28T00:00:00"/>
    <n v="-1920.9336000000001"/>
    <n v="12"/>
    <x v="1062"/>
    <n v="86331"/>
    <x v="0"/>
  </r>
  <r>
    <n v="20372"/>
    <s v="Medium"/>
    <n v="7.0000000000000007E-2"/>
    <n v="5.98"/>
    <x v="321"/>
    <x v="627"/>
    <x v="1"/>
    <x v="627"/>
    <x v="2"/>
    <x v="3"/>
    <x v="0"/>
    <x v="7"/>
    <x v="3"/>
    <x v="515"/>
    <n v="0.4"/>
    <n v="-2.0303222282905518"/>
    <s v="United States"/>
    <x v="1"/>
    <x v="19"/>
    <x v="505"/>
    <n v="15228"/>
    <x v="161"/>
    <x v="0"/>
    <x v="0"/>
    <d v="2015-01-28T00:00:00"/>
    <n v="-37.175200000000004"/>
    <n v="3"/>
    <x v="1063"/>
    <n v="86331"/>
    <x v="0"/>
  </r>
  <r>
    <n v="21762"/>
    <s v="Low"/>
    <n v="0.05"/>
    <n v="424.21"/>
    <x v="306"/>
    <x v="628"/>
    <x v="0"/>
    <x v="628"/>
    <x v="1"/>
    <x v="2"/>
    <x v="1"/>
    <x v="11"/>
    <x v="5"/>
    <x v="651"/>
    <n v="0.67"/>
    <n v="-4.3240787644725061E-2"/>
    <s v="United States"/>
    <x v="0"/>
    <x v="5"/>
    <x v="506"/>
    <n v="59715"/>
    <x v="108"/>
    <x v="2"/>
    <x v="0"/>
    <d v="2015-02-05T00:00:00"/>
    <n v="-213.40280000000001"/>
    <n v="12"/>
    <x v="1064"/>
    <n v="90415"/>
    <x v="0"/>
  </r>
  <r>
    <n v="24793"/>
    <s v="Not Specified"/>
    <n v="0.01"/>
    <n v="6.68"/>
    <x v="378"/>
    <x v="629"/>
    <x v="0"/>
    <x v="629"/>
    <x v="2"/>
    <x v="2"/>
    <x v="0"/>
    <x v="7"/>
    <x v="3"/>
    <x v="652"/>
    <n v="0.37"/>
    <n v="-0.30335097001763667"/>
    <s v="United States"/>
    <x v="0"/>
    <x v="5"/>
    <x v="507"/>
    <n v="59750"/>
    <x v="61"/>
    <x v="0"/>
    <x v="0"/>
    <d v="2015-01-08T00:00:00"/>
    <n v="-15.48"/>
    <n v="7"/>
    <x v="1065"/>
    <n v="90414"/>
    <x v="0"/>
  </r>
  <r>
    <n v="23378"/>
    <s v="High"/>
    <n v="0.09"/>
    <n v="40.98"/>
    <x v="150"/>
    <x v="630"/>
    <x v="0"/>
    <x v="630"/>
    <x v="2"/>
    <x v="3"/>
    <x v="2"/>
    <x v="13"/>
    <x v="3"/>
    <x v="456"/>
    <n v="0.74"/>
    <n v="-6.7270487742833812E-2"/>
    <s v="United States"/>
    <x v="0"/>
    <x v="21"/>
    <x v="64"/>
    <n v="80027"/>
    <x v="117"/>
    <x v="1"/>
    <x v="0"/>
    <d v="2015-06-21T00:00:00"/>
    <n v="-50.244999999999997"/>
    <n v="19"/>
    <x v="1066"/>
    <n v="89820"/>
    <x v="0"/>
  </r>
  <r>
    <n v="21638"/>
    <s v="High"/>
    <n v="0.09"/>
    <n v="77.510000000000005"/>
    <x v="41"/>
    <x v="631"/>
    <x v="0"/>
    <x v="631"/>
    <x v="2"/>
    <x v="3"/>
    <x v="2"/>
    <x v="13"/>
    <x v="3"/>
    <x v="624"/>
    <n v="0.76"/>
    <n v="-4.9968297405447268"/>
    <s v="United States"/>
    <x v="2"/>
    <x v="33"/>
    <x v="403"/>
    <n v="63130"/>
    <x v="74"/>
    <x v="4"/>
    <x v="0"/>
    <d v="2015-04-09T00:00:00"/>
    <n v="-387.1044"/>
    <n v="1"/>
    <x v="1067"/>
    <n v="89818"/>
    <x v="0"/>
  </r>
  <r>
    <n v="24640"/>
    <s v="Low"/>
    <n v="0.09"/>
    <n v="30.98"/>
    <x v="150"/>
    <x v="632"/>
    <x v="0"/>
    <x v="632"/>
    <x v="0"/>
    <x v="3"/>
    <x v="2"/>
    <x v="13"/>
    <x v="3"/>
    <x v="653"/>
    <n v="0.64"/>
    <n v="-0.2739062347068611"/>
    <s v="United States"/>
    <x v="0"/>
    <x v="6"/>
    <x v="219"/>
    <n v="97068"/>
    <x v="49"/>
    <x v="1"/>
    <x v="0"/>
    <d v="2015-06-22T00:00:00"/>
    <n v="-55.97"/>
    <n v="7"/>
    <x v="1068"/>
    <n v="89819"/>
    <x v="0"/>
  </r>
  <r>
    <n v="3956"/>
    <s v="Critical"/>
    <n v="0"/>
    <n v="20.28"/>
    <x v="379"/>
    <x v="633"/>
    <x v="1"/>
    <x v="633"/>
    <x v="2"/>
    <x v="0"/>
    <x v="1"/>
    <x v="2"/>
    <x v="3"/>
    <x v="654"/>
    <n v="0.47"/>
    <n v="-0.321526402640264"/>
    <s v="United States"/>
    <x v="3"/>
    <x v="26"/>
    <x v="95"/>
    <n v="33916"/>
    <x v="46"/>
    <x v="0"/>
    <x v="0"/>
    <d v="2015-01-22T00:00:00"/>
    <n v="-66.247299999999996"/>
    <n v="9"/>
    <x v="1069"/>
    <n v="28225"/>
    <x v="0"/>
  </r>
  <r>
    <n v="3684"/>
    <s v="Low"/>
    <n v="0.02"/>
    <n v="9.99"/>
    <x v="380"/>
    <x v="633"/>
    <x v="1"/>
    <x v="633"/>
    <x v="2"/>
    <x v="1"/>
    <x v="0"/>
    <x v="7"/>
    <x v="3"/>
    <x v="655"/>
    <n v="0.4"/>
    <n v="-0.3600136721214926"/>
    <s v="United States"/>
    <x v="3"/>
    <x v="26"/>
    <x v="95"/>
    <n v="33916"/>
    <x v="106"/>
    <x v="4"/>
    <x v="0"/>
    <d v="2015-04-27T00:00:00"/>
    <n v="-171.15770000000001"/>
    <n v="43"/>
    <x v="1070"/>
    <n v="26342"/>
    <x v="0"/>
  </r>
  <r>
    <n v="3685"/>
    <s v="Low"/>
    <n v="0.02"/>
    <n v="48.04"/>
    <x v="24"/>
    <x v="633"/>
    <x v="1"/>
    <x v="633"/>
    <x v="2"/>
    <x v="1"/>
    <x v="0"/>
    <x v="7"/>
    <x v="3"/>
    <x v="310"/>
    <n v="0.37"/>
    <n v="0.1734565774337144"/>
    <s v="United States"/>
    <x v="3"/>
    <x v="26"/>
    <x v="95"/>
    <n v="33916"/>
    <x v="106"/>
    <x v="4"/>
    <x v="0"/>
    <d v="2015-04-23T00:00:00"/>
    <n v="624.23900000000003"/>
    <n v="74"/>
    <x v="1071"/>
    <n v="26342"/>
    <x v="0"/>
  </r>
  <r>
    <n v="3686"/>
    <s v="Low"/>
    <n v="0.04"/>
    <n v="6.68"/>
    <x v="378"/>
    <x v="633"/>
    <x v="1"/>
    <x v="633"/>
    <x v="2"/>
    <x v="1"/>
    <x v="0"/>
    <x v="7"/>
    <x v="3"/>
    <x v="652"/>
    <n v="0.37"/>
    <n v="-0.34750363901018921"/>
    <s v="United States"/>
    <x v="3"/>
    <x v="26"/>
    <x v="95"/>
    <n v="33916"/>
    <x v="106"/>
    <x v="4"/>
    <x v="0"/>
    <d v="2015-04-25T00:00:00"/>
    <n v="-14.3241"/>
    <n v="5"/>
    <x v="1072"/>
    <n v="26342"/>
    <x v="0"/>
  </r>
  <r>
    <n v="21685"/>
    <s v="Low"/>
    <n v="0.02"/>
    <n v="48.04"/>
    <x v="24"/>
    <x v="634"/>
    <x v="1"/>
    <x v="634"/>
    <x v="2"/>
    <x v="1"/>
    <x v="0"/>
    <x v="7"/>
    <x v="3"/>
    <x v="310"/>
    <n v="0.37"/>
    <n v="0.69"/>
    <s v="United States"/>
    <x v="2"/>
    <x v="22"/>
    <x v="508"/>
    <n v="48601"/>
    <x v="106"/>
    <x v="4"/>
    <x v="0"/>
    <d v="2015-04-23T00:00:00"/>
    <n v="604.01909999999998"/>
    <n v="18"/>
    <x v="1073"/>
    <n v="88857"/>
    <x v="0"/>
  </r>
  <r>
    <n v="21686"/>
    <s v="Low"/>
    <n v="0.04"/>
    <n v="6.68"/>
    <x v="378"/>
    <x v="634"/>
    <x v="1"/>
    <x v="634"/>
    <x v="2"/>
    <x v="1"/>
    <x v="0"/>
    <x v="7"/>
    <x v="3"/>
    <x v="652"/>
    <n v="0.37"/>
    <n v="-1.4116019417475727"/>
    <s v="United States"/>
    <x v="2"/>
    <x v="22"/>
    <x v="508"/>
    <n v="48601"/>
    <x v="106"/>
    <x v="4"/>
    <x v="0"/>
    <d v="2015-04-25T00:00:00"/>
    <n v="-11.631599999999999"/>
    <n v="1"/>
    <x v="1074"/>
    <n v="88857"/>
    <x v="0"/>
  </r>
  <r>
    <n v="22488"/>
    <s v="Medium"/>
    <n v="0.01"/>
    <n v="78.650000000000006"/>
    <x v="100"/>
    <x v="635"/>
    <x v="0"/>
    <x v="635"/>
    <x v="0"/>
    <x v="2"/>
    <x v="0"/>
    <x v="15"/>
    <x v="4"/>
    <x v="650"/>
    <n v="0.52"/>
    <n v="0.69"/>
    <s v="United States"/>
    <x v="2"/>
    <x v="25"/>
    <x v="406"/>
    <n v="52732"/>
    <x v="103"/>
    <x v="5"/>
    <x v="0"/>
    <d v="2015-03-19T00:00:00"/>
    <n v="442.36589999999995"/>
    <n v="8"/>
    <x v="1075"/>
    <n v="89456"/>
    <x v="0"/>
  </r>
  <r>
    <n v="26220"/>
    <s v="Medium"/>
    <n v="0.02"/>
    <n v="11.58"/>
    <x v="171"/>
    <x v="636"/>
    <x v="0"/>
    <x v="636"/>
    <x v="2"/>
    <x v="0"/>
    <x v="0"/>
    <x v="4"/>
    <x v="3"/>
    <x v="240"/>
    <n v="0.35"/>
    <n v="-7.3211950394588499"/>
    <s v="United States"/>
    <x v="3"/>
    <x v="37"/>
    <x v="509"/>
    <n v="38801"/>
    <x v="174"/>
    <x v="0"/>
    <x v="0"/>
    <d v="2015-01-19T00:00:00"/>
    <n v="-259.75599999999997"/>
    <n v="3"/>
    <x v="234"/>
    <n v="91550"/>
    <x v="0"/>
  </r>
  <r>
    <n v="26223"/>
    <s v="Medium"/>
    <n v="0.05"/>
    <n v="350.99"/>
    <x v="293"/>
    <x v="637"/>
    <x v="1"/>
    <x v="637"/>
    <x v="1"/>
    <x v="0"/>
    <x v="1"/>
    <x v="1"/>
    <x v="1"/>
    <x v="455"/>
    <n v="0.55000000000000004"/>
    <n v="0.69"/>
    <s v="United States"/>
    <x v="1"/>
    <x v="19"/>
    <x v="510"/>
    <n v="19090"/>
    <x v="174"/>
    <x v="0"/>
    <x v="0"/>
    <d v="2015-01-20T00:00:00"/>
    <n v="1469.7275999999999"/>
    <n v="6"/>
    <x v="1076"/>
    <n v="91550"/>
    <x v="0"/>
  </r>
  <r>
    <n v="26224"/>
    <s v="Medium"/>
    <n v="0.04"/>
    <n v="15.99"/>
    <x v="364"/>
    <x v="637"/>
    <x v="1"/>
    <x v="637"/>
    <x v="0"/>
    <x v="0"/>
    <x v="2"/>
    <x v="6"/>
    <x v="3"/>
    <x v="616"/>
    <n v="0.49"/>
    <n v="-1.009094927536232"/>
    <s v="United States"/>
    <x v="1"/>
    <x v="19"/>
    <x v="510"/>
    <n v="19090"/>
    <x v="174"/>
    <x v="0"/>
    <x v="0"/>
    <d v="2015-01-20T00:00:00"/>
    <n v="-83.553060000000002"/>
    <n v="5"/>
    <x v="1077"/>
    <n v="91550"/>
    <x v="0"/>
  </r>
  <r>
    <n v="18795"/>
    <s v="Medium"/>
    <n v="0.09"/>
    <n v="20.48"/>
    <x v="381"/>
    <x v="638"/>
    <x v="1"/>
    <x v="638"/>
    <x v="2"/>
    <x v="3"/>
    <x v="0"/>
    <x v="15"/>
    <x v="3"/>
    <x v="656"/>
    <n v="0.57999999999999996"/>
    <n v="-0.17057160169662697"/>
    <s v="United States"/>
    <x v="2"/>
    <x v="22"/>
    <x v="511"/>
    <n v="48127"/>
    <x v="135"/>
    <x v="3"/>
    <x v="0"/>
    <d v="2015-05-21T00:00:00"/>
    <n v="-16.89"/>
    <n v="5"/>
    <x v="1078"/>
    <n v="89040"/>
    <x v="0"/>
  </r>
  <r>
    <n v="18796"/>
    <s v="Medium"/>
    <n v="0.06"/>
    <n v="15.67"/>
    <x v="49"/>
    <x v="638"/>
    <x v="1"/>
    <x v="638"/>
    <x v="2"/>
    <x v="3"/>
    <x v="0"/>
    <x v="4"/>
    <x v="3"/>
    <x v="598"/>
    <n v="0.38"/>
    <n v="0.54978448275862069"/>
    <s v="United States"/>
    <x v="2"/>
    <x v="22"/>
    <x v="511"/>
    <n v="48127"/>
    <x v="135"/>
    <x v="3"/>
    <x v="0"/>
    <d v="2015-05-21T00:00:00"/>
    <n v="25.51"/>
    <n v="3"/>
    <x v="1079"/>
    <n v="89040"/>
    <x v="0"/>
  </r>
  <r>
    <n v="25731"/>
    <s v="Critical"/>
    <n v="0.05"/>
    <n v="70.98"/>
    <x v="213"/>
    <x v="639"/>
    <x v="1"/>
    <x v="639"/>
    <x v="1"/>
    <x v="3"/>
    <x v="1"/>
    <x v="14"/>
    <x v="5"/>
    <x v="311"/>
    <n v="0.56000000000000005"/>
    <n v="-1.5424061213758589"/>
    <s v="United States"/>
    <x v="2"/>
    <x v="22"/>
    <x v="512"/>
    <n v="48823"/>
    <x v="56"/>
    <x v="0"/>
    <x v="0"/>
    <d v="2015-01-11T00:00:00"/>
    <n v="-850.65239999999994"/>
    <n v="8"/>
    <x v="1080"/>
    <n v="89039"/>
    <x v="0"/>
  </r>
  <r>
    <n v="25732"/>
    <s v="Critical"/>
    <n v="0.05"/>
    <n v="11.55"/>
    <x v="77"/>
    <x v="639"/>
    <x v="1"/>
    <x v="639"/>
    <x v="2"/>
    <x v="3"/>
    <x v="0"/>
    <x v="0"/>
    <x v="0"/>
    <x v="99"/>
    <n v="0.55000000000000004"/>
    <n v="0.69"/>
    <s v="United States"/>
    <x v="2"/>
    <x v="22"/>
    <x v="512"/>
    <n v="48823"/>
    <x v="56"/>
    <x v="0"/>
    <x v="0"/>
    <d v="2015-01-12T00:00:00"/>
    <n v="98.525099999999981"/>
    <n v="12"/>
    <x v="1081"/>
    <n v="89039"/>
    <x v="0"/>
  </r>
  <r>
    <n v="24887"/>
    <s v="Critical"/>
    <n v="0.06"/>
    <n v="40.99"/>
    <x v="263"/>
    <x v="639"/>
    <x v="1"/>
    <x v="639"/>
    <x v="2"/>
    <x v="3"/>
    <x v="0"/>
    <x v="7"/>
    <x v="3"/>
    <x v="399"/>
    <n v="0.36"/>
    <n v="0.36615505571887602"/>
    <s v="United States"/>
    <x v="2"/>
    <x v="22"/>
    <x v="512"/>
    <n v="48823"/>
    <x v="165"/>
    <x v="5"/>
    <x v="0"/>
    <d v="2015-03-25T00:00:00"/>
    <n v="214.23"/>
    <n v="14"/>
    <x v="1082"/>
    <n v="89041"/>
    <x v="0"/>
  </r>
  <r>
    <n v="21692"/>
    <s v="Not Specified"/>
    <n v="0.05"/>
    <n v="20.99"/>
    <x v="136"/>
    <x v="640"/>
    <x v="0"/>
    <x v="640"/>
    <x v="2"/>
    <x v="0"/>
    <x v="2"/>
    <x v="5"/>
    <x v="2"/>
    <x v="321"/>
    <n v="0.81"/>
    <n v="0.30080274914089378"/>
    <s v="United States"/>
    <x v="0"/>
    <x v="21"/>
    <x v="513"/>
    <n v="80122"/>
    <x v="130"/>
    <x v="3"/>
    <x v="0"/>
    <d v="2015-05-06T00:00:00"/>
    <n v="21.883400000000023"/>
    <n v="4"/>
    <x v="1083"/>
    <n v="87757"/>
    <x v="0"/>
  </r>
  <r>
    <n v="24935"/>
    <s v="Not Specified"/>
    <n v="0.1"/>
    <n v="7.37"/>
    <x v="73"/>
    <x v="641"/>
    <x v="0"/>
    <x v="641"/>
    <x v="2"/>
    <x v="3"/>
    <x v="2"/>
    <x v="13"/>
    <x v="2"/>
    <x v="95"/>
    <n v="0.69"/>
    <n v="1.077496008613968"/>
    <s v="United States"/>
    <x v="3"/>
    <x v="39"/>
    <x v="226"/>
    <n v="29915"/>
    <x v="41"/>
    <x v="3"/>
    <x v="0"/>
    <d v="2015-05-16T00:00:00"/>
    <n v="290.202"/>
    <n v="38"/>
    <x v="1084"/>
    <n v="91258"/>
    <x v="0"/>
  </r>
  <r>
    <n v="20568"/>
    <s v="Not Specified"/>
    <n v="0.01"/>
    <n v="15.31"/>
    <x v="174"/>
    <x v="642"/>
    <x v="1"/>
    <x v="642"/>
    <x v="2"/>
    <x v="1"/>
    <x v="0"/>
    <x v="10"/>
    <x v="3"/>
    <x v="657"/>
    <n v="0.56999999999999995"/>
    <n v="3.2217506631299755E-2"/>
    <s v="United States"/>
    <x v="2"/>
    <x v="7"/>
    <x v="514"/>
    <n v="79701"/>
    <x v="166"/>
    <x v="3"/>
    <x v="0"/>
    <d v="2015-05-07T00:00:00"/>
    <n v="12.146000000000008"/>
    <n v="23"/>
    <x v="1085"/>
    <n v="90888"/>
    <x v="0"/>
  </r>
  <r>
    <n v="20569"/>
    <s v="Not Specified"/>
    <n v="0.05"/>
    <n v="7.99"/>
    <x v="110"/>
    <x v="642"/>
    <x v="1"/>
    <x v="642"/>
    <x v="0"/>
    <x v="1"/>
    <x v="2"/>
    <x v="5"/>
    <x v="4"/>
    <x v="145"/>
    <n v="0.6"/>
    <n v="0.13228657827401741"/>
    <s v="United States"/>
    <x v="2"/>
    <x v="7"/>
    <x v="514"/>
    <n v="79701"/>
    <x v="166"/>
    <x v="3"/>
    <x v="0"/>
    <d v="2015-05-08T00:00:00"/>
    <n v="5.6870000000000083"/>
    <n v="4"/>
    <x v="1086"/>
    <n v="90888"/>
    <x v="0"/>
  </r>
  <r>
    <n v="19336"/>
    <s v="High"/>
    <n v="0.05"/>
    <n v="20.98"/>
    <x v="382"/>
    <x v="643"/>
    <x v="0"/>
    <x v="643"/>
    <x v="2"/>
    <x v="1"/>
    <x v="1"/>
    <x v="2"/>
    <x v="4"/>
    <x v="658"/>
    <n v="0.78"/>
    <n v="-2.7569188613183133"/>
    <s v="United States"/>
    <x v="0"/>
    <x v="17"/>
    <x v="504"/>
    <n v="84020"/>
    <x v="35"/>
    <x v="0"/>
    <x v="0"/>
    <d v="2015-01-04T00:00:00"/>
    <n v="-181.102"/>
    <n v="3"/>
    <x v="1087"/>
    <n v="89999"/>
    <x v="0"/>
  </r>
  <r>
    <n v="22600"/>
    <s v="Not Specified"/>
    <n v="0.04"/>
    <n v="355.98"/>
    <x v="298"/>
    <x v="644"/>
    <x v="1"/>
    <x v="644"/>
    <x v="1"/>
    <x v="1"/>
    <x v="1"/>
    <x v="1"/>
    <x v="1"/>
    <x v="464"/>
    <n v="0.64"/>
    <n v="0.3212745750870567"/>
    <s v="United States"/>
    <x v="0"/>
    <x v="17"/>
    <x v="515"/>
    <n v="84117"/>
    <x v="72"/>
    <x v="0"/>
    <x v="0"/>
    <d v="2015-01-22T00:00:00"/>
    <n v="882.93000000000006"/>
    <n v="8"/>
    <x v="1088"/>
    <n v="90000"/>
    <x v="0"/>
  </r>
  <r>
    <n v="22601"/>
    <s v="Not Specified"/>
    <n v="0.09"/>
    <n v="19.98"/>
    <x v="287"/>
    <x v="644"/>
    <x v="1"/>
    <x v="644"/>
    <x v="2"/>
    <x v="1"/>
    <x v="0"/>
    <x v="7"/>
    <x v="3"/>
    <x v="441"/>
    <n v="0.37"/>
    <n v="7.1685803197767989E-2"/>
    <s v="United States"/>
    <x v="0"/>
    <x v="17"/>
    <x v="515"/>
    <n v="84117"/>
    <x v="72"/>
    <x v="0"/>
    <x v="0"/>
    <d v="2015-01-22T00:00:00"/>
    <n v="6.6803999999999988"/>
    <n v="5"/>
    <x v="1089"/>
    <n v="90000"/>
    <x v="0"/>
  </r>
  <r>
    <n v="20554"/>
    <s v="High"/>
    <n v="0.01"/>
    <n v="30.98"/>
    <x v="150"/>
    <x v="644"/>
    <x v="1"/>
    <x v="644"/>
    <x v="2"/>
    <x v="0"/>
    <x v="2"/>
    <x v="13"/>
    <x v="3"/>
    <x v="653"/>
    <n v="0.64"/>
    <n v="0.12739081377108732"/>
    <s v="United States"/>
    <x v="0"/>
    <x v="17"/>
    <x v="515"/>
    <n v="84117"/>
    <x v="7"/>
    <x v="3"/>
    <x v="0"/>
    <d v="2015-05-16T00:00:00"/>
    <n v="46.29"/>
    <n v="11"/>
    <x v="1090"/>
    <n v="90001"/>
    <x v="0"/>
  </r>
  <r>
    <n v="20555"/>
    <s v="High"/>
    <n v="0.01"/>
    <n v="40.99"/>
    <x v="3"/>
    <x v="644"/>
    <x v="1"/>
    <x v="644"/>
    <x v="2"/>
    <x v="0"/>
    <x v="0"/>
    <x v="7"/>
    <x v="3"/>
    <x v="659"/>
    <n v="0.36"/>
    <n v="0.36981799271970878"/>
    <s v="United States"/>
    <x v="0"/>
    <x v="17"/>
    <x v="515"/>
    <n v="84117"/>
    <x v="7"/>
    <x v="3"/>
    <x v="0"/>
    <d v="2015-05-18T00:00:00"/>
    <n v="177.79"/>
    <n v="11"/>
    <x v="1091"/>
    <n v="90001"/>
    <x v="0"/>
  </r>
  <r>
    <n v="21723"/>
    <s v="Medium"/>
    <n v="0.1"/>
    <n v="1.6"/>
    <x v="383"/>
    <x v="644"/>
    <x v="1"/>
    <x v="644"/>
    <x v="2"/>
    <x v="1"/>
    <x v="0"/>
    <x v="0"/>
    <x v="0"/>
    <x v="660"/>
    <n v="0.42"/>
    <n v="-0.88805687203791484"/>
    <s v="United States"/>
    <x v="0"/>
    <x v="17"/>
    <x v="515"/>
    <n v="84117"/>
    <x v="122"/>
    <x v="4"/>
    <x v="0"/>
    <d v="2015-04-30T00:00:00"/>
    <n v="-14.990400000000001"/>
    <n v="11"/>
    <x v="1092"/>
    <n v="90003"/>
    <x v="0"/>
  </r>
  <r>
    <n v="25417"/>
    <s v="Medium"/>
    <n v="0"/>
    <n v="47.9"/>
    <x v="384"/>
    <x v="645"/>
    <x v="0"/>
    <x v="645"/>
    <x v="2"/>
    <x v="1"/>
    <x v="0"/>
    <x v="7"/>
    <x v="3"/>
    <x v="661"/>
    <n v="0.37"/>
    <n v="0.69"/>
    <s v="United States"/>
    <x v="0"/>
    <x v="17"/>
    <x v="516"/>
    <n v="84118"/>
    <x v="11"/>
    <x v="2"/>
    <x v="0"/>
    <d v="2015-02-24T00:00:00"/>
    <n v="638.38109999999995"/>
    <n v="18"/>
    <x v="1093"/>
    <n v="90002"/>
    <x v="0"/>
  </r>
  <r>
    <n v="19797"/>
    <s v="Not Specified"/>
    <n v="0.1"/>
    <n v="125.99"/>
    <x v="20"/>
    <x v="646"/>
    <x v="1"/>
    <x v="646"/>
    <x v="2"/>
    <x v="3"/>
    <x v="2"/>
    <x v="5"/>
    <x v="3"/>
    <x v="322"/>
    <n v="0.56999999999999995"/>
    <n v="4.319483188959037E-2"/>
    <s v="United States"/>
    <x v="3"/>
    <x v="39"/>
    <x v="226"/>
    <n v="29915"/>
    <x v="51"/>
    <x v="0"/>
    <x v="0"/>
    <d v="2015-01-28T00:00:00"/>
    <n v="17.652000000000001"/>
    <n v="4"/>
    <x v="1094"/>
    <n v="90333"/>
    <x v="0"/>
  </r>
  <r>
    <n v="19581"/>
    <s v="Medium"/>
    <n v="0.01"/>
    <n v="16.48"/>
    <x v="45"/>
    <x v="646"/>
    <x v="1"/>
    <x v="646"/>
    <x v="2"/>
    <x v="3"/>
    <x v="2"/>
    <x v="13"/>
    <x v="2"/>
    <x v="524"/>
    <n v="0.42"/>
    <n v="6.0170340844382979"/>
    <s v="United States"/>
    <x v="3"/>
    <x v="39"/>
    <x v="226"/>
    <n v="29915"/>
    <x v="163"/>
    <x v="3"/>
    <x v="0"/>
    <d v="2015-05-08T00:00:00"/>
    <n v="739.67399999999998"/>
    <n v="7"/>
    <x v="1095"/>
    <n v="90334"/>
    <x v="0"/>
  </r>
  <r>
    <n v="21003"/>
    <s v="Low"/>
    <n v="0"/>
    <n v="24.92"/>
    <x v="385"/>
    <x v="646"/>
    <x v="1"/>
    <x v="646"/>
    <x v="2"/>
    <x v="3"/>
    <x v="0"/>
    <x v="8"/>
    <x v="3"/>
    <x v="662"/>
    <n v="0.39"/>
    <n v="-0.70900183710961429"/>
    <s v="United States"/>
    <x v="3"/>
    <x v="39"/>
    <x v="226"/>
    <n v="29915"/>
    <x v="42"/>
    <x v="1"/>
    <x v="0"/>
    <d v="2015-06-02T00:00:00"/>
    <n v="-23.155999999999999"/>
    <n v="1"/>
    <x v="1096"/>
    <n v="90335"/>
    <x v="0"/>
  </r>
  <r>
    <n v="20392"/>
    <s v="Not Specified"/>
    <n v="0.06"/>
    <n v="4.42"/>
    <x v="7"/>
    <x v="647"/>
    <x v="0"/>
    <x v="647"/>
    <x v="2"/>
    <x v="0"/>
    <x v="0"/>
    <x v="4"/>
    <x v="3"/>
    <x v="7"/>
    <n v="0.38"/>
    <n v="-0.7026936026936027"/>
    <s v="United States"/>
    <x v="1"/>
    <x v="4"/>
    <x v="517"/>
    <n v="11758"/>
    <x v="26"/>
    <x v="1"/>
    <x v="0"/>
    <d v="2015-06-05T00:00:00"/>
    <n v="-10.435"/>
    <n v="3"/>
    <x v="1097"/>
    <n v="90568"/>
    <x v="0"/>
  </r>
  <r>
    <n v="24075"/>
    <s v="Medium"/>
    <n v="0.06"/>
    <n v="4.24"/>
    <x v="21"/>
    <x v="648"/>
    <x v="1"/>
    <x v="648"/>
    <x v="2"/>
    <x v="1"/>
    <x v="0"/>
    <x v="8"/>
    <x v="3"/>
    <x v="21"/>
    <n v="0.35"/>
    <n v="-1.7537039999999999"/>
    <s v="United States"/>
    <x v="0"/>
    <x v="5"/>
    <x v="506"/>
    <n v="59715"/>
    <x v="89"/>
    <x v="4"/>
    <x v="0"/>
    <d v="2015-04-19T00:00:00"/>
    <n v="-78.916679999999999"/>
    <n v="10"/>
    <x v="1098"/>
    <n v="91277"/>
    <x v="0"/>
  </r>
  <r>
    <n v="24076"/>
    <s v="Medium"/>
    <n v="0.04"/>
    <n v="6783.02"/>
    <x v="65"/>
    <x v="648"/>
    <x v="1"/>
    <x v="648"/>
    <x v="2"/>
    <x v="1"/>
    <x v="2"/>
    <x v="6"/>
    <x v="6"/>
    <x v="458"/>
    <n v="0.39"/>
    <n v="-2.0646206248373056"/>
    <s v="United States"/>
    <x v="0"/>
    <x v="5"/>
    <x v="506"/>
    <n v="59715"/>
    <x v="89"/>
    <x v="4"/>
    <x v="0"/>
    <d v="2015-04-19T00:00:00"/>
    <n v="-13562.637407999999"/>
    <n v="1"/>
    <x v="1099"/>
    <n v="91277"/>
    <x v="0"/>
  </r>
  <r>
    <n v="25251"/>
    <s v="Not Specified"/>
    <n v="0.03"/>
    <n v="5.78"/>
    <x v="123"/>
    <x v="649"/>
    <x v="0"/>
    <x v="649"/>
    <x v="2"/>
    <x v="1"/>
    <x v="0"/>
    <x v="7"/>
    <x v="3"/>
    <x v="663"/>
    <n v="0.36"/>
    <n v="-0.71809113579687145"/>
    <s v="United States"/>
    <x v="0"/>
    <x v="21"/>
    <x v="518"/>
    <n v="81301"/>
    <x v="93"/>
    <x v="5"/>
    <x v="0"/>
    <d v="2015-03-06T00:00:00"/>
    <n v="-63.35"/>
    <n v="15"/>
    <x v="1100"/>
    <n v="88798"/>
    <x v="0"/>
  </r>
  <r>
    <n v="20006"/>
    <s v="Medium"/>
    <n v="0.1"/>
    <n v="10.48"/>
    <x v="367"/>
    <x v="650"/>
    <x v="0"/>
    <x v="650"/>
    <x v="2"/>
    <x v="0"/>
    <x v="0"/>
    <x v="0"/>
    <x v="2"/>
    <x v="626"/>
    <n v="0.6"/>
    <n v="-0.22099776619508563"/>
    <s v="United States"/>
    <x v="2"/>
    <x v="22"/>
    <x v="172"/>
    <n v="48195"/>
    <x v="49"/>
    <x v="1"/>
    <x v="0"/>
    <d v="2015-06-19T00:00:00"/>
    <n v="-8.9039999999999999"/>
    <n v="4"/>
    <x v="1101"/>
    <n v="86874"/>
    <x v="0"/>
  </r>
  <r>
    <n v="18989"/>
    <s v="High"/>
    <n v="7.0000000000000007E-2"/>
    <n v="39.479999999999997"/>
    <x v="45"/>
    <x v="651"/>
    <x v="1"/>
    <x v="651"/>
    <x v="2"/>
    <x v="1"/>
    <x v="2"/>
    <x v="13"/>
    <x v="2"/>
    <x v="246"/>
    <n v="0.54"/>
    <n v="0.58650095855093531"/>
    <s v="United States"/>
    <x v="2"/>
    <x v="25"/>
    <x v="519"/>
    <n v="51503"/>
    <x v="27"/>
    <x v="5"/>
    <x v="0"/>
    <d v="2015-03-24T00:00:00"/>
    <n v="88.72"/>
    <n v="4"/>
    <x v="1102"/>
    <n v="88367"/>
    <x v="0"/>
  </r>
  <r>
    <n v="18990"/>
    <s v="High"/>
    <n v="0"/>
    <n v="4.91"/>
    <x v="28"/>
    <x v="651"/>
    <x v="1"/>
    <x v="651"/>
    <x v="2"/>
    <x v="1"/>
    <x v="0"/>
    <x v="9"/>
    <x v="3"/>
    <x v="41"/>
    <n v="0.36"/>
    <n v="0.69"/>
    <s v="United States"/>
    <x v="2"/>
    <x v="25"/>
    <x v="519"/>
    <n v="51503"/>
    <x v="27"/>
    <x v="5"/>
    <x v="0"/>
    <d v="2015-03-24T00:00:00"/>
    <n v="7.2518999999999991"/>
    <n v="2"/>
    <x v="1103"/>
    <n v="88367"/>
    <x v="0"/>
  </r>
  <r>
    <n v="21573"/>
    <s v="Critical"/>
    <n v="0.06"/>
    <n v="6.48"/>
    <x v="85"/>
    <x v="651"/>
    <x v="1"/>
    <x v="651"/>
    <x v="2"/>
    <x v="1"/>
    <x v="0"/>
    <x v="7"/>
    <x v="3"/>
    <x v="664"/>
    <n v="0.37"/>
    <n v="-2.5555852128653407"/>
    <s v="United States"/>
    <x v="2"/>
    <x v="25"/>
    <x v="519"/>
    <n v="51503"/>
    <x v="36"/>
    <x v="4"/>
    <x v="0"/>
    <d v="2015-04-04T00:00:00"/>
    <n v="-191.49"/>
    <n v="12"/>
    <x v="1104"/>
    <n v="88368"/>
    <x v="0"/>
  </r>
  <r>
    <n v="25557"/>
    <s v="Critical"/>
    <n v="0.02"/>
    <n v="120.98"/>
    <x v="386"/>
    <x v="652"/>
    <x v="0"/>
    <x v="652"/>
    <x v="1"/>
    <x v="1"/>
    <x v="1"/>
    <x v="14"/>
    <x v="5"/>
    <x v="665"/>
    <n v="0.75"/>
    <n v="-0.97046659713054073"/>
    <s v="United States"/>
    <x v="1"/>
    <x v="19"/>
    <x v="520"/>
    <n v="15239"/>
    <x v="169"/>
    <x v="2"/>
    <x v="0"/>
    <d v="2015-02-15T00:00:00"/>
    <n v="-1330.5"/>
    <n v="11"/>
    <x v="1105"/>
    <n v="86933"/>
    <x v="0"/>
  </r>
  <r>
    <n v="22145"/>
    <s v="Critical"/>
    <n v="0.04"/>
    <n v="120.97"/>
    <x v="387"/>
    <x v="653"/>
    <x v="1"/>
    <x v="653"/>
    <x v="2"/>
    <x v="0"/>
    <x v="2"/>
    <x v="6"/>
    <x v="4"/>
    <x v="666"/>
    <n v="0.36"/>
    <n v="0.69"/>
    <s v="United States"/>
    <x v="2"/>
    <x v="7"/>
    <x v="407"/>
    <n v="75401"/>
    <x v="83"/>
    <x v="5"/>
    <x v="0"/>
    <d v="2015-03-17T00:00:00"/>
    <n v="1320.5495999999998"/>
    <n v="16"/>
    <x v="1106"/>
    <n v="91059"/>
    <x v="0"/>
  </r>
  <r>
    <n v="22146"/>
    <s v="Critical"/>
    <n v="0"/>
    <n v="195.99"/>
    <x v="5"/>
    <x v="653"/>
    <x v="1"/>
    <x v="653"/>
    <x v="2"/>
    <x v="0"/>
    <x v="2"/>
    <x v="5"/>
    <x v="3"/>
    <x v="667"/>
    <n v="0.6"/>
    <n v="0.58894217196856014"/>
    <s v="United States"/>
    <x v="2"/>
    <x v="7"/>
    <x v="407"/>
    <n v="75401"/>
    <x v="83"/>
    <x v="5"/>
    <x v="0"/>
    <d v="2015-03-19T00:00:00"/>
    <n v="1585.5030000000002"/>
    <n v="16"/>
    <x v="1107"/>
    <n v="91059"/>
    <x v="0"/>
  </r>
  <r>
    <n v="20654"/>
    <s v="Medium"/>
    <n v="0.03"/>
    <n v="55.98"/>
    <x v="27"/>
    <x v="653"/>
    <x v="1"/>
    <x v="653"/>
    <x v="2"/>
    <x v="0"/>
    <x v="0"/>
    <x v="7"/>
    <x v="3"/>
    <x v="209"/>
    <n v="0.36"/>
    <n v="0.69"/>
    <s v="United States"/>
    <x v="2"/>
    <x v="7"/>
    <x v="407"/>
    <n v="75401"/>
    <x v="103"/>
    <x v="5"/>
    <x v="0"/>
    <d v="2015-03-20T00:00:00"/>
    <n v="526.04219999999998"/>
    <n v="13"/>
    <x v="1108"/>
    <n v="91060"/>
    <x v="0"/>
  </r>
  <r>
    <n v="25918"/>
    <s v="Critical"/>
    <n v="0.1"/>
    <n v="1.89"/>
    <x v="388"/>
    <x v="654"/>
    <x v="0"/>
    <x v="654"/>
    <x v="2"/>
    <x v="3"/>
    <x v="0"/>
    <x v="3"/>
    <x v="0"/>
    <x v="668"/>
    <n v="0.83"/>
    <n v="-1.1010893246187365"/>
    <s v="United States"/>
    <x v="3"/>
    <x v="26"/>
    <x v="487"/>
    <n v="33403"/>
    <x v="73"/>
    <x v="3"/>
    <x v="0"/>
    <d v="2015-05-20T00:00:00"/>
    <n v="-40.432000000000002"/>
    <n v="20"/>
    <x v="1109"/>
    <n v="87117"/>
    <x v="0"/>
  </r>
  <r>
    <n v="19733"/>
    <s v="Not Specified"/>
    <n v="0"/>
    <n v="73.98"/>
    <x v="308"/>
    <x v="655"/>
    <x v="0"/>
    <x v="655"/>
    <x v="2"/>
    <x v="2"/>
    <x v="2"/>
    <x v="13"/>
    <x v="3"/>
    <x v="414"/>
    <n v="0.65"/>
    <n v="-0.28984985770828564"/>
    <s v="United States"/>
    <x v="0"/>
    <x v="5"/>
    <x v="506"/>
    <n v="59715"/>
    <x v="14"/>
    <x v="5"/>
    <x v="0"/>
    <d v="2015-03-14T00:00:00"/>
    <n v="-88.61"/>
    <n v="4"/>
    <x v="1110"/>
    <n v="89333"/>
    <x v="0"/>
  </r>
  <r>
    <n v="22018"/>
    <s v="High"/>
    <n v="0.06"/>
    <n v="40.99"/>
    <x v="263"/>
    <x v="656"/>
    <x v="0"/>
    <x v="656"/>
    <x v="2"/>
    <x v="2"/>
    <x v="0"/>
    <x v="7"/>
    <x v="3"/>
    <x v="399"/>
    <n v="0.36"/>
    <n v="0.39390877598152424"/>
    <s v="United States"/>
    <x v="1"/>
    <x v="4"/>
    <x v="521"/>
    <n v="10550"/>
    <x v="109"/>
    <x v="4"/>
    <x v="0"/>
    <d v="2015-04-21T00:00:00"/>
    <n v="109.16"/>
    <n v="7"/>
    <x v="1111"/>
    <n v="89334"/>
    <x v="0"/>
  </r>
  <r>
    <n v="24731"/>
    <s v="Low"/>
    <n v="0.09"/>
    <n v="20.99"/>
    <x v="10"/>
    <x v="657"/>
    <x v="0"/>
    <x v="657"/>
    <x v="2"/>
    <x v="0"/>
    <x v="2"/>
    <x v="5"/>
    <x v="0"/>
    <x v="427"/>
    <n v="0.81"/>
    <n v="-1.359724303266407"/>
    <s v="United States"/>
    <x v="3"/>
    <x v="40"/>
    <x v="522"/>
    <n v="72756"/>
    <x v="137"/>
    <x v="1"/>
    <x v="0"/>
    <d v="2015-07-01T00:00:00"/>
    <n v="-136.12200000000001"/>
    <n v="6"/>
    <x v="1112"/>
    <n v="88692"/>
    <x v="0"/>
  </r>
  <r>
    <n v="22970"/>
    <s v="Critical"/>
    <n v="0.04"/>
    <n v="4.28"/>
    <x v="317"/>
    <x v="658"/>
    <x v="1"/>
    <x v="658"/>
    <x v="2"/>
    <x v="0"/>
    <x v="0"/>
    <x v="7"/>
    <x v="3"/>
    <x v="669"/>
    <n v="0.4"/>
    <n v="-0.86794546607482559"/>
    <s v="United States"/>
    <x v="2"/>
    <x v="13"/>
    <x v="523"/>
    <n v="67901"/>
    <x v="20"/>
    <x v="1"/>
    <x v="0"/>
    <d v="2015-06-14T00:00:00"/>
    <n v="-27.375"/>
    <n v="7"/>
    <x v="1113"/>
    <n v="88219"/>
    <x v="0"/>
  </r>
  <r>
    <n v="22971"/>
    <s v="Critical"/>
    <n v="0.06"/>
    <n v="376.13"/>
    <x v="389"/>
    <x v="658"/>
    <x v="1"/>
    <x v="658"/>
    <x v="1"/>
    <x v="0"/>
    <x v="1"/>
    <x v="11"/>
    <x v="5"/>
    <x v="670"/>
    <n v="0.74"/>
    <n v="-9.40208514485327E-2"/>
    <s v="United States"/>
    <x v="2"/>
    <x v="13"/>
    <x v="523"/>
    <n v="67901"/>
    <x v="20"/>
    <x v="1"/>
    <x v="0"/>
    <d v="2015-06-14T00:00:00"/>
    <n v="-435.75749999999999"/>
    <n v="13"/>
    <x v="1114"/>
    <n v="88219"/>
    <x v="0"/>
  </r>
  <r>
    <n v="22972"/>
    <s v="Critical"/>
    <n v="0.06"/>
    <n v="424.21"/>
    <x v="306"/>
    <x v="658"/>
    <x v="1"/>
    <x v="658"/>
    <x v="1"/>
    <x v="0"/>
    <x v="1"/>
    <x v="11"/>
    <x v="5"/>
    <x v="651"/>
    <n v="0.67"/>
    <n v="9.3445673142087307E-2"/>
    <s v="United States"/>
    <x v="2"/>
    <x v="13"/>
    <x v="523"/>
    <n v="67901"/>
    <x v="20"/>
    <x v="1"/>
    <x v="0"/>
    <d v="2015-06-13T00:00:00"/>
    <n v="682.53"/>
    <n v="17"/>
    <x v="1115"/>
    <n v="88219"/>
    <x v="0"/>
  </r>
  <r>
    <n v="22973"/>
    <s v="Critical"/>
    <n v="0.06"/>
    <n v="195.99"/>
    <x v="20"/>
    <x v="658"/>
    <x v="1"/>
    <x v="658"/>
    <x v="2"/>
    <x v="0"/>
    <x v="2"/>
    <x v="5"/>
    <x v="3"/>
    <x v="258"/>
    <n v="0.6"/>
    <n v="-0.43819173318580579"/>
    <s v="United States"/>
    <x v="2"/>
    <x v="13"/>
    <x v="523"/>
    <n v="67901"/>
    <x v="20"/>
    <x v="1"/>
    <x v="0"/>
    <d v="2015-06-14T00:00:00"/>
    <n v="-277.22200000000004"/>
    <n v="4"/>
    <x v="1116"/>
    <n v="88219"/>
    <x v="0"/>
  </r>
  <r>
    <n v="18497"/>
    <s v="High"/>
    <n v="0.03"/>
    <n v="15.28"/>
    <x v="45"/>
    <x v="659"/>
    <x v="1"/>
    <x v="659"/>
    <x v="2"/>
    <x v="0"/>
    <x v="2"/>
    <x v="13"/>
    <x v="2"/>
    <x v="108"/>
    <n v="0.42"/>
    <n v="-0.91650972575434742"/>
    <s v="United States"/>
    <x v="3"/>
    <x v="8"/>
    <x v="524"/>
    <n v="22801"/>
    <x v="123"/>
    <x v="1"/>
    <x v="0"/>
    <d v="2015-06-23T00:00:00"/>
    <n v="-266.68600000000004"/>
    <n v="19"/>
    <x v="1117"/>
    <n v="88220"/>
    <x v="0"/>
  </r>
  <r>
    <n v="18498"/>
    <s v="High"/>
    <n v="0.09"/>
    <n v="1.76"/>
    <x v="22"/>
    <x v="659"/>
    <x v="1"/>
    <x v="659"/>
    <x v="2"/>
    <x v="0"/>
    <x v="0"/>
    <x v="0"/>
    <x v="0"/>
    <x v="671"/>
    <n v="0.56000000000000005"/>
    <n v="-0.56398713826366553"/>
    <s v="United States"/>
    <x v="3"/>
    <x v="8"/>
    <x v="524"/>
    <n v="22801"/>
    <x v="123"/>
    <x v="1"/>
    <x v="0"/>
    <d v="2015-06-24T00:00:00"/>
    <n v="-12.277999999999999"/>
    <n v="13"/>
    <x v="1118"/>
    <n v="88220"/>
    <x v="0"/>
  </r>
  <r>
    <n v="18251"/>
    <s v="Not Specified"/>
    <n v="7.0000000000000007E-2"/>
    <n v="31.78"/>
    <x v="45"/>
    <x v="660"/>
    <x v="1"/>
    <x v="660"/>
    <x v="2"/>
    <x v="1"/>
    <x v="2"/>
    <x v="13"/>
    <x v="2"/>
    <x v="323"/>
    <n v="0.42"/>
    <n v="0.69"/>
    <s v="United States"/>
    <x v="0"/>
    <x v="27"/>
    <x v="525"/>
    <n v="87105"/>
    <x v="153"/>
    <x v="2"/>
    <x v="0"/>
    <d v="2015-02-21T00:00:00"/>
    <n v="265.11180000000002"/>
    <n v="13"/>
    <x v="1119"/>
    <n v="87234"/>
    <x v="0"/>
  </r>
  <r>
    <n v="18252"/>
    <s v="Not Specified"/>
    <n v="0"/>
    <n v="5.98"/>
    <x v="10"/>
    <x v="660"/>
    <x v="1"/>
    <x v="660"/>
    <x v="2"/>
    <x v="1"/>
    <x v="0"/>
    <x v="4"/>
    <x v="3"/>
    <x v="70"/>
    <n v="0.36"/>
    <n v="0.30217446270543619"/>
    <s v="United States"/>
    <x v="0"/>
    <x v="27"/>
    <x v="525"/>
    <n v="87105"/>
    <x v="153"/>
    <x v="2"/>
    <x v="0"/>
    <d v="2015-02-20T00:00:00"/>
    <n v="9.5608000000000004"/>
    <n v="5"/>
    <x v="1120"/>
    <n v="87234"/>
    <x v="0"/>
  </r>
  <r>
    <n v="18253"/>
    <s v="Not Specified"/>
    <n v="0.1"/>
    <n v="35.99"/>
    <x v="226"/>
    <x v="660"/>
    <x v="1"/>
    <x v="660"/>
    <x v="0"/>
    <x v="1"/>
    <x v="2"/>
    <x v="5"/>
    <x v="3"/>
    <x v="337"/>
    <n v="0.55000000000000004"/>
    <n v="0.69"/>
    <s v="United States"/>
    <x v="0"/>
    <x v="27"/>
    <x v="525"/>
    <n v="87105"/>
    <x v="153"/>
    <x v="2"/>
    <x v="0"/>
    <d v="2015-02-20T00:00:00"/>
    <n v="390.09839999999997"/>
    <n v="19"/>
    <x v="1121"/>
    <n v="87234"/>
    <x v="0"/>
  </r>
  <r>
    <n v="20481"/>
    <s v="Medium"/>
    <n v="7.0000000000000007E-2"/>
    <n v="5.98"/>
    <x v="253"/>
    <x v="661"/>
    <x v="0"/>
    <x v="661"/>
    <x v="2"/>
    <x v="0"/>
    <x v="0"/>
    <x v="7"/>
    <x v="3"/>
    <x v="381"/>
    <n v="0.36"/>
    <n v="1.423992673992674"/>
    <s v="United States"/>
    <x v="3"/>
    <x v="24"/>
    <x v="526"/>
    <n v="28601"/>
    <x v="169"/>
    <x v="2"/>
    <x v="0"/>
    <d v="2015-02-15T00:00:00"/>
    <n v="46.65"/>
    <n v="5"/>
    <x v="1122"/>
    <n v="88040"/>
    <x v="0"/>
  </r>
  <r>
    <n v="23499"/>
    <s v="Not Specified"/>
    <n v="0.09"/>
    <n v="28.48"/>
    <x v="45"/>
    <x v="662"/>
    <x v="1"/>
    <x v="662"/>
    <x v="2"/>
    <x v="0"/>
    <x v="2"/>
    <x v="13"/>
    <x v="2"/>
    <x v="137"/>
    <n v="0.4"/>
    <n v="-3.7122937195773478"/>
    <s v="United States"/>
    <x v="3"/>
    <x v="24"/>
    <x v="527"/>
    <n v="27260"/>
    <x v="60"/>
    <x v="0"/>
    <x v="0"/>
    <d v="2015-01-18T00:00:00"/>
    <n v="-1250.7460000000001"/>
    <n v="13"/>
    <x v="1123"/>
    <n v="88039"/>
    <x v="0"/>
  </r>
  <r>
    <n v="21632"/>
    <s v="Critical"/>
    <n v="0.1"/>
    <n v="9.85"/>
    <x v="221"/>
    <x v="662"/>
    <x v="1"/>
    <x v="662"/>
    <x v="2"/>
    <x v="0"/>
    <x v="0"/>
    <x v="0"/>
    <x v="0"/>
    <x v="672"/>
    <n v="0.47"/>
    <n v="3.2625881124358194"/>
    <s v="United States"/>
    <x v="3"/>
    <x v="24"/>
    <x v="527"/>
    <n v="27260"/>
    <x v="12"/>
    <x v="5"/>
    <x v="0"/>
    <d v="2015-03-28T00:00:00"/>
    <n v="374.904"/>
    <n v="12"/>
    <x v="1124"/>
    <n v="88041"/>
    <x v="0"/>
  </r>
  <r>
    <n v="21633"/>
    <s v="Critical"/>
    <n v="0.04"/>
    <n v="125.99"/>
    <x v="19"/>
    <x v="662"/>
    <x v="1"/>
    <x v="662"/>
    <x v="2"/>
    <x v="0"/>
    <x v="2"/>
    <x v="5"/>
    <x v="3"/>
    <x v="442"/>
    <n v="0.57999999999999996"/>
    <n v="-0.56589051063647655"/>
    <s v="United States"/>
    <x v="3"/>
    <x v="24"/>
    <x v="527"/>
    <n v="27260"/>
    <x v="12"/>
    <x v="5"/>
    <x v="0"/>
    <d v="2015-03-28T00:00:00"/>
    <n v="-528.83600000000001"/>
    <n v="9"/>
    <x v="1125"/>
    <n v="88041"/>
    <x v="0"/>
  </r>
  <r>
    <n v="20841"/>
    <s v="Medium"/>
    <n v="0.02"/>
    <n v="240.98"/>
    <x v="281"/>
    <x v="663"/>
    <x v="0"/>
    <x v="663"/>
    <x v="1"/>
    <x v="0"/>
    <x v="1"/>
    <x v="14"/>
    <x v="5"/>
    <x v="673"/>
    <n v="0.56000000000000005"/>
    <n v="-1.0462410803345354"/>
    <s v="United States"/>
    <x v="2"/>
    <x v="32"/>
    <x v="528"/>
    <n v="69101"/>
    <x v="134"/>
    <x v="0"/>
    <x v="0"/>
    <d v="2015-01-31T00:00:00"/>
    <n v="-272.71320000000003"/>
    <n v="1"/>
    <x v="1126"/>
    <n v="87146"/>
    <x v="0"/>
  </r>
  <r>
    <n v="20840"/>
    <s v="Medium"/>
    <n v="0.02"/>
    <n v="420.98"/>
    <x v="3"/>
    <x v="664"/>
    <x v="1"/>
    <x v="664"/>
    <x v="2"/>
    <x v="0"/>
    <x v="0"/>
    <x v="8"/>
    <x v="3"/>
    <x v="534"/>
    <n v="0.35"/>
    <n v="-3.8286616604343703E-2"/>
    <s v="United States"/>
    <x v="3"/>
    <x v="8"/>
    <x v="529"/>
    <n v="23111"/>
    <x v="134"/>
    <x v="0"/>
    <x v="0"/>
    <d v="2015-02-01T00:00:00"/>
    <n v="-162.69399999999999"/>
    <n v="10"/>
    <x v="1127"/>
    <n v="87146"/>
    <x v="0"/>
  </r>
  <r>
    <n v="22511"/>
    <s v="Low"/>
    <n v="0.04"/>
    <n v="291.73"/>
    <x v="30"/>
    <x v="664"/>
    <x v="1"/>
    <x v="664"/>
    <x v="1"/>
    <x v="0"/>
    <x v="1"/>
    <x v="1"/>
    <x v="1"/>
    <x v="34"/>
    <n v="0.56000000000000005"/>
    <n v="-1.7359693017863855E-2"/>
    <s v="United States"/>
    <x v="3"/>
    <x v="8"/>
    <x v="529"/>
    <n v="23111"/>
    <x v="175"/>
    <x v="1"/>
    <x v="0"/>
    <d v="2015-06-30T00:00:00"/>
    <n v="-115.90389999999999"/>
    <n v="22"/>
    <x v="1128"/>
    <n v="87148"/>
    <x v="0"/>
  </r>
  <r>
    <n v="25759"/>
    <s v="Low"/>
    <n v="0.06"/>
    <n v="300.97000000000003"/>
    <x v="261"/>
    <x v="665"/>
    <x v="0"/>
    <x v="665"/>
    <x v="2"/>
    <x v="0"/>
    <x v="2"/>
    <x v="13"/>
    <x v="3"/>
    <x v="394"/>
    <n v="0.48"/>
    <n v="-2.5051063829787235"/>
    <s v="United States"/>
    <x v="3"/>
    <x v="8"/>
    <x v="530"/>
    <n v="23602"/>
    <x v="100"/>
    <x v="3"/>
    <x v="0"/>
    <d v="2015-05-08T00:00:00"/>
    <n v="-729.98799999999994"/>
    <n v="1"/>
    <x v="1129"/>
    <n v="87147"/>
    <x v="0"/>
  </r>
  <r>
    <n v="25228"/>
    <s v="Medium"/>
    <n v="0.09"/>
    <n v="20.89"/>
    <x v="179"/>
    <x v="666"/>
    <x v="1"/>
    <x v="666"/>
    <x v="2"/>
    <x v="1"/>
    <x v="0"/>
    <x v="10"/>
    <x v="3"/>
    <x v="254"/>
    <n v="0.83"/>
    <n v="-0.91157679180887363"/>
    <s v="United States"/>
    <x v="3"/>
    <x v="24"/>
    <x v="531"/>
    <n v="28079"/>
    <x v="173"/>
    <x v="5"/>
    <x v="0"/>
    <d v="2015-03-27T00:00:00"/>
    <n v="-133.54599999999999"/>
    <n v="7"/>
    <x v="1130"/>
    <n v="85833"/>
    <x v="0"/>
  </r>
  <r>
    <n v="24748"/>
    <s v="Critical"/>
    <n v="0.09"/>
    <n v="20.99"/>
    <x v="120"/>
    <x v="666"/>
    <x v="1"/>
    <x v="666"/>
    <x v="0"/>
    <x v="1"/>
    <x v="2"/>
    <x v="5"/>
    <x v="4"/>
    <x v="160"/>
    <n v="0.57999999999999996"/>
    <n v="6.9957414058491532"/>
    <s v="United States"/>
    <x v="3"/>
    <x v="24"/>
    <x v="531"/>
    <n v="28079"/>
    <x v="157"/>
    <x v="5"/>
    <x v="0"/>
    <d v="2015-04-01T00:00:00"/>
    <n v="272.69399999999996"/>
    <n v="2"/>
    <x v="1131"/>
    <n v="85834"/>
    <x v="0"/>
  </r>
  <r>
    <n v="25381"/>
    <s v="Low"/>
    <n v="0.1"/>
    <n v="4.24"/>
    <x v="21"/>
    <x v="666"/>
    <x v="1"/>
    <x v="666"/>
    <x v="2"/>
    <x v="0"/>
    <x v="0"/>
    <x v="8"/>
    <x v="3"/>
    <x v="21"/>
    <n v="0.35"/>
    <n v="-1.8032786885245904"/>
    <s v="United States"/>
    <x v="3"/>
    <x v="24"/>
    <x v="531"/>
    <n v="28079"/>
    <x v="47"/>
    <x v="4"/>
    <x v="0"/>
    <d v="2015-04-23T00:00:00"/>
    <n v="-61.6"/>
    <n v="8"/>
    <x v="1132"/>
    <n v="85835"/>
    <x v="0"/>
  </r>
  <r>
    <n v="21901"/>
    <s v="Medium"/>
    <n v="0.1"/>
    <n v="40.98"/>
    <x v="150"/>
    <x v="667"/>
    <x v="0"/>
    <x v="667"/>
    <x v="2"/>
    <x v="3"/>
    <x v="2"/>
    <x v="13"/>
    <x v="3"/>
    <x v="456"/>
    <n v="0.74"/>
    <n v="0.55552600963935517"/>
    <s v="United States"/>
    <x v="3"/>
    <x v="35"/>
    <x v="532"/>
    <n v="41075"/>
    <x v="38"/>
    <x v="0"/>
    <x v="0"/>
    <d v="2015-01-14T00:00:00"/>
    <n v="66.852000000000004"/>
    <n v="3"/>
    <x v="1133"/>
    <n v="88554"/>
    <x v="0"/>
  </r>
  <r>
    <n v="19567"/>
    <s v="Low"/>
    <n v="7.0000000000000007E-2"/>
    <n v="35.99"/>
    <x v="165"/>
    <x v="668"/>
    <x v="0"/>
    <x v="668"/>
    <x v="2"/>
    <x v="0"/>
    <x v="2"/>
    <x v="5"/>
    <x v="0"/>
    <x v="351"/>
    <n v="0.38"/>
    <n v="0.11613697024933278"/>
    <s v="United States"/>
    <x v="2"/>
    <x v="22"/>
    <x v="533"/>
    <n v="48021"/>
    <x v="41"/>
    <x v="3"/>
    <x v="0"/>
    <d v="2015-05-20T00:00:00"/>
    <n v="17.839800000000011"/>
    <n v="5"/>
    <x v="1134"/>
    <n v="88558"/>
    <x v="0"/>
  </r>
  <r>
    <n v="20498"/>
    <s v="Not Specified"/>
    <n v="0.03"/>
    <n v="60.98"/>
    <x v="45"/>
    <x v="669"/>
    <x v="1"/>
    <x v="669"/>
    <x v="2"/>
    <x v="0"/>
    <x v="2"/>
    <x v="13"/>
    <x v="2"/>
    <x v="674"/>
    <n v="0.5"/>
    <n v="0.69"/>
    <s v="United States"/>
    <x v="2"/>
    <x v="22"/>
    <x v="534"/>
    <n v="48336"/>
    <x v="108"/>
    <x v="2"/>
    <x v="0"/>
    <d v="2015-02-01T00:00:00"/>
    <n v="976.2672"/>
    <n v="23"/>
    <x v="1135"/>
    <n v="88555"/>
    <x v="0"/>
  </r>
  <r>
    <n v="20499"/>
    <s v="Not Specified"/>
    <n v="0.04"/>
    <n v="3.08"/>
    <x v="90"/>
    <x v="669"/>
    <x v="1"/>
    <x v="669"/>
    <x v="2"/>
    <x v="0"/>
    <x v="0"/>
    <x v="9"/>
    <x v="3"/>
    <x v="675"/>
    <n v="0.37"/>
    <n v="0.69"/>
    <s v="United States"/>
    <x v="2"/>
    <x v="22"/>
    <x v="534"/>
    <n v="48336"/>
    <x v="108"/>
    <x v="2"/>
    <x v="0"/>
    <d v="2015-02-02T00:00:00"/>
    <n v="23.204699999999999"/>
    <n v="11"/>
    <x v="1136"/>
    <n v="88555"/>
    <x v="0"/>
  </r>
  <r>
    <n v="19568"/>
    <s v="Low"/>
    <n v="0.08"/>
    <n v="65.989999999999995"/>
    <x v="78"/>
    <x v="669"/>
    <x v="1"/>
    <x v="669"/>
    <x v="0"/>
    <x v="0"/>
    <x v="2"/>
    <x v="5"/>
    <x v="3"/>
    <x v="411"/>
    <n v="0.57999999999999996"/>
    <n v="0.17281563437079933"/>
    <s v="United States"/>
    <x v="2"/>
    <x v="22"/>
    <x v="534"/>
    <n v="48336"/>
    <x v="41"/>
    <x v="3"/>
    <x v="0"/>
    <d v="2015-05-23T00:00:00"/>
    <n v="183.84300000000002"/>
    <n v="20"/>
    <x v="1137"/>
    <n v="88558"/>
    <x v="0"/>
  </r>
  <r>
    <n v="20500"/>
    <s v="Not Specified"/>
    <n v="0"/>
    <n v="10.31"/>
    <x v="390"/>
    <x v="670"/>
    <x v="1"/>
    <x v="670"/>
    <x v="2"/>
    <x v="0"/>
    <x v="0"/>
    <x v="7"/>
    <x v="0"/>
    <x v="676"/>
    <n v="0.38"/>
    <n v="0.68999999999999984"/>
    <s v="United States"/>
    <x v="2"/>
    <x v="22"/>
    <x v="535"/>
    <n v="48505"/>
    <x v="108"/>
    <x v="2"/>
    <x v="0"/>
    <d v="2015-02-03T00:00:00"/>
    <n v="167.46299999999997"/>
    <n v="23"/>
    <x v="1138"/>
    <n v="88555"/>
    <x v="0"/>
  </r>
  <r>
    <n v="20824"/>
    <s v="High"/>
    <n v="0.09"/>
    <n v="260.98"/>
    <x v="229"/>
    <x v="670"/>
    <x v="1"/>
    <x v="670"/>
    <x v="1"/>
    <x v="0"/>
    <x v="1"/>
    <x v="14"/>
    <x v="5"/>
    <x v="343"/>
    <n v="0.59"/>
    <n v="0.38710274617566759"/>
    <s v="United States"/>
    <x v="2"/>
    <x v="22"/>
    <x v="535"/>
    <n v="48505"/>
    <x v="143"/>
    <x v="2"/>
    <x v="0"/>
    <d v="2015-02-13T00:00:00"/>
    <n v="1307.2692"/>
    <n v="14"/>
    <x v="1139"/>
    <n v="88556"/>
    <x v="0"/>
  </r>
  <r>
    <n v="20825"/>
    <s v="High"/>
    <n v="0.01"/>
    <n v="10.52"/>
    <x v="391"/>
    <x v="670"/>
    <x v="1"/>
    <x v="670"/>
    <x v="2"/>
    <x v="0"/>
    <x v="1"/>
    <x v="2"/>
    <x v="2"/>
    <x v="677"/>
    <n v="0.52"/>
    <n v="-0.1276397966594045"/>
    <s v="United States"/>
    <x v="2"/>
    <x v="22"/>
    <x v="535"/>
    <n v="48505"/>
    <x v="143"/>
    <x v="2"/>
    <x v="0"/>
    <d v="2015-02-13T00:00:00"/>
    <n v="-15.818400000000002"/>
    <n v="11"/>
    <x v="1140"/>
    <n v="88556"/>
    <x v="0"/>
  </r>
  <r>
    <n v="20826"/>
    <s v="High"/>
    <n v="0.02"/>
    <n v="5.98"/>
    <x v="392"/>
    <x v="670"/>
    <x v="1"/>
    <x v="670"/>
    <x v="0"/>
    <x v="0"/>
    <x v="0"/>
    <x v="7"/>
    <x v="3"/>
    <x v="678"/>
    <n v="0.4"/>
    <n v="-0.59421455938697332"/>
    <s v="United States"/>
    <x v="2"/>
    <x v="22"/>
    <x v="535"/>
    <n v="48505"/>
    <x v="143"/>
    <x v="2"/>
    <x v="0"/>
    <d v="2015-02-13T00:00:00"/>
    <n v="-55.832400000000007"/>
    <n v="14"/>
    <x v="1141"/>
    <n v="88556"/>
    <x v="0"/>
  </r>
  <r>
    <n v="24677"/>
    <s v="Not Specified"/>
    <n v="0.05"/>
    <n v="291.73"/>
    <x v="30"/>
    <x v="671"/>
    <x v="0"/>
    <x v="671"/>
    <x v="1"/>
    <x v="3"/>
    <x v="1"/>
    <x v="1"/>
    <x v="1"/>
    <x v="34"/>
    <n v="0.56000000000000005"/>
    <n v="0.30267145473243107"/>
    <s v="United States"/>
    <x v="2"/>
    <x v="22"/>
    <x v="536"/>
    <n v="48135"/>
    <x v="74"/>
    <x v="4"/>
    <x v="0"/>
    <d v="2015-04-09T00:00:00"/>
    <n v="550.38080000000002"/>
    <n v="6"/>
    <x v="1142"/>
    <n v="88557"/>
    <x v="0"/>
  </r>
  <r>
    <n v="24094"/>
    <s v="Low"/>
    <n v="0.09"/>
    <n v="1.48"/>
    <x v="22"/>
    <x v="672"/>
    <x v="0"/>
    <x v="672"/>
    <x v="2"/>
    <x v="0"/>
    <x v="0"/>
    <x v="3"/>
    <x v="0"/>
    <x v="679"/>
    <n v="0.37"/>
    <n v="0.18770949720670391"/>
    <s v="United States"/>
    <x v="1"/>
    <x v="4"/>
    <x v="537"/>
    <n v="14853"/>
    <x v="35"/>
    <x v="0"/>
    <x v="0"/>
    <d v="2015-01-05T00:00:00"/>
    <n v="1.68"/>
    <n v="6"/>
    <x v="1143"/>
    <n v="86092"/>
    <x v="0"/>
  </r>
  <r>
    <n v="21697"/>
    <s v="Low"/>
    <n v="0.06"/>
    <n v="38.06"/>
    <x v="60"/>
    <x v="673"/>
    <x v="1"/>
    <x v="673"/>
    <x v="2"/>
    <x v="0"/>
    <x v="0"/>
    <x v="15"/>
    <x v="3"/>
    <x v="680"/>
    <n v="0.56000000000000005"/>
    <n v="0.69"/>
    <s v="United States"/>
    <x v="1"/>
    <x v="4"/>
    <x v="538"/>
    <n v="10956"/>
    <x v="133"/>
    <x v="1"/>
    <x v="0"/>
    <d v="2015-07-06T00:00:00"/>
    <n v="450.45959999999997"/>
    <n v="17"/>
    <x v="1144"/>
    <n v="88348"/>
    <x v="0"/>
  </r>
  <r>
    <n v="21698"/>
    <s v="Low"/>
    <n v="0.08"/>
    <n v="599.99"/>
    <x v="65"/>
    <x v="673"/>
    <x v="1"/>
    <x v="673"/>
    <x v="2"/>
    <x v="0"/>
    <x v="2"/>
    <x v="16"/>
    <x v="6"/>
    <x v="681"/>
    <n v="0.37"/>
    <n v="0.68999999999999984"/>
    <s v="United States"/>
    <x v="1"/>
    <x v="4"/>
    <x v="538"/>
    <n v="10956"/>
    <x v="133"/>
    <x v="1"/>
    <x v="0"/>
    <d v="2015-07-08T00:00:00"/>
    <n v="8798.1830999999984"/>
    <n v="22"/>
    <x v="1145"/>
    <n v="88348"/>
    <x v="0"/>
  </r>
  <r>
    <n v="21699"/>
    <s v="Low"/>
    <n v="0.1"/>
    <n v="3.98"/>
    <x v="393"/>
    <x v="673"/>
    <x v="1"/>
    <x v="673"/>
    <x v="0"/>
    <x v="0"/>
    <x v="0"/>
    <x v="7"/>
    <x v="0"/>
    <x v="682"/>
    <n v="0.35"/>
    <n v="-0.26217137293086662"/>
    <s v="United States"/>
    <x v="1"/>
    <x v="4"/>
    <x v="538"/>
    <n v="10956"/>
    <x v="133"/>
    <x v="1"/>
    <x v="0"/>
    <d v="2015-07-04T00:00:00"/>
    <n v="-5.3849999999999998"/>
    <n v="5"/>
    <x v="1146"/>
    <n v="88348"/>
    <x v="0"/>
  </r>
  <r>
    <n v="18696"/>
    <s v="Medium"/>
    <n v="0.08"/>
    <n v="400.98"/>
    <x v="394"/>
    <x v="674"/>
    <x v="0"/>
    <x v="674"/>
    <x v="1"/>
    <x v="0"/>
    <x v="1"/>
    <x v="11"/>
    <x v="5"/>
    <x v="395"/>
    <n v="0.71"/>
    <n v="0.38672920036122266"/>
    <s v="United States"/>
    <x v="0"/>
    <x v="1"/>
    <x v="539"/>
    <n v="95928"/>
    <x v="64"/>
    <x v="2"/>
    <x v="0"/>
    <d v="2015-02-06T00:00:00"/>
    <n v="3031.9724000000001"/>
    <n v="20"/>
    <x v="1147"/>
    <n v="86629"/>
    <x v="0"/>
  </r>
  <r>
    <n v="18417"/>
    <s v="Medium"/>
    <n v="0.1"/>
    <n v="300.97000000000003"/>
    <x v="261"/>
    <x v="675"/>
    <x v="0"/>
    <x v="675"/>
    <x v="2"/>
    <x v="1"/>
    <x v="2"/>
    <x v="13"/>
    <x v="3"/>
    <x v="394"/>
    <n v="0.48"/>
    <n v="0.12612100554677291"/>
    <s v="United States"/>
    <x v="3"/>
    <x v="39"/>
    <x v="226"/>
    <n v="29915"/>
    <x v="106"/>
    <x v="4"/>
    <x v="0"/>
    <d v="2015-04-19T00:00:00"/>
    <n v="138.018"/>
    <n v="4"/>
    <x v="1148"/>
    <n v="87889"/>
    <x v="0"/>
  </r>
  <r>
    <n v="18418"/>
    <s v="Medium"/>
    <n v="0.06"/>
    <n v="39.89"/>
    <x v="395"/>
    <x v="676"/>
    <x v="0"/>
    <x v="676"/>
    <x v="2"/>
    <x v="1"/>
    <x v="1"/>
    <x v="2"/>
    <x v="0"/>
    <x v="683"/>
    <n v="0.53"/>
    <n v="9.9684591122394028E-2"/>
    <s v="United States"/>
    <x v="3"/>
    <x v="39"/>
    <x v="540"/>
    <n v="29464"/>
    <x v="106"/>
    <x v="4"/>
    <x v="0"/>
    <d v="2015-04-20T00:00:00"/>
    <n v="38.874000000000002"/>
    <n v="10"/>
    <x v="1149"/>
    <n v="87889"/>
    <x v="0"/>
  </r>
  <r>
    <n v="22234"/>
    <s v="Not Specified"/>
    <n v="7.0000000000000007E-2"/>
    <n v="14.56"/>
    <x v="169"/>
    <x v="677"/>
    <x v="0"/>
    <x v="677"/>
    <x v="2"/>
    <x v="1"/>
    <x v="0"/>
    <x v="15"/>
    <x v="3"/>
    <x v="324"/>
    <n v="0.57999999999999996"/>
    <n v="-0.53821964771249564"/>
    <s v="United States"/>
    <x v="3"/>
    <x v="39"/>
    <x v="541"/>
    <n v="29577"/>
    <x v="176"/>
    <x v="0"/>
    <x v="0"/>
    <d v="2015-01-09T00:00:00"/>
    <n v="-45.528000000000006"/>
    <n v="6"/>
    <x v="1150"/>
    <n v="87888"/>
    <x v="0"/>
  </r>
  <r>
    <n v="5501"/>
    <s v="Medium"/>
    <n v="0.05"/>
    <n v="399.98"/>
    <x v="63"/>
    <x v="678"/>
    <x v="1"/>
    <x v="678"/>
    <x v="1"/>
    <x v="0"/>
    <x v="2"/>
    <x v="6"/>
    <x v="5"/>
    <x v="79"/>
    <n v="0.56000000000000005"/>
    <n v="5.8715882946852711E-2"/>
    <s v="United States"/>
    <x v="2"/>
    <x v="12"/>
    <x v="25"/>
    <n v="60601"/>
    <x v="132"/>
    <x v="1"/>
    <x v="0"/>
    <d v="2015-06-06T00:00:00"/>
    <n v="567.59"/>
    <n v="24"/>
    <x v="1151"/>
    <n v="39015"/>
    <x v="0"/>
  </r>
  <r>
    <n v="5502"/>
    <s v="Medium"/>
    <n v="7.0000000000000007E-2"/>
    <n v="6.48"/>
    <x v="214"/>
    <x v="678"/>
    <x v="1"/>
    <x v="678"/>
    <x v="2"/>
    <x v="0"/>
    <x v="0"/>
    <x v="7"/>
    <x v="3"/>
    <x v="684"/>
    <n v="0.37"/>
    <n v="-0.21139842472878584"/>
    <s v="United States"/>
    <x v="2"/>
    <x v="12"/>
    <x v="25"/>
    <n v="60601"/>
    <x v="132"/>
    <x v="1"/>
    <x v="0"/>
    <d v="2015-06-06T00:00:00"/>
    <n v="-28.45"/>
    <n v="20"/>
    <x v="1152"/>
    <n v="39015"/>
    <x v="0"/>
  </r>
  <r>
    <n v="23502"/>
    <s v="Medium"/>
    <n v="7.0000000000000007E-2"/>
    <n v="6.48"/>
    <x v="214"/>
    <x v="679"/>
    <x v="0"/>
    <x v="679"/>
    <x v="2"/>
    <x v="0"/>
    <x v="0"/>
    <x v="7"/>
    <x v="3"/>
    <x v="684"/>
    <n v="0.37"/>
    <n v="-0.42273402674591382"/>
    <s v="United States"/>
    <x v="2"/>
    <x v="33"/>
    <x v="542"/>
    <n v="63129"/>
    <x v="132"/>
    <x v="1"/>
    <x v="0"/>
    <d v="2015-06-06T00:00:00"/>
    <n v="-14.225"/>
    <n v="5"/>
    <x v="1153"/>
    <n v="87862"/>
    <x v="0"/>
  </r>
  <r>
    <n v="18540"/>
    <s v="Critical"/>
    <n v="0.08"/>
    <n v="6.68"/>
    <x v="396"/>
    <x v="680"/>
    <x v="1"/>
    <x v="680"/>
    <x v="2"/>
    <x v="0"/>
    <x v="0"/>
    <x v="0"/>
    <x v="0"/>
    <x v="685"/>
    <n v="0.48"/>
    <n v="-9.1016938898971578"/>
    <s v="United States"/>
    <x v="3"/>
    <x v="8"/>
    <x v="123"/>
    <n v="23518"/>
    <x v="173"/>
    <x v="5"/>
    <x v="0"/>
    <d v="2015-03-28T00:00:00"/>
    <n v="-601.80400000000009"/>
    <n v="10"/>
    <x v="1154"/>
    <n v="88403"/>
    <x v="0"/>
  </r>
  <r>
    <n v="18562"/>
    <s v="Critical"/>
    <n v="0.08"/>
    <n v="2.89"/>
    <x v="243"/>
    <x v="680"/>
    <x v="1"/>
    <x v="680"/>
    <x v="2"/>
    <x v="0"/>
    <x v="0"/>
    <x v="9"/>
    <x v="3"/>
    <x v="686"/>
    <n v="0.38"/>
    <n v="12.510097719869709"/>
    <s v="United States"/>
    <x v="3"/>
    <x v="8"/>
    <x v="123"/>
    <n v="23518"/>
    <x v="45"/>
    <x v="4"/>
    <x v="0"/>
    <d v="2015-04-23T00:00:00"/>
    <n v="38.406000000000006"/>
    <n v="1"/>
    <x v="1155"/>
    <n v="88404"/>
    <x v="0"/>
  </r>
  <r>
    <n v="21066"/>
    <s v="Critical"/>
    <n v="7.0000000000000007E-2"/>
    <n v="226.67"/>
    <x v="336"/>
    <x v="680"/>
    <x v="1"/>
    <x v="680"/>
    <x v="1"/>
    <x v="0"/>
    <x v="1"/>
    <x v="1"/>
    <x v="1"/>
    <x v="558"/>
    <n v="0.59"/>
    <n v="0.20761599499667746"/>
    <s v="United States"/>
    <x v="3"/>
    <x v="8"/>
    <x v="123"/>
    <n v="23518"/>
    <x v="115"/>
    <x v="2"/>
    <x v="0"/>
    <d v="2015-02-27T00:00:00"/>
    <n v="53.114399999999996"/>
    <n v="1"/>
    <x v="1156"/>
    <n v="88405"/>
    <x v="0"/>
  </r>
  <r>
    <n v="21067"/>
    <s v="Critical"/>
    <n v="0.08"/>
    <n v="20.98"/>
    <x v="151"/>
    <x v="680"/>
    <x v="1"/>
    <x v="680"/>
    <x v="1"/>
    <x v="0"/>
    <x v="0"/>
    <x v="10"/>
    <x v="1"/>
    <x v="211"/>
    <n v="0.78"/>
    <n v="2.0755971318676101E-2"/>
    <s v="United States"/>
    <x v="3"/>
    <x v="8"/>
    <x v="123"/>
    <n v="23518"/>
    <x v="115"/>
    <x v="2"/>
    <x v="0"/>
    <d v="2015-02-28T00:00:00"/>
    <n v="8.7420000000000009"/>
    <n v="20"/>
    <x v="1157"/>
    <n v="88405"/>
    <x v="0"/>
  </r>
  <r>
    <n v="21153"/>
    <s v="Medium"/>
    <n v="0.02"/>
    <n v="95.95"/>
    <x v="397"/>
    <x v="681"/>
    <x v="0"/>
    <x v="681"/>
    <x v="1"/>
    <x v="0"/>
    <x v="1"/>
    <x v="1"/>
    <x v="1"/>
    <x v="687"/>
    <n v="0.56999999999999995"/>
    <n v="0.46209835494315621"/>
    <s v="United States"/>
    <x v="3"/>
    <x v="8"/>
    <x v="543"/>
    <n v="22124"/>
    <x v="119"/>
    <x v="4"/>
    <x v="0"/>
    <d v="2015-05-01T00:00:00"/>
    <n v="636.52199999999993"/>
    <n v="14"/>
    <x v="1158"/>
    <n v="88406"/>
    <x v="0"/>
  </r>
  <r>
    <n v="20249"/>
    <s v="High"/>
    <n v="0.03"/>
    <n v="320.98"/>
    <x v="65"/>
    <x v="682"/>
    <x v="1"/>
    <x v="682"/>
    <x v="2"/>
    <x v="1"/>
    <x v="1"/>
    <x v="1"/>
    <x v="6"/>
    <x v="688"/>
    <n v="0.55000000000000004"/>
    <n v="0.69"/>
    <s v="United States"/>
    <x v="2"/>
    <x v="7"/>
    <x v="407"/>
    <n v="75401"/>
    <x v="18"/>
    <x v="4"/>
    <x v="0"/>
    <d v="2015-04-22T00:00:00"/>
    <n v="4554.4346999999998"/>
    <n v="20"/>
    <x v="1159"/>
    <n v="90891"/>
    <x v="0"/>
  </r>
  <r>
    <n v="20250"/>
    <s v="High"/>
    <n v="0.06"/>
    <n v="125.99"/>
    <x v="186"/>
    <x v="682"/>
    <x v="1"/>
    <x v="682"/>
    <x v="2"/>
    <x v="1"/>
    <x v="2"/>
    <x v="5"/>
    <x v="3"/>
    <x v="689"/>
    <n v="0.59"/>
    <n v="0.34116804176623494"/>
    <s v="United States"/>
    <x v="2"/>
    <x v="7"/>
    <x v="407"/>
    <n v="75401"/>
    <x v="18"/>
    <x v="4"/>
    <x v="0"/>
    <d v="2015-04-21T00:00:00"/>
    <n v="618.19308000000001"/>
    <n v="18"/>
    <x v="1160"/>
    <n v="90891"/>
    <x v="0"/>
  </r>
  <r>
    <n v="22231"/>
    <s v="Critical"/>
    <n v="0.06"/>
    <n v="80.97"/>
    <x v="398"/>
    <x v="683"/>
    <x v="0"/>
    <x v="683"/>
    <x v="1"/>
    <x v="3"/>
    <x v="2"/>
    <x v="6"/>
    <x v="1"/>
    <x v="690"/>
    <n v="0.37"/>
    <n v="-1.8986195858757628E-2"/>
    <s v="United States"/>
    <x v="3"/>
    <x v="40"/>
    <x v="544"/>
    <n v="72116"/>
    <x v="108"/>
    <x v="2"/>
    <x v="0"/>
    <d v="2015-02-03T00:00:00"/>
    <n v="-15.1844"/>
    <n v="10"/>
    <x v="1161"/>
    <n v="89664"/>
    <x v="0"/>
  </r>
  <r>
    <n v="24674"/>
    <s v="High"/>
    <n v="0.04"/>
    <n v="45.19"/>
    <x v="45"/>
    <x v="684"/>
    <x v="1"/>
    <x v="684"/>
    <x v="2"/>
    <x v="3"/>
    <x v="2"/>
    <x v="13"/>
    <x v="2"/>
    <x v="397"/>
    <n v="0.55000000000000004"/>
    <n v="-0.10046791114613604"/>
    <s v="United States"/>
    <x v="3"/>
    <x v="40"/>
    <x v="545"/>
    <n v="72301"/>
    <x v="167"/>
    <x v="0"/>
    <x v="0"/>
    <d v="2015-01-02T00:00:00"/>
    <n v="-61.194000000000003"/>
    <n v="13"/>
    <x v="1162"/>
    <n v="89665"/>
    <x v="0"/>
  </r>
  <r>
    <n v="23852"/>
    <s v="High"/>
    <n v="0.03"/>
    <n v="124.49"/>
    <x v="117"/>
    <x v="684"/>
    <x v="1"/>
    <x v="684"/>
    <x v="1"/>
    <x v="0"/>
    <x v="1"/>
    <x v="11"/>
    <x v="5"/>
    <x v="156"/>
    <n v="0.63"/>
    <n v="6.5801574255776735E-3"/>
    <s v="United States"/>
    <x v="3"/>
    <x v="40"/>
    <x v="545"/>
    <n v="72301"/>
    <x v="173"/>
    <x v="5"/>
    <x v="0"/>
    <d v="2015-03-27T00:00:00"/>
    <n v="18.173999999999999"/>
    <n v="21"/>
    <x v="1163"/>
    <n v="89666"/>
    <x v="0"/>
  </r>
  <r>
    <n v="24091"/>
    <s v="Critical"/>
    <n v="0.1"/>
    <n v="5.98"/>
    <x v="209"/>
    <x v="685"/>
    <x v="0"/>
    <x v="685"/>
    <x v="2"/>
    <x v="1"/>
    <x v="0"/>
    <x v="7"/>
    <x v="3"/>
    <x v="691"/>
    <n v="0.36"/>
    <n v="-1.4589101620029454"/>
    <s v="United States"/>
    <x v="2"/>
    <x v="22"/>
    <x v="546"/>
    <n v="48310"/>
    <x v="103"/>
    <x v="5"/>
    <x v="0"/>
    <d v="2015-03-20T00:00:00"/>
    <n v="-49.53"/>
    <n v="6"/>
    <x v="1164"/>
    <n v="88418"/>
    <x v="0"/>
  </r>
  <r>
    <n v="21902"/>
    <s v="High"/>
    <n v="0.09"/>
    <n v="150.97999999999999"/>
    <x v="399"/>
    <x v="686"/>
    <x v="0"/>
    <x v="686"/>
    <x v="1"/>
    <x v="1"/>
    <x v="1"/>
    <x v="14"/>
    <x v="5"/>
    <x v="692"/>
    <n v="0.65"/>
    <n v="-1.3489779718198056"/>
    <s v="United States"/>
    <x v="2"/>
    <x v="33"/>
    <x v="547"/>
    <n v="64118"/>
    <x v="35"/>
    <x v="0"/>
    <x v="0"/>
    <d v="2015-01-04T00:00:00"/>
    <n v="-407.85"/>
    <n v="2"/>
    <x v="1165"/>
    <n v="90079"/>
    <x v="0"/>
  </r>
  <r>
    <n v="21964"/>
    <s v="Low"/>
    <n v="0.05"/>
    <n v="30.42"/>
    <x v="282"/>
    <x v="687"/>
    <x v="0"/>
    <x v="687"/>
    <x v="0"/>
    <x v="1"/>
    <x v="2"/>
    <x v="13"/>
    <x v="3"/>
    <x v="434"/>
    <n v="0.74"/>
    <n v="-0.57187417772993665"/>
    <s v="United States"/>
    <x v="2"/>
    <x v="33"/>
    <x v="548"/>
    <n v="63042"/>
    <x v="56"/>
    <x v="0"/>
    <x v="0"/>
    <d v="2015-01-14T00:00:00"/>
    <n v="-191.25760000000002"/>
    <n v="11"/>
    <x v="1166"/>
    <n v="90078"/>
    <x v="0"/>
  </r>
  <r>
    <n v="24348"/>
    <s v="High"/>
    <n v="0.01"/>
    <n v="28.99"/>
    <x v="400"/>
    <x v="688"/>
    <x v="0"/>
    <x v="688"/>
    <x v="2"/>
    <x v="1"/>
    <x v="2"/>
    <x v="5"/>
    <x v="4"/>
    <x v="693"/>
    <n v="0.56000000000000005"/>
    <n v="0.35307177377337812"/>
    <s v="United States"/>
    <x v="0"/>
    <x v="27"/>
    <x v="549"/>
    <n v="88101"/>
    <x v="92"/>
    <x v="2"/>
    <x v="0"/>
    <d v="2015-02-07T00:00:00"/>
    <n v="196.52328"/>
    <n v="21"/>
    <x v="1167"/>
    <n v="91583"/>
    <x v="0"/>
  </r>
  <r>
    <n v="20138"/>
    <s v="Not Specified"/>
    <n v="0"/>
    <n v="6.98"/>
    <x v="230"/>
    <x v="689"/>
    <x v="0"/>
    <x v="689"/>
    <x v="2"/>
    <x v="0"/>
    <x v="0"/>
    <x v="7"/>
    <x v="0"/>
    <x v="344"/>
    <n v="0.38"/>
    <n v="-5.3329404466501238"/>
    <s v="United States"/>
    <x v="3"/>
    <x v="26"/>
    <x v="550"/>
    <n v="33407"/>
    <x v="70"/>
    <x v="0"/>
    <x v="0"/>
    <d v="2015-02-02T00:00:00"/>
    <n v="-343.86799999999999"/>
    <n v="9"/>
    <x v="1168"/>
    <n v="86002"/>
    <x v="0"/>
  </r>
  <r>
    <n v="20712"/>
    <s v="Critical"/>
    <n v="0.05"/>
    <n v="2550.14"/>
    <x v="256"/>
    <x v="690"/>
    <x v="0"/>
    <x v="690"/>
    <x v="1"/>
    <x v="0"/>
    <x v="2"/>
    <x v="6"/>
    <x v="1"/>
    <x v="440"/>
    <n v="0.56999999999999995"/>
    <n v="-0.81957513203598542"/>
    <s v="United States"/>
    <x v="2"/>
    <x v="45"/>
    <x v="98"/>
    <n v="53094"/>
    <x v="125"/>
    <x v="4"/>
    <x v="0"/>
    <d v="2015-04-17T00:00:00"/>
    <n v="-3971.0627999999997"/>
    <n v="2"/>
    <x v="1169"/>
    <n v="86003"/>
    <x v="0"/>
  </r>
  <r>
    <n v="18409"/>
    <s v="High"/>
    <n v="0.01"/>
    <n v="5.44"/>
    <x v="275"/>
    <x v="691"/>
    <x v="1"/>
    <x v="691"/>
    <x v="2"/>
    <x v="1"/>
    <x v="0"/>
    <x v="8"/>
    <x v="3"/>
    <x v="425"/>
    <n v="0.36"/>
    <n v="-0.93893292682926821"/>
    <s v="United States"/>
    <x v="0"/>
    <x v="21"/>
    <x v="518"/>
    <n v="81301"/>
    <x v="29"/>
    <x v="2"/>
    <x v="0"/>
    <d v="2015-02-19T00:00:00"/>
    <n v="-18.478199999999998"/>
    <n v="3"/>
    <x v="1170"/>
    <n v="87570"/>
    <x v="0"/>
  </r>
  <r>
    <n v="18410"/>
    <s v="High"/>
    <n v="0.02"/>
    <n v="549.99"/>
    <x v="164"/>
    <x v="691"/>
    <x v="1"/>
    <x v="691"/>
    <x v="1"/>
    <x v="1"/>
    <x v="2"/>
    <x v="16"/>
    <x v="1"/>
    <x v="229"/>
    <n v="0.35"/>
    <n v="-3.8968000293912335E-2"/>
    <s v="United States"/>
    <x v="0"/>
    <x v="21"/>
    <x v="518"/>
    <n v="81301"/>
    <x v="29"/>
    <x v="2"/>
    <x v="0"/>
    <d v="2015-02-20T00:00:00"/>
    <n v="-381.84119999999996"/>
    <n v="18"/>
    <x v="1171"/>
    <n v="87570"/>
    <x v="0"/>
  </r>
  <r>
    <n v="18411"/>
    <s v="High"/>
    <n v="0.03"/>
    <n v="22.01"/>
    <x v="73"/>
    <x v="691"/>
    <x v="1"/>
    <x v="691"/>
    <x v="0"/>
    <x v="1"/>
    <x v="0"/>
    <x v="0"/>
    <x v="2"/>
    <x v="694"/>
    <n v="0.59"/>
    <n v="8.1437933943287258E-2"/>
    <s v="United States"/>
    <x v="0"/>
    <x v="21"/>
    <x v="518"/>
    <n v="81301"/>
    <x v="29"/>
    <x v="2"/>
    <x v="0"/>
    <d v="2015-02-19T00:00:00"/>
    <n v="12.5504"/>
    <n v="7"/>
    <x v="1172"/>
    <n v="87570"/>
    <x v="0"/>
  </r>
  <r>
    <n v="18412"/>
    <s v="High"/>
    <n v="0.09"/>
    <n v="34.76"/>
    <x v="401"/>
    <x v="691"/>
    <x v="1"/>
    <x v="691"/>
    <x v="2"/>
    <x v="1"/>
    <x v="0"/>
    <x v="10"/>
    <x v="3"/>
    <x v="695"/>
    <n v="0.56999999999999995"/>
    <n v="0.18657612050870478"/>
    <s v="United States"/>
    <x v="0"/>
    <x v="21"/>
    <x v="518"/>
    <n v="81301"/>
    <x v="29"/>
    <x v="2"/>
    <x v="0"/>
    <d v="2015-02-20T00:00:00"/>
    <n v="45.3324"/>
    <n v="7"/>
    <x v="1173"/>
    <n v="87570"/>
    <x v="0"/>
  </r>
  <r>
    <n v="23249"/>
    <s v="High"/>
    <n v="0.08"/>
    <n v="17.149999999999999"/>
    <x v="148"/>
    <x v="692"/>
    <x v="0"/>
    <x v="692"/>
    <x v="2"/>
    <x v="1"/>
    <x v="0"/>
    <x v="10"/>
    <x v="3"/>
    <x v="206"/>
    <n v="0.57999999999999996"/>
    <n v="0.167788245850157"/>
    <s v="United States"/>
    <x v="3"/>
    <x v="8"/>
    <x v="551"/>
    <n v="20151"/>
    <x v="1"/>
    <x v="1"/>
    <x v="0"/>
    <d v="2015-06-16T00:00:00"/>
    <n v="33.659999999999997"/>
    <n v="12"/>
    <x v="1174"/>
    <n v="87569"/>
    <x v="0"/>
  </r>
  <r>
    <n v="24264"/>
    <s v="Medium"/>
    <n v="0"/>
    <n v="20.28"/>
    <x v="379"/>
    <x v="693"/>
    <x v="0"/>
    <x v="693"/>
    <x v="2"/>
    <x v="0"/>
    <x v="1"/>
    <x v="2"/>
    <x v="3"/>
    <x v="654"/>
    <n v="0.47"/>
    <n v="6.5921036034142025E-2"/>
    <s v="United States"/>
    <x v="3"/>
    <x v="26"/>
    <x v="552"/>
    <n v="33311"/>
    <x v="104"/>
    <x v="2"/>
    <x v="0"/>
    <d v="2015-02-12T00:00:00"/>
    <n v="15.677999999999999"/>
    <n v="11"/>
    <x v="1175"/>
    <n v="87072"/>
    <x v="0"/>
  </r>
  <r>
    <n v="23795"/>
    <s v="Low"/>
    <n v="0.05"/>
    <n v="20.34"/>
    <x v="97"/>
    <x v="694"/>
    <x v="0"/>
    <x v="694"/>
    <x v="2"/>
    <x v="0"/>
    <x v="0"/>
    <x v="10"/>
    <x v="6"/>
    <x v="126"/>
    <n v="0.84"/>
    <n v="0.99539796303281769"/>
    <s v="United States"/>
    <x v="3"/>
    <x v="8"/>
    <x v="551"/>
    <n v="20151"/>
    <x v="61"/>
    <x v="0"/>
    <x v="0"/>
    <d v="2015-01-10T00:00:00"/>
    <n v="52.775999999999996"/>
    <n v="2"/>
    <x v="1176"/>
    <n v="87071"/>
    <x v="0"/>
  </r>
  <r>
    <n v="22555"/>
    <s v="Not Specified"/>
    <n v="0.08"/>
    <n v="243.98"/>
    <x v="402"/>
    <x v="695"/>
    <x v="1"/>
    <x v="695"/>
    <x v="1"/>
    <x v="0"/>
    <x v="1"/>
    <x v="1"/>
    <x v="1"/>
    <x v="696"/>
    <n v="0.55000000000000004"/>
    <n v="-0.65433370840700855"/>
    <s v="United States"/>
    <x v="2"/>
    <x v="25"/>
    <x v="553"/>
    <n v="52001"/>
    <x v="99"/>
    <x v="0"/>
    <x v="0"/>
    <d v="2015-01-06T00:00:00"/>
    <n v="-162.8244"/>
    <n v="1"/>
    <x v="1177"/>
    <n v="90404"/>
    <x v="0"/>
  </r>
  <r>
    <n v="24791"/>
    <s v="High"/>
    <n v="0.08"/>
    <n v="5.74"/>
    <x v="144"/>
    <x v="695"/>
    <x v="1"/>
    <x v="695"/>
    <x v="2"/>
    <x v="0"/>
    <x v="0"/>
    <x v="8"/>
    <x v="3"/>
    <x v="697"/>
    <n v="0.39"/>
    <n v="-0.96127877947295437"/>
    <s v="United States"/>
    <x v="2"/>
    <x v="25"/>
    <x v="553"/>
    <n v="52001"/>
    <x v="170"/>
    <x v="2"/>
    <x v="0"/>
    <d v="2015-02-11T00:00:00"/>
    <n v="-6.9308200000000006"/>
    <n v="1"/>
    <x v="1178"/>
    <n v="90405"/>
    <x v="0"/>
  </r>
  <r>
    <n v="21834"/>
    <s v="Low"/>
    <n v="0.05"/>
    <n v="55.5"/>
    <x v="403"/>
    <x v="696"/>
    <x v="1"/>
    <x v="696"/>
    <x v="2"/>
    <x v="1"/>
    <x v="1"/>
    <x v="2"/>
    <x v="4"/>
    <x v="698"/>
    <n v="0.72"/>
    <n v="-0.46693189427659826"/>
    <s v="United States"/>
    <x v="2"/>
    <x v="22"/>
    <x v="554"/>
    <n v="48093"/>
    <x v="44"/>
    <x v="5"/>
    <x v="0"/>
    <d v="2015-03-16T00:00:00"/>
    <n v="-118.54"/>
    <n v="4"/>
    <x v="1179"/>
    <n v="90385"/>
    <x v="0"/>
  </r>
  <r>
    <n v="21835"/>
    <s v="Low"/>
    <n v="0.05"/>
    <n v="442.14"/>
    <x v="69"/>
    <x v="696"/>
    <x v="1"/>
    <x v="696"/>
    <x v="1"/>
    <x v="1"/>
    <x v="2"/>
    <x v="6"/>
    <x v="1"/>
    <x v="110"/>
    <n v="0.56000000000000005"/>
    <n v="0.50395377232393379"/>
    <s v="United States"/>
    <x v="2"/>
    <x v="22"/>
    <x v="554"/>
    <n v="48093"/>
    <x v="44"/>
    <x v="5"/>
    <x v="0"/>
    <d v="2015-03-25T00:00:00"/>
    <n v="2963.48"/>
    <n v="14"/>
    <x v="1180"/>
    <n v="90385"/>
    <x v="0"/>
  </r>
  <r>
    <n v="21975"/>
    <s v="High"/>
    <n v="7.0000000000000007E-2"/>
    <n v="30.93"/>
    <x v="362"/>
    <x v="696"/>
    <x v="1"/>
    <x v="696"/>
    <x v="2"/>
    <x v="1"/>
    <x v="1"/>
    <x v="2"/>
    <x v="2"/>
    <x v="609"/>
    <n v="0.44"/>
    <n v="0.69"/>
    <s v="United States"/>
    <x v="2"/>
    <x v="22"/>
    <x v="554"/>
    <n v="48093"/>
    <x v="32"/>
    <x v="3"/>
    <x v="0"/>
    <d v="2015-05-04T00:00:00"/>
    <n v="398.30249999999995"/>
    <n v="19"/>
    <x v="1181"/>
    <n v="90386"/>
    <x v="0"/>
  </r>
  <r>
    <n v="21976"/>
    <s v="High"/>
    <n v="0.05"/>
    <n v="297.48"/>
    <x v="327"/>
    <x v="696"/>
    <x v="1"/>
    <x v="696"/>
    <x v="1"/>
    <x v="1"/>
    <x v="2"/>
    <x v="6"/>
    <x v="1"/>
    <x v="192"/>
    <n v="0.6"/>
    <n v="0.17418911557280908"/>
    <s v="United States"/>
    <x v="2"/>
    <x v="22"/>
    <x v="554"/>
    <n v="48093"/>
    <x v="32"/>
    <x v="3"/>
    <x v="0"/>
    <d v="2015-05-04T00:00:00"/>
    <n v="709.85200000000009"/>
    <n v="14"/>
    <x v="1182"/>
    <n v="90386"/>
    <x v="0"/>
  </r>
  <r>
    <n v="21977"/>
    <s v="High"/>
    <n v="7.0000000000000007E-2"/>
    <n v="296.18"/>
    <x v="33"/>
    <x v="696"/>
    <x v="1"/>
    <x v="696"/>
    <x v="1"/>
    <x v="1"/>
    <x v="1"/>
    <x v="11"/>
    <x v="5"/>
    <x v="37"/>
    <n v="0.76"/>
    <n v="4.4938189219399127E-2"/>
    <s v="United States"/>
    <x v="2"/>
    <x v="22"/>
    <x v="554"/>
    <n v="48093"/>
    <x v="32"/>
    <x v="3"/>
    <x v="0"/>
    <d v="2015-05-05T00:00:00"/>
    <n v="80.809200000000089"/>
    <n v="6"/>
    <x v="1183"/>
    <n v="90386"/>
    <x v="0"/>
  </r>
  <r>
    <n v="23775"/>
    <s v="Medium"/>
    <n v="0.08"/>
    <n v="30.98"/>
    <x v="404"/>
    <x v="697"/>
    <x v="0"/>
    <x v="697"/>
    <x v="2"/>
    <x v="0"/>
    <x v="0"/>
    <x v="7"/>
    <x v="3"/>
    <x v="699"/>
    <n v="0.4"/>
    <n v="0.51055005500550055"/>
    <s v="United States"/>
    <x v="2"/>
    <x v="22"/>
    <x v="555"/>
    <n v="48185"/>
    <x v="135"/>
    <x v="3"/>
    <x v="0"/>
    <d v="2015-05-21T00:00:00"/>
    <n v="371.27200000000005"/>
    <n v="25"/>
    <x v="1184"/>
    <n v="90387"/>
    <x v="0"/>
  </r>
  <r>
    <n v="23773"/>
    <s v="Medium"/>
    <n v="0.09"/>
    <n v="159.31"/>
    <x v="236"/>
    <x v="698"/>
    <x v="1"/>
    <x v="698"/>
    <x v="1"/>
    <x v="0"/>
    <x v="1"/>
    <x v="11"/>
    <x v="1"/>
    <x v="700"/>
    <n v="0.55000000000000004"/>
    <n v="1.2472972096504062E-2"/>
    <s v="United States"/>
    <x v="1"/>
    <x v="19"/>
    <x v="556"/>
    <n v="16146"/>
    <x v="135"/>
    <x v="3"/>
    <x v="0"/>
    <d v="2015-05-22T00:00:00"/>
    <n v="77.000895400000104"/>
    <n v="41"/>
    <x v="1185"/>
    <n v="90387"/>
    <x v="0"/>
  </r>
  <r>
    <n v="23774"/>
    <s v="Medium"/>
    <n v="0.06"/>
    <n v="55.99"/>
    <x v="104"/>
    <x v="698"/>
    <x v="1"/>
    <x v="698"/>
    <x v="2"/>
    <x v="0"/>
    <x v="2"/>
    <x v="5"/>
    <x v="2"/>
    <x v="134"/>
    <n v="0.83"/>
    <n v="1.8001287249790828E-2"/>
    <s v="United States"/>
    <x v="1"/>
    <x v="19"/>
    <x v="556"/>
    <n v="16146"/>
    <x v="135"/>
    <x v="3"/>
    <x v="0"/>
    <d v="2015-05-22T00:00:00"/>
    <n v="27.968600000000009"/>
    <n v="33"/>
    <x v="1186"/>
    <n v="90387"/>
    <x v="0"/>
  </r>
  <r>
    <n v="22450"/>
    <s v="Not Specified"/>
    <n v="0.01"/>
    <n v="5.38"/>
    <x v="405"/>
    <x v="699"/>
    <x v="1"/>
    <x v="699"/>
    <x v="2"/>
    <x v="2"/>
    <x v="0"/>
    <x v="8"/>
    <x v="3"/>
    <x v="701"/>
    <n v="0.36"/>
    <n v="-3.5749239828693788"/>
    <s v="United States"/>
    <x v="0"/>
    <x v="1"/>
    <x v="557"/>
    <n v="91104"/>
    <x v="85"/>
    <x v="0"/>
    <x v="0"/>
    <d v="2015-01-10T00:00:00"/>
    <n v="-66.779579999999996"/>
    <n v="3"/>
    <x v="1187"/>
    <n v="88794"/>
    <x v="0"/>
  </r>
  <r>
    <n v="22451"/>
    <s v="Not Specified"/>
    <n v="0.05"/>
    <n v="3.28"/>
    <x v="240"/>
    <x v="699"/>
    <x v="1"/>
    <x v="699"/>
    <x v="2"/>
    <x v="2"/>
    <x v="0"/>
    <x v="0"/>
    <x v="0"/>
    <x v="365"/>
    <n v="0.56000000000000005"/>
    <n v="-3.9922534435261712"/>
    <s v="United States"/>
    <x v="0"/>
    <x v="1"/>
    <x v="557"/>
    <n v="91104"/>
    <x v="85"/>
    <x v="0"/>
    <x v="0"/>
    <d v="2015-01-09T00:00:00"/>
    <n v="-144.9188"/>
    <n v="11"/>
    <x v="1188"/>
    <n v="88794"/>
    <x v="0"/>
  </r>
  <r>
    <n v="22449"/>
    <s v="Not Specified"/>
    <n v="0.09"/>
    <n v="2.78"/>
    <x v="137"/>
    <x v="700"/>
    <x v="0"/>
    <x v="700"/>
    <x v="2"/>
    <x v="2"/>
    <x v="0"/>
    <x v="0"/>
    <x v="0"/>
    <x v="702"/>
    <n v="0.59"/>
    <n v="-0.31638178415470991"/>
    <s v="United States"/>
    <x v="1"/>
    <x v="14"/>
    <x v="255"/>
    <n v="4330"/>
    <x v="85"/>
    <x v="0"/>
    <x v="0"/>
    <d v="2015-01-11T00:00:00"/>
    <n v="-5.0716000000000001"/>
    <n v="6"/>
    <x v="1189"/>
    <n v="88794"/>
    <x v="0"/>
  </r>
  <r>
    <n v="20980"/>
    <s v="Medium"/>
    <n v="0.08"/>
    <n v="2.94"/>
    <x v="146"/>
    <x v="701"/>
    <x v="0"/>
    <x v="701"/>
    <x v="2"/>
    <x v="2"/>
    <x v="0"/>
    <x v="0"/>
    <x v="0"/>
    <x v="202"/>
    <n v="0.57999999999999996"/>
    <n v="-4.6548323471400387E-2"/>
    <s v="United States"/>
    <x v="1"/>
    <x v="15"/>
    <x v="558"/>
    <n v="1610"/>
    <x v="39"/>
    <x v="0"/>
    <x v="0"/>
    <d v="2015-01-29T00:00:00"/>
    <n v="-1.18"/>
    <n v="9"/>
    <x v="1190"/>
    <n v="89465"/>
    <x v="0"/>
  </r>
  <r>
    <n v="26331"/>
    <s v="Not Specified"/>
    <n v="0"/>
    <n v="1.48"/>
    <x v="22"/>
    <x v="702"/>
    <x v="0"/>
    <x v="702"/>
    <x v="2"/>
    <x v="1"/>
    <x v="0"/>
    <x v="3"/>
    <x v="0"/>
    <x v="679"/>
    <n v="0.37"/>
    <n v="-10.512318840579709"/>
    <s v="United States"/>
    <x v="3"/>
    <x v="35"/>
    <x v="559"/>
    <n v="42301"/>
    <x v="15"/>
    <x v="1"/>
    <x v="0"/>
    <d v="2015-06-17T00:00:00"/>
    <n v="-203.09799999999998"/>
    <n v="12"/>
    <x v="1191"/>
    <n v="91571"/>
    <x v="0"/>
  </r>
  <r>
    <n v="19008"/>
    <s v="High"/>
    <n v="0.09"/>
    <n v="16.98"/>
    <x v="406"/>
    <x v="703"/>
    <x v="0"/>
    <x v="703"/>
    <x v="2"/>
    <x v="0"/>
    <x v="0"/>
    <x v="4"/>
    <x v="3"/>
    <x v="703"/>
    <n v="0.35"/>
    <n v="-0.55956221198156686"/>
    <s v="United States"/>
    <x v="2"/>
    <x v="33"/>
    <x v="560"/>
    <n v="64055"/>
    <x v="100"/>
    <x v="3"/>
    <x v="0"/>
    <d v="2015-05-10T00:00:00"/>
    <n v="-48.57"/>
    <n v="5"/>
    <x v="1192"/>
    <n v="89440"/>
    <x v="0"/>
  </r>
  <r>
    <n v="1008"/>
    <s v="High"/>
    <n v="0.09"/>
    <n v="16.98"/>
    <x v="406"/>
    <x v="704"/>
    <x v="0"/>
    <x v="704"/>
    <x v="2"/>
    <x v="0"/>
    <x v="0"/>
    <x v="4"/>
    <x v="3"/>
    <x v="703"/>
    <n v="0.35"/>
    <n v="-0.12717655992249483"/>
    <s v="United States"/>
    <x v="1"/>
    <x v="4"/>
    <x v="8"/>
    <n v="10177"/>
    <x v="100"/>
    <x v="3"/>
    <x v="0"/>
    <d v="2015-05-10T00:00:00"/>
    <n v="-48.57"/>
    <n v="22"/>
    <x v="1193"/>
    <n v="7364"/>
    <x v="1"/>
  </r>
  <r>
    <n v="5870"/>
    <s v="Critical"/>
    <n v="0.05"/>
    <n v="16.98"/>
    <x v="75"/>
    <x v="705"/>
    <x v="1"/>
    <x v="705"/>
    <x v="2"/>
    <x v="1"/>
    <x v="0"/>
    <x v="0"/>
    <x v="2"/>
    <x v="704"/>
    <n v="0.56999999999999995"/>
    <n v="-6.2074126590255629E-2"/>
    <s v="United States"/>
    <x v="2"/>
    <x v="22"/>
    <x v="56"/>
    <n v="48227"/>
    <x v="79"/>
    <x v="2"/>
    <x v="0"/>
    <d v="2015-02-16T00:00:00"/>
    <n v="-47.28"/>
    <n v="45"/>
    <x v="1194"/>
    <n v="41636"/>
    <x v="0"/>
  </r>
  <r>
    <n v="5871"/>
    <s v="Critical"/>
    <n v="0.03"/>
    <n v="115.99"/>
    <x v="407"/>
    <x v="705"/>
    <x v="1"/>
    <x v="705"/>
    <x v="2"/>
    <x v="1"/>
    <x v="2"/>
    <x v="5"/>
    <x v="3"/>
    <x v="705"/>
    <n v="0.56000000000000005"/>
    <n v="0.14404286338244182"/>
    <s v="United States"/>
    <x v="2"/>
    <x v="22"/>
    <x v="56"/>
    <n v="48227"/>
    <x v="79"/>
    <x v="2"/>
    <x v="0"/>
    <d v="2015-02-16T00:00:00"/>
    <n v="722.24099999999999"/>
    <n v="49"/>
    <x v="1195"/>
    <n v="41636"/>
    <x v="0"/>
  </r>
  <r>
    <n v="23870"/>
    <s v="Critical"/>
    <n v="0.05"/>
    <n v="16.98"/>
    <x v="75"/>
    <x v="706"/>
    <x v="1"/>
    <x v="706"/>
    <x v="2"/>
    <x v="1"/>
    <x v="0"/>
    <x v="0"/>
    <x v="2"/>
    <x v="704"/>
    <n v="0.56999999999999995"/>
    <n v="-0.86470809388259307"/>
    <s v="United States"/>
    <x v="3"/>
    <x v="24"/>
    <x v="561"/>
    <n v="28560"/>
    <x v="79"/>
    <x v="2"/>
    <x v="0"/>
    <d v="2015-02-16T00:00:00"/>
    <n v="-161"/>
    <n v="11"/>
    <x v="1196"/>
    <n v="90685"/>
    <x v="0"/>
  </r>
  <r>
    <n v="23871"/>
    <s v="Critical"/>
    <n v="0.03"/>
    <n v="115.99"/>
    <x v="407"/>
    <x v="706"/>
    <x v="1"/>
    <x v="706"/>
    <x v="2"/>
    <x v="1"/>
    <x v="2"/>
    <x v="5"/>
    <x v="3"/>
    <x v="705"/>
    <n v="0.56000000000000005"/>
    <n v="0.69088440803296569"/>
    <s v="United States"/>
    <x v="3"/>
    <x v="24"/>
    <x v="561"/>
    <n v="28560"/>
    <x v="79"/>
    <x v="2"/>
    <x v="0"/>
    <d v="2015-02-16T00:00:00"/>
    <n v="848.3646"/>
    <n v="12"/>
    <x v="1197"/>
    <n v="90685"/>
    <x v="0"/>
  </r>
  <r>
    <n v="19112"/>
    <s v="Medium"/>
    <n v="0.03"/>
    <n v="27.48"/>
    <x v="41"/>
    <x v="707"/>
    <x v="1"/>
    <x v="707"/>
    <x v="2"/>
    <x v="2"/>
    <x v="2"/>
    <x v="13"/>
    <x v="3"/>
    <x v="312"/>
    <n v="0.75"/>
    <n v="-0.3011858833101671"/>
    <s v="United States"/>
    <x v="1"/>
    <x v="4"/>
    <x v="562"/>
    <n v="14701"/>
    <x v="74"/>
    <x v="4"/>
    <x v="0"/>
    <d v="2015-04-08T00:00:00"/>
    <n v="-88.840800000000002"/>
    <n v="11"/>
    <x v="1198"/>
    <n v="89175"/>
    <x v="0"/>
  </r>
  <r>
    <n v="19113"/>
    <s v="Medium"/>
    <n v="0.1"/>
    <n v="179.99"/>
    <x v="3"/>
    <x v="707"/>
    <x v="1"/>
    <x v="707"/>
    <x v="2"/>
    <x v="2"/>
    <x v="2"/>
    <x v="13"/>
    <x v="3"/>
    <x v="196"/>
    <n v="0.48"/>
    <n v="0.4918493928113748"/>
    <s v="United States"/>
    <x v="1"/>
    <x v="4"/>
    <x v="562"/>
    <n v="14701"/>
    <x v="74"/>
    <x v="4"/>
    <x v="0"/>
    <d v="2015-04-08T00:00:00"/>
    <n v="1208.9903999999999"/>
    <n v="14"/>
    <x v="1199"/>
    <n v="89175"/>
    <x v="0"/>
  </r>
  <r>
    <n v="19114"/>
    <s v="Medium"/>
    <n v="0.1"/>
    <n v="140.85"/>
    <x v="3"/>
    <x v="707"/>
    <x v="1"/>
    <x v="707"/>
    <x v="2"/>
    <x v="2"/>
    <x v="0"/>
    <x v="10"/>
    <x v="3"/>
    <x v="706"/>
    <n v="0.73"/>
    <n v="4.0519922944337421E-3"/>
    <s v="United States"/>
    <x v="1"/>
    <x v="4"/>
    <x v="562"/>
    <n v="14701"/>
    <x v="74"/>
    <x v="4"/>
    <x v="0"/>
    <d v="2015-04-09T00:00:00"/>
    <n v="9.9911999999999992"/>
    <n v="19"/>
    <x v="1200"/>
    <n v="89175"/>
    <x v="0"/>
  </r>
  <r>
    <n v="23300"/>
    <s v="Critical"/>
    <n v="0.08"/>
    <n v="100.97"/>
    <x v="261"/>
    <x v="708"/>
    <x v="1"/>
    <x v="708"/>
    <x v="2"/>
    <x v="2"/>
    <x v="2"/>
    <x v="13"/>
    <x v="3"/>
    <x v="707"/>
    <n v="0.46"/>
    <n v="0.19411764705882353"/>
    <s v="United States"/>
    <x v="1"/>
    <x v="4"/>
    <x v="444"/>
    <n v="11756"/>
    <x v="175"/>
    <x v="1"/>
    <x v="0"/>
    <d v="2015-06-27T00:00:00"/>
    <n v="126.22500000000001"/>
    <n v="7"/>
    <x v="1201"/>
    <n v="89176"/>
    <x v="0"/>
  </r>
  <r>
    <n v="23301"/>
    <s v="Critical"/>
    <n v="0"/>
    <n v="13.4"/>
    <x v="190"/>
    <x v="708"/>
    <x v="1"/>
    <x v="708"/>
    <x v="2"/>
    <x v="2"/>
    <x v="1"/>
    <x v="2"/>
    <x v="2"/>
    <x v="271"/>
    <n v="0.37"/>
    <n v="0.69"/>
    <s v="United States"/>
    <x v="1"/>
    <x v="4"/>
    <x v="444"/>
    <n v="11756"/>
    <x v="175"/>
    <x v="1"/>
    <x v="0"/>
    <d v="2015-06-27T00:00:00"/>
    <n v="187.7628"/>
    <n v="19"/>
    <x v="1202"/>
    <n v="89176"/>
    <x v="0"/>
  </r>
  <r>
    <n v="26083"/>
    <s v="Not Specified"/>
    <n v="0.03"/>
    <n v="25.98"/>
    <x v="48"/>
    <x v="709"/>
    <x v="1"/>
    <x v="709"/>
    <x v="2"/>
    <x v="2"/>
    <x v="0"/>
    <x v="0"/>
    <x v="2"/>
    <x v="708"/>
    <n v="0.56999999999999995"/>
    <n v="0.69"/>
    <s v="United States"/>
    <x v="1"/>
    <x v="4"/>
    <x v="563"/>
    <n v="11757"/>
    <x v="55"/>
    <x v="3"/>
    <x v="0"/>
    <d v="2015-05-25T00:00:00"/>
    <n v="295.90649999999999"/>
    <n v="16"/>
    <x v="1203"/>
    <n v="89174"/>
    <x v="0"/>
  </r>
  <r>
    <n v="26084"/>
    <s v="Not Specified"/>
    <n v="0.1"/>
    <n v="20.98"/>
    <x v="151"/>
    <x v="709"/>
    <x v="1"/>
    <x v="709"/>
    <x v="1"/>
    <x v="2"/>
    <x v="0"/>
    <x v="10"/>
    <x v="1"/>
    <x v="211"/>
    <n v="0.78"/>
    <n v="-6.1638348805978866"/>
    <s v="United States"/>
    <x v="1"/>
    <x v="4"/>
    <x v="563"/>
    <n v="11757"/>
    <x v="55"/>
    <x v="3"/>
    <x v="0"/>
    <d v="2015-05-22T00:00:00"/>
    <n v="-2111.36"/>
    <n v="16"/>
    <x v="1204"/>
    <n v="89174"/>
    <x v="0"/>
  </r>
  <r>
    <n v="20234"/>
    <s v="Critical"/>
    <n v="0.17"/>
    <n v="14.89"/>
    <x v="408"/>
    <x v="710"/>
    <x v="0"/>
    <x v="710"/>
    <x v="2"/>
    <x v="2"/>
    <x v="1"/>
    <x v="2"/>
    <x v="6"/>
    <x v="709"/>
    <n v="0.57999999999999996"/>
    <n v="-0.32653791130185983"/>
    <s v="United States"/>
    <x v="2"/>
    <x v="3"/>
    <x v="107"/>
    <n v="55420"/>
    <x v="78"/>
    <x v="5"/>
    <x v="0"/>
    <d v="2015-03-27T00:00:00"/>
    <n v="-9.1300000000000008"/>
    <n v="1"/>
    <x v="1205"/>
    <n v="86054"/>
    <x v="0"/>
  </r>
  <r>
    <n v="22259"/>
    <s v="Low"/>
    <n v="0.09"/>
    <n v="160.97999999999999"/>
    <x v="40"/>
    <x v="711"/>
    <x v="1"/>
    <x v="711"/>
    <x v="1"/>
    <x v="1"/>
    <x v="1"/>
    <x v="1"/>
    <x v="1"/>
    <x v="48"/>
    <n v="0.62"/>
    <n v="0.21855960082671916"/>
    <s v="United States"/>
    <x v="2"/>
    <x v="3"/>
    <x v="564"/>
    <n v="55429"/>
    <x v="70"/>
    <x v="0"/>
    <x v="0"/>
    <d v="2015-01-31T00:00:00"/>
    <n v="357.428"/>
    <n v="11"/>
    <x v="1206"/>
    <n v="86050"/>
    <x v="0"/>
  </r>
  <r>
    <n v="22260"/>
    <s v="Low"/>
    <n v="0.09"/>
    <n v="6.3"/>
    <x v="28"/>
    <x v="711"/>
    <x v="1"/>
    <x v="711"/>
    <x v="2"/>
    <x v="1"/>
    <x v="0"/>
    <x v="9"/>
    <x v="3"/>
    <x v="57"/>
    <n v="0.39"/>
    <n v="0.69"/>
    <s v="United States"/>
    <x v="2"/>
    <x v="3"/>
    <x v="564"/>
    <n v="55429"/>
    <x v="70"/>
    <x v="0"/>
    <x v="0"/>
    <d v="2015-01-31T00:00:00"/>
    <n v="40.351199999999992"/>
    <n v="10"/>
    <x v="1207"/>
    <n v="86050"/>
    <x v="0"/>
  </r>
  <r>
    <n v="22261"/>
    <s v="Low"/>
    <n v="0"/>
    <n v="4.9800000000000004"/>
    <x v="134"/>
    <x v="711"/>
    <x v="1"/>
    <x v="711"/>
    <x v="2"/>
    <x v="1"/>
    <x v="0"/>
    <x v="7"/>
    <x v="0"/>
    <x v="177"/>
    <n v="0.36"/>
    <n v="0.69"/>
    <s v="United States"/>
    <x v="2"/>
    <x v="3"/>
    <x v="564"/>
    <n v="55429"/>
    <x v="70"/>
    <x v="0"/>
    <x v="0"/>
    <d v="2015-02-07T00:00:00"/>
    <n v="27.634499999999996"/>
    <n v="8"/>
    <x v="1208"/>
    <n v="86050"/>
    <x v="0"/>
  </r>
  <r>
    <n v="23919"/>
    <s v="Low"/>
    <n v="0.08"/>
    <n v="145.44999999999999"/>
    <x v="258"/>
    <x v="712"/>
    <x v="1"/>
    <x v="712"/>
    <x v="1"/>
    <x v="1"/>
    <x v="2"/>
    <x v="6"/>
    <x v="1"/>
    <x v="390"/>
    <n v="0.56000000000000005"/>
    <n v="0.67245852942755402"/>
    <s v="United States"/>
    <x v="2"/>
    <x v="3"/>
    <x v="565"/>
    <n v="55445"/>
    <x v="128"/>
    <x v="2"/>
    <x v="0"/>
    <d v="2015-02-04T00:00:00"/>
    <n v="751.58"/>
    <n v="8"/>
    <x v="1209"/>
    <n v="86051"/>
    <x v="0"/>
  </r>
  <r>
    <n v="22595"/>
    <s v="Critical"/>
    <n v="0.03"/>
    <n v="399.98"/>
    <x v="63"/>
    <x v="712"/>
    <x v="1"/>
    <x v="712"/>
    <x v="1"/>
    <x v="1"/>
    <x v="2"/>
    <x v="6"/>
    <x v="5"/>
    <x v="79"/>
    <n v="0.56000000000000005"/>
    <n v="-0.82219851301115232"/>
    <s v="United States"/>
    <x v="2"/>
    <x v="3"/>
    <x v="565"/>
    <n v="55445"/>
    <x v="148"/>
    <x v="0"/>
    <x v="0"/>
    <d v="2015-01-06T00:00:00"/>
    <n v="-663.51419999999996"/>
    <n v="2"/>
    <x v="1210"/>
    <n v="86052"/>
    <x v="0"/>
  </r>
  <r>
    <n v="23920"/>
    <s v="Low"/>
    <n v="7.0000000000000007E-2"/>
    <n v="33.94"/>
    <x v="409"/>
    <x v="713"/>
    <x v="1"/>
    <x v="713"/>
    <x v="1"/>
    <x v="1"/>
    <x v="1"/>
    <x v="1"/>
    <x v="1"/>
    <x v="362"/>
    <n v="0.57999999999999996"/>
    <n v="-0.92977693851056298"/>
    <s v="United States"/>
    <x v="2"/>
    <x v="3"/>
    <x v="566"/>
    <n v="55337"/>
    <x v="128"/>
    <x v="2"/>
    <x v="0"/>
    <d v="2015-02-08T00:00:00"/>
    <n v="-157.56"/>
    <n v="5"/>
    <x v="1211"/>
    <n v="86051"/>
    <x v="0"/>
  </r>
  <r>
    <n v="24434"/>
    <s v="Critical"/>
    <n v="0.04"/>
    <n v="296.18"/>
    <x v="410"/>
    <x v="713"/>
    <x v="1"/>
    <x v="713"/>
    <x v="1"/>
    <x v="3"/>
    <x v="1"/>
    <x v="11"/>
    <x v="5"/>
    <x v="37"/>
    <n v="0.76"/>
    <n v="-1.525593087522451E-2"/>
    <s v="United States"/>
    <x v="2"/>
    <x v="3"/>
    <x v="566"/>
    <n v="55337"/>
    <x v="104"/>
    <x v="2"/>
    <x v="0"/>
    <d v="2015-02-11T00:00:00"/>
    <n v="-87.998040000000003"/>
    <n v="20"/>
    <x v="1212"/>
    <n v="86053"/>
    <x v="0"/>
  </r>
  <r>
    <n v="18164"/>
    <s v="High"/>
    <n v="0.03"/>
    <n v="28.48"/>
    <x v="45"/>
    <x v="714"/>
    <x v="1"/>
    <x v="714"/>
    <x v="2"/>
    <x v="3"/>
    <x v="2"/>
    <x v="13"/>
    <x v="2"/>
    <x v="137"/>
    <n v="0.4"/>
    <n v="-0.63874027149321266"/>
    <s v="United States"/>
    <x v="2"/>
    <x v="25"/>
    <x v="567"/>
    <n v="50501"/>
    <x v="99"/>
    <x v="0"/>
    <x v="0"/>
    <d v="2015-01-06T00:00:00"/>
    <n v="-35.290399999999998"/>
    <n v="2"/>
    <x v="1213"/>
    <n v="86258"/>
    <x v="0"/>
  </r>
  <r>
    <n v="18165"/>
    <s v="High"/>
    <n v="0.01"/>
    <n v="205.99"/>
    <x v="165"/>
    <x v="714"/>
    <x v="1"/>
    <x v="714"/>
    <x v="2"/>
    <x v="3"/>
    <x v="2"/>
    <x v="5"/>
    <x v="3"/>
    <x v="710"/>
    <n v="0.59"/>
    <n v="-0.13585065853924022"/>
    <s v="United States"/>
    <x v="2"/>
    <x v="25"/>
    <x v="567"/>
    <n v="50501"/>
    <x v="99"/>
    <x v="0"/>
    <x v="0"/>
    <d v="2015-01-07T00:00:00"/>
    <n v="-74.883600000000001"/>
    <n v="3"/>
    <x v="1214"/>
    <n v="86258"/>
    <x v="0"/>
  </r>
  <r>
    <n v="23317"/>
    <s v="Low"/>
    <n v="0.06"/>
    <n v="6.98"/>
    <x v="230"/>
    <x v="715"/>
    <x v="0"/>
    <x v="715"/>
    <x v="2"/>
    <x v="1"/>
    <x v="0"/>
    <x v="7"/>
    <x v="0"/>
    <x v="344"/>
    <n v="0.38"/>
    <n v="-1.1683069224353628"/>
    <s v="United States"/>
    <x v="3"/>
    <x v="29"/>
    <x v="568"/>
    <n v="30337"/>
    <x v="46"/>
    <x v="0"/>
    <x v="0"/>
    <d v="2015-01-29T00:00:00"/>
    <n v="-98.056000000000012"/>
    <n v="12"/>
    <x v="1215"/>
    <n v="88030"/>
    <x v="0"/>
  </r>
  <r>
    <n v="19914"/>
    <s v="Not Specified"/>
    <n v="0.08"/>
    <n v="95.99"/>
    <x v="97"/>
    <x v="716"/>
    <x v="0"/>
    <x v="716"/>
    <x v="0"/>
    <x v="1"/>
    <x v="0"/>
    <x v="10"/>
    <x v="6"/>
    <x v="711"/>
    <m/>
    <n v="-2.1931524654425418"/>
    <s v="United States"/>
    <x v="1"/>
    <x v="30"/>
    <x v="569"/>
    <n v="20715"/>
    <x v="167"/>
    <x v="0"/>
    <x v="0"/>
    <d v="2015-01-03T00:00:00"/>
    <n v="-425.20840000000004"/>
    <n v="2"/>
    <x v="1216"/>
    <n v="88028"/>
    <x v="0"/>
  </r>
  <r>
    <n v="24756"/>
    <s v="High"/>
    <n v="0.09"/>
    <n v="199.99"/>
    <x v="65"/>
    <x v="717"/>
    <x v="0"/>
    <x v="717"/>
    <x v="0"/>
    <x v="1"/>
    <x v="2"/>
    <x v="16"/>
    <x v="6"/>
    <x v="495"/>
    <n v="0.46"/>
    <n v="0.63754607422368093"/>
    <s v="United States"/>
    <x v="1"/>
    <x v="30"/>
    <x v="570"/>
    <n v="21228"/>
    <x v="47"/>
    <x v="4"/>
    <x v="0"/>
    <d v="2015-04-21T00:00:00"/>
    <n v="631.33000000000004"/>
    <n v="5"/>
    <x v="1217"/>
    <n v="88029"/>
    <x v="0"/>
  </r>
  <r>
    <n v="23512"/>
    <s v="Low"/>
    <n v="7.0000000000000007E-2"/>
    <n v="3.28"/>
    <x v="240"/>
    <x v="718"/>
    <x v="0"/>
    <x v="718"/>
    <x v="2"/>
    <x v="0"/>
    <x v="0"/>
    <x v="0"/>
    <x v="0"/>
    <x v="365"/>
    <n v="0.56000000000000005"/>
    <n v="-1.5024390243902439"/>
    <s v="United States"/>
    <x v="1"/>
    <x v="10"/>
    <x v="571"/>
    <n v="44646"/>
    <x v="96"/>
    <x v="1"/>
    <x v="0"/>
    <d v="2015-06-23T00:00:00"/>
    <n v="-22.175999999999998"/>
    <n v="4"/>
    <x v="1218"/>
    <n v="90314"/>
    <x v="0"/>
  </r>
  <r>
    <n v="23513"/>
    <s v="Low"/>
    <n v="0.02"/>
    <n v="256.99"/>
    <x v="302"/>
    <x v="719"/>
    <x v="1"/>
    <x v="719"/>
    <x v="2"/>
    <x v="0"/>
    <x v="2"/>
    <x v="13"/>
    <x v="3"/>
    <x v="476"/>
    <n v="0.51"/>
    <n v="-0.26483598040670919"/>
    <s v="United States"/>
    <x v="1"/>
    <x v="10"/>
    <x v="572"/>
    <n v="44256"/>
    <x v="96"/>
    <x v="1"/>
    <x v="0"/>
    <d v="2015-06-30T00:00:00"/>
    <n v="-214.10399999999998"/>
    <n v="3"/>
    <x v="1219"/>
    <n v="90314"/>
    <x v="0"/>
  </r>
  <r>
    <n v="23514"/>
    <s v="Low"/>
    <n v="0.01"/>
    <n v="6.48"/>
    <x v="209"/>
    <x v="719"/>
    <x v="1"/>
    <x v="719"/>
    <x v="2"/>
    <x v="0"/>
    <x v="0"/>
    <x v="7"/>
    <x v="3"/>
    <x v="339"/>
    <n v="0.37"/>
    <n v="-0.39958463136033229"/>
    <s v="United States"/>
    <x v="1"/>
    <x v="10"/>
    <x v="572"/>
    <n v="44256"/>
    <x v="96"/>
    <x v="1"/>
    <x v="0"/>
    <d v="2015-06-25T00:00:00"/>
    <n v="-26.936"/>
    <n v="10"/>
    <x v="1220"/>
    <n v="90314"/>
    <x v="0"/>
  </r>
  <r>
    <n v="22712"/>
    <s v="Low"/>
    <n v="0.09"/>
    <n v="14.2"/>
    <x v="98"/>
    <x v="720"/>
    <x v="0"/>
    <x v="720"/>
    <x v="2"/>
    <x v="3"/>
    <x v="1"/>
    <x v="2"/>
    <x v="0"/>
    <x v="257"/>
    <n v="0.46"/>
    <n v="-5.8956063907044305"/>
    <s v="United States"/>
    <x v="3"/>
    <x v="26"/>
    <x v="573"/>
    <n v="34787"/>
    <x v="136"/>
    <x v="2"/>
    <x v="0"/>
    <d v="2015-03-01T00:00:00"/>
    <n v="-324.73"/>
    <n v="4"/>
    <x v="1221"/>
    <n v="91036"/>
    <x v="0"/>
  </r>
  <r>
    <n v="24113"/>
    <s v="Critical"/>
    <n v="0"/>
    <n v="100.89"/>
    <x v="411"/>
    <x v="721"/>
    <x v="0"/>
    <x v="721"/>
    <x v="1"/>
    <x v="2"/>
    <x v="1"/>
    <x v="1"/>
    <x v="1"/>
    <x v="712"/>
    <n v="0.61"/>
    <n v="0.93284663362580922"/>
    <s v="United States"/>
    <x v="0"/>
    <x v="27"/>
    <x v="574"/>
    <n v="88240"/>
    <x v="54"/>
    <x v="2"/>
    <x v="0"/>
    <d v="2015-02-22T00:00:00"/>
    <n v="1500.12"/>
    <n v="15"/>
    <x v="1222"/>
    <n v="89970"/>
    <x v="0"/>
  </r>
  <r>
    <n v="18820"/>
    <s v="Low"/>
    <n v="0.01"/>
    <n v="13.43"/>
    <x v="57"/>
    <x v="722"/>
    <x v="0"/>
    <x v="722"/>
    <x v="0"/>
    <x v="0"/>
    <x v="0"/>
    <x v="10"/>
    <x v="3"/>
    <x v="599"/>
    <n v="0.56999999999999995"/>
    <n v="-3.1380631578947371"/>
    <s v="United States"/>
    <x v="3"/>
    <x v="26"/>
    <x v="575"/>
    <n v="33801"/>
    <x v="34"/>
    <x v="4"/>
    <x v="0"/>
    <d v="2015-04-13T00:00:00"/>
    <n v="-313.02180000000004"/>
    <n v="7"/>
    <x v="1223"/>
    <n v="89102"/>
    <x v="0"/>
  </r>
  <r>
    <n v="24121"/>
    <s v="Low"/>
    <n v="0"/>
    <n v="2.08"/>
    <x v="183"/>
    <x v="723"/>
    <x v="0"/>
    <x v="723"/>
    <x v="2"/>
    <x v="1"/>
    <x v="1"/>
    <x v="2"/>
    <x v="3"/>
    <x v="261"/>
    <n v="0.43"/>
    <n v="-3.7454425209103293"/>
    <s v="United States"/>
    <x v="1"/>
    <x v="19"/>
    <x v="576"/>
    <n v="16801"/>
    <x v="53"/>
    <x v="4"/>
    <x v="0"/>
    <d v="2015-04-20T00:00:00"/>
    <n v="-192.5532"/>
    <n v="22"/>
    <x v="1224"/>
    <n v="86699"/>
    <x v="0"/>
  </r>
  <r>
    <n v="25440"/>
    <s v="Low"/>
    <n v="0.1"/>
    <n v="6.3"/>
    <x v="28"/>
    <x v="724"/>
    <x v="1"/>
    <x v="724"/>
    <x v="2"/>
    <x v="0"/>
    <x v="0"/>
    <x v="9"/>
    <x v="3"/>
    <x v="421"/>
    <n v="0.39"/>
    <n v="-6.7561408614668226"/>
    <s v="United States"/>
    <x v="3"/>
    <x v="35"/>
    <x v="577"/>
    <n v="42003"/>
    <x v="39"/>
    <x v="0"/>
    <x v="0"/>
    <d v="2015-02-01T00:00:00"/>
    <n v="-464.28200000000004"/>
    <n v="12"/>
    <x v="1225"/>
    <n v="89278"/>
    <x v="0"/>
  </r>
  <r>
    <n v="20639"/>
    <s v="High"/>
    <n v="0.1"/>
    <n v="48.91"/>
    <x v="412"/>
    <x v="724"/>
    <x v="1"/>
    <x v="724"/>
    <x v="2"/>
    <x v="0"/>
    <x v="0"/>
    <x v="7"/>
    <x v="3"/>
    <x v="713"/>
    <n v="0.38"/>
    <n v="0.25323671965878242"/>
    <s v="United States"/>
    <x v="3"/>
    <x v="35"/>
    <x v="577"/>
    <n v="42003"/>
    <x v="65"/>
    <x v="4"/>
    <x v="0"/>
    <d v="2015-04-30T00:00:00"/>
    <n v="156.74339999999998"/>
    <n v="14"/>
    <x v="1226"/>
    <n v="89279"/>
    <x v="0"/>
  </r>
  <r>
    <n v="20640"/>
    <s v="High"/>
    <n v="0.08"/>
    <n v="5.98"/>
    <x v="253"/>
    <x v="724"/>
    <x v="1"/>
    <x v="724"/>
    <x v="2"/>
    <x v="0"/>
    <x v="0"/>
    <x v="7"/>
    <x v="3"/>
    <x v="381"/>
    <n v="0.36"/>
    <n v="1.42014444157854"/>
    <s v="United States"/>
    <x v="3"/>
    <x v="35"/>
    <x v="577"/>
    <n v="42003"/>
    <x v="65"/>
    <x v="4"/>
    <x v="0"/>
    <d v="2015-04-28T00:00:00"/>
    <n v="110.11799999999999"/>
    <n v="13"/>
    <x v="1227"/>
    <n v="89279"/>
    <x v="0"/>
  </r>
  <r>
    <n v="19054"/>
    <s v="Critical"/>
    <n v="7.0000000000000007E-2"/>
    <n v="60.97"/>
    <x v="60"/>
    <x v="725"/>
    <x v="1"/>
    <x v="725"/>
    <x v="0"/>
    <x v="0"/>
    <x v="0"/>
    <x v="15"/>
    <x v="3"/>
    <x v="714"/>
    <n v="0.56000000000000005"/>
    <n v="-0.11773747650116111"/>
    <s v="United States"/>
    <x v="3"/>
    <x v="24"/>
    <x v="561"/>
    <n v="28560"/>
    <x v="22"/>
    <x v="0"/>
    <x v="0"/>
    <d v="2015-01-04T00:00:00"/>
    <n v="-42.588000000000001"/>
    <n v="6"/>
    <x v="1228"/>
    <n v="87963"/>
    <x v="0"/>
  </r>
  <r>
    <n v="18652"/>
    <s v="Medium"/>
    <n v="7.0000000000000007E-2"/>
    <n v="70.98"/>
    <x v="40"/>
    <x v="725"/>
    <x v="1"/>
    <x v="725"/>
    <x v="1"/>
    <x v="0"/>
    <x v="1"/>
    <x v="1"/>
    <x v="1"/>
    <x v="715"/>
    <n v="0.73"/>
    <n v="-0.1623260792008562"/>
    <s v="United States"/>
    <x v="3"/>
    <x v="24"/>
    <x v="561"/>
    <n v="28560"/>
    <x v="120"/>
    <x v="5"/>
    <x v="0"/>
    <d v="2015-03-26T00:00:00"/>
    <n v="-222.95"/>
    <n v="20"/>
    <x v="1229"/>
    <n v="87964"/>
    <x v="0"/>
  </r>
  <r>
    <n v="21937"/>
    <s v="High"/>
    <n v="0.06"/>
    <n v="6.68"/>
    <x v="11"/>
    <x v="726"/>
    <x v="0"/>
    <x v="726"/>
    <x v="2"/>
    <x v="0"/>
    <x v="0"/>
    <x v="7"/>
    <x v="3"/>
    <x v="716"/>
    <n v="0.37"/>
    <n v="8.2947127937336801E-2"/>
    <s v="United States"/>
    <x v="3"/>
    <x v="24"/>
    <x v="578"/>
    <n v="27604"/>
    <x v="20"/>
    <x v="1"/>
    <x v="0"/>
    <d v="2015-06-13T00:00:00"/>
    <n v="7.6244999999999994"/>
    <n v="14"/>
    <x v="1230"/>
    <n v="87965"/>
    <x v="0"/>
  </r>
  <r>
    <n v="26361"/>
    <s v="Low"/>
    <n v="0.01"/>
    <n v="7.64"/>
    <x v="49"/>
    <x v="727"/>
    <x v="1"/>
    <x v="727"/>
    <x v="0"/>
    <x v="0"/>
    <x v="0"/>
    <x v="4"/>
    <x v="3"/>
    <x v="448"/>
    <n v="0.36"/>
    <n v="-22.876408787010501"/>
    <s v="United States"/>
    <x v="3"/>
    <x v="24"/>
    <x v="579"/>
    <n v="27801"/>
    <x v="156"/>
    <x v="5"/>
    <x v="0"/>
    <d v="2015-03-13T00:00:00"/>
    <n v="-1676.6119999999999"/>
    <n v="9"/>
    <x v="1231"/>
    <n v="87962"/>
    <x v="0"/>
  </r>
  <r>
    <n v="26362"/>
    <s v="Low"/>
    <n v="7.0000000000000007E-2"/>
    <n v="400.97"/>
    <x v="295"/>
    <x v="727"/>
    <x v="1"/>
    <x v="727"/>
    <x v="1"/>
    <x v="0"/>
    <x v="2"/>
    <x v="6"/>
    <x v="5"/>
    <x v="460"/>
    <n v="0.36"/>
    <n v="1.5239082571285775E-2"/>
    <s v="United States"/>
    <x v="3"/>
    <x v="24"/>
    <x v="579"/>
    <n v="27801"/>
    <x v="156"/>
    <x v="5"/>
    <x v="0"/>
    <d v="2015-03-13T00:00:00"/>
    <n v="45.127799999999993"/>
    <n v="8"/>
    <x v="1232"/>
    <n v="87962"/>
    <x v="0"/>
  </r>
  <r>
    <n v="20187"/>
    <s v="Critical"/>
    <n v="0.02"/>
    <n v="4.9800000000000004"/>
    <x v="243"/>
    <x v="728"/>
    <x v="1"/>
    <x v="728"/>
    <x v="2"/>
    <x v="0"/>
    <x v="0"/>
    <x v="9"/>
    <x v="3"/>
    <x v="509"/>
    <n v="0.39"/>
    <n v="-0.60686488348065659"/>
    <s v="United States"/>
    <x v="3"/>
    <x v="29"/>
    <x v="580"/>
    <n v="30161"/>
    <x v="2"/>
    <x v="2"/>
    <x v="0"/>
    <d v="2015-02-16T00:00:00"/>
    <n v="-52.863999999999997"/>
    <n v="17"/>
    <x v="1233"/>
    <n v="89601"/>
    <x v="0"/>
  </r>
  <r>
    <n v="20188"/>
    <s v="Critical"/>
    <n v="0.01"/>
    <n v="20.99"/>
    <x v="90"/>
    <x v="728"/>
    <x v="1"/>
    <x v="728"/>
    <x v="2"/>
    <x v="0"/>
    <x v="2"/>
    <x v="5"/>
    <x v="2"/>
    <x v="717"/>
    <n v="0.83"/>
    <n v="0.26620908130939808"/>
    <s v="United States"/>
    <x v="3"/>
    <x v="29"/>
    <x v="580"/>
    <n v="30161"/>
    <x v="2"/>
    <x v="2"/>
    <x v="0"/>
    <d v="2015-02-16T00:00:00"/>
    <n v="45.378"/>
    <n v="9"/>
    <x v="1234"/>
    <n v="89601"/>
    <x v="0"/>
  </r>
  <r>
    <n v="19569"/>
    <s v="High"/>
    <n v="0.08"/>
    <n v="4.9800000000000004"/>
    <x v="243"/>
    <x v="728"/>
    <x v="1"/>
    <x v="728"/>
    <x v="2"/>
    <x v="0"/>
    <x v="0"/>
    <x v="9"/>
    <x v="3"/>
    <x v="509"/>
    <n v="0.39"/>
    <n v="999.98303030303032"/>
    <s v="United States"/>
    <x v="3"/>
    <x v="29"/>
    <x v="580"/>
    <n v="30161"/>
    <x v="109"/>
    <x v="4"/>
    <x v="0"/>
    <d v="2015-04-22T00:00:00"/>
    <n v="4949.9160000000002"/>
    <n v="1"/>
    <x v="1235"/>
    <n v="89602"/>
    <x v="0"/>
  </r>
  <r>
    <n v="19570"/>
    <s v="High"/>
    <n v="0.09"/>
    <n v="119.99"/>
    <x v="216"/>
    <x v="728"/>
    <x v="1"/>
    <x v="728"/>
    <x v="1"/>
    <x v="0"/>
    <x v="2"/>
    <x v="6"/>
    <x v="1"/>
    <x v="319"/>
    <n v="0.36"/>
    <n v="2.288621975544185"/>
    <s v="United States"/>
    <x v="3"/>
    <x v="29"/>
    <x v="580"/>
    <n v="30161"/>
    <x v="109"/>
    <x v="4"/>
    <x v="0"/>
    <d v="2015-04-23T00:00:00"/>
    <n v="1055.6039999999998"/>
    <n v="4"/>
    <x v="1236"/>
    <n v="89602"/>
    <x v="0"/>
  </r>
  <r>
    <n v="18142"/>
    <s v="Not Specified"/>
    <n v="0.09"/>
    <n v="207.48"/>
    <x v="90"/>
    <x v="729"/>
    <x v="0"/>
    <x v="729"/>
    <x v="2"/>
    <x v="0"/>
    <x v="0"/>
    <x v="15"/>
    <x v="3"/>
    <x v="718"/>
    <n v="0.55000000000000004"/>
    <n v="0.62281263522284724"/>
    <s v="United States"/>
    <x v="2"/>
    <x v="33"/>
    <x v="581"/>
    <n v="64804"/>
    <x v="161"/>
    <x v="0"/>
    <x v="0"/>
    <d v="2015-01-29T00:00:00"/>
    <n v="359.83"/>
    <n v="3"/>
    <x v="1237"/>
    <n v="86611"/>
    <x v="0"/>
  </r>
  <r>
    <n v="19171"/>
    <s v="Critical"/>
    <n v="0.1"/>
    <n v="7.45"/>
    <x v="127"/>
    <x v="730"/>
    <x v="1"/>
    <x v="730"/>
    <x v="2"/>
    <x v="0"/>
    <x v="0"/>
    <x v="8"/>
    <x v="3"/>
    <x v="719"/>
    <n v="0.4"/>
    <n v="-1.1763299663299662"/>
    <s v="United States"/>
    <x v="2"/>
    <x v="33"/>
    <x v="582"/>
    <n v="64130"/>
    <x v="134"/>
    <x v="0"/>
    <x v="0"/>
    <d v="2015-02-01T00:00:00"/>
    <n v="-69.873999999999995"/>
    <n v="8"/>
    <x v="1238"/>
    <n v="86612"/>
    <x v="0"/>
  </r>
  <r>
    <n v="19172"/>
    <s v="Critical"/>
    <n v="0.01"/>
    <n v="6.48"/>
    <x v="265"/>
    <x v="730"/>
    <x v="1"/>
    <x v="730"/>
    <x v="2"/>
    <x v="0"/>
    <x v="0"/>
    <x v="7"/>
    <x v="3"/>
    <x v="405"/>
    <n v="0.37"/>
    <n v="-2.0424315377670781"/>
    <s v="United States"/>
    <x v="2"/>
    <x v="33"/>
    <x v="582"/>
    <n v="64130"/>
    <x v="134"/>
    <x v="0"/>
    <x v="0"/>
    <d v="2015-01-31T00:00:00"/>
    <n v="-135.74"/>
    <n v="10"/>
    <x v="1239"/>
    <n v="86612"/>
    <x v="0"/>
  </r>
  <r>
    <n v="25996"/>
    <s v="Critical"/>
    <n v="0.02"/>
    <n v="11.33"/>
    <x v="413"/>
    <x v="731"/>
    <x v="1"/>
    <x v="731"/>
    <x v="2"/>
    <x v="0"/>
    <x v="0"/>
    <x v="15"/>
    <x v="4"/>
    <x v="720"/>
    <n v="0.42"/>
    <n v="-0.41074964639321071"/>
    <s v="United States"/>
    <x v="2"/>
    <x v="33"/>
    <x v="583"/>
    <n v="63122"/>
    <x v="66"/>
    <x v="3"/>
    <x v="0"/>
    <d v="2015-05-28T00:00:00"/>
    <n v="-14.52"/>
    <n v="3"/>
    <x v="1240"/>
    <n v="86610"/>
    <x v="0"/>
  </r>
  <r>
    <n v="25997"/>
    <s v="Critical"/>
    <n v="0.01"/>
    <n v="15.67"/>
    <x v="49"/>
    <x v="731"/>
    <x v="1"/>
    <x v="731"/>
    <x v="2"/>
    <x v="0"/>
    <x v="0"/>
    <x v="4"/>
    <x v="3"/>
    <x v="598"/>
    <n v="0.38"/>
    <n v="0.69"/>
    <s v="United States"/>
    <x v="2"/>
    <x v="33"/>
    <x v="583"/>
    <n v="63122"/>
    <x v="66"/>
    <x v="3"/>
    <x v="0"/>
    <d v="2015-05-27T00:00:00"/>
    <n v="171.26489999999998"/>
    <n v="16"/>
    <x v="1241"/>
    <n v="86610"/>
    <x v="0"/>
  </r>
  <r>
    <n v="19072"/>
    <s v="Low"/>
    <n v="0.08"/>
    <n v="259.70999999999998"/>
    <x v="87"/>
    <x v="732"/>
    <x v="0"/>
    <x v="732"/>
    <x v="1"/>
    <x v="2"/>
    <x v="1"/>
    <x v="11"/>
    <x v="5"/>
    <x v="112"/>
    <n v="0.61"/>
    <n v="3.3824054814633547E-2"/>
    <s v="United States"/>
    <x v="3"/>
    <x v="26"/>
    <x v="584"/>
    <n v="34639"/>
    <x v="26"/>
    <x v="1"/>
    <x v="0"/>
    <d v="2015-06-07T00:00:00"/>
    <n v="138.22199999999998"/>
    <n v="17"/>
    <x v="1242"/>
    <n v="89571"/>
    <x v="0"/>
  </r>
  <r>
    <n v="23963"/>
    <s v="Low"/>
    <n v="0.01"/>
    <n v="20.48"/>
    <x v="381"/>
    <x v="733"/>
    <x v="1"/>
    <x v="733"/>
    <x v="2"/>
    <x v="2"/>
    <x v="0"/>
    <x v="15"/>
    <x v="3"/>
    <x v="656"/>
    <n v="0.57999999999999996"/>
    <n v="1.8965010799136068"/>
    <s v="United States"/>
    <x v="3"/>
    <x v="39"/>
    <x v="585"/>
    <n v="29662"/>
    <x v="92"/>
    <x v="2"/>
    <x v="0"/>
    <d v="2015-02-08T00:00:00"/>
    <n v="711.24479999999994"/>
    <n v="18"/>
    <x v="1243"/>
    <n v="89572"/>
    <x v="0"/>
  </r>
  <r>
    <n v="23964"/>
    <s v="Low"/>
    <n v="0.09"/>
    <n v="1.86"/>
    <x v="74"/>
    <x v="733"/>
    <x v="1"/>
    <x v="733"/>
    <x v="2"/>
    <x v="2"/>
    <x v="0"/>
    <x v="3"/>
    <x v="0"/>
    <x v="96"/>
    <n v="0.82"/>
    <n v="-49.065896119402993"/>
    <s v="United States"/>
    <x v="3"/>
    <x v="39"/>
    <x v="585"/>
    <n v="29662"/>
    <x v="92"/>
    <x v="2"/>
    <x v="0"/>
    <d v="2015-02-11T00:00:00"/>
    <n v="-1084.8469632000001"/>
    <n v="12"/>
    <x v="1244"/>
    <n v="89572"/>
    <x v="0"/>
  </r>
  <r>
    <n v="23965"/>
    <s v="Low"/>
    <n v="0.08"/>
    <n v="205.99"/>
    <x v="10"/>
    <x v="733"/>
    <x v="1"/>
    <x v="733"/>
    <x v="2"/>
    <x v="2"/>
    <x v="2"/>
    <x v="5"/>
    <x v="3"/>
    <x v="721"/>
    <n v="0.59"/>
    <n v="-5.4522753751717182E-2"/>
    <s v="United States"/>
    <x v="3"/>
    <x v="39"/>
    <x v="585"/>
    <n v="29662"/>
    <x v="92"/>
    <x v="2"/>
    <x v="0"/>
    <d v="2015-02-11T00:00:00"/>
    <n v="-156.77199999999999"/>
    <n v="17"/>
    <x v="1245"/>
    <n v="89572"/>
    <x v="0"/>
  </r>
  <r>
    <n v="19438"/>
    <s v="High"/>
    <n v="0.08"/>
    <n v="15.73"/>
    <x v="414"/>
    <x v="734"/>
    <x v="0"/>
    <x v="734"/>
    <x v="0"/>
    <x v="0"/>
    <x v="0"/>
    <x v="12"/>
    <x v="2"/>
    <x v="722"/>
    <n v="0.56000000000000005"/>
    <n v="-0.48155737704918034"/>
    <s v="United States"/>
    <x v="2"/>
    <x v="7"/>
    <x v="586"/>
    <n v="76543"/>
    <x v="44"/>
    <x v="5"/>
    <x v="0"/>
    <d v="2015-03-18T00:00:00"/>
    <n v="-37.6"/>
    <n v="5"/>
    <x v="1246"/>
    <n v="90110"/>
    <x v="0"/>
  </r>
  <r>
    <n v="23416"/>
    <s v="Low"/>
    <n v="0.04"/>
    <n v="120.98"/>
    <x v="196"/>
    <x v="735"/>
    <x v="1"/>
    <x v="735"/>
    <x v="2"/>
    <x v="0"/>
    <x v="0"/>
    <x v="15"/>
    <x v="3"/>
    <x v="723"/>
    <n v="0.6"/>
    <n v="0.69"/>
    <s v="United States"/>
    <x v="2"/>
    <x v="7"/>
    <x v="587"/>
    <n v="78550"/>
    <x v="130"/>
    <x v="3"/>
    <x v="0"/>
    <d v="2015-05-05T00:00:00"/>
    <n v="1389.5771999999999"/>
    <n v="17"/>
    <x v="1247"/>
    <n v="90109"/>
    <x v="0"/>
  </r>
  <r>
    <n v="23417"/>
    <s v="Low"/>
    <n v="0.02"/>
    <n v="55.99"/>
    <x v="104"/>
    <x v="735"/>
    <x v="1"/>
    <x v="735"/>
    <x v="2"/>
    <x v="0"/>
    <x v="2"/>
    <x v="5"/>
    <x v="2"/>
    <x v="134"/>
    <n v="0.83"/>
    <n v="-1.1067752831313333"/>
    <s v="United States"/>
    <x v="2"/>
    <x v="7"/>
    <x v="587"/>
    <n v="78550"/>
    <x v="130"/>
    <x v="3"/>
    <x v="0"/>
    <d v="2015-05-05T00:00:00"/>
    <n v="-222.816"/>
    <n v="4"/>
    <x v="1248"/>
    <n v="90109"/>
    <x v="0"/>
  </r>
  <r>
    <n v="23418"/>
    <s v="Low"/>
    <n v="0.05"/>
    <n v="23.99"/>
    <x v="415"/>
    <x v="736"/>
    <x v="0"/>
    <x v="736"/>
    <x v="1"/>
    <x v="0"/>
    <x v="1"/>
    <x v="2"/>
    <x v="1"/>
    <x v="724"/>
    <n v="0.62"/>
    <n v="-0.44792469264011259"/>
    <s v="United States"/>
    <x v="2"/>
    <x v="7"/>
    <x v="588"/>
    <n v="77036"/>
    <x v="130"/>
    <x v="3"/>
    <x v="0"/>
    <d v="2015-05-09T00:00:00"/>
    <n v="-133.71"/>
    <n v="12"/>
    <x v="1249"/>
    <n v="90109"/>
    <x v="0"/>
  </r>
  <r>
    <n v="24552"/>
    <s v="Not Specified"/>
    <n v="0.01"/>
    <n v="195.99"/>
    <x v="20"/>
    <x v="737"/>
    <x v="0"/>
    <x v="737"/>
    <x v="2"/>
    <x v="3"/>
    <x v="2"/>
    <x v="5"/>
    <x v="3"/>
    <x v="258"/>
    <n v="0.6"/>
    <n v="0.69"/>
    <s v="United States"/>
    <x v="1"/>
    <x v="4"/>
    <x v="589"/>
    <n v="14304"/>
    <x v="133"/>
    <x v="1"/>
    <x v="0"/>
    <d v="2015-06-30T00:00:00"/>
    <n v="2653.7813999999998"/>
    <n v="22"/>
    <x v="1250"/>
    <n v="91502"/>
    <x v="0"/>
  </r>
  <r>
    <n v="23572"/>
    <s v="Low"/>
    <n v="0.04"/>
    <n v="4.4800000000000004"/>
    <x v="10"/>
    <x v="738"/>
    <x v="0"/>
    <x v="738"/>
    <x v="0"/>
    <x v="1"/>
    <x v="0"/>
    <x v="4"/>
    <x v="3"/>
    <x v="409"/>
    <n v="0.37"/>
    <n v="0.28722516003339826"/>
    <s v="United States"/>
    <x v="1"/>
    <x v="19"/>
    <x v="590"/>
    <n v="15601"/>
    <x v="33"/>
    <x v="1"/>
    <x v="0"/>
    <d v="2015-06-26T00:00:00"/>
    <n v="10.32"/>
    <n v="7"/>
    <x v="1251"/>
    <n v="85949"/>
    <x v="0"/>
  </r>
  <r>
    <n v="19615"/>
    <s v="Not Specified"/>
    <n v="0.08"/>
    <n v="205.99"/>
    <x v="10"/>
    <x v="739"/>
    <x v="0"/>
    <x v="739"/>
    <x v="2"/>
    <x v="1"/>
    <x v="2"/>
    <x v="5"/>
    <x v="3"/>
    <x v="721"/>
    <n v="0.59"/>
    <n v="0.61916853318765375"/>
    <s v="United States"/>
    <x v="2"/>
    <x v="45"/>
    <x v="591"/>
    <n v="54703"/>
    <x v="39"/>
    <x v="0"/>
    <x v="0"/>
    <d v="2015-01-28T00:00:00"/>
    <n v="997.38144000000011"/>
    <n v="10"/>
    <x v="1252"/>
    <n v="85948"/>
    <x v="0"/>
  </r>
  <r>
    <n v="21260"/>
    <s v="Medium"/>
    <n v="0.04"/>
    <n v="5.98"/>
    <x v="24"/>
    <x v="740"/>
    <x v="0"/>
    <x v="740"/>
    <x v="2"/>
    <x v="1"/>
    <x v="0"/>
    <x v="7"/>
    <x v="3"/>
    <x v="26"/>
    <n v="0.36"/>
    <n v="-0.41837900603808642"/>
    <s v="United States"/>
    <x v="2"/>
    <x v="45"/>
    <x v="592"/>
    <n v="53713"/>
    <x v="64"/>
    <x v="2"/>
    <x v="0"/>
    <d v="2015-02-07T00:00:00"/>
    <n v="-36.030800000000006"/>
    <n v="14"/>
    <x v="1253"/>
    <n v="85950"/>
    <x v="0"/>
  </r>
  <r>
    <n v="26148"/>
    <s v="Medium"/>
    <n v="0.01"/>
    <n v="11.7"/>
    <x v="294"/>
    <x v="741"/>
    <x v="0"/>
    <x v="741"/>
    <x v="2"/>
    <x v="1"/>
    <x v="0"/>
    <x v="15"/>
    <x v="4"/>
    <x v="459"/>
    <n v="0.5"/>
    <n v="-0.37666189670872902"/>
    <s v="United States"/>
    <x v="2"/>
    <x v="45"/>
    <x v="593"/>
    <n v="53132"/>
    <x v="76"/>
    <x v="0"/>
    <x v="0"/>
    <d v="2015-01-26T00:00:00"/>
    <n v="-28.954000000000001"/>
    <n v="6"/>
    <x v="1254"/>
    <n v="85947"/>
    <x v="0"/>
  </r>
  <r>
    <n v="19460"/>
    <s v="Medium"/>
    <n v="0.02"/>
    <n v="17.7"/>
    <x v="334"/>
    <x v="742"/>
    <x v="0"/>
    <x v="742"/>
    <x v="0"/>
    <x v="0"/>
    <x v="0"/>
    <x v="10"/>
    <x v="3"/>
    <x v="552"/>
    <n v="0.59"/>
    <n v="-0.22696743192738919"/>
    <s v="United States"/>
    <x v="3"/>
    <x v="39"/>
    <x v="594"/>
    <n v="29730"/>
    <x v="114"/>
    <x v="5"/>
    <x v="0"/>
    <d v="2015-03-15T00:00:00"/>
    <n v="-85.021999999999991"/>
    <n v="21"/>
    <x v="1255"/>
    <n v="90148"/>
    <x v="0"/>
  </r>
  <r>
    <n v="21529"/>
    <s v="Medium"/>
    <n v="0"/>
    <n v="4.91"/>
    <x v="28"/>
    <x v="743"/>
    <x v="1"/>
    <x v="743"/>
    <x v="2"/>
    <x v="0"/>
    <x v="0"/>
    <x v="9"/>
    <x v="3"/>
    <x v="41"/>
    <n v="0.36"/>
    <n v="1.6033295619848071"/>
    <s v="United States"/>
    <x v="3"/>
    <x v="39"/>
    <x v="595"/>
    <n v="29301"/>
    <x v="128"/>
    <x v="2"/>
    <x v="0"/>
    <d v="2015-02-06T00:00:00"/>
    <n v="99.198000000000008"/>
    <n v="12"/>
    <x v="1256"/>
    <n v="90145"/>
    <x v="0"/>
  </r>
  <r>
    <n v="21530"/>
    <s v="Medium"/>
    <n v="0.01"/>
    <n v="7.28"/>
    <x v="212"/>
    <x v="743"/>
    <x v="1"/>
    <x v="743"/>
    <x v="2"/>
    <x v="0"/>
    <x v="0"/>
    <x v="7"/>
    <x v="3"/>
    <x v="306"/>
    <n v="0.37"/>
    <n v="2.7829664484451717"/>
    <s v="United States"/>
    <x v="3"/>
    <x v="39"/>
    <x v="595"/>
    <n v="29301"/>
    <x v="128"/>
    <x v="2"/>
    <x v="0"/>
    <d v="2015-02-05T00:00:00"/>
    <n v="136.03139999999999"/>
    <n v="6"/>
    <x v="1257"/>
    <n v="90145"/>
    <x v="0"/>
  </r>
  <r>
    <n v="21531"/>
    <s v="Medium"/>
    <n v="0.1"/>
    <n v="6.68"/>
    <x v="11"/>
    <x v="743"/>
    <x v="1"/>
    <x v="743"/>
    <x v="2"/>
    <x v="0"/>
    <x v="0"/>
    <x v="7"/>
    <x v="3"/>
    <x v="716"/>
    <n v="0.37"/>
    <n v="-4.6415584415584421"/>
    <s v="United States"/>
    <x v="3"/>
    <x v="39"/>
    <x v="595"/>
    <n v="29301"/>
    <x v="128"/>
    <x v="2"/>
    <x v="0"/>
    <d v="2015-02-07T00:00:00"/>
    <n v="-100.072"/>
    <n v="3"/>
    <x v="1258"/>
    <n v="90145"/>
    <x v="0"/>
  </r>
  <r>
    <n v="25183"/>
    <s v="Not Specified"/>
    <n v="0.01"/>
    <n v="18.97"/>
    <x v="191"/>
    <x v="744"/>
    <x v="1"/>
    <x v="744"/>
    <x v="2"/>
    <x v="0"/>
    <x v="0"/>
    <x v="7"/>
    <x v="3"/>
    <x v="273"/>
    <n v="0.37"/>
    <n v="-7.3035161231554013E-2"/>
    <s v="United States"/>
    <x v="3"/>
    <x v="39"/>
    <x v="596"/>
    <n v="29483"/>
    <x v="78"/>
    <x v="5"/>
    <x v="0"/>
    <d v="2015-03-25T00:00:00"/>
    <n v="-12.026699999999998"/>
    <n v="8"/>
    <x v="1259"/>
    <n v="90146"/>
    <x v="0"/>
  </r>
  <r>
    <n v="25184"/>
    <s v="Not Specified"/>
    <n v="0.03"/>
    <n v="12.28"/>
    <x v="27"/>
    <x v="744"/>
    <x v="1"/>
    <x v="744"/>
    <x v="2"/>
    <x v="0"/>
    <x v="0"/>
    <x v="7"/>
    <x v="3"/>
    <x v="94"/>
    <n v="0.38"/>
    <n v="1.6841902667033271"/>
    <s v="United States"/>
    <x v="3"/>
    <x v="39"/>
    <x v="596"/>
    <n v="29483"/>
    <x v="78"/>
    <x v="5"/>
    <x v="0"/>
    <d v="2015-03-26T00:00:00"/>
    <n v="122.508"/>
    <n v="6"/>
    <x v="1260"/>
    <n v="90146"/>
    <x v="0"/>
  </r>
  <r>
    <n v="25185"/>
    <s v="Not Specified"/>
    <n v="0.05"/>
    <n v="34.99"/>
    <x v="17"/>
    <x v="744"/>
    <x v="1"/>
    <x v="744"/>
    <x v="0"/>
    <x v="0"/>
    <x v="0"/>
    <x v="0"/>
    <x v="3"/>
    <x v="17"/>
    <n v="0.59"/>
    <n v="-2.8720477611940295E-2"/>
    <s v="United States"/>
    <x v="3"/>
    <x v="39"/>
    <x v="596"/>
    <n v="29483"/>
    <x v="78"/>
    <x v="5"/>
    <x v="0"/>
    <d v="2015-03-27T00:00:00"/>
    <n v="-12.026699999999998"/>
    <n v="12"/>
    <x v="1261"/>
    <n v="90146"/>
    <x v="0"/>
  </r>
  <r>
    <n v="24396"/>
    <s v="Low"/>
    <n v="0.1"/>
    <n v="54.1"/>
    <x v="3"/>
    <x v="744"/>
    <x v="1"/>
    <x v="744"/>
    <x v="2"/>
    <x v="0"/>
    <x v="0"/>
    <x v="10"/>
    <x v="3"/>
    <x v="725"/>
    <n v="0.59"/>
    <n v="7.2548393279243589E-2"/>
    <s v="United States"/>
    <x v="3"/>
    <x v="39"/>
    <x v="596"/>
    <n v="29483"/>
    <x v="153"/>
    <x v="2"/>
    <x v="0"/>
    <d v="2015-02-24T00:00:00"/>
    <n v="34.067999999999998"/>
    <n v="9"/>
    <x v="1262"/>
    <n v="90147"/>
    <x v="0"/>
  </r>
  <r>
    <n v="19243"/>
    <s v="Critical"/>
    <n v="0.01"/>
    <n v="7.59"/>
    <x v="41"/>
    <x v="745"/>
    <x v="0"/>
    <x v="745"/>
    <x v="2"/>
    <x v="1"/>
    <x v="1"/>
    <x v="2"/>
    <x v="0"/>
    <x v="150"/>
    <n v="0.42"/>
    <n v="2.1798165137614685E-2"/>
    <s v="United States"/>
    <x v="2"/>
    <x v="3"/>
    <x v="566"/>
    <n v="55337"/>
    <x v="82"/>
    <x v="3"/>
    <x v="0"/>
    <d v="2015-05-04T00:00:00"/>
    <n v="2.9700000000000006"/>
    <n v="17"/>
    <x v="1263"/>
    <n v="88165"/>
    <x v="0"/>
  </r>
  <r>
    <n v="21334"/>
    <s v="Not Specified"/>
    <n v="0"/>
    <n v="42.98"/>
    <x v="107"/>
    <x v="746"/>
    <x v="1"/>
    <x v="746"/>
    <x v="2"/>
    <x v="1"/>
    <x v="0"/>
    <x v="15"/>
    <x v="3"/>
    <x v="647"/>
    <n v="0.56000000000000005"/>
    <n v="0.69"/>
    <s v="United States"/>
    <x v="2"/>
    <x v="3"/>
    <x v="597"/>
    <n v="55433"/>
    <x v="61"/>
    <x v="0"/>
    <x v="0"/>
    <d v="2015-01-08T00:00:00"/>
    <n v="385.30289999999997"/>
    <n v="12"/>
    <x v="1264"/>
    <n v="88163"/>
    <x v="0"/>
  </r>
  <r>
    <n v="21335"/>
    <s v="Not Specified"/>
    <n v="0.03"/>
    <n v="21.78"/>
    <x v="416"/>
    <x v="746"/>
    <x v="1"/>
    <x v="746"/>
    <x v="2"/>
    <x v="1"/>
    <x v="0"/>
    <x v="15"/>
    <x v="4"/>
    <x v="726"/>
    <n v="0.5"/>
    <n v="0.64502790986148428"/>
    <s v="United States"/>
    <x v="2"/>
    <x v="3"/>
    <x v="597"/>
    <n v="55433"/>
    <x v="61"/>
    <x v="0"/>
    <x v="0"/>
    <d v="2015-01-08T00:00:00"/>
    <n v="187.2"/>
    <n v="13"/>
    <x v="1265"/>
    <n v="88163"/>
    <x v="0"/>
  </r>
  <r>
    <n v="19723"/>
    <s v="Medium"/>
    <n v="7.0000000000000007E-2"/>
    <n v="80.98"/>
    <x v="261"/>
    <x v="746"/>
    <x v="1"/>
    <x v="746"/>
    <x v="2"/>
    <x v="0"/>
    <x v="2"/>
    <x v="13"/>
    <x v="3"/>
    <x v="727"/>
    <n v="0.48"/>
    <n v="0.69"/>
    <s v="United States"/>
    <x v="2"/>
    <x v="3"/>
    <x v="597"/>
    <n v="55433"/>
    <x v="128"/>
    <x v="2"/>
    <x v="0"/>
    <d v="2015-02-06T00:00:00"/>
    <n v="779.47230000000002"/>
    <n v="15"/>
    <x v="1266"/>
    <n v="88164"/>
    <x v="0"/>
  </r>
  <r>
    <n v="24673"/>
    <s v="Critical"/>
    <n v="7.0000000000000007E-2"/>
    <n v="270.98"/>
    <x v="417"/>
    <x v="747"/>
    <x v="1"/>
    <x v="747"/>
    <x v="1"/>
    <x v="0"/>
    <x v="1"/>
    <x v="1"/>
    <x v="1"/>
    <x v="728"/>
    <n v="0.77"/>
    <n v="1.1366049430795656E-2"/>
    <s v="United States"/>
    <x v="3"/>
    <x v="26"/>
    <x v="598"/>
    <n v="32404"/>
    <x v="143"/>
    <x v="2"/>
    <x v="0"/>
    <d v="2015-02-13T00:00:00"/>
    <n v="27.725999999999999"/>
    <n v="9"/>
    <x v="1267"/>
    <n v="87695"/>
    <x v="0"/>
  </r>
  <r>
    <n v="23344"/>
    <s v="High"/>
    <n v="0.1"/>
    <n v="12.53"/>
    <x v="243"/>
    <x v="747"/>
    <x v="1"/>
    <x v="747"/>
    <x v="2"/>
    <x v="0"/>
    <x v="0"/>
    <x v="9"/>
    <x v="3"/>
    <x v="369"/>
    <n v="0.38"/>
    <n v="2.6566398608998045"/>
    <s v="United States"/>
    <x v="3"/>
    <x v="26"/>
    <x v="598"/>
    <n v="32404"/>
    <x v="35"/>
    <x v="0"/>
    <x v="0"/>
    <d v="2015-01-04T00:00:00"/>
    <n v="244.464"/>
    <n v="8"/>
    <x v="1268"/>
    <n v="87696"/>
    <x v="0"/>
  </r>
  <r>
    <n v="23345"/>
    <s v="High"/>
    <n v="0.1"/>
    <n v="146.34"/>
    <x v="418"/>
    <x v="747"/>
    <x v="1"/>
    <x v="747"/>
    <x v="1"/>
    <x v="0"/>
    <x v="1"/>
    <x v="11"/>
    <x v="5"/>
    <x v="729"/>
    <n v="0.64"/>
    <n v="-1.6701745723858223"/>
    <s v="United States"/>
    <x v="3"/>
    <x v="26"/>
    <x v="598"/>
    <n v="32404"/>
    <x v="35"/>
    <x v="0"/>
    <x v="0"/>
    <d v="2015-01-04T00:00:00"/>
    <n v="-473.57799999999997"/>
    <n v="2"/>
    <x v="1269"/>
    <n v="87696"/>
    <x v="0"/>
  </r>
  <r>
    <n v="6673"/>
    <s v="Critical"/>
    <n v="7.0000000000000007E-2"/>
    <n v="270.98"/>
    <x v="417"/>
    <x v="748"/>
    <x v="1"/>
    <x v="748"/>
    <x v="1"/>
    <x v="0"/>
    <x v="1"/>
    <x v="1"/>
    <x v="1"/>
    <x v="728"/>
    <n v="0.77"/>
    <n v="-9.8437301434386743E-3"/>
    <s v="United States"/>
    <x v="1"/>
    <x v="4"/>
    <x v="8"/>
    <n v="10011"/>
    <x v="143"/>
    <x v="2"/>
    <x v="0"/>
    <d v="2015-02-13T00:00:00"/>
    <n v="-96.05"/>
    <n v="36"/>
    <x v="1270"/>
    <n v="47493"/>
    <x v="0"/>
  </r>
  <r>
    <n v="5345"/>
    <s v="High"/>
    <n v="0.1"/>
    <n v="146.34"/>
    <x v="418"/>
    <x v="748"/>
    <x v="1"/>
    <x v="748"/>
    <x v="1"/>
    <x v="0"/>
    <x v="1"/>
    <x v="11"/>
    <x v="5"/>
    <x v="729"/>
    <n v="0.64"/>
    <n v="-0.31840731684378826"/>
    <s v="United States"/>
    <x v="1"/>
    <x v="4"/>
    <x v="8"/>
    <n v="10011"/>
    <x v="35"/>
    <x v="0"/>
    <x v="0"/>
    <d v="2015-01-04T00:00:00"/>
    <n v="-270.85000000000002"/>
    <n v="6"/>
    <x v="1271"/>
    <n v="37987"/>
    <x v="0"/>
  </r>
  <r>
    <n v="19934"/>
    <s v="High"/>
    <n v="0"/>
    <n v="90.48"/>
    <x v="3"/>
    <x v="749"/>
    <x v="0"/>
    <x v="749"/>
    <x v="2"/>
    <x v="2"/>
    <x v="0"/>
    <x v="4"/>
    <x v="3"/>
    <x v="634"/>
    <n v="0.4"/>
    <n v="0.69"/>
    <s v="United States"/>
    <x v="2"/>
    <x v="46"/>
    <x v="98"/>
    <n v="57201"/>
    <x v="123"/>
    <x v="1"/>
    <x v="0"/>
    <d v="2015-06-24T00:00:00"/>
    <n v="800.25509999999986"/>
    <n v="12"/>
    <x v="1272"/>
    <n v="89869"/>
    <x v="0"/>
  </r>
  <r>
    <n v="23313"/>
    <s v="Low"/>
    <n v="0.08"/>
    <n v="9.48"/>
    <x v="2"/>
    <x v="750"/>
    <x v="1"/>
    <x v="750"/>
    <x v="2"/>
    <x v="2"/>
    <x v="1"/>
    <x v="2"/>
    <x v="2"/>
    <x v="2"/>
    <n v="0.45"/>
    <n v="-2.4925816023738872"/>
    <s v="United States"/>
    <x v="3"/>
    <x v="26"/>
    <x v="599"/>
    <n v="33971"/>
    <x v="120"/>
    <x v="5"/>
    <x v="0"/>
    <d v="2015-03-26T00:00:00"/>
    <n v="-50.4"/>
    <n v="2"/>
    <x v="1273"/>
    <n v="90557"/>
    <x v="0"/>
  </r>
  <r>
    <n v="23314"/>
    <s v="Low"/>
    <n v="0.03"/>
    <n v="193.17"/>
    <x v="3"/>
    <x v="750"/>
    <x v="1"/>
    <x v="750"/>
    <x v="2"/>
    <x v="2"/>
    <x v="0"/>
    <x v="10"/>
    <x v="3"/>
    <x v="538"/>
    <n v="0.71"/>
    <n v="-0.22515219791216098"/>
    <s v="United States"/>
    <x v="3"/>
    <x v="26"/>
    <x v="599"/>
    <n v="33971"/>
    <x v="120"/>
    <x v="5"/>
    <x v="0"/>
    <d v="2015-03-28T00:00:00"/>
    <n v="-348.75400000000002"/>
    <n v="8"/>
    <x v="1274"/>
    <n v="90557"/>
    <x v="0"/>
  </r>
  <r>
    <n v="26048"/>
    <s v="High"/>
    <n v="0.08"/>
    <n v="68.81"/>
    <x v="236"/>
    <x v="751"/>
    <x v="1"/>
    <x v="751"/>
    <x v="1"/>
    <x v="2"/>
    <x v="0"/>
    <x v="15"/>
    <x v="1"/>
    <x v="730"/>
    <n v="0.41"/>
    <n v="-1.6291659267152072"/>
    <s v="United States"/>
    <x v="0"/>
    <x v="1"/>
    <x v="600"/>
    <n v="92236"/>
    <x v="44"/>
    <x v="5"/>
    <x v="0"/>
    <d v="2015-03-17T00:00:00"/>
    <n v="-550.42999999999995"/>
    <n v="5"/>
    <x v="1275"/>
    <n v="88721"/>
    <x v="0"/>
  </r>
  <r>
    <n v="26049"/>
    <s v="High"/>
    <n v="0.04"/>
    <n v="21.38"/>
    <x v="20"/>
    <x v="751"/>
    <x v="1"/>
    <x v="751"/>
    <x v="2"/>
    <x v="2"/>
    <x v="0"/>
    <x v="0"/>
    <x v="2"/>
    <x v="731"/>
    <n v="0.59"/>
    <n v="-0.61892886830542693"/>
    <s v="United States"/>
    <x v="0"/>
    <x v="1"/>
    <x v="600"/>
    <n v="92236"/>
    <x v="44"/>
    <x v="5"/>
    <x v="0"/>
    <d v="2015-03-18T00:00:00"/>
    <n v="-52.12"/>
    <n v="4"/>
    <x v="1276"/>
    <n v="88721"/>
    <x v="0"/>
  </r>
  <r>
    <n v="23053"/>
    <s v="Not Specified"/>
    <n v="0.06"/>
    <n v="4.9800000000000004"/>
    <x v="107"/>
    <x v="751"/>
    <x v="1"/>
    <x v="751"/>
    <x v="0"/>
    <x v="2"/>
    <x v="2"/>
    <x v="13"/>
    <x v="2"/>
    <x v="139"/>
    <n v="0.64"/>
    <n v="-0.69708311822405777"/>
    <s v="United States"/>
    <x v="0"/>
    <x v="1"/>
    <x v="600"/>
    <n v="92236"/>
    <x v="117"/>
    <x v="1"/>
    <x v="0"/>
    <d v="2015-06-19T00:00:00"/>
    <n v="-27.004999999999999"/>
    <n v="7"/>
    <x v="1277"/>
    <n v="88722"/>
    <x v="0"/>
  </r>
  <r>
    <n v="25456"/>
    <s v="Medium"/>
    <n v="0.06"/>
    <n v="28.53"/>
    <x v="25"/>
    <x v="752"/>
    <x v="0"/>
    <x v="752"/>
    <x v="2"/>
    <x v="1"/>
    <x v="0"/>
    <x v="8"/>
    <x v="3"/>
    <x v="107"/>
    <n v="0.38"/>
    <n v="0.55662987545678277"/>
    <s v="United States"/>
    <x v="2"/>
    <x v="25"/>
    <x v="601"/>
    <n v="52302"/>
    <x v="120"/>
    <x v="5"/>
    <x v="0"/>
    <d v="2015-03-27T00:00:00"/>
    <n v="74.638500000000008"/>
    <n v="5"/>
    <x v="1278"/>
    <n v="90964"/>
    <x v="0"/>
  </r>
  <r>
    <n v="19441"/>
    <s v="High"/>
    <n v="0.06"/>
    <n v="180.98"/>
    <x v="56"/>
    <x v="753"/>
    <x v="0"/>
    <x v="753"/>
    <x v="1"/>
    <x v="2"/>
    <x v="1"/>
    <x v="1"/>
    <x v="1"/>
    <x v="68"/>
    <n v="0.59"/>
    <n v="-0.63753716163354723"/>
    <s v="United States"/>
    <x v="2"/>
    <x v="45"/>
    <x v="602"/>
    <n v="54302"/>
    <x v="96"/>
    <x v="1"/>
    <x v="0"/>
    <d v="2015-06-24T00:00:00"/>
    <n v="-122.235"/>
    <n v="1"/>
    <x v="1279"/>
    <n v="89611"/>
    <x v="0"/>
  </r>
  <r>
    <n v="23721"/>
    <s v="Low"/>
    <n v="0.06"/>
    <n v="60.65"/>
    <x v="363"/>
    <x v="754"/>
    <x v="1"/>
    <x v="754"/>
    <x v="2"/>
    <x v="3"/>
    <x v="1"/>
    <x v="2"/>
    <x v="4"/>
    <x v="614"/>
    <n v="0.64"/>
    <n v="0.69"/>
    <s v="United States"/>
    <x v="2"/>
    <x v="45"/>
    <x v="603"/>
    <n v="53220"/>
    <x v="34"/>
    <x v="4"/>
    <x v="0"/>
    <d v="2015-04-08T00:00:00"/>
    <n v="427.00649999999996"/>
    <n v="10"/>
    <x v="1280"/>
    <n v="89608"/>
    <x v="0"/>
  </r>
  <r>
    <n v="23693"/>
    <s v="Not Specified"/>
    <n v="0.05"/>
    <n v="14.81"/>
    <x v="204"/>
    <x v="754"/>
    <x v="1"/>
    <x v="754"/>
    <x v="2"/>
    <x v="2"/>
    <x v="0"/>
    <x v="15"/>
    <x v="3"/>
    <x v="296"/>
    <n v="0.43"/>
    <n v="-1.6422967497198036"/>
    <s v="United States"/>
    <x v="2"/>
    <x v="45"/>
    <x v="603"/>
    <n v="53220"/>
    <x v="37"/>
    <x v="4"/>
    <x v="0"/>
    <d v="2015-04-11T00:00:00"/>
    <n v="-190.49"/>
    <n v="8"/>
    <x v="1281"/>
    <n v="89609"/>
    <x v="0"/>
  </r>
  <r>
    <n v="23694"/>
    <s v="Not Specified"/>
    <n v="0.08"/>
    <n v="2.78"/>
    <x v="160"/>
    <x v="754"/>
    <x v="1"/>
    <x v="754"/>
    <x v="2"/>
    <x v="2"/>
    <x v="0"/>
    <x v="0"/>
    <x v="0"/>
    <x v="732"/>
    <n v="0.59"/>
    <n v="-0.45066803699897223"/>
    <s v="United States"/>
    <x v="2"/>
    <x v="45"/>
    <x v="603"/>
    <n v="53220"/>
    <x v="37"/>
    <x v="4"/>
    <x v="0"/>
    <d v="2015-04-10T00:00:00"/>
    <n v="-8.77"/>
    <n v="7"/>
    <x v="1282"/>
    <n v="89609"/>
    <x v="0"/>
  </r>
  <r>
    <n v="24952"/>
    <s v="Low"/>
    <n v="0.06"/>
    <n v="3.74"/>
    <x v="349"/>
    <x v="754"/>
    <x v="1"/>
    <x v="754"/>
    <x v="2"/>
    <x v="1"/>
    <x v="0"/>
    <x v="3"/>
    <x v="0"/>
    <x v="733"/>
    <n v="0.83"/>
    <n v="-0.17173184357541899"/>
    <s v="United States"/>
    <x v="2"/>
    <x v="45"/>
    <x v="603"/>
    <n v="53220"/>
    <x v="42"/>
    <x v="1"/>
    <x v="0"/>
    <d v="2015-06-09T00:00:00"/>
    <n v="-7.6849999999999996"/>
    <n v="12"/>
    <x v="1283"/>
    <n v="89610"/>
    <x v="0"/>
  </r>
  <r>
    <n v="25241"/>
    <s v="Critical"/>
    <n v="0.06"/>
    <n v="2.08"/>
    <x v="183"/>
    <x v="755"/>
    <x v="1"/>
    <x v="755"/>
    <x v="2"/>
    <x v="1"/>
    <x v="1"/>
    <x v="2"/>
    <x v="3"/>
    <x v="261"/>
    <n v="0.43"/>
    <n v="-8.9446587215601294"/>
    <s v="United States"/>
    <x v="1"/>
    <x v="30"/>
    <x v="568"/>
    <n v="20740"/>
    <x v="107"/>
    <x v="0"/>
    <x v="0"/>
    <d v="2015-01-13T00:00:00"/>
    <n v="-82.559200000000004"/>
    <n v="4"/>
    <x v="1284"/>
    <n v="91480"/>
    <x v="0"/>
  </r>
  <r>
    <n v="26137"/>
    <s v="High"/>
    <n v="0.1"/>
    <n v="6.75"/>
    <x v="139"/>
    <x v="755"/>
    <x v="1"/>
    <x v="755"/>
    <x v="2"/>
    <x v="1"/>
    <x v="0"/>
    <x v="8"/>
    <x v="3"/>
    <x v="734"/>
    <n v="0.35"/>
    <n v="0.18878081764277543"/>
    <s v="United States"/>
    <x v="1"/>
    <x v="30"/>
    <x v="568"/>
    <n v="20740"/>
    <x v="48"/>
    <x v="5"/>
    <x v="0"/>
    <d v="2015-03-29T00:00:00"/>
    <n v="18.147500000000001"/>
    <n v="15"/>
    <x v="1285"/>
    <n v="91481"/>
    <x v="0"/>
  </r>
  <r>
    <n v="22526"/>
    <s v="Medium"/>
    <n v="0.05"/>
    <n v="11.58"/>
    <x v="337"/>
    <x v="756"/>
    <x v="0"/>
    <x v="756"/>
    <x v="2"/>
    <x v="1"/>
    <x v="0"/>
    <x v="4"/>
    <x v="3"/>
    <x v="240"/>
    <n v="0.35"/>
    <n v="3.7939426717144439E-2"/>
    <s v="United States"/>
    <x v="2"/>
    <x v="7"/>
    <x v="604"/>
    <n v="77015"/>
    <x v="40"/>
    <x v="3"/>
    <x v="0"/>
    <d v="2015-05-28T00:00:00"/>
    <n v="2.8060000000000027"/>
    <n v="6"/>
    <x v="1286"/>
    <n v="91482"/>
    <x v="0"/>
  </r>
  <r>
    <n v="19052"/>
    <s v="Medium"/>
    <n v="7.0000000000000007E-2"/>
    <n v="200.98"/>
    <x v="419"/>
    <x v="757"/>
    <x v="1"/>
    <x v="757"/>
    <x v="1"/>
    <x v="0"/>
    <x v="1"/>
    <x v="1"/>
    <x v="1"/>
    <x v="735"/>
    <n v="0.57999999999999996"/>
    <n v="-7.3329641729885375E-2"/>
    <s v="United States"/>
    <x v="3"/>
    <x v="35"/>
    <x v="577"/>
    <n v="42003"/>
    <x v="88"/>
    <x v="5"/>
    <x v="0"/>
    <d v="2015-03-15T00:00:00"/>
    <n v="-132.42600000000002"/>
    <n v="9"/>
    <x v="1287"/>
    <n v="89504"/>
    <x v="0"/>
  </r>
  <r>
    <n v="19053"/>
    <s v="Medium"/>
    <n v="0.02"/>
    <n v="179.29"/>
    <x v="156"/>
    <x v="757"/>
    <x v="1"/>
    <x v="757"/>
    <x v="1"/>
    <x v="0"/>
    <x v="1"/>
    <x v="11"/>
    <x v="5"/>
    <x v="218"/>
    <n v="0.76"/>
    <n v="-1.3205613178767539"/>
    <s v="United States"/>
    <x v="3"/>
    <x v="35"/>
    <x v="577"/>
    <n v="42003"/>
    <x v="88"/>
    <x v="5"/>
    <x v="0"/>
    <d v="2015-03-14T00:00:00"/>
    <n v="-411.23599999999999"/>
    <n v="2"/>
    <x v="1288"/>
    <n v="89504"/>
    <x v="0"/>
  </r>
  <r>
    <n v="20776"/>
    <s v="Low"/>
    <n v="0.03"/>
    <n v="297.64"/>
    <x v="69"/>
    <x v="758"/>
    <x v="1"/>
    <x v="758"/>
    <x v="1"/>
    <x v="0"/>
    <x v="2"/>
    <x v="6"/>
    <x v="1"/>
    <x v="192"/>
    <n v="0.56999999999999995"/>
    <n v="-1.3210504309356495E-2"/>
    <s v="United States"/>
    <x v="3"/>
    <x v="35"/>
    <x v="605"/>
    <n v="40258"/>
    <x v="56"/>
    <x v="0"/>
    <x v="0"/>
    <d v="2015-01-15T00:00:00"/>
    <n v="-48.971999999999994"/>
    <n v="12"/>
    <x v="1289"/>
    <n v="89503"/>
    <x v="0"/>
  </r>
  <r>
    <n v="21627"/>
    <s v="High"/>
    <n v="0.1"/>
    <n v="218.75"/>
    <x v="163"/>
    <x v="758"/>
    <x v="1"/>
    <x v="758"/>
    <x v="1"/>
    <x v="0"/>
    <x v="1"/>
    <x v="11"/>
    <x v="5"/>
    <x v="228"/>
    <n v="0.77"/>
    <n v="2.2208200543280644E-2"/>
    <s v="United States"/>
    <x v="3"/>
    <x v="35"/>
    <x v="605"/>
    <n v="40258"/>
    <x v="135"/>
    <x v="3"/>
    <x v="0"/>
    <d v="2015-05-21T00:00:00"/>
    <n v="62.297999999999995"/>
    <n v="17"/>
    <x v="1290"/>
    <n v="89505"/>
    <x v="0"/>
  </r>
  <r>
    <n v="18675"/>
    <s v="Critical"/>
    <n v="0.08"/>
    <n v="6.48"/>
    <x v="85"/>
    <x v="759"/>
    <x v="0"/>
    <x v="759"/>
    <x v="2"/>
    <x v="0"/>
    <x v="0"/>
    <x v="7"/>
    <x v="3"/>
    <x v="664"/>
    <n v="0.37"/>
    <n v="-1.4756369032896364"/>
    <s v="United States"/>
    <x v="1"/>
    <x v="30"/>
    <x v="606"/>
    <n v="21114"/>
    <x v="25"/>
    <x v="5"/>
    <x v="0"/>
    <d v="2015-04-02T00:00:00"/>
    <n v="-119.32"/>
    <n v="13"/>
    <x v="1291"/>
    <n v="86163"/>
    <x v="0"/>
  </r>
  <r>
    <n v="20904"/>
    <s v="Critical"/>
    <n v="0.06"/>
    <n v="59.76"/>
    <x v="246"/>
    <x v="760"/>
    <x v="1"/>
    <x v="760"/>
    <x v="2"/>
    <x v="3"/>
    <x v="0"/>
    <x v="10"/>
    <x v="3"/>
    <x v="373"/>
    <n v="0.56999999999999995"/>
    <n v="0.69"/>
    <s v="United States"/>
    <x v="1"/>
    <x v="30"/>
    <x v="607"/>
    <n v="21501"/>
    <x v="105"/>
    <x v="1"/>
    <x v="0"/>
    <d v="2015-06-23T00:00:00"/>
    <n v="756.67470000000003"/>
    <n v="18"/>
    <x v="1292"/>
    <n v="86165"/>
    <x v="0"/>
  </r>
  <r>
    <n v="20905"/>
    <s v="Critical"/>
    <n v="7.0000000000000007E-2"/>
    <n v="195.99"/>
    <x v="5"/>
    <x v="760"/>
    <x v="1"/>
    <x v="760"/>
    <x v="2"/>
    <x v="3"/>
    <x v="2"/>
    <x v="5"/>
    <x v="3"/>
    <x v="736"/>
    <n v="0.56000000000000005"/>
    <n v="-0.35174175789407075"/>
    <s v="United States"/>
    <x v="1"/>
    <x v="30"/>
    <x v="607"/>
    <n v="21501"/>
    <x v="105"/>
    <x v="1"/>
    <x v="0"/>
    <d v="2015-06-23T00:00:00"/>
    <n v="-222.34299999999999"/>
    <n v="4"/>
    <x v="1293"/>
    <n v="86165"/>
    <x v="0"/>
  </r>
  <r>
    <n v="19270"/>
    <s v="Not Specified"/>
    <n v="0.09"/>
    <n v="71.37"/>
    <x v="54"/>
    <x v="760"/>
    <x v="1"/>
    <x v="760"/>
    <x v="2"/>
    <x v="1"/>
    <x v="1"/>
    <x v="11"/>
    <x v="6"/>
    <x v="737"/>
    <n v="0.68"/>
    <n v="-1.1797077468572044"/>
    <s v="United States"/>
    <x v="1"/>
    <x v="30"/>
    <x v="607"/>
    <n v="21501"/>
    <x v="96"/>
    <x v="1"/>
    <x v="0"/>
    <d v="2015-06-24T00:00:00"/>
    <n v="-1537.1356000000003"/>
    <n v="19"/>
    <x v="1294"/>
    <n v="86166"/>
    <x v="0"/>
  </r>
  <r>
    <n v="25338"/>
    <s v="Critical"/>
    <n v="0.04"/>
    <n v="5.98"/>
    <x v="146"/>
    <x v="761"/>
    <x v="1"/>
    <x v="761"/>
    <x v="2"/>
    <x v="0"/>
    <x v="0"/>
    <x v="0"/>
    <x v="0"/>
    <x v="631"/>
    <n v="0.6"/>
    <n v="0.39986038394415363"/>
    <s v="United States"/>
    <x v="1"/>
    <x v="30"/>
    <x v="608"/>
    <n v="21040"/>
    <x v="119"/>
    <x v="4"/>
    <x v="0"/>
    <d v="2015-04-30T00:00:00"/>
    <n v="52.697600000000001"/>
    <n v="22"/>
    <x v="1295"/>
    <n v="86164"/>
    <x v="0"/>
  </r>
  <r>
    <n v="25339"/>
    <s v="Critical"/>
    <n v="0.01"/>
    <n v="20.99"/>
    <x v="90"/>
    <x v="761"/>
    <x v="1"/>
    <x v="761"/>
    <x v="2"/>
    <x v="0"/>
    <x v="2"/>
    <x v="5"/>
    <x v="0"/>
    <x v="201"/>
    <n v="0.56999999999999995"/>
    <n v="-2.2132510614208885"/>
    <s v="United States"/>
    <x v="1"/>
    <x v="30"/>
    <x v="608"/>
    <n v="21040"/>
    <x v="119"/>
    <x v="4"/>
    <x v="0"/>
    <d v="2015-04-30T00:00:00"/>
    <n v="-78.194159999999982"/>
    <n v="2"/>
    <x v="1296"/>
    <n v="86164"/>
    <x v="0"/>
  </r>
  <r>
    <n v="22649"/>
    <s v="Not Specified"/>
    <n v="0.1"/>
    <n v="78.69"/>
    <x v="3"/>
    <x v="762"/>
    <x v="1"/>
    <x v="762"/>
    <x v="2"/>
    <x v="3"/>
    <x v="1"/>
    <x v="2"/>
    <x v="3"/>
    <x v="3"/>
    <n v="0.43"/>
    <n v="0.69"/>
    <s v="United States"/>
    <x v="0"/>
    <x v="1"/>
    <x v="600"/>
    <n v="92236"/>
    <x v="2"/>
    <x v="2"/>
    <x v="0"/>
    <d v="2015-02-16T00:00:00"/>
    <n v="465.43949999999995"/>
    <n v="9"/>
    <x v="1297"/>
    <n v="91304"/>
    <x v="0"/>
  </r>
  <r>
    <n v="21511"/>
    <s v="Medium"/>
    <n v="0.06"/>
    <n v="146.34"/>
    <x v="418"/>
    <x v="762"/>
    <x v="1"/>
    <x v="762"/>
    <x v="1"/>
    <x v="3"/>
    <x v="1"/>
    <x v="11"/>
    <x v="5"/>
    <x v="729"/>
    <n v="0.65"/>
    <n v="-5.1863772629034882E-2"/>
    <s v="United States"/>
    <x v="0"/>
    <x v="1"/>
    <x v="600"/>
    <n v="92236"/>
    <x v="154"/>
    <x v="1"/>
    <x v="0"/>
    <d v="2015-06-18T00:00:00"/>
    <n v="-89.27"/>
    <n v="12"/>
    <x v="1298"/>
    <n v="91306"/>
    <x v="0"/>
  </r>
  <r>
    <n v="24526"/>
    <s v="Medium"/>
    <n v="0"/>
    <n v="29.34"/>
    <x v="140"/>
    <x v="763"/>
    <x v="0"/>
    <x v="763"/>
    <x v="2"/>
    <x v="3"/>
    <x v="1"/>
    <x v="2"/>
    <x v="3"/>
    <x v="189"/>
    <n v="0.54"/>
    <n v="0.57657320685837399"/>
    <s v="United States"/>
    <x v="0"/>
    <x v="47"/>
    <x v="609"/>
    <n v="82901"/>
    <x v="24"/>
    <x v="5"/>
    <x v="0"/>
    <d v="2015-03-17T00:00:00"/>
    <n v="385.37"/>
    <n v="22"/>
    <x v="1299"/>
    <n v="91305"/>
    <x v="0"/>
  </r>
  <r>
    <n v="20798"/>
    <s v="Low"/>
    <n v="0.1"/>
    <n v="205.99"/>
    <x v="20"/>
    <x v="764"/>
    <x v="1"/>
    <x v="764"/>
    <x v="2"/>
    <x v="0"/>
    <x v="2"/>
    <x v="5"/>
    <x v="3"/>
    <x v="20"/>
    <n v="0.56000000000000005"/>
    <n v="0.45283716345265235"/>
    <s v="United States"/>
    <x v="3"/>
    <x v="26"/>
    <x v="552"/>
    <n v="33311"/>
    <x v="30"/>
    <x v="5"/>
    <x v="0"/>
    <d v="2015-03-08T00:00:00"/>
    <n v="147"/>
    <n v="2"/>
    <x v="1300"/>
    <n v="88267"/>
    <x v="0"/>
  </r>
  <r>
    <n v="18892"/>
    <s v="Critical"/>
    <n v="0.05"/>
    <n v="2.08"/>
    <x v="79"/>
    <x v="764"/>
    <x v="1"/>
    <x v="764"/>
    <x v="2"/>
    <x v="1"/>
    <x v="0"/>
    <x v="12"/>
    <x v="2"/>
    <x v="101"/>
    <n v="0.55000000000000004"/>
    <n v="-25.531785976056685"/>
    <s v="United States"/>
    <x v="3"/>
    <x v="26"/>
    <x v="552"/>
    <n v="33311"/>
    <x v="79"/>
    <x v="2"/>
    <x v="0"/>
    <d v="2015-02-16T00:00:00"/>
    <n v="-1045.0160000000001"/>
    <n v="19"/>
    <x v="1301"/>
    <n v="88268"/>
    <x v="0"/>
  </r>
  <r>
    <n v="21772"/>
    <s v="Critical"/>
    <n v="0"/>
    <n v="7.28"/>
    <x v="420"/>
    <x v="765"/>
    <x v="0"/>
    <x v="765"/>
    <x v="2"/>
    <x v="1"/>
    <x v="0"/>
    <x v="7"/>
    <x v="0"/>
    <x v="738"/>
    <n v="0.37"/>
    <n v="3.1291651067016102"/>
    <s v="United States"/>
    <x v="3"/>
    <x v="26"/>
    <x v="610"/>
    <n v="33917"/>
    <x v="64"/>
    <x v="2"/>
    <x v="0"/>
    <d v="2015-02-05T00:00:00"/>
    <n v="167.16000000000003"/>
    <n v="7"/>
    <x v="1302"/>
    <n v="88265"/>
    <x v="0"/>
  </r>
  <r>
    <n v="24890"/>
    <s v="High"/>
    <n v="0.06"/>
    <n v="8.33"/>
    <x v="45"/>
    <x v="766"/>
    <x v="0"/>
    <x v="766"/>
    <x v="2"/>
    <x v="0"/>
    <x v="2"/>
    <x v="13"/>
    <x v="2"/>
    <x v="140"/>
    <n v="0.52"/>
    <n v="-40.614840989399298"/>
    <s v="United States"/>
    <x v="3"/>
    <x v="26"/>
    <x v="611"/>
    <n v="32259"/>
    <x v="147"/>
    <x v="2"/>
    <x v="0"/>
    <d v="2015-02-26T00:00:00"/>
    <n v="-344.82000000000005"/>
    <n v="1"/>
    <x v="1303"/>
    <n v="88266"/>
    <x v="0"/>
  </r>
  <r>
    <n v="19369"/>
    <s v="High"/>
    <n v="0"/>
    <n v="5.77"/>
    <x v="78"/>
    <x v="767"/>
    <x v="0"/>
    <x v="767"/>
    <x v="2"/>
    <x v="1"/>
    <x v="1"/>
    <x v="2"/>
    <x v="4"/>
    <x v="739"/>
    <n v="0.55000000000000004"/>
    <n v="-0.88034912004578625"/>
    <s v="United States"/>
    <x v="1"/>
    <x v="10"/>
    <x v="572"/>
    <n v="44256"/>
    <x v="86"/>
    <x v="4"/>
    <x v="0"/>
    <d v="2015-04-13T00:00:00"/>
    <n v="-61.5276"/>
    <n v="11"/>
    <x v="1304"/>
    <n v="90040"/>
    <x v="0"/>
  </r>
  <r>
    <n v="21582"/>
    <s v="Low"/>
    <n v="7.0000000000000007E-2"/>
    <n v="5.98"/>
    <x v="24"/>
    <x v="768"/>
    <x v="0"/>
    <x v="768"/>
    <x v="2"/>
    <x v="3"/>
    <x v="0"/>
    <x v="7"/>
    <x v="3"/>
    <x v="26"/>
    <n v="0.36"/>
    <n v="-0.54214285714285715"/>
    <s v="United States"/>
    <x v="3"/>
    <x v="26"/>
    <x v="612"/>
    <n v="33024"/>
    <x v="107"/>
    <x v="0"/>
    <x v="0"/>
    <d v="2015-01-15T00:00:00"/>
    <n v="-41.972700000000003"/>
    <n v="13"/>
    <x v="1305"/>
    <n v="90408"/>
    <x v="0"/>
  </r>
  <r>
    <n v="21988"/>
    <s v="Medium"/>
    <n v="0.01"/>
    <n v="1.76"/>
    <x v="22"/>
    <x v="769"/>
    <x v="0"/>
    <x v="769"/>
    <x v="2"/>
    <x v="0"/>
    <x v="0"/>
    <x v="0"/>
    <x v="0"/>
    <x v="28"/>
    <n v="0.56000000000000005"/>
    <n v="-0.21666666666666667"/>
    <s v="United States"/>
    <x v="2"/>
    <x v="3"/>
    <x v="613"/>
    <n v="55803"/>
    <x v="24"/>
    <x v="5"/>
    <x v="0"/>
    <d v="2015-03-16T00:00:00"/>
    <n v="-1.56"/>
    <n v="4"/>
    <x v="1306"/>
    <n v="90714"/>
    <x v="0"/>
  </r>
  <r>
    <n v="22827"/>
    <s v="High"/>
    <n v="0.05"/>
    <n v="3.28"/>
    <x v="240"/>
    <x v="770"/>
    <x v="1"/>
    <x v="770"/>
    <x v="2"/>
    <x v="0"/>
    <x v="0"/>
    <x v="0"/>
    <x v="0"/>
    <x v="623"/>
    <n v="0.56000000000000005"/>
    <n v="-1.635503344754446"/>
    <s v="United States"/>
    <x v="0"/>
    <x v="44"/>
    <x v="458"/>
    <n v="83843"/>
    <x v="93"/>
    <x v="5"/>
    <x v="0"/>
    <d v="2015-03-06T00:00:00"/>
    <n v="-100.24"/>
    <n v="18"/>
    <x v="1307"/>
    <n v="91321"/>
    <x v="0"/>
  </r>
  <r>
    <n v="22828"/>
    <s v="High"/>
    <n v="0.03"/>
    <n v="6.98"/>
    <x v="421"/>
    <x v="770"/>
    <x v="1"/>
    <x v="770"/>
    <x v="2"/>
    <x v="0"/>
    <x v="0"/>
    <x v="10"/>
    <x v="3"/>
    <x v="740"/>
    <n v="0.83"/>
    <n v="-2.4060467246907926"/>
    <s v="United States"/>
    <x v="0"/>
    <x v="44"/>
    <x v="458"/>
    <n v="83843"/>
    <x v="93"/>
    <x v="5"/>
    <x v="0"/>
    <d v="2015-03-07T00:00:00"/>
    <n v="-262.62"/>
    <n v="15"/>
    <x v="1308"/>
    <n v="91321"/>
    <x v="0"/>
  </r>
  <r>
    <n v="18151"/>
    <s v="Low"/>
    <n v="0.06"/>
    <n v="122.99"/>
    <x v="3"/>
    <x v="771"/>
    <x v="0"/>
    <x v="771"/>
    <x v="2"/>
    <x v="2"/>
    <x v="0"/>
    <x v="8"/>
    <x v="3"/>
    <x v="741"/>
    <n v="0.37"/>
    <n v="0.69"/>
    <s v="United States"/>
    <x v="2"/>
    <x v="22"/>
    <x v="536"/>
    <n v="48135"/>
    <x v="130"/>
    <x v="3"/>
    <x v="0"/>
    <d v="2015-05-07T00:00:00"/>
    <n v="1019.7095999999999"/>
    <n v="12"/>
    <x v="1309"/>
    <n v="86655"/>
    <x v="0"/>
  </r>
  <r>
    <n v="19898"/>
    <s v="Not Specified"/>
    <n v="7.0000000000000007E-2"/>
    <n v="3.38"/>
    <x v="324"/>
    <x v="772"/>
    <x v="1"/>
    <x v="772"/>
    <x v="2"/>
    <x v="2"/>
    <x v="0"/>
    <x v="0"/>
    <x v="0"/>
    <x v="523"/>
    <n v="0.48"/>
    <n v="0.65474552957359011"/>
    <s v="United States"/>
    <x v="2"/>
    <x v="22"/>
    <x v="614"/>
    <n v="49505"/>
    <x v="138"/>
    <x v="4"/>
    <x v="0"/>
    <d v="2015-04-28T00:00:00"/>
    <n v="19.04"/>
    <n v="9"/>
    <x v="1310"/>
    <n v="86654"/>
    <x v="0"/>
  </r>
  <r>
    <n v="18152"/>
    <s v="Low"/>
    <n v="0.08"/>
    <n v="68.81"/>
    <x v="236"/>
    <x v="772"/>
    <x v="1"/>
    <x v="772"/>
    <x v="1"/>
    <x v="2"/>
    <x v="0"/>
    <x v="15"/>
    <x v="1"/>
    <x v="730"/>
    <n v="0.41"/>
    <n v="-0.92022091082703916"/>
    <s v="United States"/>
    <x v="2"/>
    <x v="22"/>
    <x v="614"/>
    <n v="49505"/>
    <x v="130"/>
    <x v="3"/>
    <x v="0"/>
    <d v="2015-05-07T00:00:00"/>
    <n v="-1069.72"/>
    <n v="17"/>
    <x v="1311"/>
    <n v="86655"/>
    <x v="0"/>
  </r>
  <r>
    <n v="1898"/>
    <s v="Not Specified"/>
    <n v="7.0000000000000007E-2"/>
    <n v="3.38"/>
    <x v="324"/>
    <x v="773"/>
    <x v="1"/>
    <x v="773"/>
    <x v="2"/>
    <x v="2"/>
    <x v="0"/>
    <x v="0"/>
    <x v="0"/>
    <x v="523"/>
    <n v="0.48"/>
    <n v="0.17331148734753321"/>
    <s v="United States"/>
    <x v="1"/>
    <x v="4"/>
    <x v="8"/>
    <n v="10024"/>
    <x v="138"/>
    <x v="4"/>
    <x v="0"/>
    <d v="2015-04-28T00:00:00"/>
    <n v="19.04"/>
    <n v="34"/>
    <x v="201"/>
    <n v="13606"/>
    <x v="0"/>
  </r>
  <r>
    <n v="151"/>
    <s v="Low"/>
    <n v="0.06"/>
    <n v="122.99"/>
    <x v="3"/>
    <x v="773"/>
    <x v="1"/>
    <x v="773"/>
    <x v="2"/>
    <x v="2"/>
    <x v="0"/>
    <x v="8"/>
    <x v="3"/>
    <x v="741"/>
    <n v="0.37"/>
    <n v="0.23821741226623358"/>
    <s v="United States"/>
    <x v="1"/>
    <x v="4"/>
    <x v="8"/>
    <n v="10024"/>
    <x v="130"/>
    <x v="3"/>
    <x v="0"/>
    <d v="2015-05-07T00:00:00"/>
    <n v="1408.1865"/>
    <n v="48"/>
    <x v="1312"/>
    <n v="962"/>
    <x v="0"/>
  </r>
  <r>
    <n v="152"/>
    <s v="Low"/>
    <n v="0.08"/>
    <n v="68.81"/>
    <x v="236"/>
    <x v="773"/>
    <x v="1"/>
    <x v="773"/>
    <x v="1"/>
    <x v="2"/>
    <x v="0"/>
    <x v="15"/>
    <x v="1"/>
    <x v="730"/>
    <n v="0.41"/>
    <n v="-0.23005473294837467"/>
    <s v="United States"/>
    <x v="1"/>
    <x v="4"/>
    <x v="8"/>
    <n v="10024"/>
    <x v="130"/>
    <x v="3"/>
    <x v="0"/>
    <d v="2015-05-07T00:00:00"/>
    <n v="-1069.72"/>
    <n v="68"/>
    <x v="1313"/>
    <n v="962"/>
    <x v="0"/>
  </r>
  <r>
    <n v="21171"/>
    <s v="Critical"/>
    <n v="0.1"/>
    <n v="130.97999999999999"/>
    <x v="40"/>
    <x v="774"/>
    <x v="0"/>
    <x v="774"/>
    <x v="1"/>
    <x v="2"/>
    <x v="1"/>
    <x v="1"/>
    <x v="1"/>
    <x v="185"/>
    <n v="0.78"/>
    <n v="0.88500834074487056"/>
    <s v="United States"/>
    <x v="0"/>
    <x v="27"/>
    <x v="615"/>
    <n v="88001"/>
    <x v="55"/>
    <x v="3"/>
    <x v="0"/>
    <d v="2015-05-24T00:00:00"/>
    <n v="2000.11"/>
    <n v="18"/>
    <x v="1314"/>
    <n v="89184"/>
    <x v="0"/>
  </r>
  <r>
    <n v="23557"/>
    <s v="Not Specified"/>
    <n v="0.06"/>
    <n v="4.7699999999999996"/>
    <x v="422"/>
    <x v="775"/>
    <x v="1"/>
    <x v="775"/>
    <x v="2"/>
    <x v="0"/>
    <x v="2"/>
    <x v="13"/>
    <x v="2"/>
    <x v="742"/>
    <n v="0.72"/>
    <n v="-1.0748940178991993"/>
    <s v="United States"/>
    <x v="1"/>
    <x v="4"/>
    <x v="616"/>
    <n v="11572"/>
    <x v="40"/>
    <x v="3"/>
    <x v="0"/>
    <d v="2015-05-26T00:00:00"/>
    <n v="-45.64"/>
    <n v="9"/>
    <x v="1315"/>
    <n v="91122"/>
    <x v="0"/>
  </r>
  <r>
    <n v="23558"/>
    <s v="Not Specified"/>
    <n v="0.1"/>
    <n v="27.18"/>
    <x v="423"/>
    <x v="775"/>
    <x v="1"/>
    <x v="775"/>
    <x v="2"/>
    <x v="0"/>
    <x v="0"/>
    <x v="4"/>
    <x v="3"/>
    <x v="743"/>
    <n v="0.38"/>
    <n v="0.65111762083678282"/>
    <s v="United States"/>
    <x v="1"/>
    <x v="4"/>
    <x v="616"/>
    <n v="11572"/>
    <x v="40"/>
    <x v="3"/>
    <x v="0"/>
    <d v="2015-05-27T00:00:00"/>
    <n v="204.49"/>
    <n v="12"/>
    <x v="1316"/>
    <n v="91122"/>
    <x v="0"/>
  </r>
  <r>
    <n v="21462"/>
    <s v="Not Specified"/>
    <n v="0"/>
    <n v="999.99"/>
    <x v="100"/>
    <x v="775"/>
    <x v="1"/>
    <x v="775"/>
    <x v="2"/>
    <x v="0"/>
    <x v="2"/>
    <x v="6"/>
    <x v="4"/>
    <x v="180"/>
    <n v="0.36"/>
    <n v="-1.4415956593629637"/>
    <s v="United States"/>
    <x v="1"/>
    <x v="4"/>
    <x v="616"/>
    <n v="11572"/>
    <x v="141"/>
    <x v="1"/>
    <x v="0"/>
    <d v="2015-06-06T00:00:00"/>
    <n v="-1455.9971999999998"/>
    <n v="1"/>
    <x v="1317"/>
    <n v="91123"/>
    <x v="0"/>
  </r>
  <r>
    <n v="21463"/>
    <s v="Not Specified"/>
    <n v="0.05"/>
    <n v="6.48"/>
    <x v="209"/>
    <x v="775"/>
    <x v="1"/>
    <x v="775"/>
    <x v="0"/>
    <x v="0"/>
    <x v="0"/>
    <x v="7"/>
    <x v="3"/>
    <x v="339"/>
    <n v="0.37"/>
    <n v="-0.24479166666666666"/>
    <s v="United States"/>
    <x v="1"/>
    <x v="4"/>
    <x v="616"/>
    <n v="11572"/>
    <x v="141"/>
    <x v="1"/>
    <x v="0"/>
    <d v="2015-06-05T00:00:00"/>
    <n v="-22.56"/>
    <n v="13"/>
    <x v="1318"/>
    <n v="91123"/>
    <x v="0"/>
  </r>
  <r>
    <n v="18277"/>
    <s v="Medium"/>
    <n v="0.02"/>
    <n v="6.48"/>
    <x v="424"/>
    <x v="776"/>
    <x v="1"/>
    <x v="776"/>
    <x v="2"/>
    <x v="0"/>
    <x v="0"/>
    <x v="7"/>
    <x v="3"/>
    <x v="744"/>
    <n v="0.37"/>
    <n v="-72.213696969696969"/>
    <s v="United States"/>
    <x v="3"/>
    <x v="29"/>
    <x v="151"/>
    <n v="30076"/>
    <x v="124"/>
    <x v="3"/>
    <x v="0"/>
    <d v="2015-05-31T00:00:00"/>
    <n v="-1191.5260000000001"/>
    <n v="2"/>
    <x v="1319"/>
    <n v="86950"/>
    <x v="0"/>
  </r>
  <r>
    <n v="18197"/>
    <s v="High"/>
    <n v="0.06"/>
    <n v="105.29"/>
    <x v="328"/>
    <x v="776"/>
    <x v="1"/>
    <x v="776"/>
    <x v="2"/>
    <x v="0"/>
    <x v="1"/>
    <x v="2"/>
    <x v="6"/>
    <x v="533"/>
    <n v="0.79"/>
    <n v="-3.7425373754843429E-2"/>
    <s v="United States"/>
    <x v="3"/>
    <x v="29"/>
    <x v="151"/>
    <n v="30076"/>
    <x v="148"/>
    <x v="0"/>
    <x v="0"/>
    <d v="2015-01-06T00:00:00"/>
    <n v="-45.01"/>
    <n v="12"/>
    <x v="1320"/>
    <n v="86951"/>
    <x v="0"/>
  </r>
  <r>
    <n v="20197"/>
    <s v="Critical"/>
    <n v="0.01"/>
    <n v="11.7"/>
    <x v="125"/>
    <x v="777"/>
    <x v="1"/>
    <x v="777"/>
    <x v="2"/>
    <x v="0"/>
    <x v="0"/>
    <x v="8"/>
    <x v="3"/>
    <x v="745"/>
    <n v="0.4"/>
    <n v="0.19934922975240224"/>
    <s v="United States"/>
    <x v="3"/>
    <x v="29"/>
    <x v="617"/>
    <n v="30328"/>
    <x v="90"/>
    <x v="3"/>
    <x v="0"/>
    <d v="2015-05-03T00:00:00"/>
    <n v="39.209999999999994"/>
    <n v="16"/>
    <x v="1321"/>
    <n v="86949"/>
    <x v="0"/>
  </r>
  <r>
    <n v="20198"/>
    <s v="Critical"/>
    <n v="0.03"/>
    <n v="4.55"/>
    <x v="25"/>
    <x v="777"/>
    <x v="1"/>
    <x v="777"/>
    <x v="2"/>
    <x v="0"/>
    <x v="0"/>
    <x v="8"/>
    <x v="3"/>
    <x v="516"/>
    <n v="0.35"/>
    <n v="2.4920556107249259"/>
    <s v="United States"/>
    <x v="3"/>
    <x v="29"/>
    <x v="617"/>
    <n v="30328"/>
    <x v="90"/>
    <x v="3"/>
    <x v="0"/>
    <d v="2015-05-01T00:00:00"/>
    <n v="100.38000000000001"/>
    <n v="9"/>
    <x v="1322"/>
    <n v="86949"/>
    <x v="0"/>
  </r>
  <r>
    <n v="24954"/>
    <s v="Not Specified"/>
    <n v="0.04"/>
    <n v="60.97"/>
    <x v="60"/>
    <x v="778"/>
    <x v="0"/>
    <x v="778"/>
    <x v="2"/>
    <x v="0"/>
    <x v="0"/>
    <x v="15"/>
    <x v="3"/>
    <x v="714"/>
    <n v="0.56000000000000005"/>
    <n v="8.7827404319315294E-2"/>
    <s v="United States"/>
    <x v="3"/>
    <x v="29"/>
    <x v="618"/>
    <n v="31401"/>
    <x v="165"/>
    <x v="5"/>
    <x v="0"/>
    <d v="2015-03-24T00:00:00"/>
    <n v="79.423200000000008"/>
    <n v="15"/>
    <x v="1323"/>
    <n v="86952"/>
    <x v="0"/>
  </r>
  <r>
    <n v="22369"/>
    <s v="Not Specified"/>
    <n v="0.03"/>
    <n v="7.64"/>
    <x v="245"/>
    <x v="779"/>
    <x v="0"/>
    <x v="779"/>
    <x v="2"/>
    <x v="0"/>
    <x v="0"/>
    <x v="7"/>
    <x v="0"/>
    <x v="372"/>
    <n v="0.36"/>
    <n v="-0.15579599421845963"/>
    <s v="United States"/>
    <x v="2"/>
    <x v="12"/>
    <x v="619"/>
    <n v="60103"/>
    <x v="152"/>
    <x v="2"/>
    <x v="0"/>
    <d v="2015-02-26T00:00:00"/>
    <n v="-15.090400000000001"/>
    <n v="12"/>
    <x v="1324"/>
    <n v="86373"/>
    <x v="0"/>
  </r>
  <r>
    <n v="19001"/>
    <s v="Medium"/>
    <n v="0"/>
    <n v="65.989999999999995"/>
    <x v="196"/>
    <x v="780"/>
    <x v="0"/>
    <x v="780"/>
    <x v="2"/>
    <x v="3"/>
    <x v="2"/>
    <x v="5"/>
    <x v="3"/>
    <x v="382"/>
    <n v="0.59"/>
    <n v="-7.9101417096584595E-2"/>
    <s v="United States"/>
    <x v="3"/>
    <x v="8"/>
    <x v="543"/>
    <n v="22124"/>
    <x v="88"/>
    <x v="5"/>
    <x v="0"/>
    <d v="2015-03-15T00:00:00"/>
    <n v="-60.563999999999993"/>
    <n v="13"/>
    <x v="1325"/>
    <n v="86754"/>
    <x v="0"/>
  </r>
  <r>
    <n v="20325"/>
    <s v="Critical"/>
    <n v="0.03"/>
    <n v="2.1"/>
    <x v="22"/>
    <x v="781"/>
    <x v="1"/>
    <x v="781"/>
    <x v="2"/>
    <x v="3"/>
    <x v="0"/>
    <x v="0"/>
    <x v="0"/>
    <x v="746"/>
    <n v="0.56999999999999995"/>
    <n v="-169.02591743119265"/>
    <s v="United States"/>
    <x v="3"/>
    <x v="8"/>
    <x v="620"/>
    <n v="23805"/>
    <x v="61"/>
    <x v="0"/>
    <x v="0"/>
    <d v="2015-01-07T00:00:00"/>
    <n v="-1473.9059999999999"/>
    <n v="4"/>
    <x v="1326"/>
    <n v="86750"/>
    <x v="0"/>
  </r>
  <r>
    <n v="21724"/>
    <s v="High"/>
    <n v="0.1"/>
    <n v="599.99"/>
    <x v="65"/>
    <x v="781"/>
    <x v="1"/>
    <x v="781"/>
    <x v="2"/>
    <x v="3"/>
    <x v="2"/>
    <x v="16"/>
    <x v="6"/>
    <x v="747"/>
    <n v="0.5"/>
    <n v="-5.3987214606124594E-2"/>
    <s v="United States"/>
    <x v="3"/>
    <x v="8"/>
    <x v="620"/>
    <n v="23805"/>
    <x v="56"/>
    <x v="0"/>
    <x v="0"/>
    <d v="2015-01-11T00:00:00"/>
    <n v="-343.12599999999998"/>
    <n v="11"/>
    <x v="1327"/>
    <n v="86753"/>
    <x v="0"/>
  </r>
  <r>
    <n v="21725"/>
    <s v="High"/>
    <n v="0.06"/>
    <n v="2.78"/>
    <x v="160"/>
    <x v="781"/>
    <x v="1"/>
    <x v="781"/>
    <x v="2"/>
    <x v="3"/>
    <x v="0"/>
    <x v="0"/>
    <x v="0"/>
    <x v="732"/>
    <n v="0.59"/>
    <n v="2.3624065503737981"/>
    <s v="United States"/>
    <x v="3"/>
    <x v="8"/>
    <x v="620"/>
    <n v="23805"/>
    <x v="56"/>
    <x v="0"/>
    <x v="0"/>
    <d v="2015-01-12T00:00:00"/>
    <n v="66.359999999999985"/>
    <n v="10"/>
    <x v="1328"/>
    <n v="86753"/>
    <x v="0"/>
  </r>
  <r>
    <n v="22376"/>
    <s v="Not Specified"/>
    <n v="7.0000000000000007E-2"/>
    <n v="225.04"/>
    <x v="425"/>
    <x v="782"/>
    <x v="1"/>
    <x v="782"/>
    <x v="2"/>
    <x v="3"/>
    <x v="0"/>
    <x v="15"/>
    <x v="4"/>
    <x v="748"/>
    <n v="0.42"/>
    <n v="-0.14415608547537936"/>
    <s v="United States"/>
    <x v="3"/>
    <x v="8"/>
    <x v="368"/>
    <n v="23701"/>
    <x v="173"/>
    <x v="5"/>
    <x v="0"/>
    <d v="2015-03-26T00:00:00"/>
    <n v="-162.91800000000001"/>
    <n v="5"/>
    <x v="1329"/>
    <n v="86751"/>
    <x v="0"/>
  </r>
  <r>
    <n v="22377"/>
    <s v="Not Specified"/>
    <n v="0.03"/>
    <n v="7.84"/>
    <x v="426"/>
    <x v="782"/>
    <x v="1"/>
    <x v="782"/>
    <x v="2"/>
    <x v="3"/>
    <x v="0"/>
    <x v="8"/>
    <x v="3"/>
    <x v="749"/>
    <n v="0.35"/>
    <n v="15.812356078719882"/>
    <s v="United States"/>
    <x v="3"/>
    <x v="8"/>
    <x v="368"/>
    <n v="23701"/>
    <x v="173"/>
    <x v="5"/>
    <x v="0"/>
    <d v="2015-03-29T00:00:00"/>
    <n v="859.7177999999999"/>
    <n v="7"/>
    <x v="1330"/>
    <n v="86751"/>
    <x v="0"/>
  </r>
  <r>
    <n v="25271"/>
    <s v="High"/>
    <n v="0.04"/>
    <n v="9.11"/>
    <x v="292"/>
    <x v="783"/>
    <x v="0"/>
    <x v="783"/>
    <x v="2"/>
    <x v="3"/>
    <x v="0"/>
    <x v="7"/>
    <x v="0"/>
    <x v="452"/>
    <n v="0.4"/>
    <n v="-0.22873004857737683"/>
    <s v="United States"/>
    <x v="3"/>
    <x v="8"/>
    <x v="404"/>
    <n v="23223"/>
    <x v="166"/>
    <x v="3"/>
    <x v="0"/>
    <d v="2015-05-06T00:00:00"/>
    <n v="-23.072000000000003"/>
    <n v="11"/>
    <x v="1331"/>
    <n v="86752"/>
    <x v="0"/>
  </r>
  <r>
    <n v="18802"/>
    <s v="Not Specified"/>
    <n v="0.05"/>
    <n v="150.97999999999999"/>
    <x v="427"/>
    <x v="784"/>
    <x v="1"/>
    <x v="784"/>
    <x v="1"/>
    <x v="1"/>
    <x v="1"/>
    <x v="1"/>
    <x v="1"/>
    <x v="750"/>
    <n v="0.55000000000000004"/>
    <n v="0.3501733904839856"/>
    <s v="United States"/>
    <x v="2"/>
    <x v="7"/>
    <x v="621"/>
    <n v="77340"/>
    <x v="84"/>
    <x v="3"/>
    <x v="0"/>
    <d v="2015-05-25T00:00:00"/>
    <n v="650.29999999999995"/>
    <n v="12"/>
    <x v="1332"/>
    <n v="89053"/>
    <x v="0"/>
  </r>
  <r>
    <n v="19817"/>
    <s v="Medium"/>
    <n v="0.09"/>
    <n v="3.89"/>
    <x v="303"/>
    <x v="784"/>
    <x v="1"/>
    <x v="784"/>
    <x v="0"/>
    <x v="1"/>
    <x v="0"/>
    <x v="8"/>
    <x v="3"/>
    <x v="477"/>
    <n v="0.37"/>
    <n v="-3.6256343984962407"/>
    <s v="United States"/>
    <x v="2"/>
    <x v="7"/>
    <x v="621"/>
    <n v="77340"/>
    <x v="46"/>
    <x v="0"/>
    <x v="0"/>
    <d v="2015-01-24T00:00:00"/>
    <n v="-154.30700000000002"/>
    <n v="10"/>
    <x v="1333"/>
    <n v="89055"/>
    <x v="0"/>
  </r>
  <r>
    <n v="25126"/>
    <s v="Low"/>
    <n v="0.04"/>
    <n v="100.98"/>
    <x v="261"/>
    <x v="785"/>
    <x v="0"/>
    <x v="785"/>
    <x v="2"/>
    <x v="1"/>
    <x v="2"/>
    <x v="13"/>
    <x v="3"/>
    <x v="751"/>
    <n v="0.4"/>
    <n v="0.65059892506808703"/>
    <s v="United States"/>
    <x v="2"/>
    <x v="7"/>
    <x v="622"/>
    <n v="76053"/>
    <x v="72"/>
    <x v="0"/>
    <x v="0"/>
    <d v="2015-01-26T00:00:00"/>
    <n v="269.94"/>
    <n v="4"/>
    <x v="1334"/>
    <n v="89054"/>
    <x v="0"/>
  </r>
  <r>
    <n v="21761"/>
    <s v="High"/>
    <n v="0.08"/>
    <n v="30.93"/>
    <x v="362"/>
    <x v="786"/>
    <x v="1"/>
    <x v="786"/>
    <x v="2"/>
    <x v="2"/>
    <x v="1"/>
    <x v="2"/>
    <x v="2"/>
    <x v="609"/>
    <n v="0.44"/>
    <n v="0.69"/>
    <s v="United States"/>
    <x v="2"/>
    <x v="7"/>
    <x v="623"/>
    <n v="75061"/>
    <x v="24"/>
    <x v="5"/>
    <x v="0"/>
    <d v="2015-03-16T00:00:00"/>
    <n v="63.059099999999994"/>
    <n v="3"/>
    <x v="1335"/>
    <n v="90859"/>
    <x v="0"/>
  </r>
  <r>
    <n v="20496"/>
    <s v="Low"/>
    <n v="0.08"/>
    <n v="4.4800000000000004"/>
    <x v="164"/>
    <x v="786"/>
    <x v="1"/>
    <x v="786"/>
    <x v="2"/>
    <x v="2"/>
    <x v="0"/>
    <x v="15"/>
    <x v="6"/>
    <x v="238"/>
    <n v="0.6"/>
    <n v="0.69"/>
    <s v="United States"/>
    <x v="2"/>
    <x v="7"/>
    <x v="623"/>
    <n v="75061"/>
    <x v="10"/>
    <x v="3"/>
    <x v="0"/>
    <d v="2015-05-02T00:00:00"/>
    <n v="139.58009999999999"/>
    <n v="37"/>
    <x v="1336"/>
    <n v="90861"/>
    <x v="0"/>
  </r>
  <r>
    <n v="20497"/>
    <s v="Low"/>
    <n v="0"/>
    <n v="17.670000000000002"/>
    <x v="20"/>
    <x v="786"/>
    <x v="1"/>
    <x v="786"/>
    <x v="2"/>
    <x v="2"/>
    <x v="1"/>
    <x v="2"/>
    <x v="2"/>
    <x v="283"/>
    <n v="0.47"/>
    <n v="0.65005038231284462"/>
    <s v="United States"/>
    <x v="2"/>
    <x v="7"/>
    <x v="623"/>
    <n v="75061"/>
    <x v="10"/>
    <x v="3"/>
    <x v="0"/>
    <d v="2015-05-09T00:00:00"/>
    <n v="109.67000000000002"/>
    <n v="9"/>
    <x v="1337"/>
    <n v="90861"/>
    <x v="0"/>
  </r>
  <r>
    <n v="23729"/>
    <s v="High"/>
    <n v="0.03"/>
    <n v="40.99"/>
    <x v="3"/>
    <x v="787"/>
    <x v="0"/>
    <x v="787"/>
    <x v="2"/>
    <x v="0"/>
    <x v="0"/>
    <x v="7"/>
    <x v="3"/>
    <x v="659"/>
    <n v="0.36"/>
    <n v="0.44634788008807091"/>
    <s v="United States"/>
    <x v="2"/>
    <x v="7"/>
    <x v="624"/>
    <n v="76248"/>
    <x v="149"/>
    <x v="2"/>
    <x v="0"/>
    <d v="2015-02-18T00:00:00"/>
    <n v="395.30799999999999"/>
    <n v="21"/>
    <x v="1338"/>
    <n v="90860"/>
    <x v="0"/>
  </r>
  <r>
    <n v="22562"/>
    <s v="Not Specified"/>
    <n v="0.1"/>
    <n v="14.28"/>
    <x v="139"/>
    <x v="788"/>
    <x v="1"/>
    <x v="788"/>
    <x v="2"/>
    <x v="1"/>
    <x v="0"/>
    <x v="8"/>
    <x v="3"/>
    <x v="602"/>
    <n v="0.39"/>
    <n v="0.69"/>
    <s v="United States"/>
    <x v="2"/>
    <x v="7"/>
    <x v="625"/>
    <n v="76541"/>
    <x v="120"/>
    <x v="5"/>
    <x v="0"/>
    <d v="2015-03-25T00:00:00"/>
    <n v="104.9145"/>
    <n v="11"/>
    <x v="1339"/>
    <n v="91108"/>
    <x v="0"/>
  </r>
  <r>
    <n v="22105"/>
    <s v="Not Specified"/>
    <n v="0.04"/>
    <n v="7.08"/>
    <x v="272"/>
    <x v="788"/>
    <x v="1"/>
    <x v="788"/>
    <x v="2"/>
    <x v="1"/>
    <x v="0"/>
    <x v="0"/>
    <x v="0"/>
    <x v="416"/>
    <n v="0.47"/>
    <n v="0.50081466395112018"/>
    <s v="United States"/>
    <x v="2"/>
    <x v="7"/>
    <x v="625"/>
    <n v="76541"/>
    <x v="98"/>
    <x v="4"/>
    <x v="0"/>
    <d v="2015-04-11T00:00:00"/>
    <n v="24.59"/>
    <n v="7"/>
    <x v="1340"/>
    <n v="91109"/>
    <x v="0"/>
  </r>
  <r>
    <n v="20731"/>
    <s v="Low"/>
    <n v="0.03"/>
    <n v="140.99"/>
    <x v="5"/>
    <x v="788"/>
    <x v="1"/>
    <x v="788"/>
    <x v="2"/>
    <x v="1"/>
    <x v="2"/>
    <x v="5"/>
    <x v="3"/>
    <x v="752"/>
    <n v="0.59"/>
    <n v="-1.8614835254017206"/>
    <s v="United States"/>
    <x v="2"/>
    <x v="7"/>
    <x v="625"/>
    <n v="76541"/>
    <x v="48"/>
    <x v="5"/>
    <x v="0"/>
    <d v="2015-04-06T00:00:00"/>
    <n v="-458.74400000000003"/>
    <n v="2"/>
    <x v="1341"/>
    <n v="91110"/>
    <x v="0"/>
  </r>
  <r>
    <n v="3490"/>
    <s v="Not Specified"/>
    <n v="0.05"/>
    <n v="8.85"/>
    <x v="428"/>
    <x v="789"/>
    <x v="1"/>
    <x v="789"/>
    <x v="2"/>
    <x v="3"/>
    <x v="0"/>
    <x v="8"/>
    <x v="3"/>
    <x v="753"/>
    <n v="0.36"/>
    <n v="-4.6097046413502103E-2"/>
    <s v="United States"/>
    <x v="0"/>
    <x v="1"/>
    <x v="154"/>
    <n v="90004"/>
    <x v="69"/>
    <x v="1"/>
    <x v="0"/>
    <d v="2015-06-11T00:00:00"/>
    <n v="-9.1769999999999996"/>
    <n v="21"/>
    <x v="1342"/>
    <n v="24869"/>
    <x v="0"/>
  </r>
  <r>
    <n v="819"/>
    <s v="High"/>
    <n v="7.0000000000000007E-2"/>
    <n v="155.06"/>
    <x v="29"/>
    <x v="789"/>
    <x v="1"/>
    <x v="789"/>
    <x v="2"/>
    <x v="3"/>
    <x v="0"/>
    <x v="10"/>
    <x v="3"/>
    <x v="33"/>
    <n v="0.59"/>
    <n v="-5.9708592642724378E-2"/>
    <s v="United States"/>
    <x v="0"/>
    <x v="1"/>
    <x v="154"/>
    <n v="90004"/>
    <x v="168"/>
    <x v="3"/>
    <x v="0"/>
    <d v="2015-05-19T00:00:00"/>
    <n v="-121.75"/>
    <n v="14"/>
    <x v="1343"/>
    <n v="5920"/>
    <x v="0"/>
  </r>
  <r>
    <n v="18819"/>
    <s v="High"/>
    <n v="7.0000000000000007E-2"/>
    <n v="155.06"/>
    <x v="29"/>
    <x v="790"/>
    <x v="1"/>
    <x v="790"/>
    <x v="2"/>
    <x v="3"/>
    <x v="0"/>
    <x v="10"/>
    <x v="3"/>
    <x v="33"/>
    <n v="0.59"/>
    <n v="5.5728475305533993E-2"/>
    <s v="United States"/>
    <x v="2"/>
    <x v="23"/>
    <x v="626"/>
    <n v="73110"/>
    <x v="168"/>
    <x v="3"/>
    <x v="0"/>
    <d v="2015-05-19T00:00:00"/>
    <n v="24.350000000000023"/>
    <n v="3"/>
    <x v="1344"/>
    <n v="89096"/>
    <x v="0"/>
  </r>
  <r>
    <n v="20286"/>
    <s v="Not Specified"/>
    <n v="0.09"/>
    <n v="5.4"/>
    <x v="75"/>
    <x v="790"/>
    <x v="1"/>
    <x v="790"/>
    <x v="0"/>
    <x v="3"/>
    <x v="0"/>
    <x v="8"/>
    <x v="3"/>
    <x v="97"/>
    <n v="0.37"/>
    <n v="-0.93002942750133755"/>
    <s v="United States"/>
    <x v="2"/>
    <x v="23"/>
    <x v="626"/>
    <n v="73110"/>
    <x v="132"/>
    <x v="1"/>
    <x v="0"/>
    <d v="2015-06-08T00:00:00"/>
    <n v="-34.764499999999998"/>
    <n v="6"/>
    <x v="1345"/>
    <n v="89097"/>
    <x v="0"/>
  </r>
  <r>
    <n v="21490"/>
    <s v="Not Specified"/>
    <n v="0.05"/>
    <n v="8.85"/>
    <x v="428"/>
    <x v="791"/>
    <x v="0"/>
    <x v="791"/>
    <x v="2"/>
    <x v="3"/>
    <x v="0"/>
    <x v="8"/>
    <x v="3"/>
    <x v="753"/>
    <n v="0.36"/>
    <n v="-0.1548860759493671"/>
    <s v="United States"/>
    <x v="2"/>
    <x v="23"/>
    <x v="627"/>
    <n v="73160"/>
    <x v="69"/>
    <x v="1"/>
    <x v="0"/>
    <d v="2015-06-11T00:00:00"/>
    <n v="-7.3415999999999997"/>
    <n v="5"/>
    <x v="1346"/>
    <n v="89095"/>
    <x v="0"/>
  </r>
  <r>
    <n v="19566"/>
    <s v="Low"/>
    <n v="0.09"/>
    <n v="90.97"/>
    <x v="216"/>
    <x v="792"/>
    <x v="0"/>
    <x v="792"/>
    <x v="1"/>
    <x v="1"/>
    <x v="2"/>
    <x v="6"/>
    <x v="1"/>
    <x v="625"/>
    <n v="0.36"/>
    <n v="0.13573076923076943"/>
    <s v="United States"/>
    <x v="2"/>
    <x v="45"/>
    <x v="628"/>
    <n v="53150"/>
    <x v="151"/>
    <x v="5"/>
    <x v="0"/>
    <d v="2015-03-03T00:00:00"/>
    <n v="35.290000000000049"/>
    <n v="3"/>
    <x v="1347"/>
    <n v="90301"/>
    <x v="0"/>
  </r>
  <r>
    <n v="20157"/>
    <s v="Medium"/>
    <n v="0.02"/>
    <n v="63.94"/>
    <x v="133"/>
    <x v="793"/>
    <x v="0"/>
    <x v="793"/>
    <x v="2"/>
    <x v="3"/>
    <x v="1"/>
    <x v="2"/>
    <x v="3"/>
    <x v="176"/>
    <n v="0.46"/>
    <n v="-0.14114414541355502"/>
    <s v="United States"/>
    <x v="3"/>
    <x v="26"/>
    <x v="629"/>
    <n v="32935"/>
    <x v="36"/>
    <x v="4"/>
    <x v="0"/>
    <d v="2015-04-04T00:00:00"/>
    <n v="-100.17"/>
    <n v="11"/>
    <x v="1348"/>
    <n v="89300"/>
    <x v="0"/>
  </r>
  <r>
    <n v="20158"/>
    <s v="Medium"/>
    <n v="0.01"/>
    <n v="5.0199999999999996"/>
    <x v="209"/>
    <x v="794"/>
    <x v="0"/>
    <x v="794"/>
    <x v="2"/>
    <x v="3"/>
    <x v="2"/>
    <x v="13"/>
    <x v="2"/>
    <x v="301"/>
    <n v="0.79"/>
    <n v="-0.14398249452954046"/>
    <s v="United States"/>
    <x v="3"/>
    <x v="26"/>
    <x v="630"/>
    <n v="32953"/>
    <x v="36"/>
    <x v="4"/>
    <x v="0"/>
    <d v="2015-04-06T00:00:00"/>
    <n v="-3.9479999999999995"/>
    <n v="5"/>
    <x v="1349"/>
    <n v="89300"/>
    <x v="0"/>
  </r>
  <r>
    <n v="21084"/>
    <s v="High"/>
    <n v="0.05"/>
    <n v="58.1"/>
    <x v="25"/>
    <x v="795"/>
    <x v="1"/>
    <x v="795"/>
    <x v="2"/>
    <x v="0"/>
    <x v="0"/>
    <x v="8"/>
    <x v="3"/>
    <x v="86"/>
    <n v="0.38"/>
    <n v="2.2108976267150164"/>
    <s v="United States"/>
    <x v="3"/>
    <x v="26"/>
    <x v="95"/>
    <n v="33142"/>
    <x v="174"/>
    <x v="0"/>
    <x v="0"/>
    <d v="2015-01-18T00:00:00"/>
    <n v="1633.9859999999999"/>
    <n v="13"/>
    <x v="1350"/>
    <n v="89299"/>
    <x v="0"/>
  </r>
  <r>
    <n v="25304"/>
    <s v="Not Specified"/>
    <n v="0.06"/>
    <n v="2.2799999999999998"/>
    <x v="429"/>
    <x v="795"/>
    <x v="1"/>
    <x v="795"/>
    <x v="2"/>
    <x v="0"/>
    <x v="0"/>
    <x v="0"/>
    <x v="0"/>
    <x v="754"/>
    <n v="0.41"/>
    <n v="-65.72469314079423"/>
    <s v="United States"/>
    <x v="3"/>
    <x v="26"/>
    <x v="95"/>
    <n v="33142"/>
    <x v="144"/>
    <x v="1"/>
    <x v="0"/>
    <d v="2015-06-03T00:00:00"/>
    <n v="-2002.6314000000002"/>
    <n v="13"/>
    <x v="1351"/>
    <n v="89301"/>
    <x v="0"/>
  </r>
  <r>
    <n v="25742"/>
    <s v="High"/>
    <n v="0.09"/>
    <n v="6.48"/>
    <x v="96"/>
    <x v="796"/>
    <x v="0"/>
    <x v="796"/>
    <x v="2"/>
    <x v="3"/>
    <x v="0"/>
    <x v="7"/>
    <x v="3"/>
    <x v="125"/>
    <n v="0.37"/>
    <n v="-1.3016501650165018"/>
    <s v="United States"/>
    <x v="2"/>
    <x v="3"/>
    <x v="631"/>
    <n v="55410"/>
    <x v="159"/>
    <x v="1"/>
    <x v="0"/>
    <d v="2015-07-01T00:00:00"/>
    <n v="-126.208"/>
    <n v="16"/>
    <x v="1352"/>
    <n v="87790"/>
    <x v="0"/>
  </r>
  <r>
    <n v="20687"/>
    <s v="Not Specified"/>
    <n v="0.08"/>
    <n v="4.13"/>
    <x v="430"/>
    <x v="797"/>
    <x v="0"/>
    <x v="797"/>
    <x v="2"/>
    <x v="1"/>
    <x v="0"/>
    <x v="0"/>
    <x v="0"/>
    <x v="755"/>
    <n v="0.56999999999999995"/>
    <n v="-1.3159144893111638"/>
    <s v="United States"/>
    <x v="2"/>
    <x v="45"/>
    <x v="632"/>
    <n v="53545"/>
    <x v="94"/>
    <x v="3"/>
    <x v="0"/>
    <d v="2015-05-25T00:00:00"/>
    <n v="-5.54"/>
    <n v="1"/>
    <x v="1353"/>
    <n v="90322"/>
    <x v="0"/>
  </r>
  <r>
    <n v="21198"/>
    <s v="Medium"/>
    <n v="0.06"/>
    <n v="3499.99"/>
    <x v="65"/>
    <x v="798"/>
    <x v="0"/>
    <x v="798"/>
    <x v="0"/>
    <x v="0"/>
    <x v="2"/>
    <x v="16"/>
    <x v="6"/>
    <x v="467"/>
    <n v="0.37"/>
    <n v="-1.9275099428777448E-2"/>
    <s v="United States"/>
    <x v="3"/>
    <x v="43"/>
    <x v="633"/>
    <n v="35244"/>
    <x v="151"/>
    <x v="5"/>
    <x v="0"/>
    <d v="2015-03-04T00:00:00"/>
    <n v="-68.432000000000002"/>
    <n v="1"/>
    <x v="1354"/>
    <n v="89219"/>
    <x v="0"/>
  </r>
  <r>
    <n v="25536"/>
    <s v="High"/>
    <n v="7.0000000000000007E-2"/>
    <n v="179.99"/>
    <x v="3"/>
    <x v="799"/>
    <x v="1"/>
    <x v="799"/>
    <x v="2"/>
    <x v="1"/>
    <x v="2"/>
    <x v="13"/>
    <x v="3"/>
    <x v="196"/>
    <n v="0.48"/>
    <n v="0.61691375785568259"/>
    <s v="United States"/>
    <x v="3"/>
    <x v="43"/>
    <x v="634"/>
    <n v="36608"/>
    <x v="46"/>
    <x v="0"/>
    <x v="0"/>
    <d v="2015-01-23T00:00:00"/>
    <n v="733.2822000000001"/>
    <n v="7"/>
    <x v="1355"/>
    <n v="89218"/>
    <x v="0"/>
  </r>
  <r>
    <n v="25537"/>
    <s v="High"/>
    <n v="0.02"/>
    <n v="92.23"/>
    <x v="431"/>
    <x v="799"/>
    <x v="1"/>
    <x v="799"/>
    <x v="0"/>
    <x v="1"/>
    <x v="1"/>
    <x v="2"/>
    <x v="4"/>
    <x v="756"/>
    <n v="0.67"/>
    <n v="-0.89708237204558727"/>
    <s v="United States"/>
    <x v="3"/>
    <x v="43"/>
    <x v="634"/>
    <n v="36608"/>
    <x v="46"/>
    <x v="0"/>
    <x v="0"/>
    <d v="2015-01-23T00:00:00"/>
    <n v="-905.99039999999991"/>
    <n v="11"/>
    <x v="1356"/>
    <n v="89218"/>
    <x v="0"/>
  </r>
  <r>
    <n v="25535"/>
    <s v="High"/>
    <n v="0.02"/>
    <n v="15.22"/>
    <x v="432"/>
    <x v="800"/>
    <x v="0"/>
    <x v="800"/>
    <x v="2"/>
    <x v="1"/>
    <x v="0"/>
    <x v="8"/>
    <x v="3"/>
    <x v="757"/>
    <n v="0.36"/>
    <n v="-0.15374854299928928"/>
    <s v="United States"/>
    <x v="2"/>
    <x v="3"/>
    <x v="635"/>
    <n v="55014"/>
    <x v="46"/>
    <x v="0"/>
    <x v="0"/>
    <d v="2015-01-22T00:00:00"/>
    <n v="-21.63242"/>
    <n v="9"/>
    <x v="1357"/>
    <n v="89218"/>
    <x v="0"/>
  </r>
  <r>
    <n v="22321"/>
    <s v="High"/>
    <n v="0.03"/>
    <n v="6.48"/>
    <x v="23"/>
    <x v="801"/>
    <x v="1"/>
    <x v="801"/>
    <x v="2"/>
    <x v="1"/>
    <x v="0"/>
    <x v="7"/>
    <x v="3"/>
    <x v="758"/>
    <n v="0.37"/>
    <n v="-2.1968652037617553"/>
    <s v="United States"/>
    <x v="2"/>
    <x v="3"/>
    <x v="631"/>
    <n v="55410"/>
    <x v="35"/>
    <x v="0"/>
    <x v="0"/>
    <d v="2015-01-05T00:00:00"/>
    <n v="-35.04"/>
    <n v="2"/>
    <x v="1358"/>
    <n v="91285"/>
    <x v="0"/>
  </r>
  <r>
    <n v="21190"/>
    <s v="Medium"/>
    <n v="0.05"/>
    <n v="12.88"/>
    <x v="345"/>
    <x v="801"/>
    <x v="1"/>
    <x v="801"/>
    <x v="2"/>
    <x v="1"/>
    <x v="0"/>
    <x v="12"/>
    <x v="0"/>
    <x v="570"/>
    <n v="0.82"/>
    <n v="0.14120425029515948"/>
    <s v="United States"/>
    <x v="2"/>
    <x v="3"/>
    <x v="631"/>
    <n v="55410"/>
    <x v="94"/>
    <x v="3"/>
    <x v="0"/>
    <d v="2015-05-25T00:00:00"/>
    <n v="5.980000000000004"/>
    <n v="3"/>
    <x v="1359"/>
    <n v="91286"/>
    <x v="0"/>
  </r>
  <r>
    <n v="4321"/>
    <s v="High"/>
    <n v="0.03"/>
    <n v="6.48"/>
    <x v="23"/>
    <x v="802"/>
    <x v="1"/>
    <x v="802"/>
    <x v="2"/>
    <x v="1"/>
    <x v="0"/>
    <x v="7"/>
    <x v="3"/>
    <x v="758"/>
    <n v="0.37"/>
    <n v="-0.54938852304797736"/>
    <s v="United States"/>
    <x v="1"/>
    <x v="4"/>
    <x v="8"/>
    <n v="10035"/>
    <x v="35"/>
    <x v="0"/>
    <x v="0"/>
    <d v="2015-01-05T00:00:00"/>
    <n v="-35.04"/>
    <n v="8"/>
    <x v="1360"/>
    <n v="30785"/>
    <x v="0"/>
  </r>
  <r>
    <n v="4322"/>
    <s v="High"/>
    <n v="7.0000000000000007E-2"/>
    <n v="9.93"/>
    <x v="433"/>
    <x v="802"/>
    <x v="1"/>
    <x v="802"/>
    <x v="2"/>
    <x v="1"/>
    <x v="0"/>
    <x v="0"/>
    <x v="0"/>
    <x v="759"/>
    <n v="0.43"/>
    <n v="0.33110427138460174"/>
    <s v="United States"/>
    <x v="1"/>
    <x v="4"/>
    <x v="8"/>
    <n v="10035"/>
    <x v="35"/>
    <x v="0"/>
    <x v="0"/>
    <d v="2015-01-06T00:00:00"/>
    <n v="149.53"/>
    <n v="46"/>
    <x v="1361"/>
    <n v="30785"/>
    <x v="0"/>
  </r>
  <r>
    <n v="25859"/>
    <s v="High"/>
    <n v="0.09"/>
    <n v="1.74"/>
    <x v="48"/>
    <x v="803"/>
    <x v="1"/>
    <x v="803"/>
    <x v="0"/>
    <x v="3"/>
    <x v="1"/>
    <x v="2"/>
    <x v="2"/>
    <x v="60"/>
    <n v="0.53"/>
    <n v="58.430547550432273"/>
    <s v="United States"/>
    <x v="3"/>
    <x v="11"/>
    <x v="636"/>
    <n v="71111"/>
    <x v="171"/>
    <x v="3"/>
    <x v="0"/>
    <d v="2015-05-13T00:00:00"/>
    <n v="608.26199999999994"/>
    <n v="4"/>
    <x v="1362"/>
    <n v="88713"/>
    <x v="0"/>
  </r>
  <r>
    <n v="25860"/>
    <s v="High"/>
    <n v="0.08"/>
    <n v="227.55"/>
    <x v="434"/>
    <x v="803"/>
    <x v="1"/>
    <x v="803"/>
    <x v="1"/>
    <x v="3"/>
    <x v="1"/>
    <x v="11"/>
    <x v="5"/>
    <x v="760"/>
    <n v="0.68"/>
    <n v="-0.20008478263921059"/>
    <s v="United States"/>
    <x v="3"/>
    <x v="11"/>
    <x v="636"/>
    <n v="71111"/>
    <x v="171"/>
    <x v="3"/>
    <x v="0"/>
    <d v="2015-05-11T00:00:00"/>
    <n v="-570.16960000000006"/>
    <n v="16"/>
    <x v="1363"/>
    <n v="88713"/>
    <x v="0"/>
  </r>
  <r>
    <n v="25807"/>
    <s v="Not Specified"/>
    <n v="0.05"/>
    <n v="6.28"/>
    <x v="435"/>
    <x v="803"/>
    <x v="1"/>
    <x v="803"/>
    <x v="2"/>
    <x v="3"/>
    <x v="0"/>
    <x v="8"/>
    <x v="3"/>
    <x v="761"/>
    <n v="0.4"/>
    <n v="3.3596214511041014E-2"/>
    <s v="United States"/>
    <x v="3"/>
    <x v="11"/>
    <x v="636"/>
    <n v="71111"/>
    <x v="13"/>
    <x v="0"/>
    <x v="0"/>
    <d v="2015-01-23T00:00:00"/>
    <n v="1.278"/>
    <n v="6"/>
    <x v="1364"/>
    <n v="88714"/>
    <x v="0"/>
  </r>
  <r>
    <n v="25808"/>
    <s v="Not Specified"/>
    <n v="0.04"/>
    <n v="3.08"/>
    <x v="90"/>
    <x v="803"/>
    <x v="1"/>
    <x v="803"/>
    <x v="2"/>
    <x v="3"/>
    <x v="0"/>
    <x v="9"/>
    <x v="3"/>
    <x v="675"/>
    <n v="0.37"/>
    <n v="9.9762520573712656"/>
    <s v="United States"/>
    <x v="3"/>
    <x v="11"/>
    <x v="636"/>
    <n v="71111"/>
    <x v="13"/>
    <x v="0"/>
    <x v="0"/>
    <d v="2015-01-21T00:00:00"/>
    <n v="424.28999999999996"/>
    <n v="14"/>
    <x v="1365"/>
    <n v="88714"/>
    <x v="0"/>
  </r>
  <r>
    <n v="22580"/>
    <s v="Medium"/>
    <n v="0.04"/>
    <n v="2.08"/>
    <x v="25"/>
    <x v="804"/>
    <x v="1"/>
    <x v="804"/>
    <x v="2"/>
    <x v="0"/>
    <x v="0"/>
    <x v="8"/>
    <x v="3"/>
    <x v="483"/>
    <n v="0.36"/>
    <n v="-0.25183209207853757"/>
    <s v="United States"/>
    <x v="2"/>
    <x v="22"/>
    <x v="637"/>
    <n v="49783"/>
    <x v="139"/>
    <x v="2"/>
    <x v="0"/>
    <d v="2015-02-28T00:00:00"/>
    <n v="-3.71956"/>
    <n v="7"/>
    <x v="1366"/>
    <n v="88136"/>
    <x v="0"/>
  </r>
  <r>
    <n v="22582"/>
    <s v="Medium"/>
    <n v="0.02"/>
    <n v="53.98"/>
    <x v="57"/>
    <x v="804"/>
    <x v="1"/>
    <x v="804"/>
    <x v="0"/>
    <x v="0"/>
    <x v="2"/>
    <x v="13"/>
    <x v="3"/>
    <x v="762"/>
    <n v="0.62"/>
    <n v="0.23263751055141108"/>
    <s v="United States"/>
    <x v="2"/>
    <x v="22"/>
    <x v="637"/>
    <n v="49783"/>
    <x v="139"/>
    <x v="2"/>
    <x v="0"/>
    <d v="2015-02-28T00:00:00"/>
    <n v="101.97200000000001"/>
    <n v="8"/>
    <x v="1367"/>
    <n v="88136"/>
    <x v="0"/>
  </r>
  <r>
    <n v="22583"/>
    <s v="Medium"/>
    <n v="0.05"/>
    <n v="4.9800000000000004"/>
    <x v="312"/>
    <x v="804"/>
    <x v="1"/>
    <x v="804"/>
    <x v="2"/>
    <x v="0"/>
    <x v="0"/>
    <x v="7"/>
    <x v="3"/>
    <x v="763"/>
    <n v="0.38"/>
    <n v="-0.43649435843610596"/>
    <s v="United States"/>
    <x v="2"/>
    <x v="22"/>
    <x v="637"/>
    <n v="49783"/>
    <x v="139"/>
    <x v="2"/>
    <x v="0"/>
    <d v="2015-02-27T00:00:00"/>
    <n v="-16.634799999999998"/>
    <n v="7"/>
    <x v="1368"/>
    <n v="88136"/>
    <x v="0"/>
  </r>
  <r>
    <n v="19766"/>
    <s v="Critical"/>
    <n v="0.09"/>
    <n v="58.1"/>
    <x v="25"/>
    <x v="805"/>
    <x v="1"/>
    <x v="805"/>
    <x v="0"/>
    <x v="1"/>
    <x v="0"/>
    <x v="8"/>
    <x v="3"/>
    <x v="86"/>
    <n v="0.38"/>
    <n v="4.5187654903812104"/>
    <s v="United States"/>
    <x v="3"/>
    <x v="24"/>
    <x v="638"/>
    <n v="28144"/>
    <x v="58"/>
    <x v="4"/>
    <x v="0"/>
    <d v="2015-04-29T00:00:00"/>
    <n v="765.75"/>
    <n v="3"/>
    <x v="1211"/>
    <n v="88135"/>
    <x v="0"/>
  </r>
  <r>
    <n v="18684"/>
    <s v="Critical"/>
    <n v="0.04"/>
    <n v="65.989999999999995"/>
    <x v="20"/>
    <x v="805"/>
    <x v="1"/>
    <x v="805"/>
    <x v="2"/>
    <x v="0"/>
    <x v="2"/>
    <x v="5"/>
    <x v="3"/>
    <x v="586"/>
    <n v="0.55000000000000004"/>
    <n v="-0.4623997681383441"/>
    <s v="United States"/>
    <x v="3"/>
    <x v="24"/>
    <x v="638"/>
    <n v="28144"/>
    <x v="114"/>
    <x v="5"/>
    <x v="0"/>
    <d v="2015-03-14T00:00:00"/>
    <n v="-335.041"/>
    <n v="13"/>
    <x v="1369"/>
    <n v="88137"/>
    <x v="0"/>
  </r>
  <r>
    <n v="26057"/>
    <s v="Low"/>
    <n v="0.1"/>
    <n v="4.91"/>
    <x v="28"/>
    <x v="806"/>
    <x v="0"/>
    <x v="806"/>
    <x v="0"/>
    <x v="1"/>
    <x v="0"/>
    <x v="9"/>
    <x v="3"/>
    <x v="41"/>
    <n v="0.36"/>
    <n v="0.69"/>
    <s v="United States"/>
    <x v="2"/>
    <x v="12"/>
    <x v="639"/>
    <n v="60432"/>
    <x v="54"/>
    <x v="2"/>
    <x v="0"/>
    <d v="2015-02-21T00:00:00"/>
    <n v="35.279699999999998"/>
    <n v="10"/>
    <x v="1370"/>
    <n v="86514"/>
    <x v="0"/>
  </r>
  <r>
    <n v="24584"/>
    <s v="Critical"/>
    <n v="7.0000000000000007E-2"/>
    <n v="5.18"/>
    <x v="214"/>
    <x v="807"/>
    <x v="0"/>
    <x v="807"/>
    <x v="0"/>
    <x v="0"/>
    <x v="0"/>
    <x v="8"/>
    <x v="3"/>
    <x v="314"/>
    <n v="0.36"/>
    <n v="-2.3619394548423562"/>
    <s v="United States"/>
    <x v="3"/>
    <x v="11"/>
    <x v="377"/>
    <n v="70506"/>
    <x v="34"/>
    <x v="4"/>
    <x v="0"/>
    <d v="2015-04-08T00:00:00"/>
    <n v="-188.03399999999999"/>
    <n v="14"/>
    <x v="1371"/>
    <n v="91000"/>
    <x v="0"/>
  </r>
  <r>
    <n v="24568"/>
    <s v="Medium"/>
    <n v="0.05"/>
    <n v="6.48"/>
    <x v="424"/>
    <x v="808"/>
    <x v="1"/>
    <x v="808"/>
    <x v="2"/>
    <x v="0"/>
    <x v="0"/>
    <x v="7"/>
    <x v="3"/>
    <x v="744"/>
    <n v="0.37"/>
    <n v="2.9286480589144466"/>
    <s v="United States"/>
    <x v="3"/>
    <x v="26"/>
    <x v="640"/>
    <n v="33881"/>
    <x v="114"/>
    <x v="5"/>
    <x v="0"/>
    <d v="2015-03-14T00:00:00"/>
    <n v="322.12199999999996"/>
    <n v="16"/>
    <x v="1372"/>
    <n v="88998"/>
    <x v="0"/>
  </r>
  <r>
    <n v="24569"/>
    <s v="Medium"/>
    <n v="0.03"/>
    <n v="111.03"/>
    <x v="436"/>
    <x v="808"/>
    <x v="1"/>
    <x v="808"/>
    <x v="2"/>
    <x v="0"/>
    <x v="0"/>
    <x v="10"/>
    <x v="3"/>
    <x v="764"/>
    <n v="0.78"/>
    <n v="0.40721237168377544"/>
    <s v="United States"/>
    <x v="3"/>
    <x v="26"/>
    <x v="640"/>
    <n v="33881"/>
    <x v="114"/>
    <x v="5"/>
    <x v="0"/>
    <d v="2015-03-14T00:00:00"/>
    <n v="366.53999999999996"/>
    <n v="8"/>
    <x v="1373"/>
    <n v="88998"/>
    <x v="0"/>
  </r>
  <r>
    <n v="22028"/>
    <s v="High"/>
    <n v="0.02"/>
    <n v="71.37"/>
    <x v="54"/>
    <x v="809"/>
    <x v="1"/>
    <x v="809"/>
    <x v="2"/>
    <x v="2"/>
    <x v="1"/>
    <x v="11"/>
    <x v="6"/>
    <x v="737"/>
    <n v="0.68"/>
    <n v="-1.8513088123895296"/>
    <s v="United States"/>
    <x v="3"/>
    <x v="29"/>
    <x v="641"/>
    <n v="30458"/>
    <x v="92"/>
    <x v="2"/>
    <x v="0"/>
    <d v="2015-02-07T00:00:00"/>
    <n v="-439.90800000000002"/>
    <n v="4"/>
    <x v="1374"/>
    <n v="91414"/>
    <x v="0"/>
  </r>
  <r>
    <n v="22029"/>
    <s v="High"/>
    <n v="0.03"/>
    <n v="205.99"/>
    <x v="20"/>
    <x v="809"/>
    <x v="1"/>
    <x v="809"/>
    <x v="0"/>
    <x v="2"/>
    <x v="2"/>
    <x v="5"/>
    <x v="3"/>
    <x v="545"/>
    <n v="0.6"/>
    <n v="6.1654914408797188"/>
    <s v="United States"/>
    <x v="3"/>
    <x v="29"/>
    <x v="641"/>
    <n v="30458"/>
    <x v="92"/>
    <x v="2"/>
    <x v="0"/>
    <d v="2015-02-08T00:00:00"/>
    <n v="1087.7159999999999"/>
    <n v="1"/>
    <x v="1375"/>
    <n v="91414"/>
    <x v="0"/>
  </r>
  <r>
    <n v="23495"/>
    <s v="Low"/>
    <n v="0"/>
    <n v="180.98"/>
    <x v="40"/>
    <x v="809"/>
    <x v="1"/>
    <x v="809"/>
    <x v="1"/>
    <x v="2"/>
    <x v="1"/>
    <x v="1"/>
    <x v="1"/>
    <x v="646"/>
    <n v="0.69"/>
    <n v="4.4161676646706591E-3"/>
    <s v="United States"/>
    <x v="3"/>
    <x v="29"/>
    <x v="641"/>
    <n v="30458"/>
    <x v="118"/>
    <x v="2"/>
    <x v="0"/>
    <d v="2015-02-05T00:00:00"/>
    <n v="9.2040000000000006"/>
    <n v="11"/>
    <x v="1376"/>
    <n v="91416"/>
    <x v="0"/>
  </r>
  <r>
    <n v="23983"/>
    <s v="Not Specified"/>
    <n v="0.04"/>
    <n v="3.08"/>
    <x v="90"/>
    <x v="810"/>
    <x v="1"/>
    <x v="810"/>
    <x v="2"/>
    <x v="2"/>
    <x v="0"/>
    <x v="9"/>
    <x v="3"/>
    <x v="675"/>
    <n v="0.37"/>
    <n v="5.9222114720110577"/>
    <s v="United States"/>
    <x v="3"/>
    <x v="29"/>
    <x v="642"/>
    <n v="30084"/>
    <x v="105"/>
    <x v="1"/>
    <x v="0"/>
    <d v="2015-06-21T00:00:00"/>
    <n v="257.08319999999998"/>
    <n v="14"/>
    <x v="1377"/>
    <n v="91415"/>
    <x v="0"/>
  </r>
  <r>
    <n v="23984"/>
    <s v="Not Specified"/>
    <n v="0.1"/>
    <n v="2.78"/>
    <x v="160"/>
    <x v="810"/>
    <x v="1"/>
    <x v="810"/>
    <x v="2"/>
    <x v="2"/>
    <x v="0"/>
    <x v="0"/>
    <x v="0"/>
    <x v="732"/>
    <n v="0.59"/>
    <n v="1.6919431279620853E-2"/>
    <s v="United States"/>
    <x v="3"/>
    <x v="29"/>
    <x v="642"/>
    <n v="30084"/>
    <x v="105"/>
    <x v="1"/>
    <x v="0"/>
    <d v="2015-06-21T00:00:00"/>
    <n v="0.7854000000000001"/>
    <n v="18"/>
    <x v="1378"/>
    <n v="91415"/>
    <x v="0"/>
  </r>
  <r>
    <n v="24476"/>
    <s v="Not Specified"/>
    <n v="0.02"/>
    <n v="136.97999999999999"/>
    <x v="65"/>
    <x v="810"/>
    <x v="1"/>
    <x v="810"/>
    <x v="0"/>
    <x v="2"/>
    <x v="1"/>
    <x v="2"/>
    <x v="6"/>
    <x v="580"/>
    <n v="0.59"/>
    <n v="7.7619527586660242E-2"/>
    <s v="United States"/>
    <x v="3"/>
    <x v="29"/>
    <x v="642"/>
    <n v="30084"/>
    <x v="42"/>
    <x v="1"/>
    <x v="0"/>
    <d v="2015-06-03T00:00:00"/>
    <n v="88.56"/>
    <n v="8"/>
    <x v="1379"/>
    <n v="91417"/>
    <x v="0"/>
  </r>
  <r>
    <n v="20065"/>
    <s v="High"/>
    <n v="0.08"/>
    <n v="4.91"/>
    <x v="28"/>
    <x v="811"/>
    <x v="1"/>
    <x v="811"/>
    <x v="2"/>
    <x v="3"/>
    <x v="0"/>
    <x v="9"/>
    <x v="3"/>
    <x v="41"/>
    <n v="0.36"/>
    <n v="0.29810260014054818"/>
    <s v="United States"/>
    <x v="3"/>
    <x v="40"/>
    <x v="643"/>
    <n v="72023"/>
    <x v="37"/>
    <x v="4"/>
    <x v="0"/>
    <d v="2015-04-09T00:00:00"/>
    <n v="12.726000000000001"/>
    <n v="9"/>
    <x v="1380"/>
    <n v="86887"/>
    <x v="0"/>
  </r>
  <r>
    <n v="20066"/>
    <s v="High"/>
    <n v="0.02"/>
    <n v="28.15"/>
    <x v="437"/>
    <x v="811"/>
    <x v="1"/>
    <x v="811"/>
    <x v="2"/>
    <x v="3"/>
    <x v="0"/>
    <x v="0"/>
    <x v="2"/>
    <x v="765"/>
    <n v="0.55000000000000004"/>
    <n v="0.49114749091353344"/>
    <s v="United States"/>
    <x v="3"/>
    <x v="40"/>
    <x v="643"/>
    <n v="72023"/>
    <x v="37"/>
    <x v="4"/>
    <x v="0"/>
    <d v="2015-04-10T00:00:00"/>
    <n v="160.8066"/>
    <n v="11"/>
    <x v="1381"/>
    <n v="86887"/>
    <x v="0"/>
  </r>
  <r>
    <n v="20602"/>
    <s v="High"/>
    <n v="0.01"/>
    <n v="2036.48"/>
    <x v="69"/>
    <x v="812"/>
    <x v="1"/>
    <x v="812"/>
    <x v="1"/>
    <x v="3"/>
    <x v="2"/>
    <x v="6"/>
    <x v="1"/>
    <x v="220"/>
    <n v="0.55000000000000004"/>
    <n v="-0.42165652628576855"/>
    <s v="United States"/>
    <x v="0"/>
    <x v="1"/>
    <x v="163"/>
    <n v="94521"/>
    <x v="143"/>
    <x v="2"/>
    <x v="0"/>
    <d v="2015-02-13T00:00:00"/>
    <n v="-1596.7457999999999"/>
    <n v="2"/>
    <x v="1382"/>
    <n v="86883"/>
    <x v="0"/>
  </r>
  <r>
    <n v="21212"/>
    <s v="Medium"/>
    <n v="0.04"/>
    <n v="419.19"/>
    <x v="3"/>
    <x v="812"/>
    <x v="1"/>
    <x v="812"/>
    <x v="2"/>
    <x v="1"/>
    <x v="0"/>
    <x v="10"/>
    <x v="3"/>
    <x v="260"/>
    <n v="0.57999999999999996"/>
    <n v="0.69"/>
    <s v="United States"/>
    <x v="0"/>
    <x v="1"/>
    <x v="163"/>
    <n v="94521"/>
    <x v="138"/>
    <x v="4"/>
    <x v="0"/>
    <d v="2015-04-27T00:00:00"/>
    <n v="1388.3558999999998"/>
    <n v="5"/>
    <x v="1383"/>
    <n v="86885"/>
    <x v="0"/>
  </r>
  <r>
    <n v="21338"/>
    <s v="Not Specified"/>
    <n v="7.0000000000000007E-2"/>
    <n v="65.989999999999995"/>
    <x v="186"/>
    <x v="812"/>
    <x v="1"/>
    <x v="812"/>
    <x v="2"/>
    <x v="1"/>
    <x v="2"/>
    <x v="5"/>
    <x v="3"/>
    <x v="264"/>
    <n v="0.57999999999999996"/>
    <n v="0.23287113598778783"/>
    <s v="United States"/>
    <x v="0"/>
    <x v="1"/>
    <x v="163"/>
    <n v="94521"/>
    <x v="38"/>
    <x v="0"/>
    <x v="0"/>
    <d v="2015-01-12T00:00:00"/>
    <n v="109.83600000000001"/>
    <n v="9"/>
    <x v="1384"/>
    <n v="86886"/>
    <x v="0"/>
  </r>
  <r>
    <n v="24856"/>
    <s v="Critical"/>
    <n v="0.09"/>
    <n v="348.21"/>
    <x v="335"/>
    <x v="813"/>
    <x v="1"/>
    <x v="813"/>
    <x v="1"/>
    <x v="1"/>
    <x v="1"/>
    <x v="11"/>
    <x v="5"/>
    <x v="553"/>
    <n v="0.62"/>
    <n v="-0.14159625829812902"/>
    <s v="United States"/>
    <x v="0"/>
    <x v="1"/>
    <x v="644"/>
    <n v="92627"/>
    <x v="79"/>
    <x v="2"/>
    <x v="0"/>
    <d v="2015-02-16T00:00:00"/>
    <n v="-93.849999999999909"/>
    <n v="2"/>
    <x v="1385"/>
    <n v="86884"/>
    <x v="0"/>
  </r>
  <r>
    <n v="21339"/>
    <s v="Not Specified"/>
    <n v="0"/>
    <n v="10.01"/>
    <x v="45"/>
    <x v="813"/>
    <x v="1"/>
    <x v="813"/>
    <x v="0"/>
    <x v="1"/>
    <x v="2"/>
    <x v="13"/>
    <x v="2"/>
    <x v="766"/>
    <n v="0.41"/>
    <n v="0.69"/>
    <s v="United States"/>
    <x v="0"/>
    <x v="1"/>
    <x v="644"/>
    <n v="92627"/>
    <x v="38"/>
    <x v="0"/>
    <x v="0"/>
    <d v="2015-01-14T00:00:00"/>
    <n v="82.703399999999988"/>
    <n v="11"/>
    <x v="1386"/>
    <n v="86886"/>
    <x v="0"/>
  </r>
  <r>
    <n v="6856"/>
    <s v="Critical"/>
    <n v="0.09"/>
    <n v="348.21"/>
    <x v="335"/>
    <x v="814"/>
    <x v="1"/>
    <x v="814"/>
    <x v="1"/>
    <x v="1"/>
    <x v="1"/>
    <x v="11"/>
    <x v="5"/>
    <x v="553"/>
    <n v="0.62"/>
    <n v="-3.5398931054122423E-2"/>
    <s v="United States"/>
    <x v="0"/>
    <x v="1"/>
    <x v="154"/>
    <n v="90045"/>
    <x v="79"/>
    <x v="2"/>
    <x v="0"/>
    <d v="2015-02-16T00:00:00"/>
    <n v="-93.849999999999909"/>
    <n v="8"/>
    <x v="1387"/>
    <n v="48836"/>
    <x v="0"/>
  </r>
  <r>
    <n v="1617"/>
    <s v="Low"/>
    <n v="0.06"/>
    <n v="4.28"/>
    <x v="349"/>
    <x v="814"/>
    <x v="1"/>
    <x v="814"/>
    <x v="2"/>
    <x v="3"/>
    <x v="0"/>
    <x v="0"/>
    <x v="0"/>
    <x v="579"/>
    <n v="0.56000000000000005"/>
    <n v="9.4969199178644558E-3"/>
    <s v="United States"/>
    <x v="0"/>
    <x v="1"/>
    <x v="154"/>
    <n v="90045"/>
    <x v="138"/>
    <x v="4"/>
    <x v="0"/>
    <d v="2015-04-28T00:00:00"/>
    <n v="0.36999999999999922"/>
    <n v="9"/>
    <x v="1388"/>
    <n v="11712"/>
    <x v="0"/>
  </r>
  <r>
    <n v="3212"/>
    <s v="Medium"/>
    <n v="0.04"/>
    <n v="419.19"/>
    <x v="3"/>
    <x v="814"/>
    <x v="1"/>
    <x v="814"/>
    <x v="2"/>
    <x v="1"/>
    <x v="0"/>
    <x v="10"/>
    <x v="3"/>
    <x v="260"/>
    <n v="0.57999999999999996"/>
    <n v="0.24199317881082694"/>
    <s v="United States"/>
    <x v="0"/>
    <x v="1"/>
    <x v="154"/>
    <n v="90045"/>
    <x v="138"/>
    <x v="4"/>
    <x v="0"/>
    <d v="2015-04-27T00:00:00"/>
    <n v="1947.67"/>
    <n v="20"/>
    <x v="1389"/>
    <n v="23042"/>
    <x v="0"/>
  </r>
  <r>
    <n v="3338"/>
    <s v="Not Specified"/>
    <n v="7.0000000000000007E-2"/>
    <n v="65.989999999999995"/>
    <x v="186"/>
    <x v="814"/>
    <x v="1"/>
    <x v="814"/>
    <x v="2"/>
    <x v="1"/>
    <x v="2"/>
    <x v="5"/>
    <x v="3"/>
    <x v="264"/>
    <n v="0.57999999999999996"/>
    <n v="5.6644817253987824E-2"/>
    <s v="United States"/>
    <x v="0"/>
    <x v="1"/>
    <x v="154"/>
    <n v="90045"/>
    <x v="38"/>
    <x v="0"/>
    <x v="0"/>
    <d v="2015-01-12T00:00:00"/>
    <n v="109.83600000000001"/>
    <n v="37"/>
    <x v="1390"/>
    <n v="23877"/>
    <x v="0"/>
  </r>
  <r>
    <n v="3339"/>
    <s v="Not Specified"/>
    <n v="0"/>
    <n v="10.01"/>
    <x v="45"/>
    <x v="814"/>
    <x v="1"/>
    <x v="814"/>
    <x v="0"/>
    <x v="1"/>
    <x v="2"/>
    <x v="13"/>
    <x v="2"/>
    <x v="766"/>
    <n v="0.41"/>
    <n v="0.27976749776019927"/>
    <s v="United States"/>
    <x v="0"/>
    <x v="1"/>
    <x v="154"/>
    <n v="90045"/>
    <x v="38"/>
    <x v="0"/>
    <x v="0"/>
    <d v="2015-01-14T00:00:00"/>
    <n v="128.03"/>
    <n v="42"/>
    <x v="1391"/>
    <n v="23877"/>
    <x v="0"/>
  </r>
  <r>
    <n v="2065"/>
    <s v="High"/>
    <n v="0.08"/>
    <n v="4.91"/>
    <x v="28"/>
    <x v="814"/>
    <x v="1"/>
    <x v="814"/>
    <x v="2"/>
    <x v="3"/>
    <x v="0"/>
    <x v="9"/>
    <x v="3"/>
    <x v="41"/>
    <n v="0.36"/>
    <n v="0.18595607613469986"/>
    <s v="United States"/>
    <x v="0"/>
    <x v="1"/>
    <x v="154"/>
    <n v="90045"/>
    <x v="37"/>
    <x v="4"/>
    <x v="0"/>
    <d v="2015-04-09T00:00:00"/>
    <n v="31.751999999999999"/>
    <n v="36"/>
    <x v="1392"/>
    <n v="14785"/>
    <x v="0"/>
  </r>
  <r>
    <n v="2066"/>
    <s v="High"/>
    <n v="0.02"/>
    <n v="28.15"/>
    <x v="437"/>
    <x v="814"/>
    <x v="1"/>
    <x v="814"/>
    <x v="2"/>
    <x v="3"/>
    <x v="0"/>
    <x v="0"/>
    <x v="2"/>
    <x v="765"/>
    <n v="0.55000000000000004"/>
    <n v="8.7506532678323451E-2"/>
    <s v="United States"/>
    <x v="0"/>
    <x v="1"/>
    <x v="154"/>
    <n v="90045"/>
    <x v="37"/>
    <x v="4"/>
    <x v="0"/>
    <d v="2015-04-10T00:00:00"/>
    <n v="117.208"/>
    <n v="45"/>
    <x v="1393"/>
    <n v="14785"/>
    <x v="0"/>
  </r>
  <r>
    <n v="19617"/>
    <s v="Low"/>
    <n v="0.06"/>
    <n v="4.28"/>
    <x v="349"/>
    <x v="815"/>
    <x v="0"/>
    <x v="815"/>
    <x v="2"/>
    <x v="3"/>
    <x v="0"/>
    <x v="0"/>
    <x v="0"/>
    <x v="579"/>
    <n v="0.56000000000000005"/>
    <n v="4.2725173210161574E-2"/>
    <s v="United States"/>
    <x v="0"/>
    <x v="47"/>
    <x v="609"/>
    <n v="82901"/>
    <x v="138"/>
    <x v="4"/>
    <x v="0"/>
    <d v="2015-04-28T00:00:00"/>
    <n v="0.36999999999999922"/>
    <n v="2"/>
    <x v="1394"/>
    <n v="86885"/>
    <x v="0"/>
  </r>
  <r>
    <n v="2296"/>
    <s v="Not Specified"/>
    <n v="0.09"/>
    <n v="355.98"/>
    <x v="298"/>
    <x v="816"/>
    <x v="1"/>
    <x v="816"/>
    <x v="1"/>
    <x v="0"/>
    <x v="1"/>
    <x v="1"/>
    <x v="1"/>
    <x v="464"/>
    <n v="0.64"/>
    <n v="0.11750767198850173"/>
    <s v="United States"/>
    <x v="0"/>
    <x v="1"/>
    <x v="454"/>
    <n v="92024"/>
    <x v="29"/>
    <x v="2"/>
    <x v="0"/>
    <d v="2015-02-20T00:00:00"/>
    <n v="1240.25"/>
    <n v="30"/>
    <x v="1395"/>
    <n v="16547"/>
    <x v="0"/>
  </r>
  <r>
    <n v="2297"/>
    <s v="Not Specified"/>
    <n v="0.04"/>
    <n v="218.75"/>
    <x v="163"/>
    <x v="816"/>
    <x v="1"/>
    <x v="816"/>
    <x v="1"/>
    <x v="0"/>
    <x v="1"/>
    <x v="11"/>
    <x v="5"/>
    <x v="228"/>
    <n v="0.77"/>
    <n v="-0.30476669486294328"/>
    <s v="United States"/>
    <x v="0"/>
    <x v="1"/>
    <x v="454"/>
    <n v="92024"/>
    <x v="29"/>
    <x v="2"/>
    <x v="0"/>
    <d v="2015-02-18T00:00:00"/>
    <n v="-533.23200000000008"/>
    <n v="8"/>
    <x v="1396"/>
    <n v="16547"/>
    <x v="0"/>
  </r>
  <r>
    <n v="7628"/>
    <s v="Medium"/>
    <n v="0.09"/>
    <n v="6.28"/>
    <x v="21"/>
    <x v="816"/>
    <x v="1"/>
    <x v="816"/>
    <x v="2"/>
    <x v="2"/>
    <x v="1"/>
    <x v="2"/>
    <x v="3"/>
    <x v="593"/>
    <n v="0.53"/>
    <n v="-0.17329769274057402"/>
    <s v="United States"/>
    <x v="0"/>
    <x v="1"/>
    <x v="454"/>
    <n v="92024"/>
    <x v="23"/>
    <x v="2"/>
    <x v="0"/>
    <d v="2015-02-04T00:00:00"/>
    <n v="-61.59"/>
    <n v="56"/>
    <x v="1397"/>
    <n v="54567"/>
    <x v="0"/>
  </r>
  <r>
    <n v="2768"/>
    <s v="Not Specified"/>
    <n v="0.08"/>
    <n v="1.68"/>
    <x v="15"/>
    <x v="816"/>
    <x v="1"/>
    <x v="816"/>
    <x v="2"/>
    <x v="2"/>
    <x v="0"/>
    <x v="0"/>
    <x v="0"/>
    <x v="15"/>
    <n v="0.59"/>
    <n v="-0.31174170935562145"/>
    <s v="United States"/>
    <x v="0"/>
    <x v="1"/>
    <x v="454"/>
    <n v="92024"/>
    <x v="64"/>
    <x v="2"/>
    <x v="0"/>
    <d v="2015-02-06T00:00:00"/>
    <n v="-46.25"/>
    <n v="88"/>
    <x v="1398"/>
    <n v="20007"/>
    <x v="0"/>
  </r>
  <r>
    <n v="20296"/>
    <s v="Not Specified"/>
    <n v="0.09"/>
    <n v="355.98"/>
    <x v="298"/>
    <x v="817"/>
    <x v="0"/>
    <x v="817"/>
    <x v="1"/>
    <x v="0"/>
    <x v="1"/>
    <x v="1"/>
    <x v="1"/>
    <x v="464"/>
    <n v="0.64"/>
    <n v="0.44065345683354828"/>
    <s v="United States"/>
    <x v="2"/>
    <x v="12"/>
    <x v="645"/>
    <n v="60901"/>
    <x v="29"/>
    <x v="2"/>
    <x v="0"/>
    <d v="2015-02-20T00:00:00"/>
    <n v="1240.25"/>
    <n v="8"/>
    <x v="1399"/>
    <n v="88319"/>
    <x v="0"/>
  </r>
  <r>
    <n v="25628"/>
    <s v="Medium"/>
    <n v="0.09"/>
    <n v="6.28"/>
    <x v="21"/>
    <x v="818"/>
    <x v="0"/>
    <x v="818"/>
    <x v="2"/>
    <x v="2"/>
    <x v="1"/>
    <x v="2"/>
    <x v="3"/>
    <x v="593"/>
    <n v="0.53"/>
    <n v="-0.36045920090039396"/>
    <s v="United States"/>
    <x v="2"/>
    <x v="12"/>
    <x v="646"/>
    <n v="60102"/>
    <x v="23"/>
    <x v="2"/>
    <x v="0"/>
    <d v="2015-02-04T00:00:00"/>
    <n v="-32.026800000000001"/>
    <n v="14"/>
    <x v="1400"/>
    <n v="88320"/>
    <x v="0"/>
  </r>
  <r>
    <n v="24899"/>
    <s v="High"/>
    <n v="0.1"/>
    <n v="24.92"/>
    <x v="385"/>
    <x v="819"/>
    <x v="1"/>
    <x v="819"/>
    <x v="2"/>
    <x v="1"/>
    <x v="0"/>
    <x v="8"/>
    <x v="3"/>
    <x v="662"/>
    <n v="0.39"/>
    <n v="-0.64693589381530647"/>
    <s v="United States"/>
    <x v="2"/>
    <x v="38"/>
    <x v="647"/>
    <n v="46321"/>
    <x v="91"/>
    <x v="5"/>
    <x v="0"/>
    <d v="2015-03-19T00:00:00"/>
    <n v="-45.816000000000003"/>
    <n v="3"/>
    <x v="1401"/>
    <n v="91310"/>
    <x v="0"/>
  </r>
  <r>
    <n v="24901"/>
    <s v="High"/>
    <n v="0"/>
    <n v="12.28"/>
    <x v="198"/>
    <x v="819"/>
    <x v="1"/>
    <x v="819"/>
    <x v="0"/>
    <x v="1"/>
    <x v="0"/>
    <x v="7"/>
    <x v="3"/>
    <x v="554"/>
    <n v="0.38"/>
    <n v="0.33867757629367534"/>
    <s v="United States"/>
    <x v="2"/>
    <x v="38"/>
    <x v="647"/>
    <n v="46321"/>
    <x v="91"/>
    <x v="5"/>
    <x v="0"/>
    <d v="2015-03-20T00:00:00"/>
    <n v="30.63"/>
    <n v="7"/>
    <x v="1402"/>
    <n v="91310"/>
    <x v="0"/>
  </r>
  <r>
    <n v="18219"/>
    <s v="Medium"/>
    <n v="0.02"/>
    <n v="6.48"/>
    <x v="404"/>
    <x v="820"/>
    <x v="0"/>
    <x v="820"/>
    <x v="2"/>
    <x v="1"/>
    <x v="0"/>
    <x v="7"/>
    <x v="3"/>
    <x v="767"/>
    <n v="0.36"/>
    <n v="-0.63759328358208955"/>
    <s v="United States"/>
    <x v="1"/>
    <x v="18"/>
    <x v="648"/>
    <n v="6408"/>
    <x v="75"/>
    <x v="1"/>
    <x v="0"/>
    <d v="2015-06-07T00:00:00"/>
    <n v="-6.835"/>
    <n v="1"/>
    <x v="1403"/>
    <n v="87033"/>
    <x v="0"/>
  </r>
  <r>
    <n v="18217"/>
    <s v="Medium"/>
    <n v="0.06"/>
    <n v="699.99"/>
    <x v="65"/>
    <x v="821"/>
    <x v="0"/>
    <x v="821"/>
    <x v="0"/>
    <x v="1"/>
    <x v="2"/>
    <x v="16"/>
    <x v="6"/>
    <x v="199"/>
    <n v="0.41"/>
    <n v="0.69"/>
    <s v="United States"/>
    <x v="1"/>
    <x v="14"/>
    <x v="96"/>
    <n v="4401"/>
    <x v="75"/>
    <x v="1"/>
    <x v="0"/>
    <d v="2015-06-07T00:00:00"/>
    <n v="7024.2068999999992"/>
    <n v="15"/>
    <x v="1404"/>
    <n v="87033"/>
    <x v="0"/>
  </r>
  <r>
    <n v="23265"/>
    <s v="Low"/>
    <n v="0.02"/>
    <n v="5.81"/>
    <x v="82"/>
    <x v="822"/>
    <x v="0"/>
    <x v="822"/>
    <x v="2"/>
    <x v="1"/>
    <x v="0"/>
    <x v="8"/>
    <x v="3"/>
    <x v="104"/>
    <n v="0.39"/>
    <n v="-3.2397266729500473"/>
    <s v="United States"/>
    <x v="1"/>
    <x v="14"/>
    <x v="91"/>
    <n v="4073"/>
    <x v="176"/>
    <x v="0"/>
    <x v="0"/>
    <d v="2015-01-12T00:00:00"/>
    <n v="-137.494"/>
    <n v="7"/>
    <x v="1405"/>
    <n v="87031"/>
    <x v="0"/>
  </r>
  <r>
    <n v="21918"/>
    <s v="Medium"/>
    <n v="0.05"/>
    <n v="30.98"/>
    <x v="438"/>
    <x v="823"/>
    <x v="0"/>
    <x v="823"/>
    <x v="2"/>
    <x v="1"/>
    <x v="0"/>
    <x v="7"/>
    <x v="3"/>
    <x v="768"/>
    <n v="0.4"/>
    <n v="0.66729359880666717"/>
    <s v="United States"/>
    <x v="1"/>
    <x v="14"/>
    <x v="139"/>
    <n v="4106"/>
    <x v="130"/>
    <x v="3"/>
    <x v="0"/>
    <d v="2015-05-05T00:00:00"/>
    <n v="308.67"/>
    <n v="15"/>
    <x v="1406"/>
    <n v="87029"/>
    <x v="0"/>
  </r>
  <r>
    <n v="21102"/>
    <s v="Not Specified"/>
    <n v="0.04"/>
    <n v="6.48"/>
    <x v="50"/>
    <x v="824"/>
    <x v="0"/>
    <x v="824"/>
    <x v="2"/>
    <x v="1"/>
    <x v="0"/>
    <x v="7"/>
    <x v="3"/>
    <x v="769"/>
    <n v="0.37"/>
    <n v="-1.7862646566164155"/>
    <s v="United States"/>
    <x v="1"/>
    <x v="15"/>
    <x v="649"/>
    <n v="2138"/>
    <x v="15"/>
    <x v="1"/>
    <x v="0"/>
    <d v="2015-06-17T00:00:00"/>
    <n v="-223.94400000000002"/>
    <n v="19"/>
    <x v="1407"/>
    <n v="87030"/>
    <x v="0"/>
  </r>
  <r>
    <n v="18220"/>
    <s v="Medium"/>
    <n v="0.02"/>
    <n v="17.149999999999999"/>
    <x v="148"/>
    <x v="825"/>
    <x v="0"/>
    <x v="825"/>
    <x v="2"/>
    <x v="1"/>
    <x v="0"/>
    <x v="10"/>
    <x v="3"/>
    <x v="206"/>
    <n v="0.57999999999999996"/>
    <n v="0.19122347393240766"/>
    <s v="United States"/>
    <x v="1"/>
    <x v="2"/>
    <x v="378"/>
    <n v="7631"/>
    <x v="75"/>
    <x v="1"/>
    <x v="0"/>
    <d v="2015-06-07T00:00:00"/>
    <n v="36.494999999999997"/>
    <n v="11"/>
    <x v="1408"/>
    <n v="87033"/>
    <x v="0"/>
  </r>
  <r>
    <n v="18221"/>
    <s v="Medium"/>
    <n v="7.0000000000000007E-2"/>
    <n v="30.98"/>
    <x v="404"/>
    <x v="826"/>
    <x v="0"/>
    <x v="826"/>
    <x v="2"/>
    <x v="1"/>
    <x v="0"/>
    <x v="7"/>
    <x v="3"/>
    <x v="699"/>
    <n v="0.4"/>
    <n v="0.69"/>
    <s v="United States"/>
    <x v="1"/>
    <x v="31"/>
    <x v="650"/>
    <n v="2908"/>
    <x v="75"/>
    <x v="1"/>
    <x v="0"/>
    <d v="2015-06-06T00:00:00"/>
    <n v="255.76919999999998"/>
    <n v="12"/>
    <x v="1409"/>
    <n v="87033"/>
    <x v="0"/>
  </r>
  <r>
    <n v="25463"/>
    <s v="Medium"/>
    <n v="0"/>
    <n v="175.99"/>
    <x v="7"/>
    <x v="827"/>
    <x v="0"/>
    <x v="827"/>
    <x v="2"/>
    <x v="1"/>
    <x v="2"/>
    <x v="5"/>
    <x v="3"/>
    <x v="32"/>
    <n v="0.59"/>
    <n v="0.69"/>
    <s v="United States"/>
    <x v="2"/>
    <x v="7"/>
    <x v="651"/>
    <n v="75109"/>
    <x v="29"/>
    <x v="2"/>
    <x v="0"/>
    <d v="2015-02-21T00:00:00"/>
    <n v="1656.6554999999998"/>
    <n v="15"/>
    <x v="1410"/>
    <n v="87032"/>
    <x v="0"/>
  </r>
  <r>
    <n v="18218"/>
    <s v="Medium"/>
    <n v="0.04"/>
    <n v="1360.14"/>
    <x v="69"/>
    <x v="828"/>
    <x v="0"/>
    <x v="828"/>
    <x v="1"/>
    <x v="1"/>
    <x v="2"/>
    <x v="6"/>
    <x v="1"/>
    <x v="203"/>
    <n v="0.59"/>
    <n v="0.36135724115266904"/>
    <s v="United States"/>
    <x v="1"/>
    <x v="9"/>
    <x v="19"/>
    <n v="5401"/>
    <x v="75"/>
    <x v="1"/>
    <x v="0"/>
    <d v="2015-06-08T00:00:00"/>
    <n v="2639.0099999999998"/>
    <n v="6"/>
    <x v="1411"/>
    <n v="87033"/>
    <x v="0"/>
  </r>
  <r>
    <n v="18866"/>
    <s v="Critical"/>
    <n v="0.01"/>
    <n v="2.16"/>
    <x v="162"/>
    <x v="829"/>
    <x v="0"/>
    <x v="829"/>
    <x v="2"/>
    <x v="0"/>
    <x v="0"/>
    <x v="8"/>
    <x v="3"/>
    <x v="542"/>
    <n v="0.37"/>
    <n v="6.8175710594315246"/>
    <s v="United States"/>
    <x v="3"/>
    <x v="11"/>
    <x v="377"/>
    <n v="70506"/>
    <x v="94"/>
    <x v="3"/>
    <x v="0"/>
    <d v="2015-05-25T00:00:00"/>
    <n v="395.76"/>
    <n v="24"/>
    <x v="1412"/>
    <n v="87208"/>
    <x v="0"/>
  </r>
  <r>
    <n v="18867"/>
    <s v="Critical"/>
    <n v="7.0000000000000007E-2"/>
    <n v="21.38"/>
    <x v="20"/>
    <x v="830"/>
    <x v="0"/>
    <x v="830"/>
    <x v="2"/>
    <x v="0"/>
    <x v="0"/>
    <x v="0"/>
    <x v="2"/>
    <x v="731"/>
    <n v="0.59"/>
    <n v="-0.57395104895104898"/>
    <s v="United States"/>
    <x v="3"/>
    <x v="11"/>
    <x v="652"/>
    <n v="70601"/>
    <x v="94"/>
    <x v="3"/>
    <x v="0"/>
    <d v="2015-05-25T00:00:00"/>
    <n v="-39.396000000000001"/>
    <n v="3"/>
    <x v="1413"/>
    <n v="87208"/>
    <x v="0"/>
  </r>
  <r>
    <n v="20254"/>
    <s v="High"/>
    <n v="0.04"/>
    <n v="40.98"/>
    <x v="150"/>
    <x v="831"/>
    <x v="0"/>
    <x v="831"/>
    <x v="2"/>
    <x v="2"/>
    <x v="2"/>
    <x v="13"/>
    <x v="3"/>
    <x v="456"/>
    <n v="0.74"/>
    <n v="-0.32302306276392251"/>
    <s v="United States"/>
    <x v="0"/>
    <x v="1"/>
    <x v="653"/>
    <n v="92307"/>
    <x v="48"/>
    <x v="5"/>
    <x v="0"/>
    <d v="2015-03-30T00:00:00"/>
    <n v="-89.5"/>
    <n v="7"/>
    <x v="1414"/>
    <n v="87451"/>
    <x v="0"/>
  </r>
  <r>
    <n v="23782"/>
    <s v="Medium"/>
    <n v="0.08"/>
    <n v="4"/>
    <x v="44"/>
    <x v="832"/>
    <x v="0"/>
    <x v="832"/>
    <x v="2"/>
    <x v="2"/>
    <x v="0"/>
    <x v="7"/>
    <x v="0"/>
    <x v="55"/>
    <n v="0.37"/>
    <n v="0.54625889594152721"/>
    <s v="United States"/>
    <x v="0"/>
    <x v="1"/>
    <x v="654"/>
    <n v="93422"/>
    <x v="10"/>
    <x v="3"/>
    <x v="0"/>
    <d v="2015-05-04T00:00:00"/>
    <n v="28.4"/>
    <n v="14"/>
    <x v="1415"/>
    <n v="87452"/>
    <x v="0"/>
  </r>
  <r>
    <n v="20255"/>
    <s v="High"/>
    <n v="0.05"/>
    <n v="35.99"/>
    <x v="136"/>
    <x v="833"/>
    <x v="0"/>
    <x v="833"/>
    <x v="2"/>
    <x v="2"/>
    <x v="2"/>
    <x v="5"/>
    <x v="2"/>
    <x v="457"/>
    <n v="0.39"/>
    <n v="0.69"/>
    <s v="United States"/>
    <x v="1"/>
    <x v="14"/>
    <x v="96"/>
    <n v="4401"/>
    <x v="48"/>
    <x v="5"/>
    <x v="0"/>
    <d v="2015-03-31T00:00:00"/>
    <n v="103.27229999999999"/>
    <n v="5"/>
    <x v="1416"/>
    <n v="87451"/>
    <x v="0"/>
  </r>
  <r>
    <n v="22839"/>
    <s v="Not Specified"/>
    <n v="0.08"/>
    <n v="12.53"/>
    <x v="28"/>
    <x v="834"/>
    <x v="0"/>
    <x v="834"/>
    <x v="2"/>
    <x v="1"/>
    <x v="0"/>
    <x v="9"/>
    <x v="3"/>
    <x v="585"/>
    <n v="0.38"/>
    <n v="3.5305728314238949"/>
    <s v="United States"/>
    <x v="3"/>
    <x v="26"/>
    <x v="655"/>
    <n v="32789"/>
    <x v="74"/>
    <x v="4"/>
    <x v="0"/>
    <d v="2015-04-08T00:00:00"/>
    <n v="215.71799999999999"/>
    <n v="5"/>
    <x v="1417"/>
    <n v="91017"/>
    <x v="0"/>
  </r>
  <r>
    <n v="22840"/>
    <s v="Not Specified"/>
    <n v="0.02"/>
    <n v="178.47"/>
    <x v="3"/>
    <x v="835"/>
    <x v="0"/>
    <x v="835"/>
    <x v="2"/>
    <x v="1"/>
    <x v="0"/>
    <x v="10"/>
    <x v="3"/>
    <x v="179"/>
    <n v="0.55000000000000004"/>
    <n v="0.55200866828337025"/>
    <s v="United States"/>
    <x v="3"/>
    <x v="26"/>
    <x v="656"/>
    <n v="32708"/>
    <x v="74"/>
    <x v="4"/>
    <x v="0"/>
    <d v="2015-04-08T00:00:00"/>
    <n v="106.98479999999999"/>
    <n v="1"/>
    <x v="1418"/>
    <n v="91017"/>
    <x v="0"/>
  </r>
  <r>
    <n v="19031"/>
    <s v="Medium"/>
    <n v="0.05"/>
    <n v="15.68"/>
    <x v="439"/>
    <x v="836"/>
    <x v="1"/>
    <x v="836"/>
    <x v="2"/>
    <x v="2"/>
    <x v="1"/>
    <x v="2"/>
    <x v="2"/>
    <x v="770"/>
    <n v="0.46"/>
    <n v="1.3748640671120086E-2"/>
    <s v="United States"/>
    <x v="3"/>
    <x v="8"/>
    <x v="404"/>
    <n v="23223"/>
    <x v="164"/>
    <x v="1"/>
    <x v="0"/>
    <d v="2015-06-12T00:00:00"/>
    <n v="3.54"/>
    <n v="17"/>
    <x v="1419"/>
    <n v="87917"/>
    <x v="0"/>
  </r>
  <r>
    <n v="19032"/>
    <s v="Medium"/>
    <n v="0.02"/>
    <n v="195.99"/>
    <x v="5"/>
    <x v="836"/>
    <x v="1"/>
    <x v="836"/>
    <x v="2"/>
    <x v="2"/>
    <x v="2"/>
    <x v="5"/>
    <x v="3"/>
    <x v="736"/>
    <n v="0.56000000000000005"/>
    <n v="1.2608490167418366E-2"/>
    <s v="United States"/>
    <x v="3"/>
    <x v="8"/>
    <x v="404"/>
    <n v="23223"/>
    <x v="164"/>
    <x v="1"/>
    <x v="0"/>
    <d v="2015-06-12T00:00:00"/>
    <n v="40.283999999999999"/>
    <n v="19"/>
    <x v="1420"/>
    <n v="87917"/>
    <x v="0"/>
  </r>
  <r>
    <n v="19902"/>
    <s v="Medium"/>
    <n v="0.01"/>
    <n v="99.99"/>
    <x v="3"/>
    <x v="837"/>
    <x v="0"/>
    <x v="837"/>
    <x v="0"/>
    <x v="1"/>
    <x v="2"/>
    <x v="6"/>
    <x v="3"/>
    <x v="23"/>
    <n v="0.52"/>
    <n v="0.44351167602719482"/>
    <s v="United States"/>
    <x v="3"/>
    <x v="8"/>
    <x v="293"/>
    <n v="22153"/>
    <x v="17"/>
    <x v="5"/>
    <x v="0"/>
    <d v="2015-03-12T00:00:00"/>
    <n v="90.024000000000001"/>
    <n v="2"/>
    <x v="1421"/>
    <n v="87915"/>
    <x v="0"/>
  </r>
  <r>
    <n v="25460"/>
    <s v="Low"/>
    <n v="7.0000000000000007E-2"/>
    <n v="6.48"/>
    <x v="50"/>
    <x v="838"/>
    <x v="0"/>
    <x v="838"/>
    <x v="2"/>
    <x v="2"/>
    <x v="0"/>
    <x v="7"/>
    <x v="3"/>
    <x v="769"/>
    <n v="0.37"/>
    <n v="0.20552486187845306"/>
    <s v="United States"/>
    <x v="3"/>
    <x v="8"/>
    <x v="657"/>
    <n v="23464"/>
    <x v="47"/>
    <x v="4"/>
    <x v="0"/>
    <d v="2015-04-19T00:00:00"/>
    <n v="2.2320000000000002"/>
    <n v="1"/>
    <x v="1422"/>
    <n v="87916"/>
    <x v="0"/>
  </r>
  <r>
    <n v="6525"/>
    <s v="Low"/>
    <n v="0"/>
    <n v="35.99"/>
    <x v="90"/>
    <x v="839"/>
    <x v="1"/>
    <x v="839"/>
    <x v="2"/>
    <x v="2"/>
    <x v="2"/>
    <x v="5"/>
    <x v="2"/>
    <x v="771"/>
    <n v="0.35"/>
    <n v="0.56853550085613536"/>
    <s v="United States"/>
    <x v="0"/>
    <x v="1"/>
    <x v="154"/>
    <n v="90068"/>
    <x v="36"/>
    <x v="4"/>
    <x v="0"/>
    <d v="2015-04-11T00:00:00"/>
    <n v="840.05099999999993"/>
    <n v="46"/>
    <x v="1423"/>
    <n v="46436"/>
    <x v="0"/>
  </r>
  <r>
    <n v="5777"/>
    <s v="Low"/>
    <n v="0.05"/>
    <n v="30.98"/>
    <x v="438"/>
    <x v="839"/>
    <x v="1"/>
    <x v="839"/>
    <x v="0"/>
    <x v="2"/>
    <x v="0"/>
    <x v="7"/>
    <x v="3"/>
    <x v="768"/>
    <n v="0.4"/>
    <n v="0.1607941615004316"/>
    <s v="United States"/>
    <x v="0"/>
    <x v="1"/>
    <x v="154"/>
    <n v="90068"/>
    <x v="109"/>
    <x v="4"/>
    <x v="0"/>
    <d v="2015-04-21T00:00:00"/>
    <n v="61.47"/>
    <n v="12"/>
    <x v="1424"/>
    <n v="40997"/>
    <x v="0"/>
  </r>
  <r>
    <n v="5778"/>
    <s v="Low"/>
    <n v="0.05"/>
    <n v="22.99"/>
    <x v="20"/>
    <x v="839"/>
    <x v="1"/>
    <x v="839"/>
    <x v="2"/>
    <x v="2"/>
    <x v="0"/>
    <x v="0"/>
    <x v="2"/>
    <x v="772"/>
    <n v="0.56999999999999995"/>
    <n v="2.072039376687005E-2"/>
    <s v="United States"/>
    <x v="0"/>
    <x v="1"/>
    <x v="154"/>
    <n v="90068"/>
    <x v="109"/>
    <x v="4"/>
    <x v="0"/>
    <d v="2015-04-28T00:00:00"/>
    <n v="18.27"/>
    <n v="37"/>
    <x v="1425"/>
    <n v="40997"/>
    <x v="0"/>
  </r>
  <r>
    <n v="5780"/>
    <s v="Low"/>
    <n v="0.04"/>
    <n v="212.6"/>
    <x v="306"/>
    <x v="839"/>
    <x v="1"/>
    <x v="839"/>
    <x v="1"/>
    <x v="2"/>
    <x v="1"/>
    <x v="11"/>
    <x v="5"/>
    <x v="482"/>
    <n v="0.73"/>
    <n v="-6.9579888355917649E-2"/>
    <s v="United States"/>
    <x v="0"/>
    <x v="1"/>
    <x v="154"/>
    <n v="90068"/>
    <x v="109"/>
    <x v="4"/>
    <x v="0"/>
    <d v="2015-04-25T00:00:00"/>
    <n v="-513.79042000000004"/>
    <n v="33"/>
    <x v="1426"/>
    <n v="40997"/>
    <x v="0"/>
  </r>
  <r>
    <n v="4204"/>
    <s v="Not Specified"/>
    <n v="0.09"/>
    <n v="5.98"/>
    <x v="440"/>
    <x v="839"/>
    <x v="1"/>
    <x v="839"/>
    <x v="2"/>
    <x v="2"/>
    <x v="0"/>
    <x v="0"/>
    <x v="0"/>
    <x v="773"/>
    <n v="0.51"/>
    <n v="5.3250345781466119E-2"/>
    <s v="United States"/>
    <x v="0"/>
    <x v="1"/>
    <x v="154"/>
    <n v="90068"/>
    <x v="141"/>
    <x v="1"/>
    <x v="0"/>
    <d v="2015-06-07T00:00:00"/>
    <n v="23.87"/>
    <n v="81"/>
    <x v="1427"/>
    <n v="29889"/>
    <x v="0"/>
  </r>
  <r>
    <n v="23777"/>
    <s v="Low"/>
    <n v="0.05"/>
    <n v="30.98"/>
    <x v="438"/>
    <x v="840"/>
    <x v="1"/>
    <x v="840"/>
    <x v="0"/>
    <x v="2"/>
    <x v="0"/>
    <x v="7"/>
    <x v="3"/>
    <x v="768"/>
    <n v="0.4"/>
    <n v="0.6431934707544209"/>
    <s v="United States"/>
    <x v="1"/>
    <x v="10"/>
    <x v="658"/>
    <n v="43213"/>
    <x v="109"/>
    <x v="4"/>
    <x v="0"/>
    <d v="2015-04-21T00:00:00"/>
    <n v="61.47"/>
    <n v="3"/>
    <x v="1428"/>
    <n v="88657"/>
    <x v="0"/>
  </r>
  <r>
    <n v="23778"/>
    <s v="Low"/>
    <n v="0.05"/>
    <n v="22.99"/>
    <x v="20"/>
    <x v="840"/>
    <x v="1"/>
    <x v="840"/>
    <x v="2"/>
    <x v="2"/>
    <x v="0"/>
    <x v="0"/>
    <x v="2"/>
    <x v="772"/>
    <n v="0.56999999999999995"/>
    <n v="8.5182767624020883E-2"/>
    <s v="United States"/>
    <x v="1"/>
    <x v="10"/>
    <x v="658"/>
    <n v="43213"/>
    <x v="109"/>
    <x v="4"/>
    <x v="0"/>
    <d v="2015-04-28T00:00:00"/>
    <n v="18.27"/>
    <n v="9"/>
    <x v="1429"/>
    <n v="88657"/>
    <x v="0"/>
  </r>
  <r>
    <n v="23780"/>
    <s v="Low"/>
    <n v="0.04"/>
    <n v="212.6"/>
    <x v="306"/>
    <x v="840"/>
    <x v="1"/>
    <x v="840"/>
    <x v="1"/>
    <x v="2"/>
    <x v="1"/>
    <x v="11"/>
    <x v="5"/>
    <x v="482"/>
    <n v="0.73"/>
    <n v="-0.2870177196804648"/>
    <s v="United States"/>
    <x v="1"/>
    <x v="10"/>
    <x v="658"/>
    <n v="43213"/>
    <x v="109"/>
    <x v="4"/>
    <x v="0"/>
    <d v="2015-04-25T00:00:00"/>
    <n v="-513.79042000000004"/>
    <n v="8"/>
    <x v="1430"/>
    <n v="88657"/>
    <x v="0"/>
  </r>
  <r>
    <n v="22204"/>
    <s v="Not Specified"/>
    <n v="0.09"/>
    <n v="5.98"/>
    <x v="440"/>
    <x v="840"/>
    <x v="1"/>
    <x v="840"/>
    <x v="2"/>
    <x v="2"/>
    <x v="0"/>
    <x v="0"/>
    <x v="0"/>
    <x v="773"/>
    <n v="0.51"/>
    <n v="0.3235001807011203"/>
    <s v="United States"/>
    <x v="1"/>
    <x v="10"/>
    <x v="658"/>
    <n v="43213"/>
    <x v="141"/>
    <x v="1"/>
    <x v="0"/>
    <d v="2015-06-07T00:00:00"/>
    <n v="35.805"/>
    <n v="20"/>
    <x v="1431"/>
    <n v="88658"/>
    <x v="0"/>
  </r>
  <r>
    <n v="24525"/>
    <s v="Low"/>
    <n v="0"/>
    <n v="35.99"/>
    <x v="90"/>
    <x v="841"/>
    <x v="0"/>
    <x v="841"/>
    <x v="2"/>
    <x v="2"/>
    <x v="2"/>
    <x v="5"/>
    <x v="2"/>
    <x v="771"/>
    <n v="0.35"/>
    <n v="0.69"/>
    <s v="United States"/>
    <x v="1"/>
    <x v="19"/>
    <x v="659"/>
    <n v="17403"/>
    <x v="36"/>
    <x v="4"/>
    <x v="0"/>
    <d v="2015-04-11T00:00:00"/>
    <n v="265.96049999999997"/>
    <n v="12"/>
    <x v="1432"/>
    <n v="88656"/>
    <x v="0"/>
  </r>
  <r>
    <n v="18130"/>
    <s v="Medium"/>
    <n v="0.03"/>
    <n v="12.53"/>
    <x v="441"/>
    <x v="842"/>
    <x v="0"/>
    <x v="842"/>
    <x v="2"/>
    <x v="1"/>
    <x v="0"/>
    <x v="8"/>
    <x v="3"/>
    <x v="774"/>
    <n v="0.38"/>
    <n v="-1.0517857142857143"/>
    <s v="United States"/>
    <x v="2"/>
    <x v="45"/>
    <x v="660"/>
    <n v="53142"/>
    <x v="6"/>
    <x v="2"/>
    <x v="0"/>
    <d v="2015-02-13T00:00:00"/>
    <n v="-20.320500000000003"/>
    <n v="1"/>
    <x v="1191"/>
    <n v="86528"/>
    <x v="0"/>
  </r>
  <r>
    <n v="23666"/>
    <s v="Low"/>
    <n v="0.1"/>
    <n v="2.6"/>
    <x v="244"/>
    <x v="843"/>
    <x v="1"/>
    <x v="843"/>
    <x v="2"/>
    <x v="1"/>
    <x v="0"/>
    <x v="0"/>
    <x v="0"/>
    <x v="371"/>
    <n v="0.57999999999999996"/>
    <n v="-2.9249169435215943"/>
    <s v="United States"/>
    <x v="2"/>
    <x v="45"/>
    <x v="320"/>
    <n v="53711"/>
    <x v="85"/>
    <x v="0"/>
    <x v="0"/>
    <d v="2015-01-14T00:00:00"/>
    <n v="-88.039999999999992"/>
    <n v="12"/>
    <x v="1433"/>
    <n v="86527"/>
    <x v="0"/>
  </r>
  <r>
    <n v="23583"/>
    <s v="Critical"/>
    <n v="0"/>
    <n v="12.97"/>
    <x v="25"/>
    <x v="843"/>
    <x v="1"/>
    <x v="843"/>
    <x v="2"/>
    <x v="1"/>
    <x v="0"/>
    <x v="8"/>
    <x v="3"/>
    <x v="513"/>
    <n v="0.35"/>
    <n v="0.69"/>
    <s v="United States"/>
    <x v="2"/>
    <x v="45"/>
    <x v="320"/>
    <n v="53711"/>
    <x v="23"/>
    <x v="2"/>
    <x v="0"/>
    <d v="2015-02-03T00:00:00"/>
    <n v="180.23489999999998"/>
    <n v="19"/>
    <x v="1434"/>
    <n v="86529"/>
    <x v="0"/>
  </r>
  <r>
    <n v="23584"/>
    <s v="Critical"/>
    <n v="0.06"/>
    <n v="4.91"/>
    <x v="28"/>
    <x v="843"/>
    <x v="1"/>
    <x v="843"/>
    <x v="2"/>
    <x v="1"/>
    <x v="0"/>
    <x v="9"/>
    <x v="3"/>
    <x v="550"/>
    <n v="0.36"/>
    <n v="0.69"/>
    <s v="United States"/>
    <x v="2"/>
    <x v="45"/>
    <x v="320"/>
    <n v="53711"/>
    <x v="23"/>
    <x v="2"/>
    <x v="0"/>
    <d v="2015-02-02T00:00:00"/>
    <n v="29.525099999999998"/>
    <n v="9"/>
    <x v="1435"/>
    <n v="86529"/>
    <x v="0"/>
  </r>
  <r>
    <n v="19840"/>
    <s v="Not Specified"/>
    <n v="0.03"/>
    <n v="160.97999999999999"/>
    <x v="40"/>
    <x v="844"/>
    <x v="1"/>
    <x v="844"/>
    <x v="1"/>
    <x v="3"/>
    <x v="1"/>
    <x v="1"/>
    <x v="1"/>
    <x v="48"/>
    <n v="0.62"/>
    <n v="0.69000000000000006"/>
    <s v="United States"/>
    <x v="1"/>
    <x v="4"/>
    <x v="661"/>
    <n v="10562"/>
    <x v="27"/>
    <x v="5"/>
    <x v="0"/>
    <d v="2015-03-25T00:00:00"/>
    <n v="1261.4718"/>
    <n v="11"/>
    <x v="1436"/>
    <n v="86465"/>
    <x v="0"/>
  </r>
  <r>
    <n v="23161"/>
    <s v="Not Specified"/>
    <n v="7.0000000000000007E-2"/>
    <n v="3.98"/>
    <x v="126"/>
    <x v="844"/>
    <x v="1"/>
    <x v="844"/>
    <x v="2"/>
    <x v="3"/>
    <x v="0"/>
    <x v="8"/>
    <x v="3"/>
    <x v="600"/>
    <n v="0.38"/>
    <n v="-2.0142344642257308"/>
    <s v="United States"/>
    <x v="1"/>
    <x v="4"/>
    <x v="661"/>
    <n v="10562"/>
    <x v="4"/>
    <x v="4"/>
    <x v="0"/>
    <d v="2015-04-10T00:00:00"/>
    <n v="-59.963760000000001"/>
    <n v="7"/>
    <x v="1437"/>
    <n v="86466"/>
    <x v="0"/>
  </r>
  <r>
    <n v="23162"/>
    <s v="Not Specified"/>
    <n v="7.0000000000000007E-2"/>
    <n v="12.22"/>
    <x v="442"/>
    <x v="844"/>
    <x v="1"/>
    <x v="844"/>
    <x v="2"/>
    <x v="3"/>
    <x v="1"/>
    <x v="2"/>
    <x v="2"/>
    <x v="775"/>
    <n v="0.55000000000000004"/>
    <n v="0.60747876893810726"/>
    <s v="United States"/>
    <x v="1"/>
    <x v="4"/>
    <x v="661"/>
    <n v="10562"/>
    <x v="4"/>
    <x v="4"/>
    <x v="0"/>
    <d v="2015-04-08T00:00:00"/>
    <n v="89.4148"/>
    <n v="12"/>
    <x v="1438"/>
    <n v="86466"/>
    <x v="0"/>
  </r>
  <r>
    <n v="22374"/>
    <s v="Not Specified"/>
    <n v="0.08"/>
    <n v="4.55"/>
    <x v="25"/>
    <x v="845"/>
    <x v="0"/>
    <x v="845"/>
    <x v="2"/>
    <x v="1"/>
    <x v="0"/>
    <x v="8"/>
    <x v="3"/>
    <x v="516"/>
    <n v="0.35"/>
    <n v="0.69"/>
    <s v="United States"/>
    <x v="2"/>
    <x v="3"/>
    <x v="662"/>
    <n v="55432"/>
    <x v="4"/>
    <x v="4"/>
    <x v="0"/>
    <d v="2015-04-09T00:00:00"/>
    <n v="27.0273"/>
    <n v="9"/>
    <x v="1439"/>
    <n v="91447"/>
    <x v="0"/>
  </r>
  <r>
    <n v="25095"/>
    <s v="Critical"/>
    <n v="0"/>
    <n v="4.37"/>
    <x v="26"/>
    <x v="846"/>
    <x v="1"/>
    <x v="846"/>
    <x v="2"/>
    <x v="3"/>
    <x v="0"/>
    <x v="15"/>
    <x v="3"/>
    <x v="358"/>
    <n v="0.59"/>
    <n v="-1.710420034149118"/>
    <s v="United States"/>
    <x v="0"/>
    <x v="1"/>
    <x v="663"/>
    <n v="95616"/>
    <x v="177"/>
    <x v="4"/>
    <x v="0"/>
    <d v="2015-04-27T00:00:00"/>
    <n v="-150.2604"/>
    <n v="19"/>
    <x v="1440"/>
    <n v="90327"/>
    <x v="0"/>
  </r>
  <r>
    <n v="25096"/>
    <s v="Critical"/>
    <n v="0.01"/>
    <n v="500.98"/>
    <x v="443"/>
    <x v="846"/>
    <x v="1"/>
    <x v="846"/>
    <x v="1"/>
    <x v="3"/>
    <x v="1"/>
    <x v="1"/>
    <x v="1"/>
    <x v="1"/>
    <n v="0.6"/>
    <n v="0.65940414260198699"/>
    <s v="United States"/>
    <x v="0"/>
    <x v="1"/>
    <x v="663"/>
    <n v="95616"/>
    <x v="177"/>
    <x v="4"/>
    <x v="0"/>
    <d v="2015-04-26T00:00:00"/>
    <n v="4899.1288000000004"/>
    <n v="14"/>
    <x v="1441"/>
    <n v="90327"/>
    <x v="0"/>
  </r>
  <r>
    <n v="25097"/>
    <s v="Critical"/>
    <n v="0.02"/>
    <n v="12.58"/>
    <x v="210"/>
    <x v="846"/>
    <x v="1"/>
    <x v="846"/>
    <x v="2"/>
    <x v="3"/>
    <x v="1"/>
    <x v="2"/>
    <x v="3"/>
    <x v="776"/>
    <n v="0.43"/>
    <n v="0.1993490570243881"/>
    <s v="United States"/>
    <x v="0"/>
    <x v="1"/>
    <x v="663"/>
    <n v="95616"/>
    <x v="177"/>
    <x v="4"/>
    <x v="0"/>
    <d v="2015-04-25T00:00:00"/>
    <n v="44.712000000000003"/>
    <n v="18"/>
    <x v="1442"/>
    <n v="90327"/>
    <x v="0"/>
  </r>
  <r>
    <n v="25098"/>
    <s v="Critical"/>
    <n v="0.1"/>
    <n v="7.7"/>
    <x v="444"/>
    <x v="846"/>
    <x v="1"/>
    <x v="846"/>
    <x v="2"/>
    <x v="3"/>
    <x v="1"/>
    <x v="2"/>
    <x v="0"/>
    <x v="777"/>
    <n v="0.52"/>
    <n v="-0.44191406249999998"/>
    <s v="United States"/>
    <x v="0"/>
    <x v="1"/>
    <x v="663"/>
    <n v="95616"/>
    <x v="177"/>
    <x v="4"/>
    <x v="0"/>
    <d v="2015-04-26T00:00:00"/>
    <n v="-22.626000000000001"/>
    <n v="7"/>
    <x v="1443"/>
    <n v="90327"/>
    <x v="0"/>
  </r>
  <r>
    <n v="7096"/>
    <s v="Critical"/>
    <n v="0.01"/>
    <n v="500.98"/>
    <x v="443"/>
    <x v="847"/>
    <x v="1"/>
    <x v="847"/>
    <x v="1"/>
    <x v="3"/>
    <x v="1"/>
    <x v="1"/>
    <x v="1"/>
    <x v="1"/>
    <n v="0.6"/>
    <n v="0.14334867841713572"/>
    <s v="United States"/>
    <x v="1"/>
    <x v="4"/>
    <x v="8"/>
    <n v="10165"/>
    <x v="177"/>
    <x v="4"/>
    <x v="0"/>
    <d v="2015-04-26T00:00:00"/>
    <n v="4260.1120000000001"/>
    <n v="56"/>
    <x v="1444"/>
    <n v="50656"/>
    <x v="0"/>
  </r>
  <r>
    <n v="7098"/>
    <s v="Critical"/>
    <n v="0.1"/>
    <n v="7.7"/>
    <x v="444"/>
    <x v="847"/>
    <x v="1"/>
    <x v="847"/>
    <x v="2"/>
    <x v="3"/>
    <x v="1"/>
    <x v="2"/>
    <x v="0"/>
    <x v="777"/>
    <n v="0.52"/>
    <n v="-0.1273040307879279"/>
    <s v="United States"/>
    <x v="1"/>
    <x v="4"/>
    <x v="8"/>
    <n v="10165"/>
    <x v="177"/>
    <x v="4"/>
    <x v="0"/>
    <d v="2015-04-26T00:00:00"/>
    <n v="-25.14"/>
    <n v="27"/>
    <x v="1445"/>
    <n v="50656"/>
    <x v="0"/>
  </r>
  <r>
    <n v="20938"/>
    <s v="Low"/>
    <n v="0.04"/>
    <n v="8.6"/>
    <x v="223"/>
    <x v="848"/>
    <x v="1"/>
    <x v="848"/>
    <x v="2"/>
    <x v="1"/>
    <x v="0"/>
    <x v="8"/>
    <x v="3"/>
    <x v="331"/>
    <n v="0.38"/>
    <n v="6.6107065101387397"/>
    <s v="United States"/>
    <x v="3"/>
    <x v="43"/>
    <x v="664"/>
    <n v="36801"/>
    <x v="10"/>
    <x v="3"/>
    <x v="0"/>
    <d v="2015-05-04T00:00:00"/>
    <n v="309.71159999999998"/>
    <n v="5"/>
    <x v="1446"/>
    <n v="88298"/>
    <x v="0"/>
  </r>
  <r>
    <n v="20939"/>
    <s v="Low"/>
    <n v="0.01"/>
    <n v="3.58"/>
    <x v="6"/>
    <x v="848"/>
    <x v="1"/>
    <x v="848"/>
    <x v="2"/>
    <x v="1"/>
    <x v="0"/>
    <x v="3"/>
    <x v="0"/>
    <x v="6"/>
    <n v="0.36"/>
    <n v="-1.3771080474511062"/>
    <s v="United States"/>
    <x v="3"/>
    <x v="43"/>
    <x v="664"/>
    <n v="36801"/>
    <x v="10"/>
    <x v="3"/>
    <x v="0"/>
    <d v="2015-05-06T00:00:00"/>
    <n v="-128.85599999999999"/>
    <n v="26"/>
    <x v="1447"/>
    <n v="88298"/>
    <x v="0"/>
  </r>
  <r>
    <n v="20940"/>
    <s v="Low"/>
    <n v="0.08"/>
    <n v="105.49"/>
    <x v="445"/>
    <x v="848"/>
    <x v="1"/>
    <x v="848"/>
    <x v="1"/>
    <x v="1"/>
    <x v="1"/>
    <x v="11"/>
    <x v="5"/>
    <x v="778"/>
    <n v="0.75"/>
    <n v="-1.3711685699334569E-2"/>
    <s v="United States"/>
    <x v="3"/>
    <x v="43"/>
    <x v="664"/>
    <n v="36801"/>
    <x v="10"/>
    <x v="3"/>
    <x v="0"/>
    <d v="2015-05-09T00:00:00"/>
    <n v="-36.945999999999998"/>
    <n v="34"/>
    <x v="1448"/>
    <n v="88298"/>
    <x v="0"/>
  </r>
  <r>
    <n v="23705"/>
    <s v="High"/>
    <n v="0.09"/>
    <n v="212.6"/>
    <x v="403"/>
    <x v="849"/>
    <x v="1"/>
    <x v="849"/>
    <x v="1"/>
    <x v="1"/>
    <x v="1"/>
    <x v="11"/>
    <x v="5"/>
    <x v="482"/>
    <n v="0.64"/>
    <n v="-1.573054441260745"/>
    <s v="United States"/>
    <x v="3"/>
    <x v="43"/>
    <x v="665"/>
    <n v="36869"/>
    <x v="35"/>
    <x v="0"/>
    <x v="0"/>
    <d v="2015-01-04T00:00:00"/>
    <n v="-274.49799999999999"/>
    <n v="1"/>
    <x v="1449"/>
    <n v="88296"/>
    <x v="0"/>
  </r>
  <r>
    <n v="22508"/>
    <s v="Medium"/>
    <n v="7.0000000000000007E-2"/>
    <n v="1.76"/>
    <x v="27"/>
    <x v="849"/>
    <x v="1"/>
    <x v="849"/>
    <x v="2"/>
    <x v="1"/>
    <x v="1"/>
    <x v="2"/>
    <x v="3"/>
    <x v="620"/>
    <n v="0.41"/>
    <n v="2.2606689734717838E-2"/>
    <s v="United States"/>
    <x v="3"/>
    <x v="43"/>
    <x v="665"/>
    <n v="36869"/>
    <x v="60"/>
    <x v="0"/>
    <x v="0"/>
    <d v="2015-01-17T00:00:00"/>
    <n v="0.58800000000001096"/>
    <n v="15"/>
    <x v="1450"/>
    <n v="88297"/>
    <x v="0"/>
  </r>
  <r>
    <n v="19123"/>
    <s v="Medium"/>
    <n v="0.04"/>
    <n v="510.14"/>
    <x v="69"/>
    <x v="850"/>
    <x v="1"/>
    <x v="850"/>
    <x v="1"/>
    <x v="1"/>
    <x v="2"/>
    <x v="6"/>
    <x v="1"/>
    <x v="779"/>
    <n v="0.56000000000000005"/>
    <n v="-0.16453457855847956"/>
    <s v="United States"/>
    <x v="2"/>
    <x v="22"/>
    <x v="666"/>
    <n v="49423"/>
    <x v="31"/>
    <x v="1"/>
    <x v="0"/>
    <d v="2015-06-09T00:00:00"/>
    <n v="-251.40390000000002"/>
    <n v="3"/>
    <x v="1451"/>
    <n v="89657"/>
    <x v="0"/>
  </r>
  <r>
    <n v="19124"/>
    <s v="Medium"/>
    <n v="0"/>
    <n v="4.76"/>
    <x v="446"/>
    <x v="850"/>
    <x v="1"/>
    <x v="850"/>
    <x v="2"/>
    <x v="1"/>
    <x v="0"/>
    <x v="7"/>
    <x v="0"/>
    <x v="780"/>
    <n v="0.36"/>
    <n v="-2.1152805340068557E-2"/>
    <s v="United States"/>
    <x v="2"/>
    <x v="22"/>
    <x v="666"/>
    <n v="49423"/>
    <x v="31"/>
    <x v="1"/>
    <x v="0"/>
    <d v="2015-06-09T00:00:00"/>
    <n v="-2.3450000000000002"/>
    <n v="23"/>
    <x v="1452"/>
    <n v="89657"/>
    <x v="0"/>
  </r>
  <r>
    <n v="19134"/>
    <s v="Critical"/>
    <n v="0.04"/>
    <n v="6.3"/>
    <x v="28"/>
    <x v="851"/>
    <x v="0"/>
    <x v="851"/>
    <x v="2"/>
    <x v="1"/>
    <x v="0"/>
    <x v="9"/>
    <x v="3"/>
    <x v="421"/>
    <n v="0.39"/>
    <n v="0.69"/>
    <s v="United States"/>
    <x v="2"/>
    <x v="22"/>
    <x v="667"/>
    <n v="48141"/>
    <x v="62"/>
    <x v="1"/>
    <x v="0"/>
    <d v="2015-06-11T00:00:00"/>
    <n v="67.606200000000001"/>
    <n v="15"/>
    <x v="1453"/>
    <n v="89658"/>
    <x v="0"/>
  </r>
  <r>
    <n v="20976"/>
    <s v="Medium"/>
    <n v="0.01"/>
    <n v="6.48"/>
    <x v="447"/>
    <x v="852"/>
    <x v="1"/>
    <x v="852"/>
    <x v="0"/>
    <x v="1"/>
    <x v="0"/>
    <x v="7"/>
    <x v="3"/>
    <x v="781"/>
    <n v="0.37"/>
    <n v="-0.36395525307048426"/>
    <s v="United States"/>
    <x v="2"/>
    <x v="45"/>
    <x v="668"/>
    <n v="54220"/>
    <x v="136"/>
    <x v="2"/>
    <x v="0"/>
    <d v="2015-02-28T00:00:00"/>
    <n v="-46.5244"/>
    <n v="18"/>
    <x v="1454"/>
    <n v="91166"/>
    <x v="0"/>
  </r>
  <r>
    <n v="20810"/>
    <s v="Not Specified"/>
    <n v="0.02"/>
    <n v="22.72"/>
    <x v="20"/>
    <x v="852"/>
    <x v="1"/>
    <x v="852"/>
    <x v="2"/>
    <x v="1"/>
    <x v="1"/>
    <x v="2"/>
    <x v="2"/>
    <x v="275"/>
    <n v="0.44"/>
    <n v="0.69"/>
    <s v="United States"/>
    <x v="2"/>
    <x v="45"/>
    <x v="668"/>
    <n v="54220"/>
    <x v="175"/>
    <x v="1"/>
    <x v="0"/>
    <d v="2015-06-26T00:00:00"/>
    <n v="200.01719999999997"/>
    <n v="12"/>
    <x v="1455"/>
    <n v="91167"/>
    <x v="0"/>
  </r>
  <r>
    <n v="22275"/>
    <s v="Low"/>
    <n v="0.02"/>
    <n v="419.19"/>
    <x v="3"/>
    <x v="853"/>
    <x v="1"/>
    <x v="853"/>
    <x v="2"/>
    <x v="0"/>
    <x v="0"/>
    <x v="10"/>
    <x v="3"/>
    <x v="260"/>
    <n v="0.57999999999999996"/>
    <n v="-9.0953140967493778E-3"/>
    <s v="United States"/>
    <x v="3"/>
    <x v="29"/>
    <x v="669"/>
    <n v="30605"/>
    <x v="89"/>
    <x v="4"/>
    <x v="0"/>
    <d v="2015-04-17T00:00:00"/>
    <n v="-39.606000000000002"/>
    <n v="10"/>
    <x v="1456"/>
    <n v="87772"/>
    <x v="0"/>
  </r>
  <r>
    <n v="23765"/>
    <s v="Low"/>
    <n v="0.01"/>
    <n v="85.99"/>
    <x v="90"/>
    <x v="853"/>
    <x v="1"/>
    <x v="853"/>
    <x v="2"/>
    <x v="0"/>
    <x v="2"/>
    <x v="5"/>
    <x v="0"/>
    <x v="163"/>
    <n v="0.85"/>
    <n v="2.1326537593213382"/>
    <s v="United States"/>
    <x v="3"/>
    <x v="29"/>
    <x v="669"/>
    <n v="30605"/>
    <x v="14"/>
    <x v="5"/>
    <x v="0"/>
    <d v="2015-03-17T00:00:00"/>
    <n v="311.72999999999996"/>
    <n v="2"/>
    <x v="1457"/>
    <n v="87773"/>
    <x v="0"/>
  </r>
  <r>
    <n v="19859"/>
    <s v="Low"/>
    <n v="0.05"/>
    <n v="5.74"/>
    <x v="98"/>
    <x v="854"/>
    <x v="0"/>
    <x v="854"/>
    <x v="2"/>
    <x v="0"/>
    <x v="0"/>
    <x v="12"/>
    <x v="2"/>
    <x v="782"/>
    <n v="0.55000000000000004"/>
    <n v="-1.2077582103760114"/>
    <s v="United States"/>
    <x v="1"/>
    <x v="16"/>
    <x v="670"/>
    <n v="3054"/>
    <x v="68"/>
    <x v="5"/>
    <x v="0"/>
    <d v="2015-03-26T00:00:00"/>
    <n v="-50.75"/>
    <n v="7"/>
    <x v="1458"/>
    <n v="87382"/>
    <x v="0"/>
  </r>
  <r>
    <n v="20849"/>
    <s v="Critical"/>
    <n v="7.0000000000000007E-2"/>
    <n v="200.99"/>
    <x v="5"/>
    <x v="855"/>
    <x v="0"/>
    <x v="855"/>
    <x v="2"/>
    <x v="0"/>
    <x v="2"/>
    <x v="5"/>
    <x v="3"/>
    <x v="186"/>
    <n v="0.59"/>
    <n v="0.60053766389394203"/>
    <s v="United States"/>
    <x v="1"/>
    <x v="2"/>
    <x v="671"/>
    <n v="7601"/>
    <x v="121"/>
    <x v="4"/>
    <x v="0"/>
    <d v="2015-04-06T00:00:00"/>
    <n v="2225.0761200000002"/>
    <n v="22"/>
    <x v="1459"/>
    <n v="87383"/>
    <x v="0"/>
  </r>
  <r>
    <n v="20850"/>
    <s v="Critical"/>
    <n v="0.01"/>
    <n v="297.48"/>
    <x v="327"/>
    <x v="856"/>
    <x v="0"/>
    <x v="856"/>
    <x v="1"/>
    <x v="0"/>
    <x v="2"/>
    <x v="6"/>
    <x v="1"/>
    <x v="192"/>
    <n v="0.6"/>
    <n v="-0.35772703731911654"/>
    <s v="United States"/>
    <x v="1"/>
    <x v="2"/>
    <x v="672"/>
    <n v="8830"/>
    <x v="121"/>
    <x v="4"/>
    <x v="0"/>
    <d v="2015-04-06T00:00:00"/>
    <n v="-338.18083200000001"/>
    <n v="3"/>
    <x v="1460"/>
    <n v="87383"/>
    <x v="0"/>
  </r>
  <r>
    <n v="18046"/>
    <s v="High"/>
    <n v="0.09"/>
    <n v="5.4"/>
    <x v="75"/>
    <x v="857"/>
    <x v="0"/>
    <x v="857"/>
    <x v="2"/>
    <x v="0"/>
    <x v="0"/>
    <x v="8"/>
    <x v="3"/>
    <x v="97"/>
    <n v="0.37"/>
    <n v="-2.7670999187652314"/>
    <s v="United States"/>
    <x v="0"/>
    <x v="1"/>
    <x v="663"/>
    <n v="95616"/>
    <x v="41"/>
    <x v="3"/>
    <x v="0"/>
    <d v="2015-05-17T00:00:00"/>
    <n v="-136.25200000000001"/>
    <n v="9"/>
    <x v="1461"/>
    <n v="86118"/>
    <x v="0"/>
  </r>
  <r>
    <n v="19971"/>
    <s v="Low"/>
    <n v="0.02"/>
    <n v="50.98"/>
    <x v="448"/>
    <x v="858"/>
    <x v="0"/>
    <x v="858"/>
    <x v="0"/>
    <x v="0"/>
    <x v="0"/>
    <x v="15"/>
    <x v="3"/>
    <x v="783"/>
    <n v="0.57999999999999996"/>
    <n v="-0.37633308984660335"/>
    <s v="United States"/>
    <x v="1"/>
    <x v="2"/>
    <x v="673"/>
    <n v="8863"/>
    <x v="76"/>
    <x v="0"/>
    <x v="0"/>
    <d v="2015-01-24T00:00:00"/>
    <n v="-25.76"/>
    <n v="1"/>
    <x v="1462"/>
    <n v="86119"/>
    <x v="0"/>
  </r>
  <r>
    <n v="25962"/>
    <s v="Critical"/>
    <n v="0"/>
    <n v="2.6"/>
    <x v="244"/>
    <x v="859"/>
    <x v="0"/>
    <x v="859"/>
    <x v="2"/>
    <x v="0"/>
    <x v="0"/>
    <x v="0"/>
    <x v="0"/>
    <x v="371"/>
    <n v="0.57999999999999996"/>
    <n v="-1.0102793296089385"/>
    <s v="United States"/>
    <x v="2"/>
    <x v="22"/>
    <x v="674"/>
    <n v="49002"/>
    <x v="140"/>
    <x v="5"/>
    <x v="0"/>
    <d v="2015-03-13T00:00:00"/>
    <n v="-45.21"/>
    <n v="16"/>
    <x v="1283"/>
    <n v="91495"/>
    <x v="0"/>
  </r>
  <r>
    <n v="25478"/>
    <s v="Not Specified"/>
    <n v="0.1"/>
    <n v="3.25"/>
    <x v="164"/>
    <x v="860"/>
    <x v="0"/>
    <x v="860"/>
    <x v="2"/>
    <x v="0"/>
    <x v="0"/>
    <x v="15"/>
    <x v="6"/>
    <x v="648"/>
    <n v="0.56000000000000005"/>
    <n v="-7.0347751290243306"/>
    <s v="United States"/>
    <x v="2"/>
    <x v="46"/>
    <x v="675"/>
    <n v="57401"/>
    <x v="150"/>
    <x v="1"/>
    <x v="0"/>
    <d v="2015-06-28T00:00:00"/>
    <n v="-286.245"/>
    <n v="6"/>
    <x v="1463"/>
    <n v="91496"/>
    <x v="0"/>
  </r>
  <r>
    <n v="6585"/>
    <s v="Medium"/>
    <n v="0.1"/>
    <n v="7.64"/>
    <x v="49"/>
    <x v="861"/>
    <x v="1"/>
    <x v="861"/>
    <x v="2"/>
    <x v="0"/>
    <x v="0"/>
    <x v="4"/>
    <x v="3"/>
    <x v="784"/>
    <n v="0.36"/>
    <n v="0.12389516562908308"/>
    <s v="United States"/>
    <x v="1"/>
    <x v="4"/>
    <x v="8"/>
    <n v="10004"/>
    <x v="60"/>
    <x v="0"/>
    <x v="0"/>
    <d v="2015-01-19T00:00:00"/>
    <n v="16.12"/>
    <n v="18"/>
    <x v="1464"/>
    <n v="46884"/>
    <x v="0"/>
  </r>
  <r>
    <n v="6586"/>
    <s v="Medium"/>
    <n v="0"/>
    <n v="125.99"/>
    <x v="10"/>
    <x v="861"/>
    <x v="1"/>
    <x v="861"/>
    <x v="2"/>
    <x v="0"/>
    <x v="2"/>
    <x v="5"/>
    <x v="3"/>
    <x v="785"/>
    <n v="0.59"/>
    <n v="-2.4186304618485801"/>
    <s v="United States"/>
    <x v="1"/>
    <x v="4"/>
    <x v="8"/>
    <n v="10004"/>
    <x v="60"/>
    <x v="0"/>
    <x v="0"/>
    <d v="2015-01-19T00:00:00"/>
    <n v="-815.90079999999989"/>
    <n v="3"/>
    <x v="1465"/>
    <n v="46884"/>
    <x v="0"/>
  </r>
  <r>
    <n v="6587"/>
    <s v="Medium"/>
    <n v="0.1"/>
    <n v="11.55"/>
    <x v="77"/>
    <x v="861"/>
    <x v="1"/>
    <x v="861"/>
    <x v="2"/>
    <x v="0"/>
    <x v="0"/>
    <x v="0"/>
    <x v="0"/>
    <x v="99"/>
    <n v="0.55000000000000004"/>
    <n v="5.6370573761723081E-2"/>
    <s v="United States"/>
    <x v="1"/>
    <x v="4"/>
    <x v="8"/>
    <n v="10004"/>
    <x v="60"/>
    <x v="0"/>
    <x v="0"/>
    <d v="2015-01-18T00:00:00"/>
    <n v="15.808000000000003"/>
    <n v="25"/>
    <x v="1466"/>
    <n v="46884"/>
    <x v="0"/>
  </r>
  <r>
    <n v="4788"/>
    <s v="High"/>
    <n v="0.05"/>
    <n v="4.84"/>
    <x v="188"/>
    <x v="861"/>
    <x v="1"/>
    <x v="861"/>
    <x v="0"/>
    <x v="0"/>
    <x v="0"/>
    <x v="0"/>
    <x v="0"/>
    <x v="525"/>
    <n v="0.52"/>
    <n v="0.28213560305638846"/>
    <s v="United States"/>
    <x v="1"/>
    <x v="4"/>
    <x v="8"/>
    <n v="10004"/>
    <x v="165"/>
    <x v="5"/>
    <x v="0"/>
    <d v="2015-03-23T00:00:00"/>
    <n v="29.17"/>
    <n v="20"/>
    <x v="1467"/>
    <n v="34017"/>
    <x v="0"/>
  </r>
  <r>
    <n v="4789"/>
    <s v="High"/>
    <n v="0.01"/>
    <n v="14.98"/>
    <x v="19"/>
    <x v="861"/>
    <x v="1"/>
    <x v="861"/>
    <x v="2"/>
    <x v="0"/>
    <x v="0"/>
    <x v="10"/>
    <x v="3"/>
    <x v="607"/>
    <n v="0.56999999999999995"/>
    <n v="-0.11247387399802476"/>
    <s v="United States"/>
    <x v="1"/>
    <x v="4"/>
    <x v="8"/>
    <n v="10004"/>
    <x v="165"/>
    <x v="5"/>
    <x v="0"/>
    <d v="2015-03-25T00:00:00"/>
    <n v="-48.97"/>
    <n v="28"/>
    <x v="1468"/>
    <n v="34017"/>
    <x v="0"/>
  </r>
  <r>
    <n v="7452"/>
    <s v="Critical"/>
    <n v="0.1"/>
    <n v="20.27"/>
    <x v="196"/>
    <x v="861"/>
    <x v="1"/>
    <x v="861"/>
    <x v="2"/>
    <x v="0"/>
    <x v="0"/>
    <x v="15"/>
    <x v="3"/>
    <x v="535"/>
    <n v="0.56999999999999995"/>
    <n v="7.9931908094948267E-2"/>
    <s v="United States"/>
    <x v="1"/>
    <x v="4"/>
    <x v="8"/>
    <n v="10004"/>
    <x v="165"/>
    <x v="5"/>
    <x v="0"/>
    <d v="2015-03-24T00:00:00"/>
    <n v="84.05"/>
    <n v="53"/>
    <x v="1469"/>
    <n v="53153"/>
    <x v="0"/>
  </r>
  <r>
    <n v="22788"/>
    <s v="High"/>
    <n v="0.05"/>
    <n v="4.84"/>
    <x v="188"/>
    <x v="862"/>
    <x v="1"/>
    <x v="862"/>
    <x v="0"/>
    <x v="0"/>
    <x v="0"/>
    <x v="0"/>
    <x v="0"/>
    <x v="525"/>
    <n v="0.52"/>
    <n v="0.69"/>
    <s v="United States"/>
    <x v="2"/>
    <x v="46"/>
    <x v="676"/>
    <n v="57103"/>
    <x v="165"/>
    <x v="5"/>
    <x v="0"/>
    <d v="2015-03-23T00:00:00"/>
    <n v="17.836500000000001"/>
    <n v="5"/>
    <x v="1470"/>
    <n v="88014"/>
    <x v="0"/>
  </r>
  <r>
    <n v="18461"/>
    <s v="Not Specified"/>
    <n v="0.1"/>
    <n v="30.98"/>
    <x v="20"/>
    <x v="862"/>
    <x v="1"/>
    <x v="862"/>
    <x v="2"/>
    <x v="0"/>
    <x v="0"/>
    <x v="0"/>
    <x v="2"/>
    <x v="548"/>
    <n v="0.57999999999999996"/>
    <n v="-0.16941275027226271"/>
    <s v="United States"/>
    <x v="2"/>
    <x v="46"/>
    <x v="676"/>
    <n v="57103"/>
    <x v="170"/>
    <x v="2"/>
    <x v="0"/>
    <d v="2015-02-11T00:00:00"/>
    <n v="-20.222799999999999"/>
    <n v="4"/>
    <x v="1471"/>
    <n v="88015"/>
    <x v="0"/>
  </r>
  <r>
    <n v="25452"/>
    <s v="Critical"/>
    <n v="0.1"/>
    <n v="20.27"/>
    <x v="196"/>
    <x v="863"/>
    <x v="0"/>
    <x v="863"/>
    <x v="2"/>
    <x v="0"/>
    <x v="0"/>
    <x v="15"/>
    <x v="3"/>
    <x v="535"/>
    <n v="0.56999999999999995"/>
    <n v="1.4795983250620344"/>
    <s v="United States"/>
    <x v="3"/>
    <x v="20"/>
    <x v="677"/>
    <n v="38134"/>
    <x v="165"/>
    <x v="5"/>
    <x v="0"/>
    <d v="2015-03-24T00:00:00"/>
    <n v="381.61799999999994"/>
    <n v="13"/>
    <x v="1472"/>
    <n v="88017"/>
    <x v="0"/>
  </r>
  <r>
    <n v="26296"/>
    <s v="High"/>
    <n v="0.03"/>
    <n v="40.97"/>
    <x v="20"/>
    <x v="864"/>
    <x v="0"/>
    <x v="864"/>
    <x v="0"/>
    <x v="0"/>
    <x v="0"/>
    <x v="0"/>
    <x v="2"/>
    <x v="786"/>
    <n v="0.59"/>
    <n v="-0.8544445516842003"/>
    <s v="United States"/>
    <x v="3"/>
    <x v="20"/>
    <x v="678"/>
    <n v="37027"/>
    <x v="91"/>
    <x v="5"/>
    <x v="0"/>
    <d v="2015-03-20T00:00:00"/>
    <n v="-177.05799999999999"/>
    <n v="5"/>
    <x v="1473"/>
    <n v="88016"/>
    <x v="0"/>
  </r>
  <r>
    <n v="26032"/>
    <s v="High"/>
    <n v="0.1"/>
    <n v="41.94"/>
    <x v="139"/>
    <x v="865"/>
    <x v="0"/>
    <x v="865"/>
    <x v="2"/>
    <x v="3"/>
    <x v="0"/>
    <x v="8"/>
    <x v="3"/>
    <x v="787"/>
    <n v="0.35"/>
    <n v="0.69"/>
    <s v="United States"/>
    <x v="0"/>
    <x v="1"/>
    <x v="370"/>
    <n v="94025"/>
    <x v="131"/>
    <x v="2"/>
    <x v="0"/>
    <d v="2015-02-08T00:00:00"/>
    <n v="164.08199999999999"/>
    <n v="6"/>
    <x v="1474"/>
    <n v="90927"/>
    <x v="0"/>
  </r>
  <r>
    <n v="18623"/>
    <s v="Medium"/>
    <n v="0.02"/>
    <n v="30.53"/>
    <x v="3"/>
    <x v="866"/>
    <x v="0"/>
    <x v="866"/>
    <x v="0"/>
    <x v="0"/>
    <x v="0"/>
    <x v="9"/>
    <x v="3"/>
    <x v="244"/>
    <n v="0.39"/>
    <n v="-0.12181416817178406"/>
    <s v="United States"/>
    <x v="2"/>
    <x v="23"/>
    <x v="627"/>
    <n v="73160"/>
    <x v="60"/>
    <x v="0"/>
    <x v="0"/>
    <d v="2015-01-19T00:00:00"/>
    <n v="-54.63"/>
    <n v="14"/>
    <x v="1475"/>
    <n v="85916"/>
    <x v="0"/>
  </r>
  <r>
    <n v="21981"/>
    <s v="Critical"/>
    <n v="0.01"/>
    <n v="194.3"/>
    <x v="52"/>
    <x v="867"/>
    <x v="1"/>
    <x v="867"/>
    <x v="2"/>
    <x v="2"/>
    <x v="1"/>
    <x v="2"/>
    <x v="6"/>
    <x v="423"/>
    <n v="0.59"/>
    <n v="0.69"/>
    <s v="United States"/>
    <x v="2"/>
    <x v="23"/>
    <x v="679"/>
    <n v="73071"/>
    <x v="99"/>
    <x v="0"/>
    <x v="0"/>
    <d v="2015-01-07T00:00:00"/>
    <n v="690.17939999999999"/>
    <n v="5"/>
    <x v="1476"/>
    <n v="85914"/>
    <x v="0"/>
  </r>
  <r>
    <n v="21982"/>
    <s v="Critical"/>
    <n v="0.02"/>
    <n v="209.84"/>
    <x v="274"/>
    <x v="867"/>
    <x v="1"/>
    <x v="867"/>
    <x v="2"/>
    <x v="2"/>
    <x v="1"/>
    <x v="2"/>
    <x v="6"/>
    <x v="422"/>
    <n v="0.59"/>
    <n v="0.69"/>
    <s v="United States"/>
    <x v="2"/>
    <x v="23"/>
    <x v="679"/>
    <n v="73071"/>
    <x v="99"/>
    <x v="0"/>
    <x v="0"/>
    <d v="2015-01-06T00:00:00"/>
    <n v="1507.6430999999998"/>
    <n v="10"/>
    <x v="1477"/>
    <n v="85914"/>
    <x v="0"/>
  </r>
  <r>
    <n v="21983"/>
    <s v="Critical"/>
    <n v="0"/>
    <n v="145.44999999999999"/>
    <x v="258"/>
    <x v="867"/>
    <x v="1"/>
    <x v="867"/>
    <x v="1"/>
    <x v="2"/>
    <x v="2"/>
    <x v="6"/>
    <x v="1"/>
    <x v="390"/>
    <n v="0.56000000000000005"/>
    <n v="0.67305809267965089"/>
    <s v="United States"/>
    <x v="2"/>
    <x v="23"/>
    <x v="679"/>
    <n v="73071"/>
    <x v="99"/>
    <x v="0"/>
    <x v="0"/>
    <d v="2015-01-07T00:00:00"/>
    <n v="801.74680000000012"/>
    <n v="8"/>
    <x v="1478"/>
    <n v="85914"/>
    <x v="0"/>
  </r>
  <r>
    <n v="22540"/>
    <s v="High"/>
    <n v="7.0000000000000007E-2"/>
    <n v="65.989999999999995"/>
    <x v="165"/>
    <x v="867"/>
    <x v="1"/>
    <x v="867"/>
    <x v="2"/>
    <x v="2"/>
    <x v="2"/>
    <x v="5"/>
    <x v="3"/>
    <x v="788"/>
    <n v="0.57999999999999996"/>
    <n v="-0.83991648059863611"/>
    <s v="United States"/>
    <x v="2"/>
    <x v="23"/>
    <x v="679"/>
    <n v="73071"/>
    <x v="0"/>
    <x v="0"/>
    <x v="0"/>
    <d v="2015-01-08T00:00:00"/>
    <n v="-139.18256"/>
    <n v="3"/>
    <x v="1479"/>
    <n v="85915"/>
    <x v="0"/>
  </r>
  <r>
    <n v="25594"/>
    <s v="Low"/>
    <n v="0.05"/>
    <n v="100.97"/>
    <x v="261"/>
    <x v="868"/>
    <x v="0"/>
    <x v="868"/>
    <x v="0"/>
    <x v="3"/>
    <x v="2"/>
    <x v="13"/>
    <x v="3"/>
    <x v="707"/>
    <n v="0.46"/>
    <n v="0.69"/>
    <s v="United States"/>
    <x v="0"/>
    <x v="44"/>
    <x v="680"/>
    <n v="83704"/>
    <x v="178"/>
    <x v="1"/>
    <x v="0"/>
    <d v="2015-06-08T00:00:00"/>
    <n v="881.46809999999994"/>
    <n v="13"/>
    <x v="1480"/>
    <n v="90951"/>
    <x v="0"/>
  </r>
  <r>
    <n v="21041"/>
    <s v="Not Specified"/>
    <n v="0.05"/>
    <n v="4.9800000000000004"/>
    <x v="243"/>
    <x v="869"/>
    <x v="0"/>
    <x v="869"/>
    <x v="2"/>
    <x v="3"/>
    <x v="0"/>
    <x v="9"/>
    <x v="3"/>
    <x v="509"/>
    <n v="0.39"/>
    <n v="0.27042253521126763"/>
    <s v="United States"/>
    <x v="0"/>
    <x v="27"/>
    <x v="151"/>
    <n v="88201"/>
    <x v="91"/>
    <x v="5"/>
    <x v="0"/>
    <d v="2015-03-19T00:00:00"/>
    <n v="3.84"/>
    <n v="3"/>
    <x v="1481"/>
    <n v="90952"/>
    <x v="0"/>
  </r>
  <r>
    <n v="22438"/>
    <s v="Low"/>
    <n v="0.1"/>
    <n v="10.98"/>
    <x v="196"/>
    <x v="870"/>
    <x v="1"/>
    <x v="870"/>
    <x v="2"/>
    <x v="0"/>
    <x v="0"/>
    <x v="15"/>
    <x v="3"/>
    <x v="555"/>
    <n v="0.57999999999999996"/>
    <n v="-0.40279639915724957"/>
    <s v="United States"/>
    <x v="0"/>
    <x v="1"/>
    <x v="681"/>
    <n v="93309"/>
    <x v="83"/>
    <x v="5"/>
    <x v="0"/>
    <d v="2015-03-24T00:00:00"/>
    <n v="-21.03"/>
    <n v="5"/>
    <x v="1482"/>
    <n v="91386"/>
    <x v="0"/>
  </r>
  <r>
    <n v="22439"/>
    <s v="Low"/>
    <n v="0.01"/>
    <n v="39.979999999999997"/>
    <x v="449"/>
    <x v="870"/>
    <x v="1"/>
    <x v="870"/>
    <x v="2"/>
    <x v="0"/>
    <x v="1"/>
    <x v="2"/>
    <x v="0"/>
    <x v="789"/>
    <n v="0.65"/>
    <n v="0.69"/>
    <s v="United States"/>
    <x v="0"/>
    <x v="1"/>
    <x v="681"/>
    <n v="93309"/>
    <x v="83"/>
    <x v="5"/>
    <x v="0"/>
    <d v="2015-03-19T00:00:00"/>
    <n v="117.52079999999998"/>
    <n v="4"/>
    <x v="1483"/>
    <n v="91386"/>
    <x v="0"/>
  </r>
  <r>
    <n v="18720"/>
    <s v="High"/>
    <n v="0.01"/>
    <n v="39.979999999999997"/>
    <x v="41"/>
    <x v="871"/>
    <x v="0"/>
    <x v="871"/>
    <x v="2"/>
    <x v="0"/>
    <x v="2"/>
    <x v="13"/>
    <x v="3"/>
    <x v="74"/>
    <n v="0.7"/>
    <n v="-0.15154705101087118"/>
    <s v="United States"/>
    <x v="1"/>
    <x v="30"/>
    <x v="608"/>
    <n v="21040"/>
    <x v="164"/>
    <x v="1"/>
    <x v="0"/>
    <d v="2015-06-12T00:00:00"/>
    <n v="-30.808"/>
    <n v="5"/>
    <x v="1484"/>
    <n v="88814"/>
    <x v="0"/>
  </r>
  <r>
    <n v="22904"/>
    <s v="Critical"/>
    <n v="0.05"/>
    <n v="35.99"/>
    <x v="165"/>
    <x v="872"/>
    <x v="0"/>
    <x v="872"/>
    <x v="2"/>
    <x v="0"/>
    <x v="2"/>
    <x v="5"/>
    <x v="0"/>
    <x v="351"/>
    <n v="0.38"/>
    <n v="0.69"/>
    <s v="United States"/>
    <x v="1"/>
    <x v="19"/>
    <x v="682"/>
    <n v="15234"/>
    <x v="82"/>
    <x v="3"/>
    <x v="0"/>
    <d v="2015-05-05T00:00:00"/>
    <n v="524.31719999999996"/>
    <n v="26"/>
    <x v="1485"/>
    <n v="88815"/>
    <x v="0"/>
  </r>
  <r>
    <n v="18949"/>
    <s v="Medium"/>
    <n v="0.06"/>
    <n v="47.9"/>
    <x v="384"/>
    <x v="873"/>
    <x v="0"/>
    <x v="873"/>
    <x v="2"/>
    <x v="3"/>
    <x v="0"/>
    <x v="7"/>
    <x v="3"/>
    <x v="661"/>
    <n v="0.37"/>
    <n v="0.23121019108280255"/>
    <s v="United States"/>
    <x v="0"/>
    <x v="1"/>
    <x v="681"/>
    <n v="93309"/>
    <x v="40"/>
    <x v="3"/>
    <x v="0"/>
    <d v="2015-05-27T00:00:00"/>
    <n v="21.78"/>
    <n v="2"/>
    <x v="1486"/>
    <n v="89361"/>
    <x v="0"/>
  </r>
  <r>
    <n v="25662"/>
    <s v="Not Specified"/>
    <n v="0.05"/>
    <n v="4.9800000000000004"/>
    <x v="107"/>
    <x v="874"/>
    <x v="1"/>
    <x v="874"/>
    <x v="2"/>
    <x v="3"/>
    <x v="2"/>
    <x v="13"/>
    <x v="2"/>
    <x v="139"/>
    <n v="0.64"/>
    <n v="-2.8656759906759905"/>
    <s v="United States"/>
    <x v="2"/>
    <x v="13"/>
    <x v="683"/>
    <n v="67037"/>
    <x v="11"/>
    <x v="2"/>
    <x v="0"/>
    <d v="2015-02-23T00:00:00"/>
    <n v="-98.35"/>
    <n v="7"/>
    <x v="1487"/>
    <n v="89360"/>
    <x v="0"/>
  </r>
  <r>
    <n v="25663"/>
    <s v="Not Specified"/>
    <n v="0.02"/>
    <n v="34.229999999999997"/>
    <x v="312"/>
    <x v="874"/>
    <x v="1"/>
    <x v="874"/>
    <x v="2"/>
    <x v="3"/>
    <x v="1"/>
    <x v="2"/>
    <x v="3"/>
    <x v="492"/>
    <n v="0.55000000000000004"/>
    <n v="0.69"/>
    <s v="United States"/>
    <x v="2"/>
    <x v="13"/>
    <x v="683"/>
    <n v="67037"/>
    <x v="11"/>
    <x v="2"/>
    <x v="0"/>
    <d v="2015-02-24T00:00:00"/>
    <n v="270.79049999999995"/>
    <n v="11"/>
    <x v="1488"/>
    <n v="89360"/>
    <x v="0"/>
  </r>
  <r>
    <n v="19131"/>
    <s v="Medium"/>
    <n v="0.09"/>
    <n v="89.99"/>
    <x v="411"/>
    <x v="875"/>
    <x v="1"/>
    <x v="875"/>
    <x v="1"/>
    <x v="3"/>
    <x v="1"/>
    <x v="1"/>
    <x v="1"/>
    <x v="790"/>
    <n v="0.66"/>
    <n v="0.436999511002445"/>
    <s v="United States"/>
    <x v="3"/>
    <x v="29"/>
    <x v="135"/>
    <n v="30318"/>
    <x v="106"/>
    <x v="4"/>
    <x v="0"/>
    <d v="2015-04-18T00:00:00"/>
    <n v="223.416"/>
    <n v="6"/>
    <x v="1489"/>
    <n v="86063"/>
    <x v="0"/>
  </r>
  <r>
    <n v="22938"/>
    <s v="Critical"/>
    <n v="7.0000000000000007E-2"/>
    <n v="2.94"/>
    <x v="450"/>
    <x v="875"/>
    <x v="1"/>
    <x v="875"/>
    <x v="2"/>
    <x v="0"/>
    <x v="0"/>
    <x v="0"/>
    <x v="0"/>
    <x v="791"/>
    <n v="0.4"/>
    <n v="-3.1434872824631865"/>
    <s v="United States"/>
    <x v="3"/>
    <x v="29"/>
    <x v="135"/>
    <n v="30318"/>
    <x v="4"/>
    <x v="4"/>
    <x v="0"/>
    <d v="2015-04-09T00:00:00"/>
    <n v="-93.927400000000006"/>
    <n v="10"/>
    <x v="1490"/>
    <n v="86064"/>
    <x v="0"/>
  </r>
  <r>
    <n v="19525"/>
    <s v="Critical"/>
    <n v="0.01"/>
    <n v="138.13999999999999"/>
    <x v="97"/>
    <x v="876"/>
    <x v="0"/>
    <x v="876"/>
    <x v="2"/>
    <x v="2"/>
    <x v="0"/>
    <x v="10"/>
    <x v="6"/>
    <x v="792"/>
    <m/>
    <n v="-0.53671769360466093"/>
    <s v="United States"/>
    <x v="1"/>
    <x v="14"/>
    <x v="269"/>
    <n v="4038"/>
    <x v="152"/>
    <x v="2"/>
    <x v="0"/>
    <d v="2015-02-26T00:00:00"/>
    <n v="-321.51"/>
    <n v="4"/>
    <x v="1491"/>
    <n v="86486"/>
    <x v="0"/>
  </r>
  <r>
    <n v="18400"/>
    <s v="High"/>
    <n v="0.04"/>
    <n v="90.24"/>
    <x v="90"/>
    <x v="877"/>
    <x v="1"/>
    <x v="877"/>
    <x v="2"/>
    <x v="1"/>
    <x v="0"/>
    <x v="15"/>
    <x v="3"/>
    <x v="793"/>
    <n v="0.56000000000000005"/>
    <n v="0.69"/>
    <s v="United States"/>
    <x v="1"/>
    <x v="10"/>
    <x v="10"/>
    <n v="44107"/>
    <x v="57"/>
    <x v="4"/>
    <x v="0"/>
    <d v="2015-04-04T00:00:00"/>
    <n v="246.2748"/>
    <n v="4"/>
    <x v="1492"/>
    <n v="87831"/>
    <x v="0"/>
  </r>
  <r>
    <n v="18401"/>
    <s v="High"/>
    <n v="0.09"/>
    <n v="47.9"/>
    <x v="384"/>
    <x v="877"/>
    <x v="1"/>
    <x v="877"/>
    <x v="0"/>
    <x v="1"/>
    <x v="0"/>
    <x v="7"/>
    <x v="3"/>
    <x v="661"/>
    <n v="0.37"/>
    <n v="0.69"/>
    <s v="United States"/>
    <x v="1"/>
    <x v="10"/>
    <x v="10"/>
    <n v="44107"/>
    <x v="57"/>
    <x v="4"/>
    <x v="0"/>
    <d v="2015-04-04T00:00:00"/>
    <n v="93.950399999999988"/>
    <n v="3"/>
    <x v="1493"/>
    <n v="87831"/>
    <x v="0"/>
  </r>
  <r>
    <n v="19294"/>
    <s v="High"/>
    <n v="0.04"/>
    <n v="10.4"/>
    <x v="358"/>
    <x v="878"/>
    <x v="1"/>
    <x v="878"/>
    <x v="2"/>
    <x v="0"/>
    <x v="1"/>
    <x v="2"/>
    <x v="2"/>
    <x v="794"/>
    <n v="0.51"/>
    <n v="0.22931008107694659"/>
    <s v="United States"/>
    <x v="2"/>
    <x v="46"/>
    <x v="684"/>
    <n v="57701"/>
    <x v="145"/>
    <x v="5"/>
    <x v="0"/>
    <d v="2015-03-29T00:00:00"/>
    <n v="29.98"/>
    <n v="12"/>
    <x v="1494"/>
    <n v="87830"/>
    <x v="0"/>
  </r>
  <r>
    <n v="19295"/>
    <s v="High"/>
    <n v="0.08"/>
    <n v="4.28"/>
    <x v="451"/>
    <x v="878"/>
    <x v="1"/>
    <x v="878"/>
    <x v="2"/>
    <x v="0"/>
    <x v="0"/>
    <x v="7"/>
    <x v="3"/>
    <x v="795"/>
    <n v="0.4"/>
    <n v="-2.4303188289552837"/>
    <s v="United States"/>
    <x v="2"/>
    <x v="46"/>
    <x v="684"/>
    <n v="57701"/>
    <x v="145"/>
    <x v="5"/>
    <x v="0"/>
    <d v="2015-03-30T00:00:00"/>
    <n v="-121.2"/>
    <n v="12"/>
    <x v="1495"/>
    <n v="87830"/>
    <x v="0"/>
  </r>
  <r>
    <n v="18870"/>
    <s v="Not Specified"/>
    <n v="0.06"/>
    <n v="3.93"/>
    <x v="90"/>
    <x v="878"/>
    <x v="1"/>
    <x v="878"/>
    <x v="2"/>
    <x v="1"/>
    <x v="0"/>
    <x v="3"/>
    <x v="0"/>
    <x v="796"/>
    <n v="0.39"/>
    <n v="0.4459222497932176"/>
    <s v="United States"/>
    <x v="2"/>
    <x v="46"/>
    <x v="684"/>
    <n v="57701"/>
    <x v="109"/>
    <x v="4"/>
    <x v="0"/>
    <d v="2015-04-23T00:00:00"/>
    <n v="10.782400000000001"/>
    <n v="6"/>
    <x v="1496"/>
    <n v="87832"/>
    <x v="0"/>
  </r>
  <r>
    <n v="5338"/>
    <s v="High"/>
    <n v="0.05"/>
    <n v="165.2"/>
    <x v="3"/>
    <x v="879"/>
    <x v="1"/>
    <x v="879"/>
    <x v="2"/>
    <x v="1"/>
    <x v="0"/>
    <x v="10"/>
    <x v="3"/>
    <x v="191"/>
    <n v="0.59"/>
    <n v="7.2812192456379779E-2"/>
    <s v="United States"/>
    <x v="0"/>
    <x v="1"/>
    <x v="154"/>
    <n v="90049"/>
    <x v="124"/>
    <x v="3"/>
    <x v="0"/>
    <d v="2015-05-29T00:00:00"/>
    <n v="2008.71"/>
    <n v="167"/>
    <x v="1497"/>
    <n v="37924"/>
    <x v="1"/>
  </r>
  <r>
    <n v="5339"/>
    <s v="High"/>
    <n v="0.09"/>
    <n v="17.989999999999998"/>
    <x v="282"/>
    <x v="879"/>
    <x v="1"/>
    <x v="879"/>
    <x v="2"/>
    <x v="1"/>
    <x v="0"/>
    <x v="0"/>
    <x v="3"/>
    <x v="797"/>
    <n v="0.56999999999999995"/>
    <n v="-6.7582537471256657E-2"/>
    <s v="United States"/>
    <x v="0"/>
    <x v="1"/>
    <x v="154"/>
    <n v="90049"/>
    <x v="124"/>
    <x v="3"/>
    <x v="0"/>
    <d v="2015-05-29T00:00:00"/>
    <n v="-80.53"/>
    <n v="71"/>
    <x v="1498"/>
    <n v="37924"/>
    <x v="1"/>
  </r>
  <r>
    <n v="23338"/>
    <s v="High"/>
    <n v="0.05"/>
    <n v="165.2"/>
    <x v="3"/>
    <x v="880"/>
    <x v="0"/>
    <x v="880"/>
    <x v="2"/>
    <x v="1"/>
    <x v="0"/>
    <x v="10"/>
    <x v="3"/>
    <x v="191"/>
    <n v="0.59"/>
    <n v="-7.0563071925098626E-3"/>
    <s v="United States"/>
    <x v="3"/>
    <x v="20"/>
    <x v="678"/>
    <n v="37027"/>
    <x v="124"/>
    <x v="3"/>
    <x v="0"/>
    <d v="2015-05-29T00:00:00"/>
    <n v="-48.957999999999998"/>
    <n v="42"/>
    <x v="1499"/>
    <n v="90551"/>
    <x v="0"/>
  </r>
  <r>
    <n v="18147"/>
    <s v="Critical"/>
    <n v="0.03"/>
    <n v="41.32"/>
    <x v="452"/>
    <x v="881"/>
    <x v="1"/>
    <x v="881"/>
    <x v="0"/>
    <x v="2"/>
    <x v="1"/>
    <x v="2"/>
    <x v="4"/>
    <x v="798"/>
    <n v="0.76"/>
    <n v="-7.8269372957759931E-2"/>
    <s v="United States"/>
    <x v="3"/>
    <x v="8"/>
    <x v="685"/>
    <n v="22601"/>
    <x v="154"/>
    <x v="1"/>
    <x v="0"/>
    <d v="2015-06-17T00:00:00"/>
    <n v="-32.816000000000003"/>
    <n v="10"/>
    <x v="1500"/>
    <n v="86633"/>
    <x v="0"/>
  </r>
  <r>
    <n v="18148"/>
    <s v="Critical"/>
    <n v="0"/>
    <n v="6.88"/>
    <x v="167"/>
    <x v="881"/>
    <x v="1"/>
    <x v="881"/>
    <x v="2"/>
    <x v="2"/>
    <x v="0"/>
    <x v="7"/>
    <x v="0"/>
    <x v="232"/>
    <n v="0.39"/>
    <n v="-0.43361111111111111"/>
    <s v="United States"/>
    <x v="3"/>
    <x v="8"/>
    <x v="685"/>
    <n v="22601"/>
    <x v="154"/>
    <x v="1"/>
    <x v="0"/>
    <d v="2015-06-16T00:00:00"/>
    <n v="-15.61"/>
    <n v="5"/>
    <x v="1501"/>
    <n v="86633"/>
    <x v="0"/>
  </r>
  <r>
    <n v="22848"/>
    <s v="Low"/>
    <n v="0.09"/>
    <n v="8.74"/>
    <x v="49"/>
    <x v="882"/>
    <x v="1"/>
    <x v="882"/>
    <x v="0"/>
    <x v="2"/>
    <x v="0"/>
    <x v="4"/>
    <x v="3"/>
    <x v="526"/>
    <n v="0.38"/>
    <n v="2.0047538200339559"/>
    <s v="United States"/>
    <x v="3"/>
    <x v="26"/>
    <x v="686"/>
    <n v="33952"/>
    <x v="2"/>
    <x v="2"/>
    <x v="0"/>
    <d v="2015-02-20T00:00:00"/>
    <n v="23.616"/>
    <n v="1"/>
    <x v="1502"/>
    <n v="89146"/>
    <x v="0"/>
  </r>
  <r>
    <n v="22849"/>
    <s v="Low"/>
    <n v="0.09"/>
    <n v="18.97"/>
    <x v="191"/>
    <x v="882"/>
    <x v="1"/>
    <x v="882"/>
    <x v="2"/>
    <x v="2"/>
    <x v="0"/>
    <x v="7"/>
    <x v="3"/>
    <x v="273"/>
    <n v="0.37"/>
    <n v="-83.397519083969456"/>
    <s v="United States"/>
    <x v="3"/>
    <x v="26"/>
    <x v="686"/>
    <n v="33952"/>
    <x v="2"/>
    <x v="2"/>
    <x v="0"/>
    <d v="2015-02-20T00:00:00"/>
    <n v="-1748.0119999999999"/>
    <n v="1"/>
    <x v="1503"/>
    <n v="89146"/>
    <x v="0"/>
  </r>
  <r>
    <n v="25649"/>
    <s v="Low"/>
    <n v="7.0000000000000007E-2"/>
    <n v="4.97"/>
    <x v="453"/>
    <x v="882"/>
    <x v="1"/>
    <x v="882"/>
    <x v="2"/>
    <x v="2"/>
    <x v="1"/>
    <x v="2"/>
    <x v="4"/>
    <x v="799"/>
    <n v="0.54"/>
    <n v="-6.7573893473368347"/>
    <s v="United States"/>
    <x v="3"/>
    <x v="26"/>
    <x v="686"/>
    <n v="33952"/>
    <x v="98"/>
    <x v="4"/>
    <x v="0"/>
    <d v="2015-04-15T00:00:00"/>
    <n v="-180.15200000000002"/>
    <n v="5"/>
    <x v="1504"/>
    <n v="89148"/>
    <x v="0"/>
  </r>
  <r>
    <n v="25650"/>
    <s v="Low"/>
    <n v="0.09"/>
    <n v="2.62"/>
    <x v="134"/>
    <x v="882"/>
    <x v="1"/>
    <x v="882"/>
    <x v="2"/>
    <x v="2"/>
    <x v="0"/>
    <x v="3"/>
    <x v="0"/>
    <x v="505"/>
    <n v="0.39"/>
    <n v="0.28385786802030455"/>
    <s v="United States"/>
    <x v="3"/>
    <x v="26"/>
    <x v="686"/>
    <n v="33952"/>
    <x v="98"/>
    <x v="4"/>
    <x v="0"/>
    <d v="2015-04-12T00:00:00"/>
    <n v="8.3879999999999999"/>
    <n v="12"/>
    <x v="1505"/>
    <n v="89148"/>
    <x v="0"/>
  </r>
  <r>
    <n v="25651"/>
    <s v="Low"/>
    <n v="0.03"/>
    <n v="65.989999999999995"/>
    <x v="186"/>
    <x v="882"/>
    <x v="1"/>
    <x v="882"/>
    <x v="2"/>
    <x v="2"/>
    <x v="2"/>
    <x v="5"/>
    <x v="3"/>
    <x v="264"/>
    <n v="0.57999999999999996"/>
    <n v="8.0328915467916574E-3"/>
    <s v="United States"/>
    <x v="3"/>
    <x v="26"/>
    <x v="686"/>
    <n v="33952"/>
    <x v="98"/>
    <x v="4"/>
    <x v="0"/>
    <d v="2015-04-10T00:00:00"/>
    <n v="9.939899999999998"/>
    <n v="21"/>
    <x v="1506"/>
    <n v="89148"/>
    <x v="0"/>
  </r>
  <r>
    <n v="21114"/>
    <s v="High"/>
    <n v="0"/>
    <n v="7.38"/>
    <x v="454"/>
    <x v="883"/>
    <x v="0"/>
    <x v="883"/>
    <x v="2"/>
    <x v="2"/>
    <x v="0"/>
    <x v="8"/>
    <x v="3"/>
    <x v="800"/>
    <n v="0.36"/>
    <n v="-3.7511904761904757"/>
    <s v="United States"/>
    <x v="1"/>
    <x v="4"/>
    <x v="687"/>
    <n v="11803"/>
    <x v="36"/>
    <x v="4"/>
    <x v="0"/>
    <d v="2015-04-05T00:00:00"/>
    <n v="-66.170999999999992"/>
    <n v="2"/>
    <x v="1507"/>
    <n v="89147"/>
    <x v="0"/>
  </r>
  <r>
    <n v="23299"/>
    <s v="Critical"/>
    <n v="0.09"/>
    <n v="3.75"/>
    <x v="28"/>
    <x v="884"/>
    <x v="0"/>
    <x v="884"/>
    <x v="2"/>
    <x v="1"/>
    <x v="0"/>
    <x v="9"/>
    <x v="3"/>
    <x v="801"/>
    <n v="0.37"/>
    <n v="0.69"/>
    <s v="United States"/>
    <x v="1"/>
    <x v="2"/>
    <x v="688"/>
    <n v="7011"/>
    <x v="82"/>
    <x v="3"/>
    <x v="0"/>
    <d v="2015-05-06T00:00:00"/>
    <n v="51.218699999999998"/>
    <n v="21"/>
    <x v="1508"/>
    <n v="90624"/>
    <x v="0"/>
  </r>
  <r>
    <n v="23298"/>
    <s v="Critical"/>
    <n v="0.01"/>
    <n v="30.98"/>
    <x v="438"/>
    <x v="885"/>
    <x v="0"/>
    <x v="885"/>
    <x v="2"/>
    <x v="1"/>
    <x v="0"/>
    <x v="7"/>
    <x v="3"/>
    <x v="768"/>
    <n v="0.4"/>
    <n v="0.60662319233406148"/>
    <s v="United States"/>
    <x v="1"/>
    <x v="9"/>
    <x v="268"/>
    <n v="5201"/>
    <x v="82"/>
    <x v="3"/>
    <x v="0"/>
    <d v="2015-05-04T00:00:00"/>
    <n v="380.46800000000002"/>
    <n v="20"/>
    <x v="1509"/>
    <n v="90624"/>
    <x v="0"/>
  </r>
  <r>
    <n v="18354"/>
    <s v="Critical"/>
    <n v="0.05"/>
    <n v="107.53"/>
    <x v="194"/>
    <x v="886"/>
    <x v="0"/>
    <x v="886"/>
    <x v="2"/>
    <x v="1"/>
    <x v="1"/>
    <x v="2"/>
    <x v="4"/>
    <x v="582"/>
    <n v="0.65"/>
    <n v="-0.14588853357697582"/>
    <s v="United States"/>
    <x v="3"/>
    <x v="43"/>
    <x v="689"/>
    <n v="35401"/>
    <x v="93"/>
    <x v="5"/>
    <x v="0"/>
    <d v="2015-03-06T00:00:00"/>
    <n v="-89.418000000000006"/>
    <n v="6"/>
    <x v="1510"/>
    <n v="87676"/>
    <x v="0"/>
  </r>
  <r>
    <n v="19506"/>
    <s v="Critical"/>
    <n v="0.04"/>
    <n v="1.74"/>
    <x v="48"/>
    <x v="887"/>
    <x v="1"/>
    <x v="887"/>
    <x v="2"/>
    <x v="0"/>
    <x v="1"/>
    <x v="2"/>
    <x v="2"/>
    <x v="60"/>
    <n v="0.53"/>
    <n v="0.31815680880330122"/>
    <s v="United States"/>
    <x v="3"/>
    <x v="43"/>
    <x v="690"/>
    <n v="35216"/>
    <x v="67"/>
    <x v="2"/>
    <x v="0"/>
    <d v="2015-02-25T00:00:00"/>
    <n v="9.2519999999999989"/>
    <n v="16"/>
    <x v="1310"/>
    <n v="87678"/>
    <x v="0"/>
  </r>
  <r>
    <n v="19507"/>
    <s v="Critical"/>
    <n v="0.01"/>
    <n v="119.99"/>
    <x v="80"/>
    <x v="887"/>
    <x v="1"/>
    <x v="887"/>
    <x v="1"/>
    <x v="0"/>
    <x v="2"/>
    <x v="6"/>
    <x v="5"/>
    <x v="102"/>
    <n v="0.39"/>
    <n v="-0.46585304155948265"/>
    <s v="United States"/>
    <x v="3"/>
    <x v="43"/>
    <x v="690"/>
    <n v="35216"/>
    <x v="67"/>
    <x v="2"/>
    <x v="0"/>
    <d v="2015-02-24T00:00:00"/>
    <n v="-1197.0419999999999"/>
    <n v="21"/>
    <x v="1511"/>
    <n v="87678"/>
    <x v="0"/>
  </r>
  <r>
    <n v="21580"/>
    <s v="Critical"/>
    <n v="0.06"/>
    <n v="4.9800000000000004"/>
    <x v="190"/>
    <x v="888"/>
    <x v="1"/>
    <x v="888"/>
    <x v="2"/>
    <x v="0"/>
    <x v="0"/>
    <x v="8"/>
    <x v="3"/>
    <x v="802"/>
    <n v="0.37"/>
    <n v="-1.3067983289023928"/>
    <s v="United States"/>
    <x v="0"/>
    <x v="28"/>
    <x v="691"/>
    <n v="86442"/>
    <x v="55"/>
    <x v="3"/>
    <x v="0"/>
    <d v="2015-05-24T00:00:00"/>
    <n v="-103.224"/>
    <n v="16"/>
    <x v="1512"/>
    <n v="87677"/>
    <x v="0"/>
  </r>
  <r>
    <n v="20983"/>
    <s v="Not Specified"/>
    <n v="0.04"/>
    <n v="70.98"/>
    <x v="455"/>
    <x v="888"/>
    <x v="1"/>
    <x v="888"/>
    <x v="1"/>
    <x v="0"/>
    <x v="1"/>
    <x v="14"/>
    <x v="5"/>
    <x v="803"/>
    <n v="0.6"/>
    <n v="-6.2905606802791877E-2"/>
    <s v="United States"/>
    <x v="0"/>
    <x v="28"/>
    <x v="691"/>
    <n v="86442"/>
    <x v="4"/>
    <x v="4"/>
    <x v="0"/>
    <d v="2015-04-10T00:00:00"/>
    <n v="-84.628799999999998"/>
    <n v="19"/>
    <x v="1513"/>
    <n v="87679"/>
    <x v="0"/>
  </r>
  <r>
    <n v="24151"/>
    <s v="Critical"/>
    <n v="0.06"/>
    <n v="3.6"/>
    <x v="352"/>
    <x v="889"/>
    <x v="1"/>
    <x v="889"/>
    <x v="2"/>
    <x v="3"/>
    <x v="0"/>
    <x v="7"/>
    <x v="0"/>
    <x v="587"/>
    <n v="0.39"/>
    <n v="181.41159973666888"/>
    <s v="United States"/>
    <x v="3"/>
    <x v="26"/>
    <x v="692"/>
    <n v="32503"/>
    <x v="122"/>
    <x v="4"/>
    <x v="0"/>
    <d v="2015-05-02T00:00:00"/>
    <n v="2755.6422000000002"/>
    <n v="4"/>
    <x v="1514"/>
    <n v="91407"/>
    <x v="0"/>
  </r>
  <r>
    <n v="21979"/>
    <s v="Low"/>
    <n v="0.03"/>
    <n v="13.48"/>
    <x v="456"/>
    <x v="889"/>
    <x v="1"/>
    <x v="889"/>
    <x v="0"/>
    <x v="3"/>
    <x v="0"/>
    <x v="10"/>
    <x v="3"/>
    <x v="804"/>
    <n v="0.59"/>
    <n v="-4.3035468145906881"/>
    <s v="United States"/>
    <x v="3"/>
    <x v="26"/>
    <x v="692"/>
    <n v="32503"/>
    <x v="122"/>
    <x v="4"/>
    <x v="0"/>
    <d v="2015-05-04T00:00:00"/>
    <n v="-256.01800000000003"/>
    <n v="4"/>
    <x v="1515"/>
    <n v="91408"/>
    <x v="0"/>
  </r>
  <r>
    <n v="18898"/>
    <s v="Medium"/>
    <n v="7.0000000000000007E-2"/>
    <n v="60.97"/>
    <x v="60"/>
    <x v="890"/>
    <x v="1"/>
    <x v="890"/>
    <x v="2"/>
    <x v="3"/>
    <x v="0"/>
    <x v="15"/>
    <x v="3"/>
    <x v="714"/>
    <n v="0.56000000000000005"/>
    <n v="-0.72216459197786997"/>
    <s v="United States"/>
    <x v="1"/>
    <x v="30"/>
    <x v="693"/>
    <n v="21042"/>
    <x v="5"/>
    <x v="3"/>
    <x v="0"/>
    <d v="2015-05-30T00:00:00"/>
    <n v="-41.77"/>
    <n v="1"/>
    <x v="1516"/>
    <n v="89240"/>
    <x v="0"/>
  </r>
  <r>
    <n v="18899"/>
    <s v="Medium"/>
    <n v="0"/>
    <n v="90.98"/>
    <x v="255"/>
    <x v="890"/>
    <x v="1"/>
    <x v="890"/>
    <x v="2"/>
    <x v="3"/>
    <x v="1"/>
    <x v="2"/>
    <x v="4"/>
    <x v="384"/>
    <n v="0.74"/>
    <n v="-0.71130173737997204"/>
    <s v="United States"/>
    <x v="1"/>
    <x v="30"/>
    <x v="693"/>
    <n v="21042"/>
    <x v="5"/>
    <x v="3"/>
    <x v="0"/>
    <d v="2015-05-30T00:00:00"/>
    <n v="-1014.11"/>
    <n v="15"/>
    <x v="1517"/>
    <n v="89240"/>
    <x v="0"/>
  </r>
  <r>
    <n v="18855"/>
    <s v="Critical"/>
    <n v="7.0000000000000007E-2"/>
    <n v="2.88"/>
    <x v="28"/>
    <x v="891"/>
    <x v="1"/>
    <x v="891"/>
    <x v="2"/>
    <x v="0"/>
    <x v="0"/>
    <x v="9"/>
    <x v="3"/>
    <x v="805"/>
    <n v="0.39"/>
    <n v="0.69"/>
    <s v="United States"/>
    <x v="2"/>
    <x v="22"/>
    <x v="694"/>
    <n v="49001"/>
    <x v="123"/>
    <x v="1"/>
    <x v="0"/>
    <d v="2015-06-24T00:00:00"/>
    <n v="17.429400000000001"/>
    <n v="9"/>
    <x v="1518"/>
    <n v="88701"/>
    <x v="0"/>
  </r>
  <r>
    <n v="18856"/>
    <s v="Critical"/>
    <n v="0.03"/>
    <n v="348.21"/>
    <x v="335"/>
    <x v="891"/>
    <x v="1"/>
    <x v="891"/>
    <x v="1"/>
    <x v="0"/>
    <x v="1"/>
    <x v="11"/>
    <x v="5"/>
    <x v="553"/>
    <n v="0.62"/>
    <n v="-0.24297652684199092"/>
    <s v="United States"/>
    <x v="2"/>
    <x v="22"/>
    <x v="694"/>
    <n v="49001"/>
    <x v="123"/>
    <x v="1"/>
    <x v="0"/>
    <d v="2015-06-22T00:00:00"/>
    <n v="-178.86960000000002"/>
    <n v="2"/>
    <x v="1519"/>
    <n v="88701"/>
    <x v="0"/>
  </r>
  <r>
    <n v="21690"/>
    <s v="Low"/>
    <n v="0.01"/>
    <n v="29.89"/>
    <x v="45"/>
    <x v="892"/>
    <x v="0"/>
    <x v="892"/>
    <x v="2"/>
    <x v="0"/>
    <x v="2"/>
    <x v="13"/>
    <x v="2"/>
    <x v="468"/>
    <n v="0.5"/>
    <n v="-2.3354192740926156"/>
    <s v="United States"/>
    <x v="2"/>
    <x v="22"/>
    <x v="695"/>
    <n v="48911"/>
    <x v="38"/>
    <x v="0"/>
    <x v="0"/>
    <d v="2015-01-16T00:00:00"/>
    <n v="-74.64"/>
    <n v="1"/>
    <x v="1520"/>
    <n v="88702"/>
    <x v="0"/>
  </r>
  <r>
    <n v="21863"/>
    <s v="Critical"/>
    <n v="0.1"/>
    <n v="6.74"/>
    <x v="457"/>
    <x v="893"/>
    <x v="0"/>
    <x v="893"/>
    <x v="2"/>
    <x v="3"/>
    <x v="0"/>
    <x v="7"/>
    <x v="0"/>
    <x v="806"/>
    <n v="0.35"/>
    <n v="0.66629316491799939"/>
    <s v="United States"/>
    <x v="2"/>
    <x v="12"/>
    <x v="695"/>
    <n v="60438"/>
    <x v="151"/>
    <x v="5"/>
    <x v="0"/>
    <d v="2015-03-03T00:00:00"/>
    <n v="65.41"/>
    <n v="15"/>
    <x v="1521"/>
    <n v="89394"/>
    <x v="0"/>
  </r>
  <r>
    <n v="21399"/>
    <s v="Critical"/>
    <n v="0"/>
    <n v="40.479999999999997"/>
    <x v="3"/>
    <x v="894"/>
    <x v="0"/>
    <x v="894"/>
    <x v="2"/>
    <x v="2"/>
    <x v="2"/>
    <x v="13"/>
    <x v="3"/>
    <x v="295"/>
    <n v="0.77"/>
    <n v="-9.6750330250990765E-2"/>
    <s v="United States"/>
    <x v="3"/>
    <x v="29"/>
    <x v="696"/>
    <n v="30721"/>
    <x v="154"/>
    <x v="1"/>
    <x v="0"/>
    <d v="2015-06-17T00:00:00"/>
    <n v="-25.634"/>
    <n v="6"/>
    <x v="1522"/>
    <n v="88766"/>
    <x v="0"/>
  </r>
  <r>
    <n v="19907"/>
    <s v="Critical"/>
    <n v="0.06"/>
    <n v="4.9800000000000004"/>
    <x v="101"/>
    <x v="895"/>
    <x v="1"/>
    <x v="895"/>
    <x v="2"/>
    <x v="1"/>
    <x v="0"/>
    <x v="7"/>
    <x v="3"/>
    <x v="130"/>
    <n v="0.36"/>
    <n v="-0.70591993986092838"/>
    <s v="United States"/>
    <x v="3"/>
    <x v="20"/>
    <x v="697"/>
    <n v="37421"/>
    <x v="90"/>
    <x v="3"/>
    <x v="0"/>
    <d v="2015-05-02T00:00:00"/>
    <n v="-37.561999999999998"/>
    <n v="10"/>
    <x v="1523"/>
    <n v="88959"/>
    <x v="0"/>
  </r>
  <r>
    <n v="19908"/>
    <s v="Critical"/>
    <n v="0.01"/>
    <n v="6.48"/>
    <x v="178"/>
    <x v="895"/>
    <x v="1"/>
    <x v="895"/>
    <x v="2"/>
    <x v="1"/>
    <x v="0"/>
    <x v="7"/>
    <x v="3"/>
    <x v="251"/>
    <n v="0.37"/>
    <n v="-3.66200325732899"/>
    <s v="United States"/>
    <x v="3"/>
    <x v="20"/>
    <x v="697"/>
    <n v="37421"/>
    <x v="90"/>
    <x v="3"/>
    <x v="0"/>
    <d v="2015-05-03T00:00:00"/>
    <n v="-449.69399999999996"/>
    <n v="18"/>
    <x v="1524"/>
    <n v="88959"/>
    <x v="0"/>
  </r>
  <r>
    <n v="22612"/>
    <s v="Not Specified"/>
    <n v="0.05"/>
    <n v="28.15"/>
    <x v="437"/>
    <x v="896"/>
    <x v="0"/>
    <x v="896"/>
    <x v="2"/>
    <x v="1"/>
    <x v="0"/>
    <x v="0"/>
    <x v="2"/>
    <x v="765"/>
    <n v="0.55000000000000004"/>
    <n v="-0.23460585027268221"/>
    <s v="United States"/>
    <x v="3"/>
    <x v="20"/>
    <x v="698"/>
    <n v="37042"/>
    <x v="60"/>
    <x v="0"/>
    <x v="0"/>
    <d v="2015-01-18T00:00:00"/>
    <n v="-66.248000000000005"/>
    <n v="10"/>
    <x v="1525"/>
    <n v="88958"/>
    <x v="0"/>
  </r>
  <r>
    <n v="21422"/>
    <s v="Low"/>
    <n v="0.08"/>
    <n v="230.98"/>
    <x v="201"/>
    <x v="897"/>
    <x v="0"/>
    <x v="897"/>
    <x v="1"/>
    <x v="3"/>
    <x v="1"/>
    <x v="11"/>
    <x v="5"/>
    <x v="292"/>
    <n v="0.6"/>
    <n v="0.54248486159169551"/>
    <s v="United States"/>
    <x v="0"/>
    <x v="0"/>
    <x v="130"/>
    <n v="98226"/>
    <x v="127"/>
    <x v="5"/>
    <x v="0"/>
    <d v="2015-03-10T00:00:00"/>
    <n v="501.69"/>
    <n v="4"/>
    <x v="1526"/>
    <n v="88114"/>
    <x v="0"/>
  </r>
  <r>
    <n v="19819"/>
    <s v="Not Specified"/>
    <n v="0.05"/>
    <n v="100.98"/>
    <x v="261"/>
    <x v="898"/>
    <x v="1"/>
    <x v="898"/>
    <x v="2"/>
    <x v="2"/>
    <x v="2"/>
    <x v="13"/>
    <x v="3"/>
    <x v="751"/>
    <n v="0.4"/>
    <n v="0.69"/>
    <s v="United States"/>
    <x v="1"/>
    <x v="9"/>
    <x v="174"/>
    <n v="5701"/>
    <x v="126"/>
    <x v="4"/>
    <x v="0"/>
    <d v="2015-04-24T00:00:00"/>
    <n v="566.6072999999999"/>
    <n v="8"/>
    <x v="1527"/>
    <n v="89018"/>
    <x v="0"/>
  </r>
  <r>
    <n v="18790"/>
    <s v="Medium"/>
    <n v="0.03"/>
    <n v="15.31"/>
    <x v="174"/>
    <x v="898"/>
    <x v="1"/>
    <x v="898"/>
    <x v="2"/>
    <x v="2"/>
    <x v="0"/>
    <x v="10"/>
    <x v="3"/>
    <x v="657"/>
    <n v="0.56999999999999995"/>
    <n v="-0.29657873042044519"/>
    <s v="United States"/>
    <x v="1"/>
    <x v="9"/>
    <x v="174"/>
    <n v="5701"/>
    <x v="144"/>
    <x v="1"/>
    <x v="0"/>
    <d v="2015-06-02T00:00:00"/>
    <n v="-57.56"/>
    <n v="12"/>
    <x v="1528"/>
    <n v="89019"/>
    <x v="0"/>
  </r>
  <r>
    <n v="24278"/>
    <s v="Critical"/>
    <n v="0.02"/>
    <n v="33.979999999999997"/>
    <x v="45"/>
    <x v="899"/>
    <x v="0"/>
    <x v="899"/>
    <x v="2"/>
    <x v="2"/>
    <x v="2"/>
    <x v="13"/>
    <x v="2"/>
    <x v="807"/>
    <n v="0.45"/>
    <n v="0.69"/>
    <s v="United States"/>
    <x v="1"/>
    <x v="9"/>
    <x v="186"/>
    <n v="5403"/>
    <x v="53"/>
    <x v="4"/>
    <x v="0"/>
    <d v="2015-04-15T00:00:00"/>
    <n v="164.06129999999999"/>
    <n v="7"/>
    <x v="1529"/>
    <n v="89017"/>
    <x v="0"/>
  </r>
  <r>
    <n v="19987"/>
    <s v="Low"/>
    <n v="0.01"/>
    <n v="35.99"/>
    <x v="165"/>
    <x v="900"/>
    <x v="0"/>
    <x v="900"/>
    <x v="2"/>
    <x v="2"/>
    <x v="2"/>
    <x v="5"/>
    <x v="0"/>
    <x v="351"/>
    <n v="0.38"/>
    <n v="0.69"/>
    <s v="United States"/>
    <x v="0"/>
    <x v="44"/>
    <x v="699"/>
    <n v="83605"/>
    <x v="14"/>
    <x v="5"/>
    <x v="0"/>
    <d v="2015-03-19T00:00:00"/>
    <n v="218.23319999999995"/>
    <n v="10"/>
    <x v="1530"/>
    <n v="89481"/>
    <x v="0"/>
  </r>
  <r>
    <n v="21323"/>
    <s v="Medium"/>
    <n v="0.01"/>
    <n v="220.98"/>
    <x v="458"/>
    <x v="901"/>
    <x v="0"/>
    <x v="901"/>
    <x v="1"/>
    <x v="0"/>
    <x v="1"/>
    <x v="14"/>
    <x v="5"/>
    <x v="808"/>
    <n v="0.62"/>
    <n v="0.40486050272279228"/>
    <s v="United States"/>
    <x v="0"/>
    <x v="28"/>
    <x v="700"/>
    <n v="85224"/>
    <x v="103"/>
    <x v="5"/>
    <x v="0"/>
    <d v="2015-03-19T00:00:00"/>
    <n v="1049.03"/>
    <n v="11"/>
    <x v="1531"/>
    <n v="86184"/>
    <x v="0"/>
  </r>
  <r>
    <n v="4949"/>
    <s v="Medium"/>
    <n v="0.08"/>
    <n v="9.98"/>
    <x v="459"/>
    <x v="902"/>
    <x v="1"/>
    <x v="902"/>
    <x v="2"/>
    <x v="0"/>
    <x v="1"/>
    <x v="2"/>
    <x v="3"/>
    <x v="809"/>
    <n v="0.56999999999999995"/>
    <n v="-0.68510383386581475"/>
    <s v="United States"/>
    <x v="1"/>
    <x v="4"/>
    <x v="8"/>
    <n v="10115"/>
    <x v="64"/>
    <x v="2"/>
    <x v="0"/>
    <d v="2015-02-07T00:00:00"/>
    <n v="-102.93"/>
    <n v="15"/>
    <x v="1532"/>
    <n v="35200"/>
    <x v="0"/>
  </r>
  <r>
    <n v="3323"/>
    <s v="Medium"/>
    <n v="0.01"/>
    <n v="220.98"/>
    <x v="458"/>
    <x v="902"/>
    <x v="1"/>
    <x v="902"/>
    <x v="1"/>
    <x v="0"/>
    <x v="1"/>
    <x v="14"/>
    <x v="5"/>
    <x v="808"/>
    <n v="0.62"/>
    <n v="0.10121512568069807"/>
    <s v="United States"/>
    <x v="1"/>
    <x v="4"/>
    <x v="8"/>
    <n v="10115"/>
    <x v="103"/>
    <x v="5"/>
    <x v="0"/>
    <d v="2015-03-19T00:00:00"/>
    <n v="1049.03"/>
    <n v="44"/>
    <x v="1533"/>
    <n v="23751"/>
    <x v="0"/>
  </r>
  <r>
    <n v="23271"/>
    <s v="Critical"/>
    <n v="0.02"/>
    <n v="161.55000000000001"/>
    <x v="3"/>
    <x v="903"/>
    <x v="0"/>
    <x v="903"/>
    <x v="2"/>
    <x v="2"/>
    <x v="0"/>
    <x v="10"/>
    <x v="3"/>
    <x v="40"/>
    <n v="0.66"/>
    <n v="1.0105047064369459"/>
    <s v="United States"/>
    <x v="3"/>
    <x v="8"/>
    <x v="701"/>
    <n v="22980"/>
    <x v="129"/>
    <x v="5"/>
    <x v="0"/>
    <d v="2015-03-08T00:00:00"/>
    <n v="664.51800000000003"/>
    <n v="4"/>
    <x v="1534"/>
    <n v="91424"/>
    <x v="0"/>
  </r>
  <r>
    <n v="21630"/>
    <s v="Medium"/>
    <n v="0.08"/>
    <n v="22.01"/>
    <x v="73"/>
    <x v="904"/>
    <x v="0"/>
    <x v="904"/>
    <x v="2"/>
    <x v="0"/>
    <x v="0"/>
    <x v="0"/>
    <x v="2"/>
    <x v="694"/>
    <n v="0.59"/>
    <n v="0.43683101210893915"/>
    <s v="United States"/>
    <x v="1"/>
    <x v="18"/>
    <x v="702"/>
    <n v="6708"/>
    <x v="126"/>
    <x v="4"/>
    <x v="0"/>
    <d v="2015-04-24T00:00:00"/>
    <n v="105.7"/>
    <n v="11"/>
    <x v="1535"/>
    <n v="90724"/>
    <x v="0"/>
  </r>
  <r>
    <n v="21629"/>
    <s v="Medium"/>
    <n v="0.02"/>
    <n v="29.74"/>
    <x v="460"/>
    <x v="905"/>
    <x v="0"/>
    <x v="905"/>
    <x v="2"/>
    <x v="0"/>
    <x v="0"/>
    <x v="10"/>
    <x v="3"/>
    <x v="810"/>
    <n v="0.7"/>
    <n v="-0.17432331760615841"/>
    <s v="United States"/>
    <x v="1"/>
    <x v="2"/>
    <x v="671"/>
    <n v="7601"/>
    <x v="126"/>
    <x v="4"/>
    <x v="0"/>
    <d v="2015-04-22T00:00:00"/>
    <n v="-21.06"/>
    <n v="4"/>
    <x v="1536"/>
    <n v="90724"/>
    <x v="0"/>
  </r>
  <r>
    <n v="26156"/>
    <s v="Low"/>
    <n v="0.03"/>
    <n v="5.85"/>
    <x v="66"/>
    <x v="906"/>
    <x v="0"/>
    <x v="906"/>
    <x v="2"/>
    <x v="0"/>
    <x v="0"/>
    <x v="0"/>
    <x v="0"/>
    <x v="811"/>
    <n v="0.56000000000000005"/>
    <n v="-0.12270531400966184"/>
    <s v="United States"/>
    <x v="1"/>
    <x v="2"/>
    <x v="703"/>
    <n v="8021"/>
    <x v="5"/>
    <x v="3"/>
    <x v="0"/>
    <d v="2015-05-30T00:00:00"/>
    <n v="-5.08"/>
    <n v="7"/>
    <x v="1537"/>
    <n v="90725"/>
    <x v="0"/>
  </r>
  <r>
    <n v="23342"/>
    <s v="Critical"/>
    <n v="0.02"/>
    <n v="11.55"/>
    <x v="77"/>
    <x v="907"/>
    <x v="0"/>
    <x v="907"/>
    <x v="2"/>
    <x v="0"/>
    <x v="0"/>
    <x v="0"/>
    <x v="0"/>
    <x v="99"/>
    <n v="0.55000000000000004"/>
    <n v="8.0823794897511423"/>
    <s v="United States"/>
    <x v="3"/>
    <x v="29"/>
    <x v="704"/>
    <n v="30338"/>
    <x v="129"/>
    <x v="5"/>
    <x v="0"/>
    <d v="2015-03-10T00:00:00"/>
    <n v="1289.3819999999998"/>
    <n v="14"/>
    <x v="1538"/>
    <n v="88975"/>
    <x v="0"/>
  </r>
  <r>
    <n v="26157"/>
    <s v="High"/>
    <n v="7.0000000000000007E-2"/>
    <n v="177.98"/>
    <x v="90"/>
    <x v="908"/>
    <x v="0"/>
    <x v="908"/>
    <x v="2"/>
    <x v="0"/>
    <x v="0"/>
    <x v="15"/>
    <x v="3"/>
    <x v="529"/>
    <n v="0.56000000000000005"/>
    <n v="-0.35717242536687244"/>
    <s v="United States"/>
    <x v="3"/>
    <x v="29"/>
    <x v="705"/>
    <n v="30344"/>
    <x v="1"/>
    <x v="1"/>
    <x v="0"/>
    <d v="2015-06-13T00:00:00"/>
    <n v="-191.548"/>
    <n v="3"/>
    <x v="1539"/>
    <n v="88974"/>
    <x v="0"/>
  </r>
  <r>
    <n v="24523"/>
    <s v="Not Specified"/>
    <n v="0.1"/>
    <n v="5.18"/>
    <x v="214"/>
    <x v="909"/>
    <x v="0"/>
    <x v="909"/>
    <x v="2"/>
    <x v="0"/>
    <x v="0"/>
    <x v="8"/>
    <x v="3"/>
    <x v="314"/>
    <n v="0.36"/>
    <n v="-2.646259124087591"/>
    <s v="United States"/>
    <x v="0"/>
    <x v="1"/>
    <x v="281"/>
    <n v="94568"/>
    <x v="173"/>
    <x v="5"/>
    <x v="0"/>
    <d v="2015-03-28T00:00:00"/>
    <n v="-29.003"/>
    <n v="2"/>
    <x v="1540"/>
    <n v="91584"/>
    <x v="0"/>
  </r>
  <r>
    <n v="20956"/>
    <s v="Low"/>
    <n v="7.0000000000000007E-2"/>
    <n v="574.74"/>
    <x v="65"/>
    <x v="910"/>
    <x v="0"/>
    <x v="910"/>
    <x v="2"/>
    <x v="3"/>
    <x v="2"/>
    <x v="6"/>
    <x v="6"/>
    <x v="81"/>
    <n v="0.37"/>
    <n v="0.69"/>
    <s v="United States"/>
    <x v="2"/>
    <x v="12"/>
    <x v="706"/>
    <n v="60131"/>
    <x v="111"/>
    <x v="0"/>
    <x v="0"/>
    <d v="2015-02-04T00:00:00"/>
    <n v="2860.9331999999995"/>
    <n v="8"/>
    <x v="1541"/>
    <n v="91229"/>
    <x v="0"/>
  </r>
  <r>
    <n v="24122"/>
    <s v="Critical"/>
    <n v="0.03"/>
    <n v="350.98"/>
    <x v="40"/>
    <x v="911"/>
    <x v="1"/>
    <x v="911"/>
    <x v="1"/>
    <x v="3"/>
    <x v="1"/>
    <x v="1"/>
    <x v="1"/>
    <x v="309"/>
    <n v="0.61"/>
    <n v="0.69"/>
    <s v="United States"/>
    <x v="1"/>
    <x v="30"/>
    <x v="707"/>
    <n v="20877"/>
    <x v="38"/>
    <x v="0"/>
    <x v="0"/>
    <d v="2015-01-15T00:00:00"/>
    <n v="2692.4420999999998"/>
    <n v="11"/>
    <x v="1542"/>
    <n v="91228"/>
    <x v="0"/>
  </r>
  <r>
    <n v="24123"/>
    <s v="Critical"/>
    <n v="0.04"/>
    <n v="1.68"/>
    <x v="332"/>
    <x v="911"/>
    <x v="1"/>
    <x v="911"/>
    <x v="2"/>
    <x v="3"/>
    <x v="0"/>
    <x v="0"/>
    <x v="0"/>
    <x v="812"/>
    <n v="0.35"/>
    <n v="0.14578279266572639"/>
    <s v="United States"/>
    <x v="1"/>
    <x v="30"/>
    <x v="707"/>
    <n v="20877"/>
    <x v="38"/>
    <x v="0"/>
    <x v="0"/>
    <d v="2015-01-14T00:00:00"/>
    <n v="2.0672000000000001"/>
    <n v="8"/>
    <x v="1543"/>
    <n v="91228"/>
    <x v="0"/>
  </r>
  <r>
    <n v="20097"/>
    <s v="High"/>
    <n v="0.05"/>
    <n v="205.99"/>
    <x v="20"/>
    <x v="912"/>
    <x v="1"/>
    <x v="912"/>
    <x v="0"/>
    <x v="3"/>
    <x v="2"/>
    <x v="5"/>
    <x v="3"/>
    <x v="813"/>
    <n v="0.57999999999999996"/>
    <n v="5.2408222785383603E-2"/>
    <s v="United States"/>
    <x v="3"/>
    <x v="24"/>
    <x v="249"/>
    <n v="28403"/>
    <x v="143"/>
    <x v="2"/>
    <x v="0"/>
    <d v="2015-02-12T00:00:00"/>
    <n v="111.05249999999999"/>
    <n v="12"/>
    <x v="1544"/>
    <n v="87160"/>
    <x v="0"/>
  </r>
  <r>
    <n v="20098"/>
    <s v="High"/>
    <n v="0.08"/>
    <n v="205.99"/>
    <x v="20"/>
    <x v="912"/>
    <x v="1"/>
    <x v="912"/>
    <x v="2"/>
    <x v="3"/>
    <x v="2"/>
    <x v="5"/>
    <x v="3"/>
    <x v="20"/>
    <n v="0.56000000000000005"/>
    <n v="-2.3443866099995225"/>
    <s v="United States"/>
    <x v="3"/>
    <x v="24"/>
    <x v="249"/>
    <n v="28403"/>
    <x v="143"/>
    <x v="2"/>
    <x v="0"/>
    <d v="2015-02-12T00:00:00"/>
    <n v="-1963.752"/>
    <n v="5"/>
    <x v="1545"/>
    <n v="87160"/>
    <x v="0"/>
  </r>
  <r>
    <n v="21707"/>
    <s v="Critical"/>
    <n v="0.01"/>
    <n v="35.99"/>
    <x v="165"/>
    <x v="913"/>
    <x v="0"/>
    <x v="913"/>
    <x v="2"/>
    <x v="0"/>
    <x v="2"/>
    <x v="5"/>
    <x v="0"/>
    <x v="351"/>
    <n v="0.38"/>
    <n v="-0.17591792969542414"/>
    <s v="United States"/>
    <x v="3"/>
    <x v="24"/>
    <x v="708"/>
    <n v="27893"/>
    <x v="164"/>
    <x v="1"/>
    <x v="0"/>
    <d v="2015-06-12T00:00:00"/>
    <n v="-60.704000000000001"/>
    <n v="11"/>
    <x v="1546"/>
    <n v="87161"/>
    <x v="0"/>
  </r>
  <r>
    <n v="22095"/>
    <s v="Low"/>
    <n v="0.09"/>
    <n v="2.16"/>
    <x v="162"/>
    <x v="914"/>
    <x v="1"/>
    <x v="914"/>
    <x v="2"/>
    <x v="3"/>
    <x v="0"/>
    <x v="8"/>
    <x v="3"/>
    <x v="542"/>
    <n v="0.37"/>
    <n v="-6.8958029197080286"/>
    <s v="United States"/>
    <x v="0"/>
    <x v="6"/>
    <x v="709"/>
    <n v="97071"/>
    <x v="70"/>
    <x v="0"/>
    <x v="0"/>
    <d v="2015-02-04T00:00:00"/>
    <n v="-37.789000000000001"/>
    <n v="2"/>
    <x v="1547"/>
    <n v="87162"/>
    <x v="0"/>
  </r>
  <r>
    <n v="22096"/>
    <s v="Low"/>
    <n v="0.03"/>
    <n v="808.49"/>
    <x v="461"/>
    <x v="914"/>
    <x v="1"/>
    <x v="914"/>
    <x v="1"/>
    <x v="3"/>
    <x v="2"/>
    <x v="6"/>
    <x v="1"/>
    <x v="814"/>
    <n v="0.4"/>
    <n v="0.92376602331573043"/>
    <s v="United States"/>
    <x v="0"/>
    <x v="6"/>
    <x v="709"/>
    <n v="97071"/>
    <x v="70"/>
    <x v="0"/>
    <x v="0"/>
    <d v="2015-02-07T00:00:00"/>
    <n v="7576.11"/>
    <n v="11"/>
    <x v="1548"/>
    <n v="87162"/>
    <x v="0"/>
  </r>
  <r>
    <n v="22097"/>
    <s v="Low"/>
    <n v="0"/>
    <n v="6.48"/>
    <x v="462"/>
    <x v="914"/>
    <x v="1"/>
    <x v="914"/>
    <x v="2"/>
    <x v="3"/>
    <x v="0"/>
    <x v="7"/>
    <x v="3"/>
    <x v="815"/>
    <n v="0.37"/>
    <n v="-1.9082487869430964"/>
    <s v="United States"/>
    <x v="0"/>
    <x v="6"/>
    <x v="709"/>
    <n v="97071"/>
    <x v="70"/>
    <x v="0"/>
    <x v="0"/>
    <d v="2015-02-07T00:00:00"/>
    <n v="-43.26"/>
    <n v="3"/>
    <x v="1549"/>
    <n v="87162"/>
    <x v="0"/>
  </r>
  <r>
    <n v="21587"/>
    <s v="Not Specified"/>
    <n v="0.01"/>
    <n v="47.98"/>
    <x v="241"/>
    <x v="915"/>
    <x v="0"/>
    <x v="915"/>
    <x v="0"/>
    <x v="3"/>
    <x v="2"/>
    <x v="13"/>
    <x v="2"/>
    <x v="367"/>
    <n v="0.71"/>
    <n v="-0.11278745113965176"/>
    <s v="United States"/>
    <x v="3"/>
    <x v="11"/>
    <x v="710"/>
    <n v="70003"/>
    <x v="14"/>
    <x v="5"/>
    <x v="0"/>
    <d v="2015-03-13T00:00:00"/>
    <n v="-44.436"/>
    <n v="8"/>
    <x v="1550"/>
    <n v="91316"/>
    <x v="0"/>
  </r>
  <r>
    <n v="19860"/>
    <s v="Critical"/>
    <n v="0.09"/>
    <n v="2.88"/>
    <x v="22"/>
    <x v="916"/>
    <x v="0"/>
    <x v="916"/>
    <x v="2"/>
    <x v="0"/>
    <x v="0"/>
    <x v="0"/>
    <x v="0"/>
    <x v="816"/>
    <n v="0.56000000000000005"/>
    <n v="0.25142560912389839"/>
    <s v="United States"/>
    <x v="2"/>
    <x v="22"/>
    <x v="711"/>
    <n v="48071"/>
    <x v="43"/>
    <x v="0"/>
    <x v="0"/>
    <d v="2015-01-15T00:00:00"/>
    <n v="4.8499999999999996"/>
    <n v="7"/>
    <x v="1551"/>
    <n v="88758"/>
    <x v="0"/>
  </r>
  <r>
    <n v="18361"/>
    <s v="Medium"/>
    <n v="0.06"/>
    <n v="2.61"/>
    <x v="28"/>
    <x v="917"/>
    <x v="1"/>
    <x v="917"/>
    <x v="2"/>
    <x v="0"/>
    <x v="0"/>
    <x v="9"/>
    <x v="3"/>
    <x v="317"/>
    <n v="0.39"/>
    <n v="0.69"/>
    <s v="United States"/>
    <x v="2"/>
    <x v="25"/>
    <x v="712"/>
    <n v="50158"/>
    <x v="80"/>
    <x v="5"/>
    <x v="0"/>
    <d v="2015-03-22T00:00:00"/>
    <n v="3.5948999999999995"/>
    <n v="2"/>
    <x v="1552"/>
    <n v="87554"/>
    <x v="0"/>
  </r>
  <r>
    <n v="18895"/>
    <s v="High"/>
    <n v="7.0000000000000007E-2"/>
    <n v="4.76"/>
    <x v="463"/>
    <x v="917"/>
    <x v="1"/>
    <x v="917"/>
    <x v="2"/>
    <x v="0"/>
    <x v="0"/>
    <x v="7"/>
    <x v="0"/>
    <x v="817"/>
    <n v="0.39"/>
    <n v="0.69"/>
    <s v="United States"/>
    <x v="2"/>
    <x v="25"/>
    <x v="712"/>
    <n v="50158"/>
    <x v="31"/>
    <x v="1"/>
    <x v="0"/>
    <d v="2015-06-07T00:00:00"/>
    <n v="15.8148"/>
    <n v="5"/>
    <x v="1553"/>
    <n v="87555"/>
    <x v="0"/>
  </r>
  <r>
    <n v="19486"/>
    <s v="Low"/>
    <n v="0.04"/>
    <n v="3.57"/>
    <x v="464"/>
    <x v="918"/>
    <x v="1"/>
    <x v="918"/>
    <x v="2"/>
    <x v="0"/>
    <x v="0"/>
    <x v="0"/>
    <x v="2"/>
    <x v="818"/>
    <n v="0.59"/>
    <n v="-2.2624595469255664"/>
    <s v="United States"/>
    <x v="2"/>
    <x v="25"/>
    <x v="713"/>
    <n v="50401"/>
    <x v="161"/>
    <x v="0"/>
    <x v="0"/>
    <d v="2015-01-28T00:00:00"/>
    <n v="-69.91"/>
    <n v="8"/>
    <x v="1554"/>
    <n v="87556"/>
    <x v="0"/>
  </r>
  <r>
    <n v="19487"/>
    <s v="Low"/>
    <n v="0.05"/>
    <n v="200.99"/>
    <x v="5"/>
    <x v="918"/>
    <x v="1"/>
    <x v="918"/>
    <x v="2"/>
    <x v="0"/>
    <x v="2"/>
    <x v="5"/>
    <x v="3"/>
    <x v="186"/>
    <n v="0.59"/>
    <n v="0.69"/>
    <s v="United States"/>
    <x v="2"/>
    <x v="25"/>
    <x v="713"/>
    <n v="50401"/>
    <x v="161"/>
    <x v="0"/>
    <x v="0"/>
    <d v="2015-01-30T00:00:00"/>
    <n v="1630.5251999999998"/>
    <n v="14"/>
    <x v="1555"/>
    <n v="87556"/>
    <x v="0"/>
  </r>
  <r>
    <n v="19488"/>
    <s v="Low"/>
    <n v="7.0000000000000007E-2"/>
    <n v="195.99"/>
    <x v="20"/>
    <x v="918"/>
    <x v="1"/>
    <x v="918"/>
    <x v="2"/>
    <x v="0"/>
    <x v="2"/>
    <x v="5"/>
    <x v="3"/>
    <x v="819"/>
    <n v="0.57999999999999996"/>
    <n v="-1.391870908814127"/>
    <s v="United States"/>
    <x v="2"/>
    <x v="25"/>
    <x v="713"/>
    <n v="50401"/>
    <x v="161"/>
    <x v="0"/>
    <x v="0"/>
    <d v="2015-01-26T00:00:00"/>
    <n v="-457.16"/>
    <n v="2"/>
    <x v="1556"/>
    <n v="87556"/>
    <x v="0"/>
  </r>
  <r>
    <n v="23351"/>
    <s v="Medium"/>
    <n v="0.02"/>
    <n v="30.44"/>
    <x v="25"/>
    <x v="919"/>
    <x v="0"/>
    <x v="919"/>
    <x v="2"/>
    <x v="0"/>
    <x v="0"/>
    <x v="8"/>
    <x v="3"/>
    <x v="820"/>
    <n v="0.37"/>
    <n v="0.69"/>
    <s v="United States"/>
    <x v="2"/>
    <x v="25"/>
    <x v="714"/>
    <n v="51106"/>
    <x v="72"/>
    <x v="0"/>
    <x v="0"/>
    <d v="2015-01-23T00:00:00"/>
    <n v="266.76089999999999"/>
    <n v="12"/>
    <x v="1557"/>
    <n v="87553"/>
    <x v="0"/>
  </r>
  <r>
    <n v="22787"/>
    <s v="Medium"/>
    <n v="0"/>
    <n v="5.0199999999999996"/>
    <x v="209"/>
    <x v="920"/>
    <x v="1"/>
    <x v="920"/>
    <x v="2"/>
    <x v="3"/>
    <x v="2"/>
    <x v="13"/>
    <x v="2"/>
    <x v="301"/>
    <n v="0.79"/>
    <n v="-3.625461993627674"/>
    <s v="United States"/>
    <x v="1"/>
    <x v="19"/>
    <x v="715"/>
    <n v="15122"/>
    <x v="56"/>
    <x v="0"/>
    <x v="0"/>
    <d v="2015-01-11T00:00:00"/>
    <n v="-159.30279999999999"/>
    <n v="8"/>
    <x v="1558"/>
    <n v="87552"/>
    <x v="0"/>
  </r>
  <r>
    <n v="23350"/>
    <s v="Medium"/>
    <n v="0.02"/>
    <n v="4.91"/>
    <x v="28"/>
    <x v="920"/>
    <x v="1"/>
    <x v="920"/>
    <x v="2"/>
    <x v="0"/>
    <x v="0"/>
    <x v="9"/>
    <x v="3"/>
    <x v="550"/>
    <n v="0.36"/>
    <n v="0.69"/>
    <s v="United States"/>
    <x v="1"/>
    <x v="19"/>
    <x v="715"/>
    <n v="15122"/>
    <x v="72"/>
    <x v="0"/>
    <x v="0"/>
    <d v="2015-01-22T00:00:00"/>
    <n v="29.883900000000001"/>
    <n v="9"/>
    <x v="1559"/>
    <n v="87553"/>
    <x v="0"/>
  </r>
  <r>
    <n v="20618"/>
    <s v="Low"/>
    <n v="0"/>
    <n v="17.52"/>
    <x v="465"/>
    <x v="921"/>
    <x v="0"/>
    <x v="921"/>
    <x v="2"/>
    <x v="1"/>
    <x v="0"/>
    <x v="15"/>
    <x v="4"/>
    <x v="821"/>
    <n v="0.5"/>
    <n v="0.18556657522684111"/>
    <s v="United States"/>
    <x v="0"/>
    <x v="28"/>
    <x v="700"/>
    <n v="85224"/>
    <x v="162"/>
    <x v="1"/>
    <x v="0"/>
    <d v="2015-07-03T00:00:00"/>
    <n v="52.763999999999996"/>
    <n v="15"/>
    <x v="1560"/>
    <n v="91049"/>
    <x v="0"/>
  </r>
  <r>
    <n v="18070"/>
    <s v="Medium"/>
    <n v="7.0000000000000007E-2"/>
    <n v="500.98"/>
    <x v="466"/>
    <x v="922"/>
    <x v="1"/>
    <x v="922"/>
    <x v="1"/>
    <x v="2"/>
    <x v="2"/>
    <x v="6"/>
    <x v="1"/>
    <x v="822"/>
    <n v="0.38"/>
    <n v="0.69"/>
    <s v="United States"/>
    <x v="0"/>
    <x v="1"/>
    <x v="716"/>
    <n v="90022"/>
    <x v="64"/>
    <x v="2"/>
    <x v="0"/>
    <d v="2015-02-06T00:00:00"/>
    <n v="2699.9838"/>
    <n v="10"/>
    <x v="1561"/>
    <n v="86227"/>
    <x v="0"/>
  </r>
  <r>
    <n v="18071"/>
    <s v="Medium"/>
    <n v="0.1"/>
    <n v="178.47"/>
    <x v="3"/>
    <x v="922"/>
    <x v="1"/>
    <x v="922"/>
    <x v="2"/>
    <x v="2"/>
    <x v="0"/>
    <x v="10"/>
    <x v="3"/>
    <x v="179"/>
    <n v="0.55000000000000004"/>
    <n v="-0.94915066059731323"/>
    <s v="United States"/>
    <x v="0"/>
    <x v="1"/>
    <x v="716"/>
    <n v="90022"/>
    <x v="64"/>
    <x v="2"/>
    <x v="0"/>
    <d v="2015-02-07T00:00:00"/>
    <n v="-170.98"/>
    <n v="1"/>
    <x v="1562"/>
    <n v="86227"/>
    <x v="0"/>
  </r>
  <r>
    <n v="24604"/>
    <s v="Medium"/>
    <n v="7.0000000000000007E-2"/>
    <n v="30.56"/>
    <x v="139"/>
    <x v="923"/>
    <x v="0"/>
    <x v="923"/>
    <x v="2"/>
    <x v="0"/>
    <x v="0"/>
    <x v="8"/>
    <x v="3"/>
    <x v="823"/>
    <n v="0.35"/>
    <n v="-0.26202619752274475"/>
    <s v="United States"/>
    <x v="3"/>
    <x v="20"/>
    <x v="717"/>
    <n v="37311"/>
    <x v="131"/>
    <x v="2"/>
    <x v="0"/>
    <d v="2015-02-07T00:00:00"/>
    <n v="-95.618600000000015"/>
    <n v="12"/>
    <x v="1563"/>
    <n v="88819"/>
    <x v="0"/>
  </r>
  <r>
    <n v="24044"/>
    <s v="High"/>
    <n v="0.05"/>
    <n v="4.71"/>
    <x v="22"/>
    <x v="924"/>
    <x v="1"/>
    <x v="924"/>
    <x v="0"/>
    <x v="0"/>
    <x v="0"/>
    <x v="3"/>
    <x v="0"/>
    <x v="444"/>
    <n v="0.8"/>
    <n v="-0.19539473684210529"/>
    <s v="United States"/>
    <x v="1"/>
    <x v="10"/>
    <x v="82"/>
    <n v="43055"/>
    <x v="144"/>
    <x v="1"/>
    <x v="0"/>
    <d v="2015-06-02T00:00:00"/>
    <n v="-2.3760000000000003"/>
    <n v="2"/>
    <x v="1564"/>
    <n v="89743"/>
    <x v="0"/>
  </r>
  <r>
    <n v="24045"/>
    <s v="High"/>
    <n v="0.04"/>
    <n v="55.99"/>
    <x v="160"/>
    <x v="924"/>
    <x v="1"/>
    <x v="924"/>
    <x v="0"/>
    <x v="0"/>
    <x v="2"/>
    <x v="5"/>
    <x v="2"/>
    <x v="824"/>
    <n v="0.35"/>
    <n v="-0.12416373000813229"/>
    <s v="United States"/>
    <x v="1"/>
    <x v="10"/>
    <x v="82"/>
    <n v="43055"/>
    <x v="144"/>
    <x v="1"/>
    <x v="0"/>
    <d v="2015-06-02T00:00:00"/>
    <n v="-18.3216"/>
    <n v="3"/>
    <x v="1565"/>
    <n v="89743"/>
    <x v="0"/>
  </r>
  <r>
    <n v="24373"/>
    <s v="Low"/>
    <n v="0.08"/>
    <n v="6.48"/>
    <x v="351"/>
    <x v="925"/>
    <x v="1"/>
    <x v="925"/>
    <x v="2"/>
    <x v="1"/>
    <x v="2"/>
    <x v="13"/>
    <x v="2"/>
    <x v="584"/>
    <n v="0.71"/>
    <n v="-0.72695285010555943"/>
    <s v="United States"/>
    <x v="2"/>
    <x v="33"/>
    <x v="718"/>
    <n v="63129"/>
    <x v="16"/>
    <x v="3"/>
    <x v="0"/>
    <d v="2015-05-12T00:00:00"/>
    <n v="-82.64"/>
    <n v="18"/>
    <x v="1566"/>
    <n v="87899"/>
    <x v="0"/>
  </r>
  <r>
    <n v="24746"/>
    <s v="Not Specified"/>
    <n v="0.1"/>
    <n v="22.01"/>
    <x v="73"/>
    <x v="925"/>
    <x v="1"/>
    <x v="925"/>
    <x v="2"/>
    <x v="1"/>
    <x v="0"/>
    <x v="0"/>
    <x v="2"/>
    <x v="694"/>
    <n v="0.59"/>
    <n v="0.1121206743566992"/>
    <s v="United States"/>
    <x v="2"/>
    <x v="33"/>
    <x v="718"/>
    <n v="63129"/>
    <x v="101"/>
    <x v="0"/>
    <x v="0"/>
    <d v="2015-01-15T00:00:00"/>
    <n v="31.59"/>
    <n v="14"/>
    <x v="1567"/>
    <n v="87900"/>
    <x v="0"/>
  </r>
  <r>
    <n v="23803"/>
    <s v="Low"/>
    <n v="0.02"/>
    <n v="21.98"/>
    <x v="467"/>
    <x v="926"/>
    <x v="0"/>
    <x v="926"/>
    <x v="2"/>
    <x v="0"/>
    <x v="0"/>
    <x v="0"/>
    <x v="2"/>
    <x v="825"/>
    <n v="0.55000000000000004"/>
    <n v="0.69"/>
    <s v="United States"/>
    <x v="0"/>
    <x v="34"/>
    <x v="719"/>
    <n v="89031"/>
    <x v="122"/>
    <x v="4"/>
    <x v="0"/>
    <d v="2015-05-02T00:00:00"/>
    <n v="165.6345"/>
    <n v="11"/>
    <x v="1568"/>
    <n v="87240"/>
    <x v="0"/>
  </r>
  <r>
    <n v="22660"/>
    <s v="Low"/>
    <n v="0.02"/>
    <n v="27.48"/>
    <x v="41"/>
    <x v="927"/>
    <x v="1"/>
    <x v="927"/>
    <x v="2"/>
    <x v="3"/>
    <x v="2"/>
    <x v="13"/>
    <x v="3"/>
    <x v="312"/>
    <n v="0.75"/>
    <n v="0.22139662882696964"/>
    <s v="United States"/>
    <x v="0"/>
    <x v="44"/>
    <x v="680"/>
    <n v="83701"/>
    <x v="135"/>
    <x v="3"/>
    <x v="0"/>
    <d v="2015-05-27T00:00:00"/>
    <n v="19.308000000000021"/>
    <n v="3"/>
    <x v="1569"/>
    <n v="89497"/>
    <x v="0"/>
  </r>
  <r>
    <n v="22661"/>
    <s v="Low"/>
    <n v="0.08"/>
    <n v="10.06"/>
    <x v="67"/>
    <x v="927"/>
    <x v="1"/>
    <x v="927"/>
    <x v="2"/>
    <x v="3"/>
    <x v="0"/>
    <x v="7"/>
    <x v="0"/>
    <x v="85"/>
    <n v="0.39"/>
    <n v="8.2191780821917037E-3"/>
    <s v="United States"/>
    <x v="0"/>
    <x v="44"/>
    <x v="680"/>
    <n v="83701"/>
    <x v="135"/>
    <x v="3"/>
    <x v="0"/>
    <d v="2015-05-24T00:00:00"/>
    <n v="0.32999999999999691"/>
    <n v="4"/>
    <x v="1570"/>
    <n v="89497"/>
    <x v="0"/>
  </r>
  <r>
    <n v="24607"/>
    <s v="High"/>
    <n v="0.05"/>
    <n v="11.29"/>
    <x v="110"/>
    <x v="928"/>
    <x v="1"/>
    <x v="928"/>
    <x v="2"/>
    <x v="0"/>
    <x v="0"/>
    <x v="10"/>
    <x v="3"/>
    <x v="519"/>
    <n v="0.59"/>
    <n v="-0.38978554057041787"/>
    <s v="United States"/>
    <x v="0"/>
    <x v="1"/>
    <x v="720"/>
    <n v="92243"/>
    <x v="153"/>
    <x v="2"/>
    <x v="0"/>
    <d v="2015-02-21T00:00:00"/>
    <n v="-35.26"/>
    <n v="8"/>
    <x v="1571"/>
    <n v="87720"/>
    <x v="0"/>
  </r>
  <r>
    <n v="23431"/>
    <s v="Medium"/>
    <n v="7.0000000000000007E-2"/>
    <n v="39.479999999999997"/>
    <x v="45"/>
    <x v="928"/>
    <x v="1"/>
    <x v="928"/>
    <x v="2"/>
    <x v="0"/>
    <x v="2"/>
    <x v="13"/>
    <x v="2"/>
    <x v="246"/>
    <n v="0.54"/>
    <n v="0.69"/>
    <s v="United States"/>
    <x v="0"/>
    <x v="1"/>
    <x v="720"/>
    <n v="92243"/>
    <x v="144"/>
    <x v="1"/>
    <x v="0"/>
    <d v="2015-06-02T00:00:00"/>
    <n v="322.25069999999994"/>
    <n v="12"/>
    <x v="1572"/>
    <n v="87721"/>
    <x v="0"/>
  </r>
  <r>
    <n v="20594"/>
    <s v="Not Specified"/>
    <n v="0.03"/>
    <n v="140.97999999999999"/>
    <x v="305"/>
    <x v="929"/>
    <x v="1"/>
    <x v="929"/>
    <x v="1"/>
    <x v="2"/>
    <x v="1"/>
    <x v="14"/>
    <x v="5"/>
    <x v="481"/>
    <n v="0.77"/>
    <n v="-0.36382451010988653"/>
    <s v="United States"/>
    <x v="2"/>
    <x v="3"/>
    <x v="721"/>
    <n v="55076"/>
    <x v="78"/>
    <x v="5"/>
    <x v="0"/>
    <d v="2015-03-27T00:00:00"/>
    <n v="-221.5"/>
    <n v="4"/>
    <x v="1573"/>
    <n v="91030"/>
    <x v="0"/>
  </r>
  <r>
    <n v="20595"/>
    <s v="Not Specified"/>
    <n v="0.08"/>
    <n v="65.989999999999995"/>
    <x v="20"/>
    <x v="929"/>
    <x v="1"/>
    <x v="929"/>
    <x v="2"/>
    <x v="2"/>
    <x v="2"/>
    <x v="5"/>
    <x v="3"/>
    <x v="210"/>
    <n v="0.56000000000000005"/>
    <n v="0.25519348016967386"/>
    <s v="United States"/>
    <x v="2"/>
    <x v="3"/>
    <x v="721"/>
    <n v="55076"/>
    <x v="78"/>
    <x v="5"/>
    <x v="0"/>
    <d v="2015-03-26T00:00:00"/>
    <n v="206.352"/>
    <n v="15"/>
    <x v="1574"/>
    <n v="91030"/>
    <x v="0"/>
  </r>
  <r>
    <n v="19191"/>
    <s v="High"/>
    <n v="7.0000000000000007E-2"/>
    <n v="51.98"/>
    <x v="271"/>
    <x v="930"/>
    <x v="1"/>
    <x v="930"/>
    <x v="2"/>
    <x v="1"/>
    <x v="2"/>
    <x v="6"/>
    <x v="4"/>
    <x v="415"/>
    <n v="0.37"/>
    <n v="0.69"/>
    <s v="United States"/>
    <x v="2"/>
    <x v="23"/>
    <x v="722"/>
    <n v="74133"/>
    <x v="129"/>
    <x v="5"/>
    <x v="0"/>
    <d v="2015-03-10T00:00:00"/>
    <n v="439.78529999999995"/>
    <n v="13"/>
    <x v="1575"/>
    <n v="89801"/>
    <x v="0"/>
  </r>
  <r>
    <n v="19192"/>
    <s v="High"/>
    <n v="0.1"/>
    <n v="80.97"/>
    <x v="398"/>
    <x v="930"/>
    <x v="1"/>
    <x v="930"/>
    <x v="1"/>
    <x v="1"/>
    <x v="2"/>
    <x v="6"/>
    <x v="1"/>
    <x v="690"/>
    <n v="0.37"/>
    <n v="-0.6437685217091661"/>
    <s v="United States"/>
    <x v="2"/>
    <x v="23"/>
    <x v="722"/>
    <n v="74133"/>
    <x v="129"/>
    <x v="5"/>
    <x v="0"/>
    <d v="2015-03-11T00:00:00"/>
    <n v="-149.4573"/>
    <n v="3"/>
    <x v="1576"/>
    <n v="89801"/>
    <x v="0"/>
  </r>
  <r>
    <n v="18416"/>
    <s v="High"/>
    <n v="0"/>
    <n v="21.98"/>
    <x v="467"/>
    <x v="931"/>
    <x v="1"/>
    <x v="931"/>
    <x v="2"/>
    <x v="0"/>
    <x v="0"/>
    <x v="0"/>
    <x v="2"/>
    <x v="825"/>
    <n v="0.55000000000000004"/>
    <n v="5.8595117073577195E-2"/>
    <s v="United States"/>
    <x v="3"/>
    <x v="26"/>
    <x v="723"/>
    <n v="33161"/>
    <x v="91"/>
    <x v="5"/>
    <x v="0"/>
    <d v="2015-03-20T00:00:00"/>
    <n v="21.095999999999997"/>
    <n v="16"/>
    <x v="1577"/>
    <n v="87884"/>
    <x v="0"/>
  </r>
  <r>
    <n v="18419"/>
    <s v="Medium"/>
    <n v="0.05"/>
    <n v="15.68"/>
    <x v="439"/>
    <x v="931"/>
    <x v="1"/>
    <x v="931"/>
    <x v="2"/>
    <x v="0"/>
    <x v="1"/>
    <x v="2"/>
    <x v="2"/>
    <x v="770"/>
    <n v="0.46"/>
    <n v="4.4868581977616255"/>
    <s v="United States"/>
    <x v="3"/>
    <x v="26"/>
    <x v="723"/>
    <n v="33161"/>
    <x v="164"/>
    <x v="1"/>
    <x v="0"/>
    <d v="2015-06-13T00:00:00"/>
    <n v="1166.6280000000002"/>
    <n v="17"/>
    <x v="1578"/>
    <n v="87885"/>
    <x v="0"/>
  </r>
  <r>
    <n v="18420"/>
    <s v="Medium"/>
    <n v="0"/>
    <n v="14.98"/>
    <x v="20"/>
    <x v="931"/>
    <x v="1"/>
    <x v="931"/>
    <x v="2"/>
    <x v="0"/>
    <x v="1"/>
    <x v="2"/>
    <x v="2"/>
    <x v="826"/>
    <n v="0.39"/>
    <n v="-0.14830417473245916"/>
    <s v="United States"/>
    <x v="3"/>
    <x v="26"/>
    <x v="723"/>
    <n v="33161"/>
    <x v="164"/>
    <x v="1"/>
    <x v="0"/>
    <d v="2015-06-12T00:00:00"/>
    <n v="-40.604199999999999"/>
    <n v="18"/>
    <x v="1579"/>
    <n v="87885"/>
    <x v="0"/>
  </r>
  <r>
    <n v="18421"/>
    <s v="Medium"/>
    <n v="0.02"/>
    <n v="38.76"/>
    <x v="468"/>
    <x v="931"/>
    <x v="1"/>
    <x v="931"/>
    <x v="2"/>
    <x v="0"/>
    <x v="0"/>
    <x v="7"/>
    <x v="3"/>
    <x v="827"/>
    <n v="0.36"/>
    <n v="-6.5908561183325869"/>
    <s v="United States"/>
    <x v="3"/>
    <x v="26"/>
    <x v="723"/>
    <n v="33161"/>
    <x v="164"/>
    <x v="1"/>
    <x v="0"/>
    <d v="2015-06-12T00:00:00"/>
    <n v="-294.084"/>
    <n v="1"/>
    <x v="1580"/>
    <n v="87885"/>
    <x v="0"/>
  </r>
  <r>
    <n v="21855"/>
    <s v="Not Specified"/>
    <n v="0.04"/>
    <n v="90.48"/>
    <x v="3"/>
    <x v="932"/>
    <x v="1"/>
    <x v="932"/>
    <x v="2"/>
    <x v="0"/>
    <x v="0"/>
    <x v="4"/>
    <x v="3"/>
    <x v="634"/>
    <n v="0.4"/>
    <n v="0.20680166765932104"/>
    <s v="United States"/>
    <x v="3"/>
    <x v="20"/>
    <x v="724"/>
    <n v="38017"/>
    <x v="37"/>
    <x v="4"/>
    <x v="0"/>
    <d v="2015-04-11T00:00:00"/>
    <n v="55.555199999999999"/>
    <n v="3"/>
    <x v="1581"/>
    <n v="85928"/>
    <x v="0"/>
  </r>
  <r>
    <n v="21856"/>
    <s v="Not Specified"/>
    <n v="0.02"/>
    <n v="9.77"/>
    <x v="319"/>
    <x v="932"/>
    <x v="1"/>
    <x v="932"/>
    <x v="2"/>
    <x v="0"/>
    <x v="1"/>
    <x v="2"/>
    <x v="4"/>
    <x v="563"/>
    <n v="0.48"/>
    <n v="-6.1055200729927002"/>
    <s v="United States"/>
    <x v="3"/>
    <x v="20"/>
    <x v="724"/>
    <n v="38017"/>
    <x v="37"/>
    <x v="4"/>
    <x v="0"/>
    <d v="2015-04-10T00:00:00"/>
    <n v="-535.33199999999999"/>
    <n v="9"/>
    <x v="1582"/>
    <n v="85928"/>
    <x v="0"/>
  </r>
  <r>
    <n v="21857"/>
    <s v="Not Specified"/>
    <n v="0.09"/>
    <n v="34.99"/>
    <x v="17"/>
    <x v="932"/>
    <x v="1"/>
    <x v="932"/>
    <x v="2"/>
    <x v="0"/>
    <x v="0"/>
    <x v="0"/>
    <x v="3"/>
    <x v="17"/>
    <n v="0.59"/>
    <n v="-5.5481233386496545"/>
    <s v="United States"/>
    <x v="3"/>
    <x v="20"/>
    <x v="724"/>
    <n v="38017"/>
    <x v="37"/>
    <x v="4"/>
    <x v="0"/>
    <d v="2015-04-11T00:00:00"/>
    <n v="-208.72039999999998"/>
    <n v="1"/>
    <x v="1583"/>
    <n v="85928"/>
    <x v="0"/>
  </r>
  <r>
    <n v="24455"/>
    <s v="Medium"/>
    <n v="0"/>
    <n v="49.99"/>
    <x v="3"/>
    <x v="933"/>
    <x v="0"/>
    <x v="933"/>
    <x v="2"/>
    <x v="0"/>
    <x v="2"/>
    <x v="13"/>
    <x v="3"/>
    <x v="84"/>
    <n v="0.41"/>
    <n v="4.668355402955688E-2"/>
    <s v="United States"/>
    <x v="3"/>
    <x v="20"/>
    <x v="725"/>
    <n v="38401"/>
    <x v="132"/>
    <x v="1"/>
    <x v="0"/>
    <d v="2015-06-08T00:00:00"/>
    <n v="38.885999999999996"/>
    <n v="16"/>
    <x v="1584"/>
    <n v="85929"/>
    <x v="0"/>
  </r>
  <r>
    <n v="23622"/>
    <s v="Low"/>
    <n v="0.05"/>
    <n v="115.99"/>
    <x v="20"/>
    <x v="934"/>
    <x v="0"/>
    <x v="934"/>
    <x v="2"/>
    <x v="3"/>
    <x v="2"/>
    <x v="5"/>
    <x v="3"/>
    <x v="50"/>
    <n v="0.57999999999999996"/>
    <n v="0.69"/>
    <s v="United States"/>
    <x v="2"/>
    <x v="7"/>
    <x v="726"/>
    <n v="79762"/>
    <x v="37"/>
    <x v="4"/>
    <x v="0"/>
    <d v="2015-04-13T00:00:00"/>
    <n v="719.35259999999994"/>
    <n v="11"/>
    <x v="1585"/>
    <n v="86454"/>
    <x v="0"/>
  </r>
  <r>
    <n v="23042"/>
    <s v="Medium"/>
    <n v="0.08"/>
    <n v="7.84"/>
    <x v="426"/>
    <x v="935"/>
    <x v="1"/>
    <x v="935"/>
    <x v="2"/>
    <x v="0"/>
    <x v="0"/>
    <x v="8"/>
    <x v="3"/>
    <x v="749"/>
    <n v="0.35"/>
    <n v="-0.1690753676470588"/>
    <s v="United States"/>
    <x v="0"/>
    <x v="0"/>
    <x v="727"/>
    <n v="98198"/>
    <x v="72"/>
    <x v="0"/>
    <x v="0"/>
    <d v="2015-01-22T00:00:00"/>
    <n v="-12.876779999999998"/>
    <n v="10"/>
    <x v="1586"/>
    <n v="87316"/>
    <x v="0"/>
  </r>
  <r>
    <n v="23043"/>
    <s v="Medium"/>
    <n v="0.03"/>
    <n v="105.34"/>
    <x v="65"/>
    <x v="935"/>
    <x v="1"/>
    <x v="935"/>
    <x v="2"/>
    <x v="0"/>
    <x v="1"/>
    <x v="2"/>
    <x v="6"/>
    <x v="828"/>
    <n v="0.61"/>
    <n v="0.59542142678251486"/>
    <s v="United States"/>
    <x v="0"/>
    <x v="0"/>
    <x v="727"/>
    <n v="98198"/>
    <x v="72"/>
    <x v="0"/>
    <x v="0"/>
    <d v="2015-01-22T00:00:00"/>
    <n v="618.13080000000002"/>
    <n v="10"/>
    <x v="1587"/>
    <n v="87316"/>
    <x v="0"/>
  </r>
  <r>
    <n v="23213"/>
    <s v="Low"/>
    <n v="0.09"/>
    <n v="6783.02"/>
    <x v="65"/>
    <x v="935"/>
    <x v="1"/>
    <x v="935"/>
    <x v="2"/>
    <x v="3"/>
    <x v="2"/>
    <x v="6"/>
    <x v="6"/>
    <x v="458"/>
    <n v="0.39"/>
    <n v="-2.245981829733164"/>
    <s v="United States"/>
    <x v="0"/>
    <x v="0"/>
    <x v="727"/>
    <n v="98198"/>
    <x v="17"/>
    <x v="5"/>
    <x v="0"/>
    <d v="2015-03-14T00:00:00"/>
    <n v="-14140.7016"/>
    <n v="1"/>
    <x v="1588"/>
    <n v="87317"/>
    <x v="0"/>
  </r>
  <r>
    <n v="18516"/>
    <s v="Medium"/>
    <n v="0.06"/>
    <n v="2.94"/>
    <x v="146"/>
    <x v="936"/>
    <x v="1"/>
    <x v="936"/>
    <x v="2"/>
    <x v="0"/>
    <x v="0"/>
    <x v="0"/>
    <x v="0"/>
    <x v="202"/>
    <n v="0.57999999999999996"/>
    <n v="-1.0097838452787258"/>
    <s v="United States"/>
    <x v="3"/>
    <x v="26"/>
    <x v="611"/>
    <n v="32259"/>
    <x v="28"/>
    <x v="3"/>
    <x v="0"/>
    <d v="2015-05-18T00:00:00"/>
    <n v="-8.8759999999999994"/>
    <n v="3"/>
    <x v="1589"/>
    <n v="88279"/>
    <x v="0"/>
  </r>
  <r>
    <n v="18506"/>
    <s v="Low"/>
    <n v="0.04"/>
    <n v="67.28"/>
    <x v="3"/>
    <x v="936"/>
    <x v="1"/>
    <x v="936"/>
    <x v="2"/>
    <x v="0"/>
    <x v="0"/>
    <x v="8"/>
    <x v="3"/>
    <x v="236"/>
    <n v="0.4"/>
    <n v="7.1911799110972478E-3"/>
    <s v="United States"/>
    <x v="3"/>
    <x v="26"/>
    <x v="611"/>
    <n v="32259"/>
    <x v="94"/>
    <x v="3"/>
    <x v="0"/>
    <d v="2015-05-28T00:00:00"/>
    <n v="14.754"/>
    <n v="30"/>
    <x v="1590"/>
    <n v="88282"/>
    <x v="0"/>
  </r>
  <r>
    <n v="18507"/>
    <s v="Low"/>
    <n v="0.1"/>
    <n v="130.97999999999999"/>
    <x v="106"/>
    <x v="936"/>
    <x v="1"/>
    <x v="936"/>
    <x v="1"/>
    <x v="0"/>
    <x v="1"/>
    <x v="14"/>
    <x v="5"/>
    <x v="136"/>
    <n v="0.69"/>
    <n v="0.12646047331176594"/>
    <s v="United States"/>
    <x v="3"/>
    <x v="26"/>
    <x v="611"/>
    <n v="32259"/>
    <x v="94"/>
    <x v="3"/>
    <x v="0"/>
    <d v="2015-05-23T00:00:00"/>
    <n v="669.61199999999997"/>
    <n v="42"/>
    <x v="1591"/>
    <n v="88282"/>
    <x v="0"/>
  </r>
  <r>
    <n v="18508"/>
    <s v="Low"/>
    <n v="0.04"/>
    <n v="2.78"/>
    <x v="160"/>
    <x v="936"/>
    <x v="1"/>
    <x v="936"/>
    <x v="2"/>
    <x v="0"/>
    <x v="0"/>
    <x v="0"/>
    <x v="0"/>
    <x v="732"/>
    <n v="0.59"/>
    <n v="2.6535442880279061"/>
    <s v="United States"/>
    <x v="3"/>
    <x v="26"/>
    <x v="611"/>
    <n v="32259"/>
    <x v="94"/>
    <x v="3"/>
    <x v="0"/>
    <d v="2015-05-23T00:00:00"/>
    <n v="213"/>
    <n v="28"/>
    <x v="1592"/>
    <n v="88282"/>
    <x v="0"/>
  </r>
  <r>
    <n v="20270"/>
    <s v="Not Specified"/>
    <n v="0.03"/>
    <n v="142.86000000000001"/>
    <x v="3"/>
    <x v="937"/>
    <x v="0"/>
    <x v="937"/>
    <x v="2"/>
    <x v="0"/>
    <x v="0"/>
    <x v="10"/>
    <x v="3"/>
    <x v="589"/>
    <n v="0.56000000000000005"/>
    <n v="-2.5480100363910307E-3"/>
    <s v="United States"/>
    <x v="3"/>
    <x v="26"/>
    <x v="51"/>
    <n v="32601"/>
    <x v="113"/>
    <x v="4"/>
    <x v="0"/>
    <d v="2015-04-03T00:00:00"/>
    <n v="-8.3881000000000014"/>
    <n v="23"/>
    <x v="1593"/>
    <n v="88281"/>
    <x v="0"/>
  </r>
  <r>
    <n v="23238"/>
    <s v="Medium"/>
    <n v="0.05"/>
    <n v="20.99"/>
    <x v="120"/>
    <x v="938"/>
    <x v="0"/>
    <x v="938"/>
    <x v="2"/>
    <x v="0"/>
    <x v="2"/>
    <x v="5"/>
    <x v="4"/>
    <x v="160"/>
    <n v="0.57999999999999996"/>
    <n v="2.4578849721706864E-2"/>
    <s v="United States"/>
    <x v="2"/>
    <x v="13"/>
    <x v="728"/>
    <n v="67601"/>
    <x v="136"/>
    <x v="2"/>
    <x v="0"/>
    <d v="2015-02-28T00:00:00"/>
    <n v="4.9017600000000003"/>
    <n v="11"/>
    <x v="1594"/>
    <n v="88280"/>
    <x v="0"/>
  </r>
  <r>
    <n v="25932"/>
    <s v="High"/>
    <n v="0"/>
    <n v="12.22"/>
    <x v="442"/>
    <x v="939"/>
    <x v="0"/>
    <x v="939"/>
    <x v="2"/>
    <x v="0"/>
    <x v="1"/>
    <x v="2"/>
    <x v="2"/>
    <x v="775"/>
    <n v="0.55000000000000004"/>
    <n v="0.68999999999999984"/>
    <s v="United States"/>
    <x v="2"/>
    <x v="32"/>
    <x v="729"/>
    <n v="68128"/>
    <x v="86"/>
    <x v="4"/>
    <x v="0"/>
    <d v="2015-04-12T00:00:00"/>
    <n v="76.389899999999983"/>
    <n v="9"/>
    <x v="1595"/>
    <n v="88278"/>
    <x v="0"/>
  </r>
  <r>
    <n v="23136"/>
    <s v="Critical"/>
    <n v="0.01"/>
    <n v="13.79"/>
    <x v="174"/>
    <x v="940"/>
    <x v="1"/>
    <x v="940"/>
    <x v="2"/>
    <x v="0"/>
    <x v="1"/>
    <x v="2"/>
    <x v="3"/>
    <x v="245"/>
    <n v="0.43"/>
    <n v="-0.64872971065631624"/>
    <s v="United States"/>
    <x v="2"/>
    <x v="7"/>
    <x v="730"/>
    <n v="75460"/>
    <x v="67"/>
    <x v="2"/>
    <x v="0"/>
    <d v="2015-02-25T00:00:00"/>
    <n v="-36.770000000000003"/>
    <n v="4"/>
    <x v="1596"/>
    <n v="90871"/>
    <x v="0"/>
  </r>
  <r>
    <n v="23137"/>
    <s v="Critical"/>
    <n v="0.04"/>
    <n v="33.29"/>
    <x v="404"/>
    <x v="940"/>
    <x v="1"/>
    <x v="940"/>
    <x v="2"/>
    <x v="0"/>
    <x v="0"/>
    <x v="10"/>
    <x v="3"/>
    <x v="829"/>
    <n v="0.61"/>
    <n v="0.31839467330065124"/>
    <s v="United States"/>
    <x v="2"/>
    <x v="7"/>
    <x v="730"/>
    <n v="75460"/>
    <x v="67"/>
    <x v="2"/>
    <x v="0"/>
    <d v="2015-02-24T00:00:00"/>
    <n v="87.03"/>
    <n v="8"/>
    <x v="1597"/>
    <n v="90871"/>
    <x v="0"/>
  </r>
  <r>
    <n v="1529"/>
    <s v="High"/>
    <n v="0.01"/>
    <n v="125.99"/>
    <x v="20"/>
    <x v="941"/>
    <x v="0"/>
    <x v="941"/>
    <x v="2"/>
    <x v="0"/>
    <x v="2"/>
    <x v="5"/>
    <x v="3"/>
    <x v="157"/>
    <n v="0.59"/>
    <n v="-2.5680888575458387"/>
    <s v="United States"/>
    <x v="1"/>
    <x v="41"/>
    <x v="246"/>
    <n v="20016"/>
    <x v="89"/>
    <x v="4"/>
    <x v="0"/>
    <d v="2015-04-18T00:00:00"/>
    <n v="-582.64799999999991"/>
    <n v="2"/>
    <x v="1598"/>
    <n v="11013"/>
    <x v="0"/>
  </r>
  <r>
    <n v="18998"/>
    <s v="High"/>
    <n v="0.03"/>
    <n v="896.99"/>
    <x v="3"/>
    <x v="942"/>
    <x v="1"/>
    <x v="942"/>
    <x v="2"/>
    <x v="0"/>
    <x v="0"/>
    <x v="8"/>
    <x v="3"/>
    <x v="39"/>
    <n v="0.38"/>
    <n v="0.69"/>
    <s v="United States"/>
    <x v="0"/>
    <x v="0"/>
    <x v="731"/>
    <n v="98026"/>
    <x v="176"/>
    <x v="0"/>
    <x v="0"/>
    <d v="2015-01-10T00:00:00"/>
    <n v="3602.1311999999994"/>
    <n v="6"/>
    <x v="1599"/>
    <n v="85826"/>
    <x v="0"/>
  </r>
  <r>
    <n v="19529"/>
    <s v="High"/>
    <n v="0.01"/>
    <n v="125.99"/>
    <x v="20"/>
    <x v="942"/>
    <x v="1"/>
    <x v="942"/>
    <x v="2"/>
    <x v="0"/>
    <x v="2"/>
    <x v="5"/>
    <x v="3"/>
    <x v="157"/>
    <n v="0.59"/>
    <n v="-5.1361777150916774"/>
    <s v="United States"/>
    <x v="0"/>
    <x v="0"/>
    <x v="731"/>
    <n v="98026"/>
    <x v="89"/>
    <x v="4"/>
    <x v="0"/>
    <d v="2015-04-18T00:00:00"/>
    <n v="-582.64799999999991"/>
    <n v="1"/>
    <x v="1600"/>
    <n v="85827"/>
    <x v="0"/>
  </r>
  <r>
    <n v="19293"/>
    <s v="Not Specified"/>
    <n v="0.08"/>
    <n v="15.99"/>
    <x v="158"/>
    <x v="942"/>
    <x v="1"/>
    <x v="942"/>
    <x v="0"/>
    <x v="0"/>
    <x v="0"/>
    <x v="8"/>
    <x v="3"/>
    <x v="222"/>
    <n v="0.37"/>
    <n v="-1.0085580127234171"/>
    <s v="United States"/>
    <x v="0"/>
    <x v="0"/>
    <x v="731"/>
    <n v="98026"/>
    <x v="40"/>
    <x v="3"/>
    <x v="0"/>
    <d v="2015-05-27T00:00:00"/>
    <n v="-66.584999999999994"/>
    <n v="4"/>
    <x v="1601"/>
    <n v="85828"/>
    <x v="0"/>
  </r>
  <r>
    <n v="25724"/>
    <s v="Medium"/>
    <n v="7.0000000000000007E-2"/>
    <n v="2.89"/>
    <x v="28"/>
    <x v="943"/>
    <x v="1"/>
    <x v="943"/>
    <x v="2"/>
    <x v="2"/>
    <x v="0"/>
    <x v="9"/>
    <x v="3"/>
    <x v="277"/>
    <n v="0.38"/>
    <n v="13.37353119321623"/>
    <s v="United States"/>
    <x v="3"/>
    <x v="26"/>
    <x v="732"/>
    <n v="33012"/>
    <x v="46"/>
    <x v="0"/>
    <x v="0"/>
    <d v="2015-01-24T00:00:00"/>
    <n v="441.59399999999999"/>
    <n v="12"/>
    <x v="1602"/>
    <n v="89872"/>
    <x v="0"/>
  </r>
  <r>
    <n v="25725"/>
    <s v="Medium"/>
    <n v="0"/>
    <n v="217.85"/>
    <x v="469"/>
    <x v="943"/>
    <x v="1"/>
    <x v="943"/>
    <x v="1"/>
    <x v="2"/>
    <x v="1"/>
    <x v="11"/>
    <x v="5"/>
    <x v="830"/>
    <n v="0.68"/>
    <n v="0.17340636135673751"/>
    <s v="United States"/>
    <x v="3"/>
    <x v="26"/>
    <x v="732"/>
    <n v="33012"/>
    <x v="46"/>
    <x v="0"/>
    <x v="0"/>
    <d v="2015-01-23T00:00:00"/>
    <n v="394.17"/>
    <n v="10"/>
    <x v="1603"/>
    <n v="89872"/>
    <x v="0"/>
  </r>
  <r>
    <n v="21768"/>
    <s v="Low"/>
    <n v="0.05"/>
    <n v="4.84"/>
    <x v="188"/>
    <x v="944"/>
    <x v="1"/>
    <x v="944"/>
    <x v="2"/>
    <x v="1"/>
    <x v="0"/>
    <x v="0"/>
    <x v="0"/>
    <x v="525"/>
    <n v="0.52"/>
    <n v="0.69"/>
    <s v="United States"/>
    <x v="2"/>
    <x v="32"/>
    <x v="729"/>
    <n v="68128"/>
    <x v="34"/>
    <x v="4"/>
    <x v="0"/>
    <d v="2015-04-15T00:00:00"/>
    <n v="13.448099999999998"/>
    <n v="4"/>
    <x v="1604"/>
    <n v="89873"/>
    <x v="0"/>
  </r>
  <r>
    <n v="19246"/>
    <s v="Critical"/>
    <n v="0.03"/>
    <n v="304.99"/>
    <x v="3"/>
    <x v="944"/>
    <x v="1"/>
    <x v="944"/>
    <x v="2"/>
    <x v="1"/>
    <x v="0"/>
    <x v="8"/>
    <x v="3"/>
    <x v="831"/>
    <n v="0.4"/>
    <n v="0.69"/>
    <s v="United States"/>
    <x v="2"/>
    <x v="32"/>
    <x v="729"/>
    <n v="68128"/>
    <x v="33"/>
    <x v="1"/>
    <x v="0"/>
    <d v="2015-06-24T00:00:00"/>
    <n v="4033.6089000000002"/>
    <n v="19"/>
    <x v="1605"/>
    <n v="89874"/>
    <x v="0"/>
  </r>
  <r>
    <n v="19247"/>
    <s v="Critical"/>
    <n v="0.09"/>
    <n v="65.989999999999995"/>
    <x v="20"/>
    <x v="944"/>
    <x v="1"/>
    <x v="944"/>
    <x v="2"/>
    <x v="1"/>
    <x v="2"/>
    <x v="5"/>
    <x v="3"/>
    <x v="832"/>
    <n v="0.57999999999999996"/>
    <n v="0.22368446793405378"/>
    <s v="United States"/>
    <x v="2"/>
    <x v="32"/>
    <x v="729"/>
    <n v="68128"/>
    <x v="33"/>
    <x v="1"/>
    <x v="0"/>
    <d v="2015-06-24T00:00:00"/>
    <n v="141.7824"/>
    <n v="12"/>
    <x v="1606"/>
    <n v="89874"/>
    <x v="0"/>
  </r>
  <r>
    <n v="25599"/>
    <s v="Not Specified"/>
    <n v="0"/>
    <n v="8.33"/>
    <x v="45"/>
    <x v="945"/>
    <x v="0"/>
    <x v="945"/>
    <x v="0"/>
    <x v="3"/>
    <x v="2"/>
    <x v="13"/>
    <x v="2"/>
    <x v="140"/>
    <n v="0.52"/>
    <n v="0.69"/>
    <s v="United States"/>
    <x v="1"/>
    <x v="10"/>
    <x v="733"/>
    <n v="44070"/>
    <x v="21"/>
    <x v="5"/>
    <x v="0"/>
    <d v="2015-03-04T00:00:00"/>
    <n v="74.181899999999999"/>
    <n v="12"/>
    <x v="1607"/>
    <n v="91492"/>
    <x v="0"/>
  </r>
  <r>
    <n v="7599"/>
    <s v="Not Specified"/>
    <n v="0"/>
    <n v="8.33"/>
    <x v="45"/>
    <x v="946"/>
    <x v="0"/>
    <x v="946"/>
    <x v="0"/>
    <x v="3"/>
    <x v="2"/>
    <x v="13"/>
    <x v="2"/>
    <x v="140"/>
    <n v="0.52"/>
    <n v="0.19547354421962573"/>
    <s v="United States"/>
    <x v="0"/>
    <x v="0"/>
    <x v="33"/>
    <n v="98107"/>
    <x v="21"/>
    <x v="5"/>
    <x v="0"/>
    <d v="2015-03-04T00:00:00"/>
    <n v="82.31"/>
    <n v="47"/>
    <x v="1608"/>
    <n v="54369"/>
    <x v="0"/>
  </r>
  <r>
    <n v="18642"/>
    <s v="Medium"/>
    <n v="0.05"/>
    <n v="6.68"/>
    <x v="11"/>
    <x v="947"/>
    <x v="1"/>
    <x v="947"/>
    <x v="2"/>
    <x v="2"/>
    <x v="0"/>
    <x v="7"/>
    <x v="3"/>
    <x v="716"/>
    <n v="0.37"/>
    <n v="-3.0466321243523439E-2"/>
    <s v="United States"/>
    <x v="3"/>
    <x v="26"/>
    <x v="734"/>
    <n v="33160"/>
    <x v="145"/>
    <x v="5"/>
    <x v="0"/>
    <d v="2015-03-29T00:00:00"/>
    <n v="-2.3520000000000096"/>
    <n v="11"/>
    <x v="1609"/>
    <n v="88626"/>
    <x v="0"/>
  </r>
  <r>
    <n v="20315"/>
    <s v="Low"/>
    <n v="0.09"/>
    <n v="243.98"/>
    <x v="402"/>
    <x v="947"/>
    <x v="1"/>
    <x v="947"/>
    <x v="1"/>
    <x v="2"/>
    <x v="1"/>
    <x v="1"/>
    <x v="1"/>
    <x v="696"/>
    <n v="0.55000000000000004"/>
    <n v="0.18956851333866628"/>
    <s v="United States"/>
    <x v="3"/>
    <x v="26"/>
    <x v="734"/>
    <n v="33160"/>
    <x v="100"/>
    <x v="3"/>
    <x v="0"/>
    <d v="2015-05-13T00:00:00"/>
    <n v="1059.288"/>
    <n v="25"/>
    <x v="1610"/>
    <n v="88627"/>
    <x v="0"/>
  </r>
  <r>
    <n v="7718"/>
    <s v="High"/>
    <n v="0.03"/>
    <n v="4.0599999999999996"/>
    <x v="219"/>
    <x v="948"/>
    <x v="1"/>
    <x v="948"/>
    <x v="2"/>
    <x v="3"/>
    <x v="0"/>
    <x v="15"/>
    <x v="3"/>
    <x v="326"/>
    <n v="0.6"/>
    <n v="-1.5402845706423167"/>
    <s v="United States"/>
    <x v="3"/>
    <x v="24"/>
    <x v="78"/>
    <n v="28206"/>
    <x v="63"/>
    <x v="2"/>
    <x v="0"/>
    <d v="2015-02-22T00:00:00"/>
    <n v="-246.27609999999999"/>
    <n v="37"/>
    <x v="1611"/>
    <n v="55300"/>
    <x v="0"/>
  </r>
  <r>
    <n v="7719"/>
    <s v="High"/>
    <n v="0.01"/>
    <n v="3.75"/>
    <x v="28"/>
    <x v="948"/>
    <x v="1"/>
    <x v="948"/>
    <x v="2"/>
    <x v="3"/>
    <x v="0"/>
    <x v="9"/>
    <x v="3"/>
    <x v="833"/>
    <n v="0.37"/>
    <n v="0.30582114361702128"/>
    <s v="United States"/>
    <x v="3"/>
    <x v="24"/>
    <x v="78"/>
    <n v="28206"/>
    <x v="63"/>
    <x v="2"/>
    <x v="0"/>
    <d v="2015-02-21T00:00:00"/>
    <n v="55.194599999999994"/>
    <n v="48"/>
    <x v="1612"/>
    <n v="55300"/>
    <x v="0"/>
  </r>
  <r>
    <n v="7720"/>
    <s v="High"/>
    <n v="0.02"/>
    <n v="10.68"/>
    <x v="470"/>
    <x v="948"/>
    <x v="1"/>
    <x v="948"/>
    <x v="2"/>
    <x v="3"/>
    <x v="1"/>
    <x v="2"/>
    <x v="6"/>
    <x v="834"/>
    <n v="0.6"/>
    <n v="-0.87678754850490759"/>
    <s v="United States"/>
    <x v="3"/>
    <x v="24"/>
    <x v="78"/>
    <n v="28206"/>
    <x v="63"/>
    <x v="2"/>
    <x v="0"/>
    <d v="2015-02-22T00:00:00"/>
    <n v="-307.29650000000004"/>
    <n v="31"/>
    <x v="1613"/>
    <n v="55300"/>
    <x v="0"/>
  </r>
  <r>
    <n v="2314"/>
    <s v="High"/>
    <n v="7.0000000000000007E-2"/>
    <n v="28.99"/>
    <x v="400"/>
    <x v="948"/>
    <x v="1"/>
    <x v="948"/>
    <x v="2"/>
    <x v="3"/>
    <x v="2"/>
    <x v="5"/>
    <x v="4"/>
    <x v="693"/>
    <n v="0.56000000000000005"/>
    <n v="-1.7147459436379166E-2"/>
    <s v="United States"/>
    <x v="3"/>
    <x v="24"/>
    <x v="78"/>
    <n v="28206"/>
    <x v="91"/>
    <x v="5"/>
    <x v="0"/>
    <d v="2015-03-19T00:00:00"/>
    <n v="-16.063740000000003"/>
    <n v="39"/>
    <x v="1614"/>
    <n v="16676"/>
    <x v="0"/>
  </r>
  <r>
    <n v="694"/>
    <s v="Critical"/>
    <n v="0.05"/>
    <n v="6.48"/>
    <x v="23"/>
    <x v="948"/>
    <x v="1"/>
    <x v="948"/>
    <x v="2"/>
    <x v="3"/>
    <x v="0"/>
    <x v="7"/>
    <x v="3"/>
    <x v="758"/>
    <n v="0.37"/>
    <n v="-0.6898266666666667"/>
    <s v="United States"/>
    <x v="3"/>
    <x v="24"/>
    <x v="78"/>
    <n v="28206"/>
    <x v="19"/>
    <x v="3"/>
    <x v="0"/>
    <d v="2015-05-09T00:00:00"/>
    <n v="-160.38470000000001"/>
    <n v="35"/>
    <x v="1615"/>
    <n v="4839"/>
    <x v="0"/>
  </r>
  <r>
    <n v="3065"/>
    <s v="High"/>
    <n v="0.09"/>
    <n v="363.25"/>
    <x v="3"/>
    <x v="948"/>
    <x v="1"/>
    <x v="948"/>
    <x v="2"/>
    <x v="3"/>
    <x v="0"/>
    <x v="15"/>
    <x v="3"/>
    <x v="451"/>
    <n v="0.56999999999999995"/>
    <n v="9.7674391927491486E-2"/>
    <s v="United States"/>
    <x v="3"/>
    <x v="24"/>
    <x v="78"/>
    <n v="28206"/>
    <x v="75"/>
    <x v="1"/>
    <x v="0"/>
    <d v="2015-06-06T00:00:00"/>
    <n v="732.26980000000003"/>
    <n v="21"/>
    <x v="1616"/>
    <n v="21958"/>
    <x v="0"/>
  </r>
  <r>
    <n v="5689"/>
    <s v="Low"/>
    <n v="0.05"/>
    <n v="63.94"/>
    <x v="133"/>
    <x v="948"/>
    <x v="1"/>
    <x v="948"/>
    <x v="0"/>
    <x v="3"/>
    <x v="1"/>
    <x v="2"/>
    <x v="3"/>
    <x v="176"/>
    <n v="0.46"/>
    <n v="0.20269712275975607"/>
    <s v="United States"/>
    <x v="3"/>
    <x v="24"/>
    <x v="78"/>
    <n v="28206"/>
    <x v="133"/>
    <x v="1"/>
    <x v="0"/>
    <d v="2015-07-07T00:00:00"/>
    <n v="270.87430000000001"/>
    <n v="21"/>
    <x v="1617"/>
    <n v="40224"/>
    <x v="0"/>
  </r>
  <r>
    <n v="7137"/>
    <s v="Low"/>
    <n v="0.02"/>
    <n v="43.98"/>
    <x v="45"/>
    <x v="948"/>
    <x v="1"/>
    <x v="948"/>
    <x v="2"/>
    <x v="3"/>
    <x v="2"/>
    <x v="13"/>
    <x v="2"/>
    <x v="835"/>
    <n v="0.44"/>
    <n v="0.19359545478274487"/>
    <s v="United States"/>
    <x v="3"/>
    <x v="24"/>
    <x v="78"/>
    <n v="28206"/>
    <x v="72"/>
    <x v="0"/>
    <x v="0"/>
    <d v="2015-01-25T00:00:00"/>
    <n v="333.76049999999998"/>
    <n v="40"/>
    <x v="1618"/>
    <n v="50917"/>
    <x v="0"/>
  </r>
  <r>
    <n v="18694"/>
    <s v="Critical"/>
    <n v="0.05"/>
    <n v="6.48"/>
    <x v="23"/>
    <x v="949"/>
    <x v="0"/>
    <x v="949"/>
    <x v="2"/>
    <x v="3"/>
    <x v="0"/>
    <x v="7"/>
    <x v="3"/>
    <x v="758"/>
    <n v="0.37"/>
    <n v="-2.0168924569325974"/>
    <s v="United States"/>
    <x v="1"/>
    <x v="10"/>
    <x v="733"/>
    <n v="44070"/>
    <x v="19"/>
    <x v="3"/>
    <x v="0"/>
    <d v="2015-05-09T00:00:00"/>
    <n v="-120.59"/>
    <n v="9"/>
    <x v="1619"/>
    <n v="87632"/>
    <x v="0"/>
  </r>
  <r>
    <n v="20314"/>
    <s v="High"/>
    <n v="7.0000000000000007E-2"/>
    <n v="28.99"/>
    <x v="400"/>
    <x v="950"/>
    <x v="1"/>
    <x v="950"/>
    <x v="2"/>
    <x v="3"/>
    <x v="2"/>
    <x v="5"/>
    <x v="4"/>
    <x v="693"/>
    <n v="0.56000000000000005"/>
    <n v="-5.0281004121393781E-2"/>
    <s v="United States"/>
    <x v="1"/>
    <x v="10"/>
    <x v="735"/>
    <n v="44039"/>
    <x v="91"/>
    <x v="5"/>
    <x v="0"/>
    <d v="2015-03-19T00:00:00"/>
    <n v="-12.078000000000001"/>
    <n v="10"/>
    <x v="1620"/>
    <n v="87631"/>
    <x v="0"/>
  </r>
  <r>
    <n v="21065"/>
    <s v="High"/>
    <n v="0.09"/>
    <n v="363.25"/>
    <x v="3"/>
    <x v="950"/>
    <x v="1"/>
    <x v="950"/>
    <x v="2"/>
    <x v="3"/>
    <x v="0"/>
    <x v="15"/>
    <x v="3"/>
    <x v="451"/>
    <n v="0.56999999999999995"/>
    <n v="0.69"/>
    <s v="United States"/>
    <x v="1"/>
    <x v="10"/>
    <x v="735"/>
    <n v="44039"/>
    <x v="75"/>
    <x v="1"/>
    <x v="0"/>
    <d v="2015-06-06T00:00:00"/>
    <n v="1231.6569"/>
    <n v="5"/>
    <x v="1621"/>
    <n v="87633"/>
    <x v="0"/>
  </r>
  <r>
    <n v="23689"/>
    <s v="Low"/>
    <n v="0.05"/>
    <n v="63.94"/>
    <x v="133"/>
    <x v="951"/>
    <x v="0"/>
    <x v="951"/>
    <x v="0"/>
    <x v="3"/>
    <x v="1"/>
    <x v="2"/>
    <x v="3"/>
    <x v="176"/>
    <n v="0.46"/>
    <n v="0.69"/>
    <s v="United States"/>
    <x v="1"/>
    <x v="10"/>
    <x v="736"/>
    <n v="44133"/>
    <x v="133"/>
    <x v="1"/>
    <x v="0"/>
    <d v="2015-07-07T00:00:00"/>
    <n v="219.54419999999999"/>
    <n v="5"/>
    <x v="1622"/>
    <n v="87634"/>
    <x v="0"/>
  </r>
  <r>
    <n v="25718"/>
    <s v="High"/>
    <n v="0.03"/>
    <n v="4.0599999999999996"/>
    <x v="219"/>
    <x v="952"/>
    <x v="1"/>
    <x v="952"/>
    <x v="2"/>
    <x v="3"/>
    <x v="0"/>
    <x v="15"/>
    <x v="3"/>
    <x v="326"/>
    <n v="0.6"/>
    <n v="-4.761378246335819"/>
    <s v="United States"/>
    <x v="1"/>
    <x v="10"/>
    <x v="737"/>
    <n v="44134"/>
    <x v="63"/>
    <x v="2"/>
    <x v="0"/>
    <d v="2015-02-22T00:00:00"/>
    <n v="-185.17"/>
    <n v="9"/>
    <x v="1623"/>
    <n v="87630"/>
    <x v="0"/>
  </r>
  <r>
    <n v="25719"/>
    <s v="High"/>
    <n v="0.01"/>
    <n v="3.75"/>
    <x v="28"/>
    <x v="952"/>
    <x v="1"/>
    <x v="952"/>
    <x v="2"/>
    <x v="3"/>
    <x v="0"/>
    <x v="9"/>
    <x v="3"/>
    <x v="833"/>
    <n v="0.37"/>
    <n v="0.69"/>
    <s v="United States"/>
    <x v="1"/>
    <x v="10"/>
    <x v="737"/>
    <n v="44134"/>
    <x v="63"/>
    <x v="2"/>
    <x v="0"/>
    <d v="2015-02-21T00:00:00"/>
    <n v="31.132799999999996"/>
    <n v="12"/>
    <x v="1624"/>
    <n v="87630"/>
    <x v="0"/>
  </r>
  <r>
    <n v="25720"/>
    <s v="High"/>
    <n v="0.02"/>
    <n v="10.68"/>
    <x v="470"/>
    <x v="952"/>
    <x v="1"/>
    <x v="952"/>
    <x v="2"/>
    <x v="3"/>
    <x v="1"/>
    <x v="2"/>
    <x v="6"/>
    <x v="834"/>
    <n v="0.6"/>
    <n v="-2.5544499723604202"/>
    <s v="United States"/>
    <x v="1"/>
    <x v="10"/>
    <x v="737"/>
    <n v="44134"/>
    <x v="63"/>
    <x v="2"/>
    <x v="0"/>
    <d v="2015-02-22T00:00:00"/>
    <n v="-231.05"/>
    <n v="8"/>
    <x v="1625"/>
    <n v="87630"/>
    <x v="0"/>
  </r>
  <r>
    <n v="21514"/>
    <s v="High"/>
    <n v="0.1"/>
    <n v="209.37"/>
    <x v="54"/>
    <x v="953"/>
    <x v="0"/>
    <x v="953"/>
    <x v="2"/>
    <x v="3"/>
    <x v="1"/>
    <x v="11"/>
    <x v="6"/>
    <x v="575"/>
    <n v="0.79"/>
    <n v="-7.7922621028459593E-2"/>
    <s v="United States"/>
    <x v="2"/>
    <x v="22"/>
    <x v="738"/>
    <n v="48154"/>
    <x v="67"/>
    <x v="2"/>
    <x v="0"/>
    <d v="2015-02-25T00:00:00"/>
    <n v="-165.59492040000003"/>
    <n v="11"/>
    <x v="1626"/>
    <n v="90011"/>
    <x v="0"/>
  </r>
  <r>
    <n v="21515"/>
    <s v="High"/>
    <n v="7.0000000000000007E-2"/>
    <n v="4.9800000000000004"/>
    <x v="356"/>
    <x v="954"/>
    <x v="0"/>
    <x v="954"/>
    <x v="2"/>
    <x v="3"/>
    <x v="0"/>
    <x v="7"/>
    <x v="3"/>
    <x v="594"/>
    <n v="0.38"/>
    <n v="-0.48133185349611546"/>
    <s v="United States"/>
    <x v="2"/>
    <x v="22"/>
    <x v="711"/>
    <n v="48071"/>
    <x v="67"/>
    <x v="2"/>
    <x v="0"/>
    <d v="2015-02-24T00:00:00"/>
    <n v="-21.684000000000001"/>
    <n v="9"/>
    <x v="1627"/>
    <n v="90011"/>
    <x v="0"/>
  </r>
  <r>
    <n v="19909"/>
    <s v="Low"/>
    <n v="0.02"/>
    <n v="880.98"/>
    <x v="189"/>
    <x v="955"/>
    <x v="1"/>
    <x v="955"/>
    <x v="1"/>
    <x v="1"/>
    <x v="1"/>
    <x v="14"/>
    <x v="5"/>
    <x v="270"/>
    <n v="0.62"/>
    <n v="0.69"/>
    <s v="United States"/>
    <x v="2"/>
    <x v="3"/>
    <x v="739"/>
    <n v="56001"/>
    <x v="46"/>
    <x v="0"/>
    <x v="0"/>
    <d v="2015-01-26T00:00:00"/>
    <n v="4861.0637999999999"/>
    <n v="8"/>
    <x v="1628"/>
    <n v="86925"/>
    <x v="0"/>
  </r>
  <r>
    <n v="18198"/>
    <s v="Critical"/>
    <n v="0"/>
    <n v="22.84"/>
    <x v="471"/>
    <x v="955"/>
    <x v="1"/>
    <x v="955"/>
    <x v="2"/>
    <x v="1"/>
    <x v="0"/>
    <x v="7"/>
    <x v="3"/>
    <x v="836"/>
    <n v="0.39"/>
    <n v="-0.22597269440397172"/>
    <s v="United States"/>
    <x v="2"/>
    <x v="3"/>
    <x v="739"/>
    <n v="56001"/>
    <x v="14"/>
    <x v="5"/>
    <x v="0"/>
    <d v="2015-03-14T00:00:00"/>
    <n v="-83.75"/>
    <n v="15"/>
    <x v="1629"/>
    <n v="86927"/>
    <x v="0"/>
  </r>
  <r>
    <n v="20304"/>
    <s v="High"/>
    <n v="0.05"/>
    <n v="80.97"/>
    <x v="102"/>
    <x v="956"/>
    <x v="1"/>
    <x v="956"/>
    <x v="1"/>
    <x v="1"/>
    <x v="2"/>
    <x v="6"/>
    <x v="5"/>
    <x v="131"/>
    <n v="0.4"/>
    <n v="0.62502626486038149"/>
    <s v="United States"/>
    <x v="2"/>
    <x v="3"/>
    <x v="740"/>
    <n v="55369"/>
    <x v="169"/>
    <x v="2"/>
    <x v="0"/>
    <d v="2015-02-14T00:00:00"/>
    <n v="565.17999999999995"/>
    <n v="11"/>
    <x v="1630"/>
    <n v="86926"/>
    <x v="0"/>
  </r>
  <r>
    <n v="20305"/>
    <s v="High"/>
    <n v="0"/>
    <n v="6.48"/>
    <x v="472"/>
    <x v="956"/>
    <x v="1"/>
    <x v="956"/>
    <x v="2"/>
    <x v="1"/>
    <x v="0"/>
    <x v="7"/>
    <x v="3"/>
    <x v="837"/>
    <n v="0.37"/>
    <n v="-2.374003678724709"/>
    <s v="United States"/>
    <x v="2"/>
    <x v="3"/>
    <x v="740"/>
    <n v="55369"/>
    <x v="169"/>
    <x v="2"/>
    <x v="0"/>
    <d v="2015-02-15T00:00:00"/>
    <n v="-38.72"/>
    <n v="2"/>
    <x v="1631"/>
    <n v="86926"/>
    <x v="0"/>
  </r>
  <r>
    <n v="23151"/>
    <s v="Not Specified"/>
    <n v="0.06"/>
    <n v="70.89"/>
    <x v="473"/>
    <x v="957"/>
    <x v="0"/>
    <x v="957"/>
    <x v="1"/>
    <x v="2"/>
    <x v="1"/>
    <x v="11"/>
    <x v="5"/>
    <x v="838"/>
    <n v="0.72"/>
    <n v="0.17865541097018614"/>
    <s v="United States"/>
    <x v="1"/>
    <x v="10"/>
    <x v="741"/>
    <n v="43068"/>
    <x v="97"/>
    <x v="1"/>
    <x v="0"/>
    <d v="2015-06-25T00:00:00"/>
    <n v="65.077020000000005"/>
    <n v="6"/>
    <x v="1632"/>
    <n v="87374"/>
    <x v="0"/>
  </r>
  <r>
    <n v="18611"/>
    <s v="High"/>
    <n v="7.0000000000000007E-2"/>
    <n v="4.13"/>
    <x v="90"/>
    <x v="958"/>
    <x v="1"/>
    <x v="958"/>
    <x v="2"/>
    <x v="1"/>
    <x v="0"/>
    <x v="9"/>
    <x v="3"/>
    <x v="508"/>
    <n v="0.39"/>
    <n v="0.68196639701306772"/>
    <s v="United States"/>
    <x v="1"/>
    <x v="10"/>
    <x v="742"/>
    <n v="44125"/>
    <x v="176"/>
    <x v="0"/>
    <x v="0"/>
    <d v="2015-01-08T00:00:00"/>
    <n v="10.959199999999999"/>
    <n v="4"/>
    <x v="1633"/>
    <n v="88156"/>
    <x v="0"/>
  </r>
  <r>
    <n v="18612"/>
    <s v="High"/>
    <n v="0.03"/>
    <n v="22.72"/>
    <x v="20"/>
    <x v="958"/>
    <x v="1"/>
    <x v="958"/>
    <x v="2"/>
    <x v="1"/>
    <x v="1"/>
    <x v="2"/>
    <x v="2"/>
    <x v="275"/>
    <n v="0.44"/>
    <n v="0.69"/>
    <s v="United States"/>
    <x v="1"/>
    <x v="10"/>
    <x v="742"/>
    <n v="44125"/>
    <x v="176"/>
    <x v="0"/>
    <x v="0"/>
    <d v="2015-01-08T00:00:00"/>
    <n v="17.429400000000001"/>
    <n v="1"/>
    <x v="1518"/>
    <n v="88156"/>
    <x v="0"/>
  </r>
  <r>
    <n v="20827"/>
    <s v="Not Specified"/>
    <n v="0.05"/>
    <n v="34.979999999999997"/>
    <x v="129"/>
    <x v="958"/>
    <x v="1"/>
    <x v="958"/>
    <x v="0"/>
    <x v="1"/>
    <x v="2"/>
    <x v="13"/>
    <x v="3"/>
    <x v="171"/>
    <n v="0.76"/>
    <n v="-5.6216699938046399E-2"/>
    <s v="United States"/>
    <x v="1"/>
    <x v="10"/>
    <x v="742"/>
    <n v="44125"/>
    <x v="136"/>
    <x v="2"/>
    <x v="0"/>
    <d v="2015-03-03T00:00:00"/>
    <n v="-32.666400000000003"/>
    <n v="16"/>
    <x v="1634"/>
    <n v="88157"/>
    <x v="0"/>
  </r>
  <r>
    <n v="20828"/>
    <s v="Not Specified"/>
    <n v="0"/>
    <n v="3.14"/>
    <x v="307"/>
    <x v="958"/>
    <x v="1"/>
    <x v="958"/>
    <x v="2"/>
    <x v="1"/>
    <x v="0"/>
    <x v="12"/>
    <x v="0"/>
    <x v="839"/>
    <n v="0.84"/>
    <n v="-0.47712313839447879"/>
    <s v="United States"/>
    <x v="1"/>
    <x v="10"/>
    <x v="742"/>
    <n v="44125"/>
    <x v="136"/>
    <x v="2"/>
    <x v="0"/>
    <d v="2015-03-02T00:00:00"/>
    <n v="-13.135200000000001"/>
    <n v="8"/>
    <x v="1635"/>
    <n v="88157"/>
    <x v="0"/>
  </r>
  <r>
    <n v="21290"/>
    <s v="High"/>
    <n v="0.04"/>
    <n v="4.13"/>
    <x v="90"/>
    <x v="959"/>
    <x v="1"/>
    <x v="959"/>
    <x v="0"/>
    <x v="1"/>
    <x v="0"/>
    <x v="9"/>
    <x v="3"/>
    <x v="508"/>
    <n v="0.39"/>
    <n v="0.69"/>
    <s v="United States"/>
    <x v="2"/>
    <x v="48"/>
    <x v="743"/>
    <n v="58201"/>
    <x v="65"/>
    <x v="4"/>
    <x v="0"/>
    <d v="2015-04-30T00:00:00"/>
    <n v="22.307699999999997"/>
    <n v="7"/>
    <x v="1636"/>
    <n v="87396"/>
    <x v="0"/>
  </r>
  <r>
    <n v="21291"/>
    <s v="High"/>
    <n v="0.06"/>
    <n v="55.48"/>
    <x v="14"/>
    <x v="959"/>
    <x v="1"/>
    <x v="959"/>
    <x v="2"/>
    <x v="1"/>
    <x v="0"/>
    <x v="7"/>
    <x v="3"/>
    <x v="14"/>
    <n v="0.37"/>
    <n v="0.69"/>
    <s v="United States"/>
    <x v="2"/>
    <x v="48"/>
    <x v="743"/>
    <n v="58201"/>
    <x v="65"/>
    <x v="4"/>
    <x v="0"/>
    <d v="2015-04-30T00:00:00"/>
    <n v="443.02139999999991"/>
    <n v="12"/>
    <x v="1637"/>
    <n v="87396"/>
    <x v="0"/>
  </r>
  <r>
    <n v="8310"/>
    <s v="Medium"/>
    <n v="0.05"/>
    <n v="535.64"/>
    <x v="69"/>
    <x v="960"/>
    <x v="0"/>
    <x v="960"/>
    <x v="1"/>
    <x v="1"/>
    <x v="2"/>
    <x v="6"/>
    <x v="1"/>
    <x v="636"/>
    <n v="0.59"/>
    <n v="-1.142536496350365"/>
    <s v="United States"/>
    <x v="2"/>
    <x v="12"/>
    <x v="25"/>
    <n v="60603"/>
    <x v="31"/>
    <x v="1"/>
    <x v="0"/>
    <d v="2015-06-09T00:00:00"/>
    <n v="-1220.9144999999999"/>
    <n v="2"/>
    <x v="1638"/>
    <n v="59365"/>
    <x v="0"/>
  </r>
  <r>
    <n v="18166"/>
    <s v="Medium"/>
    <n v="0"/>
    <n v="6.37"/>
    <x v="154"/>
    <x v="961"/>
    <x v="0"/>
    <x v="961"/>
    <x v="2"/>
    <x v="3"/>
    <x v="0"/>
    <x v="8"/>
    <x v="3"/>
    <x v="214"/>
    <n v="0.38"/>
    <n v="-0.27217243107769423"/>
    <s v="United States"/>
    <x v="1"/>
    <x v="30"/>
    <x v="744"/>
    <n v="21740"/>
    <x v="136"/>
    <x v="2"/>
    <x v="0"/>
    <d v="2015-03-02T00:00:00"/>
    <n v="-27.1492"/>
    <n v="15"/>
    <x v="1223"/>
    <n v="86592"/>
    <x v="0"/>
  </r>
  <r>
    <n v="18345"/>
    <s v="Critical"/>
    <n v="0.02"/>
    <n v="110.98"/>
    <x v="100"/>
    <x v="962"/>
    <x v="1"/>
    <x v="962"/>
    <x v="2"/>
    <x v="3"/>
    <x v="1"/>
    <x v="2"/>
    <x v="4"/>
    <x v="649"/>
    <n v="0.69"/>
    <n v="-0.46944069218205092"/>
    <s v="United States"/>
    <x v="1"/>
    <x v="30"/>
    <x v="745"/>
    <n v="20707"/>
    <x v="59"/>
    <x v="0"/>
    <x v="0"/>
    <d v="2015-01-18T00:00:00"/>
    <n v="-106.3424"/>
    <n v="2"/>
    <x v="1639"/>
    <n v="86591"/>
    <x v="0"/>
  </r>
  <r>
    <n v="18346"/>
    <s v="Critical"/>
    <n v="0.01"/>
    <n v="8.01"/>
    <x v="467"/>
    <x v="962"/>
    <x v="1"/>
    <x v="962"/>
    <x v="2"/>
    <x v="3"/>
    <x v="0"/>
    <x v="7"/>
    <x v="0"/>
    <x v="840"/>
    <n v="0.4"/>
    <n v="0.65516096139839752"/>
    <s v="United States"/>
    <x v="1"/>
    <x v="30"/>
    <x v="745"/>
    <n v="20707"/>
    <x v="59"/>
    <x v="0"/>
    <x v="0"/>
    <d v="2015-01-18T00:00:00"/>
    <n v="44.976799999999997"/>
    <n v="8"/>
    <x v="1640"/>
    <n v="86591"/>
    <x v="0"/>
  </r>
  <r>
    <n v="25817"/>
    <s v="Critical"/>
    <n v="0.02"/>
    <n v="5.58"/>
    <x v="139"/>
    <x v="963"/>
    <x v="1"/>
    <x v="963"/>
    <x v="2"/>
    <x v="3"/>
    <x v="0"/>
    <x v="8"/>
    <x v="3"/>
    <x v="841"/>
    <n v="0.37"/>
    <n v="2.9106447662880544"/>
    <s v="United States"/>
    <x v="3"/>
    <x v="39"/>
    <x v="746"/>
    <n v="29418"/>
    <x v="66"/>
    <x v="3"/>
    <x v="0"/>
    <d v="2015-05-28T00:00:00"/>
    <n v="689.32799999999997"/>
    <n v="42"/>
    <x v="1641"/>
    <n v="90218"/>
    <x v="0"/>
  </r>
  <r>
    <n v="25819"/>
    <s v="Critical"/>
    <n v="0.02"/>
    <n v="54.1"/>
    <x v="3"/>
    <x v="963"/>
    <x v="1"/>
    <x v="963"/>
    <x v="2"/>
    <x v="3"/>
    <x v="0"/>
    <x v="10"/>
    <x v="3"/>
    <x v="725"/>
    <n v="0.59"/>
    <n v="-1.7269020551502156E-2"/>
    <s v="United States"/>
    <x v="3"/>
    <x v="39"/>
    <x v="746"/>
    <n v="29418"/>
    <x v="66"/>
    <x v="3"/>
    <x v="0"/>
    <d v="2015-05-27T00:00:00"/>
    <n v="-33.585999999999999"/>
    <n v="36"/>
    <x v="1642"/>
    <n v="90218"/>
    <x v="0"/>
  </r>
  <r>
    <n v="21313"/>
    <s v="Not Specified"/>
    <n v="0.1"/>
    <n v="11.55"/>
    <x v="77"/>
    <x v="964"/>
    <x v="0"/>
    <x v="964"/>
    <x v="2"/>
    <x v="2"/>
    <x v="0"/>
    <x v="0"/>
    <x v="0"/>
    <x v="99"/>
    <n v="0.55000000000000004"/>
    <n v="0.51386315091699197"/>
    <s v="United States"/>
    <x v="0"/>
    <x v="1"/>
    <x v="747"/>
    <n v="95630"/>
    <x v="136"/>
    <x v="2"/>
    <x v="0"/>
    <d v="2015-02-28T00:00:00"/>
    <n v="69.767200000000003"/>
    <n v="12"/>
    <x v="1643"/>
    <n v="87619"/>
    <x v="0"/>
  </r>
  <r>
    <n v="24866"/>
    <s v="High"/>
    <n v="0.01"/>
    <n v="35.44"/>
    <x v="3"/>
    <x v="965"/>
    <x v="0"/>
    <x v="965"/>
    <x v="2"/>
    <x v="2"/>
    <x v="0"/>
    <x v="7"/>
    <x v="3"/>
    <x v="611"/>
    <n v="0.38"/>
    <n v="-0.95296409886343125"/>
    <s v="United States"/>
    <x v="1"/>
    <x v="18"/>
    <x v="205"/>
    <n v="6614"/>
    <x v="126"/>
    <x v="4"/>
    <x v="0"/>
    <d v="2015-04-23T00:00:00"/>
    <n v="-52.822799999999994"/>
    <n v="1"/>
    <x v="1644"/>
    <n v="87620"/>
    <x v="0"/>
  </r>
  <r>
    <n v="24995"/>
    <s v="Low"/>
    <n v="0.02"/>
    <n v="3.8"/>
    <x v="25"/>
    <x v="966"/>
    <x v="0"/>
    <x v="966"/>
    <x v="2"/>
    <x v="2"/>
    <x v="0"/>
    <x v="8"/>
    <x v="3"/>
    <x v="27"/>
    <n v="0.38"/>
    <n v="0.35728250244379273"/>
    <s v="United States"/>
    <x v="1"/>
    <x v="15"/>
    <x v="28"/>
    <n v="2215"/>
    <x v="171"/>
    <x v="3"/>
    <x v="0"/>
    <d v="2015-05-15T00:00:00"/>
    <n v="7.31"/>
    <n v="5"/>
    <x v="1645"/>
    <n v="87617"/>
    <x v="0"/>
  </r>
  <r>
    <n v="24865"/>
    <s v="High"/>
    <n v="0.03"/>
    <n v="47.9"/>
    <x v="384"/>
    <x v="967"/>
    <x v="0"/>
    <x v="967"/>
    <x v="2"/>
    <x v="2"/>
    <x v="0"/>
    <x v="7"/>
    <x v="3"/>
    <x v="661"/>
    <n v="0.37"/>
    <n v="0.69"/>
    <s v="United States"/>
    <x v="1"/>
    <x v="15"/>
    <x v="748"/>
    <n v="2180"/>
    <x v="126"/>
    <x v="4"/>
    <x v="0"/>
    <d v="2015-04-25T00:00:00"/>
    <n v="642.99029999999993"/>
    <n v="20"/>
    <x v="1646"/>
    <n v="87620"/>
    <x v="0"/>
  </r>
  <r>
    <n v="23567"/>
    <s v="Critical"/>
    <n v="0.05"/>
    <n v="2.62"/>
    <x v="134"/>
    <x v="968"/>
    <x v="0"/>
    <x v="968"/>
    <x v="2"/>
    <x v="2"/>
    <x v="0"/>
    <x v="3"/>
    <x v="0"/>
    <x v="505"/>
    <n v="0.39"/>
    <n v="0.593647828117702"/>
    <s v="United States"/>
    <x v="1"/>
    <x v="2"/>
    <x v="106"/>
    <n v="7960"/>
    <x v="66"/>
    <x v="3"/>
    <x v="0"/>
    <d v="2015-05-27T00:00:00"/>
    <n v="12.71"/>
    <n v="8"/>
    <x v="1647"/>
    <n v="87618"/>
    <x v="0"/>
  </r>
  <r>
    <n v="19575"/>
    <s v="Low"/>
    <n v="0.04"/>
    <n v="4.55"/>
    <x v="25"/>
    <x v="969"/>
    <x v="0"/>
    <x v="969"/>
    <x v="2"/>
    <x v="0"/>
    <x v="0"/>
    <x v="8"/>
    <x v="3"/>
    <x v="516"/>
    <n v="0.35"/>
    <n v="0.47343933054393306"/>
    <s v="United States"/>
    <x v="2"/>
    <x v="22"/>
    <x v="514"/>
    <n v="48640"/>
    <x v="93"/>
    <x v="5"/>
    <x v="0"/>
    <d v="2015-03-07T00:00:00"/>
    <n v="28.288"/>
    <n v="13"/>
    <x v="1648"/>
    <n v="90309"/>
    <x v="0"/>
  </r>
  <r>
    <n v="26054"/>
    <s v="Not Specified"/>
    <n v="0.01"/>
    <n v="7.64"/>
    <x v="49"/>
    <x v="970"/>
    <x v="0"/>
    <x v="970"/>
    <x v="2"/>
    <x v="3"/>
    <x v="0"/>
    <x v="4"/>
    <x v="3"/>
    <x v="784"/>
    <n v="0.36"/>
    <n v="0.69"/>
    <s v="United States"/>
    <x v="1"/>
    <x v="4"/>
    <x v="749"/>
    <n v="14043"/>
    <x v="128"/>
    <x v="2"/>
    <x v="0"/>
    <d v="2015-02-07T00:00:00"/>
    <n v="112.1181"/>
    <n v="20"/>
    <x v="1649"/>
    <n v="87511"/>
    <x v="0"/>
  </r>
  <r>
    <n v="25051"/>
    <s v="Medium"/>
    <n v="7.0000000000000007E-2"/>
    <n v="42.98"/>
    <x v="107"/>
    <x v="971"/>
    <x v="1"/>
    <x v="971"/>
    <x v="0"/>
    <x v="0"/>
    <x v="0"/>
    <x v="15"/>
    <x v="3"/>
    <x v="647"/>
    <n v="0.56000000000000005"/>
    <n v="0.69"/>
    <s v="United States"/>
    <x v="2"/>
    <x v="13"/>
    <x v="728"/>
    <n v="67601"/>
    <x v="2"/>
    <x v="2"/>
    <x v="0"/>
    <d v="2015-02-17T00:00:00"/>
    <n v="565.38599999999997"/>
    <n v="19"/>
    <x v="1650"/>
    <n v="91397"/>
    <x v="0"/>
  </r>
  <r>
    <n v="25052"/>
    <s v="Medium"/>
    <n v="0.03"/>
    <n v="89.99"/>
    <x v="411"/>
    <x v="971"/>
    <x v="1"/>
    <x v="971"/>
    <x v="1"/>
    <x v="0"/>
    <x v="1"/>
    <x v="1"/>
    <x v="1"/>
    <x v="790"/>
    <n v="0.66"/>
    <n v="-0.12761585854399779"/>
    <s v="United States"/>
    <x v="2"/>
    <x v="13"/>
    <x v="728"/>
    <n v="67601"/>
    <x v="2"/>
    <x v="2"/>
    <x v="0"/>
    <d v="2015-02-18T00:00:00"/>
    <n v="-230.9528"/>
    <n v="19"/>
    <x v="1651"/>
    <n v="91397"/>
    <x v="0"/>
  </r>
  <r>
    <n v="25970"/>
    <s v="Medium"/>
    <n v="0.08"/>
    <n v="5.74"/>
    <x v="144"/>
    <x v="972"/>
    <x v="0"/>
    <x v="972"/>
    <x v="0"/>
    <x v="0"/>
    <x v="0"/>
    <x v="8"/>
    <x v="3"/>
    <x v="697"/>
    <n v="0.39"/>
    <n v="-0.88002341853491362"/>
    <s v="United States"/>
    <x v="1"/>
    <x v="10"/>
    <x v="750"/>
    <n v="43123"/>
    <x v="112"/>
    <x v="4"/>
    <x v="0"/>
    <d v="2015-04-17T00:00:00"/>
    <n v="-61.628039999999999"/>
    <n v="12"/>
    <x v="1652"/>
    <n v="91398"/>
    <x v="0"/>
  </r>
  <r>
    <n v="21200"/>
    <s v="Low"/>
    <n v="0.09"/>
    <n v="12.22"/>
    <x v="442"/>
    <x v="973"/>
    <x v="0"/>
    <x v="973"/>
    <x v="2"/>
    <x v="3"/>
    <x v="1"/>
    <x v="2"/>
    <x v="2"/>
    <x v="775"/>
    <n v="0.55000000000000004"/>
    <n v="0.69"/>
    <s v="United States"/>
    <x v="2"/>
    <x v="3"/>
    <x v="751"/>
    <n v="55119"/>
    <x v="49"/>
    <x v="1"/>
    <x v="0"/>
    <d v="2015-06-25T00:00:00"/>
    <n v="70.676699999999997"/>
    <n v="9"/>
    <x v="1653"/>
    <n v="86427"/>
    <x v="0"/>
  </r>
  <r>
    <n v="24817"/>
    <s v="Medium"/>
    <n v="0.1"/>
    <n v="37.94"/>
    <x v="217"/>
    <x v="974"/>
    <x v="0"/>
    <x v="974"/>
    <x v="0"/>
    <x v="0"/>
    <x v="0"/>
    <x v="7"/>
    <x v="0"/>
    <x v="320"/>
    <n v="0.38"/>
    <n v="0.69"/>
    <s v="United States"/>
    <x v="2"/>
    <x v="45"/>
    <x v="752"/>
    <n v="53209"/>
    <x v="57"/>
    <x v="4"/>
    <x v="0"/>
    <d v="2015-04-04T00:00:00"/>
    <n v="95.054399999999987"/>
    <n v="4"/>
    <x v="1654"/>
    <n v="90264"/>
    <x v="0"/>
  </r>
  <r>
    <n v="25709"/>
    <s v="Low"/>
    <n v="0.06"/>
    <n v="20.99"/>
    <x v="90"/>
    <x v="975"/>
    <x v="0"/>
    <x v="975"/>
    <x v="2"/>
    <x v="0"/>
    <x v="2"/>
    <x v="5"/>
    <x v="0"/>
    <x v="842"/>
    <n v="0.37"/>
    <n v="0.69"/>
    <s v="United States"/>
    <x v="2"/>
    <x v="45"/>
    <x v="753"/>
    <n v="54956"/>
    <x v="165"/>
    <x v="5"/>
    <x v="0"/>
    <d v="2015-03-28T00:00:00"/>
    <n v="224.96069999999997"/>
    <n v="18"/>
    <x v="1655"/>
    <n v="90265"/>
    <x v="0"/>
  </r>
  <r>
    <n v="19923"/>
    <s v="Not Specified"/>
    <n v="0.1"/>
    <n v="36.549999999999997"/>
    <x v="297"/>
    <x v="976"/>
    <x v="0"/>
    <x v="976"/>
    <x v="2"/>
    <x v="0"/>
    <x v="0"/>
    <x v="0"/>
    <x v="0"/>
    <x v="463"/>
    <n v="0.41"/>
    <n v="-0.23588960286526914"/>
    <s v="United States"/>
    <x v="3"/>
    <x v="40"/>
    <x v="754"/>
    <n v="72956"/>
    <x v="121"/>
    <x v="4"/>
    <x v="0"/>
    <d v="2015-04-07T00:00:00"/>
    <n v="-89.572000000000003"/>
    <n v="11"/>
    <x v="1656"/>
    <n v="90646"/>
    <x v="0"/>
  </r>
  <r>
    <n v="20390"/>
    <s v="High"/>
    <n v="7.0000000000000007E-2"/>
    <n v="4.76"/>
    <x v="463"/>
    <x v="977"/>
    <x v="0"/>
    <x v="977"/>
    <x v="0"/>
    <x v="3"/>
    <x v="0"/>
    <x v="7"/>
    <x v="0"/>
    <x v="817"/>
    <n v="0.39"/>
    <n v="0.69"/>
    <s v="United States"/>
    <x v="0"/>
    <x v="21"/>
    <x v="64"/>
    <n v="80027"/>
    <x v="163"/>
    <x v="3"/>
    <x v="0"/>
    <d v="2015-05-09T00:00:00"/>
    <n v="33.347699999999996"/>
    <n v="10"/>
    <x v="1657"/>
    <n v="88611"/>
    <x v="0"/>
  </r>
  <r>
    <n v="22175"/>
    <s v="Critical"/>
    <n v="0.01"/>
    <n v="7.98"/>
    <x v="150"/>
    <x v="978"/>
    <x v="0"/>
    <x v="978"/>
    <x v="2"/>
    <x v="3"/>
    <x v="0"/>
    <x v="10"/>
    <x v="4"/>
    <x v="843"/>
    <n v="0.59"/>
    <n v="-0.99089086221712985"/>
    <s v="United States"/>
    <x v="1"/>
    <x v="30"/>
    <x v="755"/>
    <n v="21220"/>
    <x v="33"/>
    <x v="1"/>
    <x v="0"/>
    <d v="2015-06-23T00:00:00"/>
    <n v="-34.591999999999999"/>
    <n v="4"/>
    <x v="1658"/>
    <n v="88612"/>
    <x v="0"/>
  </r>
  <r>
    <n v="25953"/>
    <s v="High"/>
    <n v="0.06"/>
    <n v="42.98"/>
    <x v="107"/>
    <x v="979"/>
    <x v="0"/>
    <x v="979"/>
    <x v="2"/>
    <x v="3"/>
    <x v="0"/>
    <x v="15"/>
    <x v="3"/>
    <x v="647"/>
    <n v="0.56000000000000005"/>
    <n v="-0.52359693877551017"/>
    <s v="United States"/>
    <x v="1"/>
    <x v="10"/>
    <x v="521"/>
    <n v="43050"/>
    <x v="109"/>
    <x v="4"/>
    <x v="0"/>
    <d v="2015-04-23T00:00:00"/>
    <n v="-24.63"/>
    <n v="1"/>
    <x v="1659"/>
    <n v="88610"/>
    <x v="0"/>
  </r>
  <r>
    <n v="21390"/>
    <s v="Not Specified"/>
    <n v="0.08"/>
    <n v="9.68"/>
    <x v="366"/>
    <x v="980"/>
    <x v="1"/>
    <x v="980"/>
    <x v="2"/>
    <x v="2"/>
    <x v="0"/>
    <x v="7"/>
    <x v="0"/>
    <x v="844"/>
    <n v="0.37"/>
    <n v="-49.016636197440583"/>
    <s v="United States"/>
    <x v="3"/>
    <x v="26"/>
    <x v="756"/>
    <n v="33021"/>
    <x v="11"/>
    <x v="2"/>
    <x v="0"/>
    <d v="2015-02-24T00:00:00"/>
    <n v="-536.24199999999996"/>
    <n v="1"/>
    <x v="1660"/>
    <n v="86085"/>
    <x v="0"/>
  </r>
  <r>
    <n v="21391"/>
    <s v="Not Specified"/>
    <n v="0.04"/>
    <n v="150.97999999999999"/>
    <x v="474"/>
    <x v="980"/>
    <x v="1"/>
    <x v="980"/>
    <x v="1"/>
    <x v="2"/>
    <x v="1"/>
    <x v="11"/>
    <x v="5"/>
    <x v="845"/>
    <n v="0.7"/>
    <n v="-0.17208564631245046"/>
    <s v="United States"/>
    <x v="3"/>
    <x v="26"/>
    <x v="756"/>
    <n v="33021"/>
    <x v="11"/>
    <x v="2"/>
    <x v="0"/>
    <d v="2015-02-23T00:00:00"/>
    <n v="-125.86000000000001"/>
    <n v="5"/>
    <x v="1661"/>
    <n v="86085"/>
    <x v="0"/>
  </r>
  <r>
    <n v="18041"/>
    <s v="High"/>
    <n v="0.06"/>
    <n v="363.25"/>
    <x v="3"/>
    <x v="980"/>
    <x v="1"/>
    <x v="980"/>
    <x v="2"/>
    <x v="2"/>
    <x v="0"/>
    <x v="15"/>
    <x v="3"/>
    <x v="451"/>
    <n v="0.56999999999999995"/>
    <n v="0.10486299185200219"/>
    <s v="United States"/>
    <x v="3"/>
    <x v="26"/>
    <x v="756"/>
    <n v="33021"/>
    <x v="145"/>
    <x v="5"/>
    <x v="0"/>
    <d v="2015-03-30T00:00:00"/>
    <n v="36.164099999999998"/>
    <n v="1"/>
    <x v="1662"/>
    <n v="86086"/>
    <x v="0"/>
  </r>
  <r>
    <n v="21096"/>
    <s v="High"/>
    <n v="0.01"/>
    <n v="30.97"/>
    <x v="41"/>
    <x v="981"/>
    <x v="1"/>
    <x v="981"/>
    <x v="2"/>
    <x v="1"/>
    <x v="2"/>
    <x v="13"/>
    <x v="3"/>
    <x v="846"/>
    <n v="0.74"/>
    <n v="3.2697587274882423E-2"/>
    <s v="United States"/>
    <x v="2"/>
    <x v="45"/>
    <x v="757"/>
    <n v="53151"/>
    <x v="53"/>
    <x v="4"/>
    <x v="0"/>
    <d v="2015-04-15T00:00:00"/>
    <n v="17.102799999999998"/>
    <n v="17"/>
    <x v="1663"/>
    <n v="87186"/>
    <x v="0"/>
  </r>
  <r>
    <n v="21097"/>
    <s v="High"/>
    <n v="0.08"/>
    <n v="125.99"/>
    <x v="19"/>
    <x v="981"/>
    <x v="1"/>
    <x v="981"/>
    <x v="2"/>
    <x v="1"/>
    <x v="2"/>
    <x v="5"/>
    <x v="3"/>
    <x v="442"/>
    <n v="0.57999999999999996"/>
    <n v="0.52352556213603441"/>
    <s v="United States"/>
    <x v="2"/>
    <x v="45"/>
    <x v="757"/>
    <n v="53151"/>
    <x v="53"/>
    <x v="4"/>
    <x v="0"/>
    <d v="2015-04-15T00:00:00"/>
    <n v="1269.3819599999999"/>
    <n v="23"/>
    <x v="1664"/>
    <n v="87186"/>
    <x v="0"/>
  </r>
  <r>
    <n v="24770"/>
    <s v="Critical"/>
    <n v="0.1"/>
    <n v="442.14"/>
    <x v="69"/>
    <x v="981"/>
    <x v="1"/>
    <x v="981"/>
    <x v="1"/>
    <x v="1"/>
    <x v="2"/>
    <x v="6"/>
    <x v="1"/>
    <x v="110"/>
    <n v="0.56000000000000005"/>
    <n v="5.7098045558029942E-2"/>
    <s v="United States"/>
    <x v="2"/>
    <x v="45"/>
    <x v="757"/>
    <n v="53151"/>
    <x v="135"/>
    <x v="3"/>
    <x v="0"/>
    <d v="2015-05-21T00:00:00"/>
    <n v="137.68794000000014"/>
    <n v="6"/>
    <x v="1665"/>
    <n v="87187"/>
    <x v="0"/>
  </r>
  <r>
    <n v="19599"/>
    <s v="Medium"/>
    <n v="0.01"/>
    <n v="35.99"/>
    <x v="90"/>
    <x v="982"/>
    <x v="0"/>
    <x v="982"/>
    <x v="2"/>
    <x v="2"/>
    <x v="2"/>
    <x v="5"/>
    <x v="2"/>
    <x v="771"/>
    <n v="0.35"/>
    <n v="0.69"/>
    <s v="United States"/>
    <x v="2"/>
    <x v="45"/>
    <x v="758"/>
    <n v="53154"/>
    <x v="55"/>
    <x v="3"/>
    <x v="0"/>
    <d v="2015-05-23T00:00:00"/>
    <n v="882.48239999999998"/>
    <n v="41"/>
    <x v="1666"/>
    <n v="89047"/>
    <x v="0"/>
  </r>
  <r>
    <n v="20182"/>
    <s v="Critical"/>
    <n v="0.09"/>
    <n v="2.94"/>
    <x v="22"/>
    <x v="983"/>
    <x v="1"/>
    <x v="983"/>
    <x v="2"/>
    <x v="0"/>
    <x v="0"/>
    <x v="0"/>
    <x v="0"/>
    <x v="22"/>
    <n v="0.57999999999999996"/>
    <n v="0.25313243457573359"/>
    <s v="United States"/>
    <x v="2"/>
    <x v="48"/>
    <x v="759"/>
    <n v="58601"/>
    <x v="39"/>
    <x v="0"/>
    <x v="0"/>
    <d v="2015-01-28T00:00:00"/>
    <n v="6.3840000000000003"/>
    <n v="9"/>
    <x v="1667"/>
    <n v="86544"/>
    <x v="0"/>
  </r>
  <r>
    <n v="18169"/>
    <s v="Critical"/>
    <n v="0.02"/>
    <n v="5.34"/>
    <x v="139"/>
    <x v="983"/>
    <x v="1"/>
    <x v="983"/>
    <x v="2"/>
    <x v="0"/>
    <x v="0"/>
    <x v="8"/>
    <x v="3"/>
    <x v="289"/>
    <n v="0.38"/>
    <n v="0.15247624532104812"/>
    <s v="United States"/>
    <x v="2"/>
    <x v="48"/>
    <x v="759"/>
    <n v="58601"/>
    <x v="115"/>
    <x v="2"/>
    <x v="0"/>
    <d v="2015-02-28T00:00:00"/>
    <n v="5.2955000000000005"/>
    <n v="6"/>
    <x v="1668"/>
    <n v="86545"/>
    <x v="0"/>
  </r>
  <r>
    <n v="18170"/>
    <s v="Critical"/>
    <n v="0.03"/>
    <n v="40.98"/>
    <x v="313"/>
    <x v="983"/>
    <x v="1"/>
    <x v="983"/>
    <x v="2"/>
    <x v="0"/>
    <x v="0"/>
    <x v="8"/>
    <x v="3"/>
    <x v="493"/>
    <n v="0.37"/>
    <n v="0.69"/>
    <s v="United States"/>
    <x v="2"/>
    <x v="48"/>
    <x v="759"/>
    <n v="58601"/>
    <x v="115"/>
    <x v="2"/>
    <x v="0"/>
    <d v="2015-02-27T00:00:00"/>
    <n v="170.79569999999998"/>
    <n v="6"/>
    <x v="1669"/>
    <n v="86545"/>
    <x v="0"/>
  </r>
  <r>
    <n v="18133"/>
    <s v="Not Specified"/>
    <n v="0.01"/>
    <n v="5.84"/>
    <x v="227"/>
    <x v="983"/>
    <x v="1"/>
    <x v="983"/>
    <x v="2"/>
    <x v="0"/>
    <x v="0"/>
    <x v="0"/>
    <x v="0"/>
    <x v="341"/>
    <n v="0.49"/>
    <n v="0.67358727501046456"/>
    <s v="United States"/>
    <x v="2"/>
    <x v="48"/>
    <x v="759"/>
    <n v="58601"/>
    <x v="110"/>
    <x v="1"/>
    <x v="0"/>
    <d v="2015-06-16T00:00:00"/>
    <n v="16.091999999999999"/>
    <n v="4"/>
    <x v="1670"/>
    <n v="86546"/>
    <x v="0"/>
  </r>
  <r>
    <n v="20183"/>
    <s v="Critical"/>
    <n v="0.03"/>
    <n v="43.98"/>
    <x v="20"/>
    <x v="984"/>
    <x v="1"/>
    <x v="984"/>
    <x v="2"/>
    <x v="0"/>
    <x v="0"/>
    <x v="0"/>
    <x v="2"/>
    <x v="404"/>
    <n v="0.57999999999999996"/>
    <n v="0.60316637323943667"/>
    <s v="United States"/>
    <x v="1"/>
    <x v="10"/>
    <x v="760"/>
    <n v="44870"/>
    <x v="39"/>
    <x v="0"/>
    <x v="0"/>
    <d v="2015-01-29T00:00:00"/>
    <n v="274.0788"/>
    <n v="10"/>
    <x v="1671"/>
    <n v="86544"/>
    <x v="0"/>
  </r>
  <r>
    <n v="20184"/>
    <s v="Critical"/>
    <n v="0.06"/>
    <n v="1.1399999999999999"/>
    <x v="22"/>
    <x v="984"/>
    <x v="1"/>
    <x v="984"/>
    <x v="2"/>
    <x v="0"/>
    <x v="0"/>
    <x v="3"/>
    <x v="0"/>
    <x v="366"/>
    <n v="0.38"/>
    <n v="-0.26028905712319339"/>
    <s v="United States"/>
    <x v="1"/>
    <x v="10"/>
    <x v="760"/>
    <n v="44870"/>
    <x v="39"/>
    <x v="0"/>
    <x v="0"/>
    <d v="2015-01-30T00:00:00"/>
    <n v="-3.782"/>
    <n v="13"/>
    <x v="869"/>
    <n v="86544"/>
    <x v="0"/>
  </r>
  <r>
    <n v="20435"/>
    <s v="Medium"/>
    <n v="7.0000000000000007E-2"/>
    <n v="2.61"/>
    <x v="28"/>
    <x v="984"/>
    <x v="1"/>
    <x v="984"/>
    <x v="2"/>
    <x v="0"/>
    <x v="0"/>
    <x v="9"/>
    <x v="3"/>
    <x v="413"/>
    <n v="0.39"/>
    <n v="0.69"/>
    <s v="United States"/>
    <x v="1"/>
    <x v="10"/>
    <x v="760"/>
    <n v="44870"/>
    <x v="147"/>
    <x v="2"/>
    <x v="0"/>
    <d v="2015-02-27T00:00:00"/>
    <n v="10.798499999999999"/>
    <n v="6"/>
    <x v="1672"/>
    <n v="86547"/>
    <x v="0"/>
  </r>
  <r>
    <n v="23110"/>
    <s v="Low"/>
    <n v="0.04"/>
    <n v="2.88"/>
    <x v="195"/>
    <x v="984"/>
    <x v="1"/>
    <x v="984"/>
    <x v="2"/>
    <x v="0"/>
    <x v="0"/>
    <x v="0"/>
    <x v="0"/>
    <x v="279"/>
    <n v="0.55000000000000004"/>
    <n v="0.13622230164403146"/>
    <s v="United States"/>
    <x v="1"/>
    <x v="10"/>
    <x v="760"/>
    <n v="44870"/>
    <x v="155"/>
    <x v="3"/>
    <x v="0"/>
    <d v="2015-06-04T00:00:00"/>
    <n v="15.246"/>
    <n v="39"/>
    <x v="1673"/>
    <n v="86548"/>
    <x v="0"/>
  </r>
  <r>
    <n v="20816"/>
    <s v="Critical"/>
    <n v="0.09"/>
    <n v="100.98"/>
    <x v="61"/>
    <x v="985"/>
    <x v="1"/>
    <x v="985"/>
    <x v="1"/>
    <x v="1"/>
    <x v="1"/>
    <x v="14"/>
    <x v="5"/>
    <x v="77"/>
    <n v="0.62"/>
    <n v="-6.0941671861583877E-2"/>
    <s v="United States"/>
    <x v="2"/>
    <x v="25"/>
    <x v="761"/>
    <n v="50265"/>
    <x v="162"/>
    <x v="1"/>
    <x v="0"/>
    <d v="2015-06-28T00:00:00"/>
    <n v="-103.624"/>
    <n v="17"/>
    <x v="1674"/>
    <n v="91180"/>
    <x v="0"/>
  </r>
  <r>
    <n v="20817"/>
    <s v="Critical"/>
    <n v="0.1"/>
    <n v="5.78"/>
    <x v="34"/>
    <x v="985"/>
    <x v="1"/>
    <x v="985"/>
    <x v="2"/>
    <x v="1"/>
    <x v="0"/>
    <x v="7"/>
    <x v="3"/>
    <x v="847"/>
    <n v="0.36"/>
    <n v="-1.6080088987764181"/>
    <s v="United States"/>
    <x v="2"/>
    <x v="25"/>
    <x v="761"/>
    <n v="50265"/>
    <x v="162"/>
    <x v="1"/>
    <x v="0"/>
    <d v="2015-06-28T00:00:00"/>
    <n v="-57.823999999999998"/>
    <n v="6"/>
    <x v="1675"/>
    <n v="91180"/>
    <x v="0"/>
  </r>
  <r>
    <n v="22473"/>
    <s v="Low"/>
    <n v="0.05"/>
    <n v="70.97"/>
    <x v="169"/>
    <x v="986"/>
    <x v="0"/>
    <x v="986"/>
    <x v="2"/>
    <x v="1"/>
    <x v="0"/>
    <x v="15"/>
    <x v="3"/>
    <x v="235"/>
    <n v="0.59"/>
    <n v="0.1286672787626246"/>
    <s v="United States"/>
    <x v="2"/>
    <x v="45"/>
    <x v="762"/>
    <n v="53402"/>
    <x v="100"/>
    <x v="3"/>
    <x v="0"/>
    <d v="2015-05-13T00:00:00"/>
    <n v="18.218000000000018"/>
    <n v="2"/>
    <x v="1676"/>
    <n v="91466"/>
    <x v="0"/>
  </r>
  <r>
    <n v="22476"/>
    <s v="Low"/>
    <n v="0"/>
    <n v="5.28"/>
    <x v="309"/>
    <x v="987"/>
    <x v="0"/>
    <x v="987"/>
    <x v="2"/>
    <x v="1"/>
    <x v="0"/>
    <x v="7"/>
    <x v="3"/>
    <x v="489"/>
    <n v="0.4"/>
    <n v="0.1234080275794141"/>
    <s v="United States"/>
    <x v="2"/>
    <x v="45"/>
    <x v="763"/>
    <n v="53081"/>
    <x v="100"/>
    <x v="3"/>
    <x v="0"/>
    <d v="2015-05-15T00:00:00"/>
    <n v="25.058000000000035"/>
    <n v="36"/>
    <x v="1677"/>
    <n v="91466"/>
    <x v="0"/>
  </r>
  <r>
    <n v="20891"/>
    <s v="Not Specified"/>
    <n v="0.03"/>
    <n v="10.98"/>
    <x v="51"/>
    <x v="988"/>
    <x v="0"/>
    <x v="988"/>
    <x v="2"/>
    <x v="3"/>
    <x v="0"/>
    <x v="12"/>
    <x v="2"/>
    <x v="63"/>
    <n v="0.56999999999999995"/>
    <n v="0.21035771489588898"/>
    <s v="United States"/>
    <x v="2"/>
    <x v="22"/>
    <x v="764"/>
    <n v="48237"/>
    <x v="98"/>
    <x v="4"/>
    <x v="0"/>
    <d v="2015-04-11T00:00:00"/>
    <n v="11.82"/>
    <n v="5"/>
    <x v="1678"/>
    <n v="87041"/>
    <x v="0"/>
  </r>
  <r>
    <n v="21499"/>
    <s v="Low"/>
    <n v="0.01"/>
    <n v="10.14"/>
    <x v="66"/>
    <x v="989"/>
    <x v="0"/>
    <x v="989"/>
    <x v="2"/>
    <x v="3"/>
    <x v="0"/>
    <x v="7"/>
    <x v="0"/>
    <x v="82"/>
    <n v="0.36"/>
    <n v="0.69"/>
    <s v="United States"/>
    <x v="2"/>
    <x v="22"/>
    <x v="765"/>
    <n v="48342"/>
    <x v="161"/>
    <x v="0"/>
    <x v="0"/>
    <d v="2015-01-28T00:00:00"/>
    <n v="28.151999999999997"/>
    <n v="4"/>
    <x v="1679"/>
    <n v="87042"/>
    <x v="0"/>
  </r>
  <r>
    <n v="23836"/>
    <s v="Not Specified"/>
    <n v="0.03"/>
    <n v="5.4"/>
    <x v="75"/>
    <x v="990"/>
    <x v="0"/>
    <x v="990"/>
    <x v="2"/>
    <x v="3"/>
    <x v="0"/>
    <x v="8"/>
    <x v="3"/>
    <x v="97"/>
    <n v="0.37"/>
    <n v="-2.0153049970306269"/>
    <s v="United States"/>
    <x v="2"/>
    <x v="22"/>
    <x v="766"/>
    <n v="48060"/>
    <x v="83"/>
    <x v="5"/>
    <x v="0"/>
    <d v="2015-03-19T00:00:00"/>
    <n v="-237.54400000000001"/>
    <n v="21"/>
    <x v="1680"/>
    <n v="87043"/>
    <x v="0"/>
  </r>
  <r>
    <n v="25282"/>
    <s v="Medium"/>
    <n v="0.03"/>
    <n v="85.99"/>
    <x v="90"/>
    <x v="991"/>
    <x v="0"/>
    <x v="991"/>
    <x v="2"/>
    <x v="1"/>
    <x v="2"/>
    <x v="5"/>
    <x v="0"/>
    <x v="141"/>
    <n v="0.55000000000000004"/>
    <n v="0.69"/>
    <s v="United States"/>
    <x v="0"/>
    <x v="44"/>
    <x v="767"/>
    <n v="83814"/>
    <x v="93"/>
    <x v="5"/>
    <x v="0"/>
    <d v="2015-03-06T00:00:00"/>
    <n v="1037.1044999999999"/>
    <n v="20"/>
    <x v="1681"/>
    <n v="91586"/>
    <x v="0"/>
  </r>
  <r>
    <n v="7664"/>
    <s v="Low"/>
    <n v="0.08"/>
    <n v="6.48"/>
    <x v="475"/>
    <x v="992"/>
    <x v="1"/>
    <x v="992"/>
    <x v="2"/>
    <x v="0"/>
    <x v="0"/>
    <x v="7"/>
    <x v="3"/>
    <x v="848"/>
    <n v="0.36"/>
    <n v="-0.2474040750137316"/>
    <s v="United States"/>
    <x v="0"/>
    <x v="1"/>
    <x v="154"/>
    <n v="90049"/>
    <x v="104"/>
    <x v="2"/>
    <x v="0"/>
    <d v="2015-02-15T00:00:00"/>
    <n v="-94.59"/>
    <n v="58"/>
    <x v="1682"/>
    <n v="54949"/>
    <x v="0"/>
  </r>
  <r>
    <n v="7665"/>
    <s v="Low"/>
    <n v="0.09"/>
    <n v="20.98"/>
    <x v="151"/>
    <x v="992"/>
    <x v="1"/>
    <x v="992"/>
    <x v="1"/>
    <x v="0"/>
    <x v="0"/>
    <x v="10"/>
    <x v="1"/>
    <x v="211"/>
    <n v="0.78"/>
    <n v="-0.82370096183505792"/>
    <s v="United States"/>
    <x v="0"/>
    <x v="1"/>
    <x v="154"/>
    <n v="90049"/>
    <x v="104"/>
    <x v="2"/>
    <x v="0"/>
    <d v="2015-02-17T00:00:00"/>
    <n v="-293.74"/>
    <n v="13"/>
    <x v="1683"/>
    <n v="54949"/>
    <x v="0"/>
  </r>
  <r>
    <n v="23295"/>
    <s v="Critical"/>
    <n v="0.05"/>
    <n v="122.99"/>
    <x v="3"/>
    <x v="993"/>
    <x v="0"/>
    <x v="993"/>
    <x v="0"/>
    <x v="0"/>
    <x v="0"/>
    <x v="8"/>
    <x v="3"/>
    <x v="741"/>
    <n v="0.37"/>
    <n v="0.68999999999999984"/>
    <s v="United States"/>
    <x v="0"/>
    <x v="44"/>
    <x v="767"/>
    <n v="83814"/>
    <x v="178"/>
    <x v="1"/>
    <x v="0"/>
    <d v="2015-06-11T00:00:00"/>
    <n v="1039.7540999999999"/>
    <n v="12"/>
    <x v="1684"/>
    <n v="91389"/>
    <x v="0"/>
  </r>
  <r>
    <n v="25664"/>
    <s v="Low"/>
    <n v="0.08"/>
    <n v="6.48"/>
    <x v="475"/>
    <x v="994"/>
    <x v="1"/>
    <x v="994"/>
    <x v="2"/>
    <x v="0"/>
    <x v="0"/>
    <x v="7"/>
    <x v="3"/>
    <x v="848"/>
    <n v="0.36"/>
    <n v="-0.53295915050384657"/>
    <s v="United States"/>
    <x v="0"/>
    <x v="44"/>
    <x v="768"/>
    <n v="83402"/>
    <x v="104"/>
    <x v="2"/>
    <x v="0"/>
    <d v="2015-02-15T00:00:00"/>
    <n v="-49.186800000000005"/>
    <n v="14"/>
    <x v="1685"/>
    <n v="91388"/>
    <x v="0"/>
  </r>
  <r>
    <n v="25665"/>
    <s v="Low"/>
    <n v="0.09"/>
    <n v="20.98"/>
    <x v="151"/>
    <x v="994"/>
    <x v="1"/>
    <x v="994"/>
    <x v="1"/>
    <x v="0"/>
    <x v="0"/>
    <x v="10"/>
    <x v="1"/>
    <x v="211"/>
    <n v="0.78"/>
    <n v="-1.8561769352290678"/>
    <s v="United States"/>
    <x v="0"/>
    <x v="44"/>
    <x v="768"/>
    <n v="83402"/>
    <x v="104"/>
    <x v="2"/>
    <x v="0"/>
    <d v="2015-02-17T00:00:00"/>
    <n v="-152.7448"/>
    <n v="3"/>
    <x v="1686"/>
    <n v="91388"/>
    <x v="0"/>
  </r>
  <r>
    <n v="23627"/>
    <s v="Critical"/>
    <n v="0.05"/>
    <n v="9.99"/>
    <x v="368"/>
    <x v="995"/>
    <x v="1"/>
    <x v="995"/>
    <x v="2"/>
    <x v="1"/>
    <x v="0"/>
    <x v="7"/>
    <x v="3"/>
    <x v="627"/>
    <n v="0.4"/>
    <n v="0.20307813345134482"/>
    <s v="United States"/>
    <x v="2"/>
    <x v="3"/>
    <x v="769"/>
    <n v="55343"/>
    <x v="127"/>
    <x v="5"/>
    <x v="0"/>
    <d v="2015-03-07T00:00:00"/>
    <n v="41.3"/>
    <n v="20"/>
    <x v="1687"/>
    <n v="89414"/>
    <x v="0"/>
  </r>
  <r>
    <n v="24908"/>
    <s v="High"/>
    <n v="0.01"/>
    <n v="12.28"/>
    <x v="476"/>
    <x v="995"/>
    <x v="1"/>
    <x v="995"/>
    <x v="2"/>
    <x v="1"/>
    <x v="0"/>
    <x v="7"/>
    <x v="3"/>
    <x v="849"/>
    <n v="0.38"/>
    <n v="0.29634009709946468"/>
    <s v="United States"/>
    <x v="2"/>
    <x v="3"/>
    <x v="769"/>
    <n v="55343"/>
    <x v="164"/>
    <x v="1"/>
    <x v="0"/>
    <d v="2015-06-12T00:00:00"/>
    <n v="47.61"/>
    <n v="12"/>
    <x v="1688"/>
    <n v="89415"/>
    <x v="0"/>
  </r>
  <r>
    <n v="7898"/>
    <s v="Critical"/>
    <n v="0.03"/>
    <n v="5.98"/>
    <x v="321"/>
    <x v="996"/>
    <x v="1"/>
    <x v="996"/>
    <x v="2"/>
    <x v="0"/>
    <x v="0"/>
    <x v="7"/>
    <x v="3"/>
    <x v="515"/>
    <n v="0.4"/>
    <n v="-0.21946208442286141"/>
    <s v="United States"/>
    <x v="1"/>
    <x v="15"/>
    <x v="28"/>
    <n v="2113"/>
    <x v="5"/>
    <x v="3"/>
    <x v="0"/>
    <d v="2015-05-29T00:00:00"/>
    <n v="-23.5"/>
    <n v="16"/>
    <x v="1689"/>
    <n v="56486"/>
    <x v="0"/>
  </r>
  <r>
    <n v="1041"/>
    <s v="Critical"/>
    <n v="0.03"/>
    <n v="300.64999999999998"/>
    <x v="65"/>
    <x v="996"/>
    <x v="1"/>
    <x v="996"/>
    <x v="2"/>
    <x v="0"/>
    <x v="0"/>
    <x v="15"/>
    <x v="6"/>
    <x v="850"/>
    <n v="0.52"/>
    <n v="0.13214170168132164"/>
    <s v="United States"/>
    <x v="1"/>
    <x v="15"/>
    <x v="28"/>
    <n v="2113"/>
    <x v="65"/>
    <x v="4"/>
    <x v="0"/>
    <d v="2015-04-30T00:00:00"/>
    <n v="1282.4959999999999"/>
    <n v="32"/>
    <x v="1690"/>
    <n v="7623"/>
    <x v="0"/>
  </r>
  <r>
    <n v="1042"/>
    <s v="Critical"/>
    <n v="0.06"/>
    <n v="49.99"/>
    <x v="3"/>
    <x v="996"/>
    <x v="1"/>
    <x v="996"/>
    <x v="2"/>
    <x v="0"/>
    <x v="2"/>
    <x v="13"/>
    <x v="3"/>
    <x v="606"/>
    <n v="0.45"/>
    <n v="5.2963165965623209E-3"/>
    <s v="United States"/>
    <x v="1"/>
    <x v="15"/>
    <x v="28"/>
    <n v="2113"/>
    <x v="65"/>
    <x v="4"/>
    <x v="0"/>
    <d v="2015-04-30T00:00:00"/>
    <n v="17.2"/>
    <n v="67"/>
    <x v="1691"/>
    <n v="7623"/>
    <x v="0"/>
  </r>
  <r>
    <n v="1043"/>
    <s v="Critical"/>
    <n v="0.1"/>
    <n v="104.85"/>
    <x v="477"/>
    <x v="996"/>
    <x v="1"/>
    <x v="996"/>
    <x v="2"/>
    <x v="0"/>
    <x v="0"/>
    <x v="7"/>
    <x v="3"/>
    <x v="851"/>
    <n v="0.37"/>
    <n v="0.21210791329534648"/>
    <s v="United States"/>
    <x v="1"/>
    <x v="15"/>
    <x v="28"/>
    <n v="2113"/>
    <x v="65"/>
    <x v="4"/>
    <x v="0"/>
    <d v="2015-04-29T00:00:00"/>
    <n v="1184.1200000000001"/>
    <n v="58"/>
    <x v="1692"/>
    <n v="7623"/>
    <x v="0"/>
  </r>
  <r>
    <n v="19041"/>
    <s v="Critical"/>
    <n v="0.03"/>
    <n v="300.64999999999998"/>
    <x v="65"/>
    <x v="997"/>
    <x v="1"/>
    <x v="997"/>
    <x v="2"/>
    <x v="0"/>
    <x v="0"/>
    <x v="15"/>
    <x v="6"/>
    <x v="850"/>
    <n v="0.52"/>
    <n v="0.60785308033432783"/>
    <s v="United States"/>
    <x v="1"/>
    <x v="4"/>
    <x v="770"/>
    <n v="14609"/>
    <x v="65"/>
    <x v="4"/>
    <x v="0"/>
    <d v="2015-04-30T00:00:00"/>
    <n v="1474.8703999999998"/>
    <n v="8"/>
    <x v="1693"/>
    <n v="86346"/>
    <x v="0"/>
  </r>
  <r>
    <n v="19042"/>
    <s v="Critical"/>
    <n v="0.06"/>
    <n v="49.99"/>
    <x v="3"/>
    <x v="997"/>
    <x v="1"/>
    <x v="997"/>
    <x v="2"/>
    <x v="0"/>
    <x v="2"/>
    <x v="13"/>
    <x v="3"/>
    <x v="606"/>
    <n v="0.45"/>
    <n v="2.400485436893204E-2"/>
    <s v="United States"/>
    <x v="1"/>
    <x v="4"/>
    <x v="770"/>
    <n v="14609"/>
    <x v="65"/>
    <x v="4"/>
    <x v="0"/>
    <d v="2015-04-30T00:00:00"/>
    <n v="19.78"/>
    <n v="17"/>
    <x v="1694"/>
    <n v="86346"/>
    <x v="0"/>
  </r>
  <r>
    <n v="19043"/>
    <s v="Critical"/>
    <n v="0.1"/>
    <n v="104.85"/>
    <x v="477"/>
    <x v="997"/>
    <x v="1"/>
    <x v="997"/>
    <x v="2"/>
    <x v="0"/>
    <x v="0"/>
    <x v="7"/>
    <x v="3"/>
    <x v="851"/>
    <n v="0.37"/>
    <n v="0.69"/>
    <s v="United States"/>
    <x v="1"/>
    <x v="4"/>
    <x v="770"/>
    <n v="14609"/>
    <x v="65"/>
    <x v="4"/>
    <x v="0"/>
    <d v="2015-04-29T00:00:00"/>
    <n v="929.7956999999999"/>
    <n v="14"/>
    <x v="1695"/>
    <n v="86346"/>
    <x v="0"/>
  </r>
  <r>
    <n v="22064"/>
    <s v="Critical"/>
    <n v="0.01"/>
    <n v="5.58"/>
    <x v="98"/>
    <x v="998"/>
    <x v="1"/>
    <x v="998"/>
    <x v="2"/>
    <x v="0"/>
    <x v="0"/>
    <x v="4"/>
    <x v="3"/>
    <x v="127"/>
    <n v="0.35"/>
    <n v="-0.64964157706093184"/>
    <s v="United States"/>
    <x v="0"/>
    <x v="1"/>
    <x v="771"/>
    <n v="92024"/>
    <x v="85"/>
    <x v="0"/>
    <x v="0"/>
    <d v="2015-01-10T00:00:00"/>
    <n v="-7.25"/>
    <n v="1"/>
    <x v="1696"/>
    <n v="89071"/>
    <x v="0"/>
  </r>
  <r>
    <n v="22065"/>
    <s v="Critical"/>
    <n v="0.03"/>
    <n v="3.98"/>
    <x v="22"/>
    <x v="998"/>
    <x v="1"/>
    <x v="998"/>
    <x v="2"/>
    <x v="0"/>
    <x v="0"/>
    <x v="0"/>
    <x v="0"/>
    <x v="852"/>
    <n v="0.52"/>
    <n v="0.69"/>
    <s v="United States"/>
    <x v="0"/>
    <x v="1"/>
    <x v="771"/>
    <n v="92024"/>
    <x v="85"/>
    <x v="0"/>
    <x v="0"/>
    <d v="2015-01-10T00:00:00"/>
    <n v="31.201799999999995"/>
    <n v="11"/>
    <x v="1697"/>
    <n v="89071"/>
    <x v="0"/>
  </r>
  <r>
    <n v="18950"/>
    <s v="Low"/>
    <n v="0.01"/>
    <n v="4.9800000000000004"/>
    <x v="478"/>
    <x v="999"/>
    <x v="1"/>
    <x v="999"/>
    <x v="2"/>
    <x v="1"/>
    <x v="0"/>
    <x v="7"/>
    <x v="3"/>
    <x v="853"/>
    <n v="0.36"/>
    <n v="-1.4339769506895901"/>
    <s v="United States"/>
    <x v="2"/>
    <x v="12"/>
    <x v="772"/>
    <n v="60148"/>
    <x v="43"/>
    <x v="0"/>
    <x v="0"/>
    <d v="2015-01-20T00:00:00"/>
    <n v="-75.900400000000005"/>
    <n v="10"/>
    <x v="264"/>
    <n v="89128"/>
    <x v="0"/>
  </r>
  <r>
    <n v="18951"/>
    <s v="Low"/>
    <n v="0.04"/>
    <n v="6.35"/>
    <x v="215"/>
    <x v="999"/>
    <x v="1"/>
    <x v="999"/>
    <x v="2"/>
    <x v="1"/>
    <x v="0"/>
    <x v="7"/>
    <x v="0"/>
    <x v="318"/>
    <n v="0.39"/>
    <n v="0.69"/>
    <s v="United States"/>
    <x v="2"/>
    <x v="12"/>
    <x v="772"/>
    <n v="60148"/>
    <x v="43"/>
    <x v="0"/>
    <x v="0"/>
    <d v="2015-01-20T00:00:00"/>
    <n v="52.170899999999996"/>
    <n v="12"/>
    <x v="1698"/>
    <n v="89128"/>
    <x v="0"/>
  </r>
  <r>
    <n v="19849"/>
    <s v="Not Specified"/>
    <n v="0.02"/>
    <n v="12.99"/>
    <x v="142"/>
    <x v="1000"/>
    <x v="1"/>
    <x v="1000"/>
    <x v="2"/>
    <x v="1"/>
    <x v="1"/>
    <x v="2"/>
    <x v="6"/>
    <x v="193"/>
    <n v="0.73"/>
    <n v="-2.3633944411590777"/>
    <s v="United States"/>
    <x v="2"/>
    <x v="48"/>
    <x v="773"/>
    <n v="58554"/>
    <x v="59"/>
    <x v="0"/>
    <x v="0"/>
    <d v="2015-01-18T00:00:00"/>
    <n v="-159.86000000000001"/>
    <n v="5"/>
    <x v="1699"/>
    <n v="89129"/>
    <x v="0"/>
  </r>
  <r>
    <n v="19850"/>
    <s v="Not Specified"/>
    <n v="0.05"/>
    <n v="35.44"/>
    <x v="392"/>
    <x v="1000"/>
    <x v="1"/>
    <x v="1000"/>
    <x v="2"/>
    <x v="1"/>
    <x v="0"/>
    <x v="7"/>
    <x v="3"/>
    <x v="854"/>
    <n v="0.38"/>
    <n v="0.69"/>
    <s v="United States"/>
    <x v="2"/>
    <x v="48"/>
    <x v="773"/>
    <n v="58554"/>
    <x v="59"/>
    <x v="0"/>
    <x v="0"/>
    <d v="2015-01-18T00:00:00"/>
    <n v="165.88979999999998"/>
    <n v="7"/>
    <x v="1700"/>
    <n v="89129"/>
    <x v="0"/>
  </r>
  <r>
    <n v="19851"/>
    <s v="Not Specified"/>
    <n v="0.02"/>
    <n v="12.98"/>
    <x v="39"/>
    <x v="1000"/>
    <x v="1"/>
    <x v="1000"/>
    <x v="2"/>
    <x v="1"/>
    <x v="0"/>
    <x v="12"/>
    <x v="2"/>
    <x v="47"/>
    <n v="0.6"/>
    <n v="0.40677874186550977"/>
    <s v="United States"/>
    <x v="2"/>
    <x v="48"/>
    <x v="773"/>
    <n v="58554"/>
    <x v="59"/>
    <x v="0"/>
    <x v="0"/>
    <d v="2015-01-19T00:00:00"/>
    <n v="75.010000000000005"/>
    <n v="14"/>
    <x v="1701"/>
    <n v="89129"/>
    <x v="0"/>
  </r>
  <r>
    <n v="22201"/>
    <s v="Critical"/>
    <n v="0.08"/>
    <n v="178.47"/>
    <x v="3"/>
    <x v="1000"/>
    <x v="1"/>
    <x v="1000"/>
    <x v="2"/>
    <x v="1"/>
    <x v="0"/>
    <x v="10"/>
    <x v="3"/>
    <x v="179"/>
    <n v="0.55000000000000004"/>
    <n v="0.59632141945970674"/>
    <s v="United States"/>
    <x v="2"/>
    <x v="48"/>
    <x v="773"/>
    <n v="58554"/>
    <x v="114"/>
    <x v="5"/>
    <x v="0"/>
    <d v="2015-03-16T00:00:00"/>
    <n v="2267.2199999999998"/>
    <n v="22"/>
    <x v="1702"/>
    <n v="89130"/>
    <x v="0"/>
  </r>
  <r>
    <n v="19381"/>
    <s v="Not Specified"/>
    <n v="0.08"/>
    <n v="73.98"/>
    <x v="41"/>
    <x v="1001"/>
    <x v="1"/>
    <x v="1001"/>
    <x v="2"/>
    <x v="0"/>
    <x v="2"/>
    <x v="13"/>
    <x v="3"/>
    <x v="124"/>
    <n v="0.77"/>
    <n v="8.2222617143534085E-2"/>
    <s v="United States"/>
    <x v="2"/>
    <x v="13"/>
    <x v="536"/>
    <n v="67846"/>
    <x v="7"/>
    <x v="3"/>
    <x v="0"/>
    <d v="2015-05-18T00:00:00"/>
    <n v="97.159999999999926"/>
    <n v="17"/>
    <x v="1703"/>
    <n v="86102"/>
    <x v="0"/>
  </r>
  <r>
    <n v="19382"/>
    <s v="Not Specified"/>
    <n v="0.02"/>
    <n v="3.68"/>
    <x v="208"/>
    <x v="1001"/>
    <x v="1"/>
    <x v="1001"/>
    <x v="2"/>
    <x v="0"/>
    <x v="0"/>
    <x v="12"/>
    <x v="0"/>
    <x v="300"/>
    <n v="0.83"/>
    <n v="-0.68994320080187099"/>
    <s v="United States"/>
    <x v="2"/>
    <x v="13"/>
    <x v="536"/>
    <n v="67846"/>
    <x v="7"/>
    <x v="3"/>
    <x v="0"/>
    <d v="2015-05-17T00:00:00"/>
    <n v="-20.65"/>
    <n v="8"/>
    <x v="1704"/>
    <n v="86102"/>
    <x v="0"/>
  </r>
  <r>
    <n v="20049"/>
    <s v="Medium"/>
    <n v="7.0000000000000007E-2"/>
    <n v="14.48"/>
    <x v="479"/>
    <x v="1002"/>
    <x v="0"/>
    <x v="1002"/>
    <x v="2"/>
    <x v="2"/>
    <x v="0"/>
    <x v="8"/>
    <x v="3"/>
    <x v="855"/>
    <n v="0.38"/>
    <n v="0.39610109146092337"/>
    <s v="United States"/>
    <x v="2"/>
    <x v="13"/>
    <x v="774"/>
    <n v="67501"/>
    <x v="128"/>
    <x v="2"/>
    <x v="0"/>
    <d v="2015-02-05T00:00:00"/>
    <n v="67.864000000000004"/>
    <n v="12"/>
    <x v="1705"/>
    <n v="86101"/>
    <x v="0"/>
  </r>
  <r>
    <n v="21475"/>
    <s v="High"/>
    <n v="0"/>
    <n v="6.48"/>
    <x v="154"/>
    <x v="1003"/>
    <x v="0"/>
    <x v="1003"/>
    <x v="2"/>
    <x v="2"/>
    <x v="0"/>
    <x v="7"/>
    <x v="3"/>
    <x v="856"/>
    <n v="0.37"/>
    <n v="-0.16747977153736313"/>
    <s v="United States"/>
    <x v="2"/>
    <x v="13"/>
    <x v="775"/>
    <n v="66048"/>
    <x v="132"/>
    <x v="1"/>
    <x v="0"/>
    <d v="2015-06-07T00:00:00"/>
    <n v="-14.074999999999999"/>
    <n v="12"/>
    <x v="1706"/>
    <n v="86104"/>
    <x v="0"/>
  </r>
  <r>
    <n v="24415"/>
    <s v="High"/>
    <n v="0.05"/>
    <n v="120.98"/>
    <x v="40"/>
    <x v="1004"/>
    <x v="0"/>
    <x v="1004"/>
    <x v="1"/>
    <x v="2"/>
    <x v="1"/>
    <x v="1"/>
    <x v="1"/>
    <x v="478"/>
    <n v="0.64"/>
    <n v="-0.31370668366127619"/>
    <s v="United States"/>
    <x v="2"/>
    <x v="13"/>
    <x v="776"/>
    <n v="66209"/>
    <x v="6"/>
    <x v="2"/>
    <x v="0"/>
    <d v="2015-02-14T00:00:00"/>
    <n v="-78.759200000000007"/>
    <n v="2"/>
    <x v="1707"/>
    <n v="86103"/>
    <x v="0"/>
  </r>
  <r>
    <n v="23188"/>
    <s v="High"/>
    <n v="0.06"/>
    <n v="276.2"/>
    <x v="65"/>
    <x v="1005"/>
    <x v="0"/>
    <x v="1005"/>
    <x v="0"/>
    <x v="0"/>
    <x v="1"/>
    <x v="1"/>
    <x v="6"/>
    <x v="147"/>
    <m/>
    <n v="0.44717608482471199"/>
    <s v="United States"/>
    <x v="0"/>
    <x v="1"/>
    <x v="777"/>
    <n v="94704"/>
    <x v="93"/>
    <x v="5"/>
    <x v="0"/>
    <d v="2015-03-07T00:00:00"/>
    <n v="1167.3800000000001"/>
    <n v="10"/>
    <x v="1708"/>
    <n v="89789"/>
    <x v="0"/>
  </r>
  <r>
    <n v="25904"/>
    <s v="Medium"/>
    <n v="0.06"/>
    <n v="125.99"/>
    <x v="10"/>
    <x v="1006"/>
    <x v="0"/>
    <x v="1006"/>
    <x v="2"/>
    <x v="0"/>
    <x v="2"/>
    <x v="5"/>
    <x v="3"/>
    <x v="418"/>
    <n v="0.6"/>
    <n v="0.34254532442748092"/>
    <s v="United States"/>
    <x v="3"/>
    <x v="35"/>
    <x v="60"/>
    <n v="42071"/>
    <x v="118"/>
    <x v="2"/>
    <x v="0"/>
    <d v="2015-02-05T00:00:00"/>
    <n v="402.06599999999997"/>
    <n v="11"/>
    <x v="1709"/>
    <n v="86662"/>
    <x v="0"/>
  </r>
  <r>
    <n v="20516"/>
    <s v="Medium"/>
    <n v="7.0000000000000007E-2"/>
    <n v="8.33"/>
    <x v="45"/>
    <x v="1007"/>
    <x v="1"/>
    <x v="1007"/>
    <x v="2"/>
    <x v="3"/>
    <x v="2"/>
    <x v="13"/>
    <x v="2"/>
    <x v="140"/>
    <n v="0.52"/>
    <n v="0.23766905330151153"/>
    <s v="United States"/>
    <x v="0"/>
    <x v="0"/>
    <x v="778"/>
    <n v="98034"/>
    <x v="115"/>
    <x v="2"/>
    <x v="0"/>
    <d v="2015-02-28T00:00:00"/>
    <n v="11.95"/>
    <n v="6"/>
    <x v="1710"/>
    <n v="88447"/>
    <x v="0"/>
  </r>
  <r>
    <n v="20517"/>
    <s v="Medium"/>
    <n v="0.03"/>
    <n v="499.99"/>
    <x v="65"/>
    <x v="1007"/>
    <x v="1"/>
    <x v="1007"/>
    <x v="2"/>
    <x v="3"/>
    <x v="2"/>
    <x v="16"/>
    <x v="6"/>
    <x v="857"/>
    <n v="0.36"/>
    <n v="0.69"/>
    <s v="United States"/>
    <x v="0"/>
    <x v="0"/>
    <x v="778"/>
    <n v="98034"/>
    <x v="115"/>
    <x v="2"/>
    <x v="0"/>
    <d v="2015-02-27T00:00:00"/>
    <n v="1773.6104999999998"/>
    <n v="5"/>
    <x v="1711"/>
    <n v="88447"/>
    <x v="0"/>
  </r>
  <r>
    <n v="19652"/>
    <s v="Not Specified"/>
    <n v="0.03"/>
    <n v="20.99"/>
    <x v="90"/>
    <x v="1007"/>
    <x v="1"/>
    <x v="1007"/>
    <x v="2"/>
    <x v="3"/>
    <x v="2"/>
    <x v="5"/>
    <x v="0"/>
    <x v="201"/>
    <n v="0.56999999999999995"/>
    <n v="2.6324667967520646E-2"/>
    <s v="United States"/>
    <x v="0"/>
    <x v="0"/>
    <x v="778"/>
    <n v="98034"/>
    <x v="84"/>
    <x v="3"/>
    <x v="0"/>
    <d v="2015-05-26T00:00:00"/>
    <n v="4.1822000000000052"/>
    <n v="9"/>
    <x v="1712"/>
    <n v="88449"/>
    <x v="0"/>
  </r>
  <r>
    <n v="23811"/>
    <s v="Low"/>
    <n v="0.03"/>
    <n v="6.45"/>
    <x v="211"/>
    <x v="1008"/>
    <x v="0"/>
    <x v="1008"/>
    <x v="2"/>
    <x v="3"/>
    <x v="0"/>
    <x v="7"/>
    <x v="0"/>
    <x v="858"/>
    <n v="0.36"/>
    <n v="0.69"/>
    <s v="United States"/>
    <x v="0"/>
    <x v="0"/>
    <x v="779"/>
    <n v="98503"/>
    <x v="101"/>
    <x v="0"/>
    <x v="0"/>
    <d v="2015-01-19T00:00:00"/>
    <n v="39.129899999999999"/>
    <n v="9"/>
    <x v="1713"/>
    <n v="88448"/>
    <x v="0"/>
  </r>
  <r>
    <n v="25239"/>
    <s v="Not Specified"/>
    <n v="0.06"/>
    <n v="355.98"/>
    <x v="298"/>
    <x v="1009"/>
    <x v="0"/>
    <x v="1009"/>
    <x v="1"/>
    <x v="3"/>
    <x v="1"/>
    <x v="1"/>
    <x v="1"/>
    <x v="464"/>
    <n v="0.64"/>
    <n v="0.32656191015477543"/>
    <s v="United States"/>
    <x v="1"/>
    <x v="10"/>
    <x v="780"/>
    <n v="44515"/>
    <x v="21"/>
    <x v="5"/>
    <x v="0"/>
    <d v="2015-03-03T00:00:00"/>
    <n v="1660.92"/>
    <n v="14"/>
    <x v="1714"/>
    <n v="91376"/>
    <x v="0"/>
  </r>
  <r>
    <n v="21027"/>
    <s v="High"/>
    <n v="0.03"/>
    <n v="120.98"/>
    <x v="40"/>
    <x v="1010"/>
    <x v="1"/>
    <x v="1010"/>
    <x v="1"/>
    <x v="3"/>
    <x v="1"/>
    <x v="1"/>
    <x v="1"/>
    <x v="478"/>
    <n v="0.64"/>
    <n v="0.33678798595898546"/>
    <s v="United States"/>
    <x v="2"/>
    <x v="3"/>
    <x v="781"/>
    <n v="55128"/>
    <x v="144"/>
    <x v="1"/>
    <x v="0"/>
    <d v="2015-06-03T00:00:00"/>
    <n v="638.02800000000002"/>
    <n v="15"/>
    <x v="1715"/>
    <n v="88191"/>
    <x v="0"/>
  </r>
  <r>
    <n v="21028"/>
    <s v="High"/>
    <n v="0.01"/>
    <n v="15.68"/>
    <x v="439"/>
    <x v="1010"/>
    <x v="1"/>
    <x v="1010"/>
    <x v="2"/>
    <x v="3"/>
    <x v="1"/>
    <x v="2"/>
    <x v="2"/>
    <x v="770"/>
    <n v="0.46"/>
    <n v="0.69"/>
    <s v="United States"/>
    <x v="2"/>
    <x v="3"/>
    <x v="781"/>
    <n v="55128"/>
    <x v="144"/>
    <x v="1"/>
    <x v="0"/>
    <d v="2015-06-03T00:00:00"/>
    <n v="138.49679999999998"/>
    <n v="12"/>
    <x v="1716"/>
    <n v="88191"/>
    <x v="0"/>
  </r>
  <r>
    <n v="22213"/>
    <s v="Critical"/>
    <n v="0.09"/>
    <n v="1.82"/>
    <x v="227"/>
    <x v="1010"/>
    <x v="1"/>
    <x v="1010"/>
    <x v="2"/>
    <x v="3"/>
    <x v="0"/>
    <x v="0"/>
    <x v="0"/>
    <x v="859"/>
    <n v="0.56999999999999995"/>
    <n v="-0.18288973384030419"/>
    <s v="United States"/>
    <x v="2"/>
    <x v="3"/>
    <x v="781"/>
    <n v="55128"/>
    <x v="79"/>
    <x v="2"/>
    <x v="0"/>
    <d v="2015-02-15T00:00:00"/>
    <n v="-6.734"/>
    <n v="22"/>
    <x v="1717"/>
    <n v="88192"/>
    <x v="0"/>
  </r>
  <r>
    <n v="2063"/>
    <s v="Low"/>
    <n v="0.06"/>
    <n v="19.23"/>
    <x v="119"/>
    <x v="1011"/>
    <x v="0"/>
    <x v="1011"/>
    <x v="2"/>
    <x v="0"/>
    <x v="1"/>
    <x v="2"/>
    <x v="2"/>
    <x v="159"/>
    <n v="0.44"/>
    <n v="-0.3"/>
    <s v="United States"/>
    <x v="0"/>
    <x v="1"/>
    <x v="154"/>
    <n v="90061"/>
    <x v="136"/>
    <x v="2"/>
    <x v="0"/>
    <d v="2015-02-28T00:00:00"/>
    <n v="-25.38"/>
    <n v="4"/>
    <x v="1718"/>
    <n v="14756"/>
    <x v="0"/>
  </r>
  <r>
    <n v="19739"/>
    <s v="Medium"/>
    <n v="0"/>
    <n v="137.47999999999999"/>
    <x v="480"/>
    <x v="1012"/>
    <x v="0"/>
    <x v="1012"/>
    <x v="1"/>
    <x v="2"/>
    <x v="1"/>
    <x v="14"/>
    <x v="5"/>
    <x v="860"/>
    <n v="0.78"/>
    <n v="-0.68498736310025277"/>
    <s v="United States"/>
    <x v="1"/>
    <x v="10"/>
    <x v="782"/>
    <n v="44224"/>
    <x v="0"/>
    <x v="0"/>
    <x v="0"/>
    <d v="2015-01-08T00:00:00"/>
    <n v="-203.27"/>
    <n v="2"/>
    <x v="1719"/>
    <n v="88241"/>
    <x v="0"/>
  </r>
  <r>
    <n v="23816"/>
    <s v="Medium"/>
    <n v="7.0000000000000007E-2"/>
    <n v="300.97000000000003"/>
    <x v="261"/>
    <x v="1013"/>
    <x v="0"/>
    <x v="1013"/>
    <x v="2"/>
    <x v="2"/>
    <x v="2"/>
    <x v="13"/>
    <x v="3"/>
    <x v="394"/>
    <n v="0.48"/>
    <n v="-1.3871350051528684"/>
    <s v="United States"/>
    <x v="1"/>
    <x v="10"/>
    <x v="783"/>
    <n v="44136"/>
    <x v="163"/>
    <x v="3"/>
    <x v="0"/>
    <d v="2015-05-09T00:00:00"/>
    <n v="-807.59"/>
    <n v="2"/>
    <x v="1720"/>
    <n v="88239"/>
    <x v="0"/>
  </r>
  <r>
    <n v="25489"/>
    <s v="Not Specified"/>
    <n v="0.04"/>
    <n v="35.44"/>
    <x v="153"/>
    <x v="1014"/>
    <x v="1"/>
    <x v="1014"/>
    <x v="2"/>
    <x v="2"/>
    <x v="0"/>
    <x v="7"/>
    <x v="3"/>
    <x v="861"/>
    <n v="0.38"/>
    <n v="0.69"/>
    <s v="United States"/>
    <x v="1"/>
    <x v="10"/>
    <x v="784"/>
    <n v="43615"/>
    <x v="164"/>
    <x v="1"/>
    <x v="0"/>
    <d v="2015-06-11T00:00:00"/>
    <n v="118.6317"/>
    <n v="5"/>
    <x v="1721"/>
    <n v="88240"/>
    <x v="0"/>
  </r>
  <r>
    <n v="25490"/>
    <s v="Not Specified"/>
    <n v="0.08"/>
    <n v="3.98"/>
    <x v="22"/>
    <x v="1014"/>
    <x v="1"/>
    <x v="1014"/>
    <x v="2"/>
    <x v="2"/>
    <x v="0"/>
    <x v="0"/>
    <x v="0"/>
    <x v="852"/>
    <n v="0.52"/>
    <n v="0.66223358908780916"/>
    <s v="United States"/>
    <x v="1"/>
    <x v="10"/>
    <x v="784"/>
    <n v="43615"/>
    <x v="164"/>
    <x v="1"/>
    <x v="0"/>
    <d v="2015-06-14T00:00:00"/>
    <n v="23.304000000000002"/>
    <n v="9"/>
    <x v="1722"/>
    <n v="88240"/>
    <x v="0"/>
  </r>
  <r>
    <n v="5816"/>
    <s v="Medium"/>
    <n v="7.0000000000000007E-2"/>
    <n v="300.97000000000003"/>
    <x v="261"/>
    <x v="1015"/>
    <x v="1"/>
    <x v="1015"/>
    <x v="2"/>
    <x v="2"/>
    <x v="2"/>
    <x v="13"/>
    <x v="3"/>
    <x v="394"/>
    <n v="0.48"/>
    <n v="-0.39632623215503832"/>
    <s v="United States"/>
    <x v="1"/>
    <x v="19"/>
    <x v="332"/>
    <n v="19112"/>
    <x v="163"/>
    <x v="3"/>
    <x v="0"/>
    <d v="2015-05-09T00:00:00"/>
    <n v="-807.59"/>
    <n v="7"/>
    <x v="1723"/>
    <n v="41253"/>
    <x v="0"/>
  </r>
  <r>
    <n v="7489"/>
    <s v="Not Specified"/>
    <n v="0.04"/>
    <n v="35.44"/>
    <x v="153"/>
    <x v="1015"/>
    <x v="1"/>
    <x v="1015"/>
    <x v="2"/>
    <x v="2"/>
    <x v="0"/>
    <x v="7"/>
    <x v="3"/>
    <x v="861"/>
    <n v="0.38"/>
    <n v="0.20872455338595761"/>
    <s v="United States"/>
    <x v="1"/>
    <x v="19"/>
    <x v="332"/>
    <n v="19112"/>
    <x v="164"/>
    <x v="1"/>
    <x v="0"/>
    <d v="2015-06-11T00:00:00"/>
    <n v="150.72"/>
    <n v="21"/>
    <x v="1724"/>
    <n v="53476"/>
    <x v="0"/>
  </r>
  <r>
    <n v="7490"/>
    <s v="Not Specified"/>
    <n v="0.08"/>
    <n v="3.98"/>
    <x v="22"/>
    <x v="1015"/>
    <x v="1"/>
    <x v="1015"/>
    <x v="2"/>
    <x v="2"/>
    <x v="0"/>
    <x v="0"/>
    <x v="0"/>
    <x v="852"/>
    <n v="0.52"/>
    <n v="0.13794573092768861"/>
    <s v="United States"/>
    <x v="1"/>
    <x v="19"/>
    <x v="332"/>
    <n v="19112"/>
    <x v="164"/>
    <x v="1"/>
    <x v="0"/>
    <d v="2015-06-14T00:00:00"/>
    <n v="19.420000000000002"/>
    <n v="36"/>
    <x v="1725"/>
    <n v="53476"/>
    <x v="0"/>
  </r>
  <r>
    <n v="7491"/>
    <s v="Not Specified"/>
    <n v="0.01"/>
    <n v="1.76"/>
    <x v="22"/>
    <x v="1015"/>
    <x v="1"/>
    <x v="1015"/>
    <x v="2"/>
    <x v="2"/>
    <x v="0"/>
    <x v="0"/>
    <x v="0"/>
    <x v="28"/>
    <n v="0.56000000000000005"/>
    <n v="2.4128893000308356E-2"/>
    <s v="United States"/>
    <x v="1"/>
    <x v="19"/>
    <x v="332"/>
    <n v="19112"/>
    <x v="164"/>
    <x v="1"/>
    <x v="0"/>
    <d v="2015-06-12T00:00:00"/>
    <n v="3.13"/>
    <n v="71"/>
    <x v="1726"/>
    <n v="53476"/>
    <x v="0"/>
  </r>
  <r>
    <n v="7492"/>
    <s v="Not Specified"/>
    <n v="0.01"/>
    <n v="193.17"/>
    <x v="3"/>
    <x v="1015"/>
    <x v="1"/>
    <x v="1015"/>
    <x v="0"/>
    <x v="2"/>
    <x v="0"/>
    <x v="10"/>
    <x v="3"/>
    <x v="538"/>
    <n v="0.71"/>
    <n v="9.3599530144418241E-2"/>
    <s v="United States"/>
    <x v="1"/>
    <x v="19"/>
    <x v="332"/>
    <n v="19112"/>
    <x v="164"/>
    <x v="1"/>
    <x v="0"/>
    <d v="2015-06-11T00:00:00"/>
    <n v="1141.07"/>
    <n v="63"/>
    <x v="1727"/>
    <n v="53476"/>
    <x v="0"/>
  </r>
  <r>
    <n v="1739"/>
    <s v="Medium"/>
    <n v="0"/>
    <n v="137.47999999999999"/>
    <x v="480"/>
    <x v="1015"/>
    <x v="1"/>
    <x v="1015"/>
    <x v="1"/>
    <x v="2"/>
    <x v="1"/>
    <x v="14"/>
    <x v="5"/>
    <x v="860"/>
    <n v="0.78"/>
    <n v="-0.13699654930716559"/>
    <s v="United States"/>
    <x v="1"/>
    <x v="19"/>
    <x v="332"/>
    <n v="19112"/>
    <x v="0"/>
    <x v="0"/>
    <x v="0"/>
    <d v="2015-01-08T00:00:00"/>
    <n v="-203.27"/>
    <n v="10"/>
    <x v="1728"/>
    <n v="12480"/>
    <x v="0"/>
  </r>
  <r>
    <n v="6807"/>
    <s v="Critical"/>
    <n v="0"/>
    <n v="2.21"/>
    <x v="332"/>
    <x v="1015"/>
    <x v="1"/>
    <x v="1015"/>
    <x v="0"/>
    <x v="2"/>
    <x v="0"/>
    <x v="0"/>
    <x v="0"/>
    <x v="862"/>
    <n v="0.38"/>
    <n v="0.11481991282404221"/>
    <s v="United States"/>
    <x v="1"/>
    <x v="19"/>
    <x v="332"/>
    <n v="19112"/>
    <x v="69"/>
    <x v="1"/>
    <x v="0"/>
    <d v="2015-06-11T00:00:00"/>
    <n v="10.01"/>
    <n v="33"/>
    <x v="1729"/>
    <n v="48483"/>
    <x v="0"/>
  </r>
  <r>
    <n v="19756"/>
    <s v="High"/>
    <n v="0"/>
    <n v="65.989999999999995"/>
    <x v="165"/>
    <x v="1016"/>
    <x v="1"/>
    <x v="1016"/>
    <x v="0"/>
    <x v="2"/>
    <x v="2"/>
    <x v="5"/>
    <x v="3"/>
    <x v="788"/>
    <n v="0.57999999999999996"/>
    <n v="0.3928100239081726"/>
    <s v="United States"/>
    <x v="0"/>
    <x v="0"/>
    <x v="779"/>
    <n v="98503"/>
    <x v="18"/>
    <x v="4"/>
    <x v="0"/>
    <d v="2015-04-22T00:00:00"/>
    <n v="313.81200000000001"/>
    <n v="14"/>
    <x v="1730"/>
    <n v="89879"/>
    <x v="0"/>
  </r>
  <r>
    <n v="20589"/>
    <s v="Not Specified"/>
    <n v="0.01"/>
    <n v="7.1"/>
    <x v="162"/>
    <x v="1016"/>
    <x v="1"/>
    <x v="1016"/>
    <x v="2"/>
    <x v="2"/>
    <x v="0"/>
    <x v="8"/>
    <x v="3"/>
    <x v="227"/>
    <n v="0.39"/>
    <n v="-0.29421315414070126"/>
    <s v="United States"/>
    <x v="0"/>
    <x v="0"/>
    <x v="779"/>
    <n v="98503"/>
    <x v="137"/>
    <x v="1"/>
    <x v="0"/>
    <d v="2015-06-25T00:00:00"/>
    <n v="-39.186250000000001"/>
    <n v="18"/>
    <x v="1731"/>
    <n v="89880"/>
    <x v="0"/>
  </r>
  <r>
    <n v="20590"/>
    <s v="Not Specified"/>
    <n v="0.05"/>
    <n v="18.97"/>
    <x v="191"/>
    <x v="1016"/>
    <x v="1"/>
    <x v="1016"/>
    <x v="2"/>
    <x v="2"/>
    <x v="0"/>
    <x v="7"/>
    <x v="3"/>
    <x v="273"/>
    <n v="0.37"/>
    <n v="-1.9418473235384773E-2"/>
    <s v="United States"/>
    <x v="0"/>
    <x v="0"/>
    <x v="779"/>
    <n v="98503"/>
    <x v="137"/>
    <x v="1"/>
    <x v="0"/>
    <d v="2015-06-25T00:00:00"/>
    <n v="-1.89"/>
    <n v="5"/>
    <x v="1732"/>
    <n v="89880"/>
    <x v="0"/>
  </r>
  <r>
    <n v="20008"/>
    <s v="High"/>
    <n v="0.05"/>
    <n v="39.99"/>
    <x v="355"/>
    <x v="1017"/>
    <x v="0"/>
    <x v="1017"/>
    <x v="0"/>
    <x v="3"/>
    <x v="2"/>
    <x v="13"/>
    <x v="3"/>
    <x v="863"/>
    <n v="0.55000000000000004"/>
    <n v="3.2770605759682228E-2"/>
    <s v="United States"/>
    <x v="3"/>
    <x v="26"/>
    <x v="785"/>
    <n v="34287"/>
    <x v="73"/>
    <x v="3"/>
    <x v="0"/>
    <d v="2015-05-19T00:00:00"/>
    <n v="4.29"/>
    <n v="3"/>
    <x v="1733"/>
    <n v="88380"/>
    <x v="0"/>
  </r>
  <r>
    <n v="21085"/>
    <s v="Low"/>
    <n v="7.0000000000000007E-2"/>
    <n v="49.43"/>
    <x v="3"/>
    <x v="1018"/>
    <x v="0"/>
    <x v="1018"/>
    <x v="2"/>
    <x v="0"/>
    <x v="0"/>
    <x v="15"/>
    <x v="3"/>
    <x v="864"/>
    <n v="0.56999999999999995"/>
    <n v="-0.43563267333759137"/>
    <s v="United States"/>
    <x v="2"/>
    <x v="13"/>
    <x v="776"/>
    <n v="66209"/>
    <x v="76"/>
    <x v="0"/>
    <x v="0"/>
    <d v="2015-01-29T00:00:00"/>
    <n v="-122.77"/>
    <n v="6"/>
    <x v="1734"/>
    <n v="91219"/>
    <x v="0"/>
  </r>
  <r>
    <n v="20357"/>
    <s v="Critical"/>
    <n v="0.09"/>
    <n v="207.48"/>
    <x v="90"/>
    <x v="1019"/>
    <x v="0"/>
    <x v="1019"/>
    <x v="2"/>
    <x v="3"/>
    <x v="0"/>
    <x v="15"/>
    <x v="3"/>
    <x v="718"/>
    <n v="0.55000000000000004"/>
    <n v="0.69"/>
    <s v="United States"/>
    <x v="1"/>
    <x v="10"/>
    <x v="786"/>
    <n v="45011"/>
    <x v="71"/>
    <x v="0"/>
    <x v="0"/>
    <d v="2015-01-21T00:00:00"/>
    <n v="683.9556"/>
    <n v="5"/>
    <x v="1735"/>
    <n v="86220"/>
    <x v="0"/>
  </r>
  <r>
    <n v="21235"/>
    <s v="High"/>
    <n v="0.08"/>
    <n v="40.98"/>
    <x v="481"/>
    <x v="1020"/>
    <x v="1"/>
    <x v="1020"/>
    <x v="0"/>
    <x v="3"/>
    <x v="0"/>
    <x v="15"/>
    <x v="3"/>
    <x v="865"/>
    <n v="0.6"/>
    <n v="-0.13882863340563992"/>
    <s v="United States"/>
    <x v="1"/>
    <x v="10"/>
    <x v="455"/>
    <n v="43026"/>
    <x v="84"/>
    <x v="3"/>
    <x v="0"/>
    <d v="2015-05-25T00:00:00"/>
    <n v="-16.64"/>
    <n v="3"/>
    <x v="1386"/>
    <n v="86221"/>
    <x v="0"/>
  </r>
  <r>
    <n v="21236"/>
    <s v="High"/>
    <n v="0.08"/>
    <n v="8.1199999999999992"/>
    <x v="202"/>
    <x v="1020"/>
    <x v="1"/>
    <x v="1020"/>
    <x v="0"/>
    <x v="3"/>
    <x v="2"/>
    <x v="13"/>
    <x v="2"/>
    <x v="293"/>
    <n v="0.77"/>
    <n v="-0.60473828085451042"/>
    <s v="United States"/>
    <x v="1"/>
    <x v="10"/>
    <x v="455"/>
    <n v="43026"/>
    <x v="84"/>
    <x v="3"/>
    <x v="0"/>
    <d v="2015-05-25T00:00:00"/>
    <n v="-59.73"/>
    <n v="12"/>
    <x v="1736"/>
    <n v="86221"/>
    <x v="0"/>
  </r>
  <r>
    <n v="21237"/>
    <s v="High"/>
    <n v="0.02"/>
    <n v="262.11"/>
    <x v="482"/>
    <x v="1020"/>
    <x v="1"/>
    <x v="1020"/>
    <x v="1"/>
    <x v="3"/>
    <x v="1"/>
    <x v="11"/>
    <x v="5"/>
    <x v="866"/>
    <n v="0.75"/>
    <n v="-0.25384865329512907"/>
    <s v="United States"/>
    <x v="1"/>
    <x v="10"/>
    <x v="455"/>
    <n v="43026"/>
    <x v="84"/>
    <x v="3"/>
    <x v="0"/>
    <d v="2015-05-25T00:00:00"/>
    <n v="-633.44123700000023"/>
    <n v="9"/>
    <x v="1737"/>
    <n v="86221"/>
    <x v="0"/>
  </r>
  <r>
    <n v="25999"/>
    <s v="Critical"/>
    <n v="0.04"/>
    <n v="33.89"/>
    <x v="304"/>
    <x v="1020"/>
    <x v="1"/>
    <x v="1020"/>
    <x v="0"/>
    <x v="3"/>
    <x v="0"/>
    <x v="10"/>
    <x v="3"/>
    <x v="867"/>
    <n v="0.6"/>
    <n v="0.36341184086042921"/>
    <s v="United States"/>
    <x v="1"/>
    <x v="10"/>
    <x v="455"/>
    <n v="43026"/>
    <x v="77"/>
    <x v="1"/>
    <x v="0"/>
    <d v="2015-06-18T00:00:00"/>
    <n v="72.984000000000009"/>
    <n v="6"/>
    <x v="1738"/>
    <n v="86222"/>
    <x v="0"/>
  </r>
  <r>
    <n v="19816"/>
    <s v="Critical"/>
    <n v="0.05"/>
    <n v="35.44"/>
    <x v="153"/>
    <x v="1021"/>
    <x v="1"/>
    <x v="1021"/>
    <x v="2"/>
    <x v="3"/>
    <x v="0"/>
    <x v="7"/>
    <x v="3"/>
    <x v="861"/>
    <n v="0.38"/>
    <n v="0.69"/>
    <s v="United States"/>
    <x v="1"/>
    <x v="4"/>
    <x v="787"/>
    <n v="11967"/>
    <x v="4"/>
    <x v="4"/>
    <x v="0"/>
    <d v="2015-04-09T00:00:00"/>
    <n v="240.17519999999996"/>
    <n v="10"/>
    <x v="1739"/>
    <n v="89314"/>
    <x v="0"/>
  </r>
  <r>
    <n v="22503"/>
    <s v="Low"/>
    <n v="0"/>
    <n v="11.7"/>
    <x v="294"/>
    <x v="1021"/>
    <x v="1"/>
    <x v="1021"/>
    <x v="0"/>
    <x v="3"/>
    <x v="0"/>
    <x v="15"/>
    <x v="4"/>
    <x v="459"/>
    <n v="0.5"/>
    <n v="-8.5412711671349395E-2"/>
    <s v="United States"/>
    <x v="1"/>
    <x v="4"/>
    <x v="787"/>
    <n v="11967"/>
    <x v="77"/>
    <x v="1"/>
    <x v="0"/>
    <d v="2015-06-19T00:00:00"/>
    <n v="-11.248000000000001"/>
    <n v="10"/>
    <x v="1740"/>
    <n v="89315"/>
    <x v="0"/>
  </r>
  <r>
    <n v="18930"/>
    <s v="Low"/>
    <n v="0.06"/>
    <n v="2.89"/>
    <x v="28"/>
    <x v="1021"/>
    <x v="1"/>
    <x v="1021"/>
    <x v="2"/>
    <x v="3"/>
    <x v="0"/>
    <x v="9"/>
    <x v="3"/>
    <x v="277"/>
    <n v="0.38"/>
    <n v="0.69"/>
    <s v="United States"/>
    <x v="1"/>
    <x v="4"/>
    <x v="787"/>
    <n v="11967"/>
    <x v="136"/>
    <x v="2"/>
    <x v="0"/>
    <d v="2015-02-28T00:00:00"/>
    <n v="9.611699999999999"/>
    <n v="5"/>
    <x v="1741"/>
    <n v="89316"/>
    <x v="0"/>
  </r>
  <r>
    <n v="19805"/>
    <s v="Critical"/>
    <n v="7.0000000000000007E-2"/>
    <n v="35.99"/>
    <x v="104"/>
    <x v="1022"/>
    <x v="0"/>
    <x v="1022"/>
    <x v="2"/>
    <x v="3"/>
    <x v="2"/>
    <x v="5"/>
    <x v="0"/>
    <x v="615"/>
    <n v="0.82"/>
    <n v="-9.4548785871964682"/>
    <s v="United States"/>
    <x v="3"/>
    <x v="26"/>
    <x v="788"/>
    <n v="33334"/>
    <x v="78"/>
    <x v="5"/>
    <x v="0"/>
    <d v="2015-03-27T00:00:00"/>
    <n v="-299.81420000000003"/>
    <n v="1"/>
    <x v="1742"/>
    <n v="89988"/>
    <x v="0"/>
  </r>
  <r>
    <n v="18087"/>
    <s v="Critical"/>
    <n v="0.04"/>
    <n v="3.08"/>
    <x v="90"/>
    <x v="1023"/>
    <x v="1"/>
    <x v="1023"/>
    <x v="2"/>
    <x v="1"/>
    <x v="0"/>
    <x v="9"/>
    <x v="3"/>
    <x v="675"/>
    <n v="0.37"/>
    <n v="0.22996167305449092"/>
    <s v="United States"/>
    <x v="3"/>
    <x v="35"/>
    <x v="60"/>
    <n v="42071"/>
    <x v="80"/>
    <x v="5"/>
    <x v="0"/>
    <d v="2015-03-21T00:00:00"/>
    <n v="13.799999999999999"/>
    <n v="19"/>
    <x v="1743"/>
    <n v="86327"/>
    <x v="0"/>
  </r>
  <r>
    <n v="18088"/>
    <s v="Critical"/>
    <n v="0.02"/>
    <n v="6.48"/>
    <x v="177"/>
    <x v="1023"/>
    <x v="1"/>
    <x v="1023"/>
    <x v="2"/>
    <x v="1"/>
    <x v="0"/>
    <x v="7"/>
    <x v="3"/>
    <x v="250"/>
    <n v="0.37"/>
    <n v="4.8274346010112101E-2"/>
    <s v="United States"/>
    <x v="3"/>
    <x v="35"/>
    <x v="60"/>
    <n v="42071"/>
    <x v="80"/>
    <x v="5"/>
    <x v="0"/>
    <d v="2015-03-21T00:00:00"/>
    <n v="4.3919999999999995"/>
    <n v="13"/>
    <x v="42"/>
    <n v="86327"/>
    <x v="0"/>
  </r>
  <r>
    <n v="18089"/>
    <s v="Critical"/>
    <n v="0.04"/>
    <n v="125.99"/>
    <x v="5"/>
    <x v="1023"/>
    <x v="1"/>
    <x v="1023"/>
    <x v="2"/>
    <x v="1"/>
    <x v="2"/>
    <x v="5"/>
    <x v="3"/>
    <x v="868"/>
    <n v="0.59"/>
    <n v="-0.18592114582513575"/>
    <s v="United States"/>
    <x v="3"/>
    <x v="35"/>
    <x v="60"/>
    <n v="42071"/>
    <x v="80"/>
    <x v="5"/>
    <x v="0"/>
    <d v="2015-03-22T00:00:00"/>
    <n v="-236.25"/>
    <n v="12"/>
    <x v="1744"/>
    <n v="86327"/>
    <x v="0"/>
  </r>
  <r>
    <n v="87"/>
    <s v="Critical"/>
    <n v="0.04"/>
    <n v="3.08"/>
    <x v="90"/>
    <x v="1024"/>
    <x v="1"/>
    <x v="1024"/>
    <x v="2"/>
    <x v="1"/>
    <x v="0"/>
    <x v="9"/>
    <x v="3"/>
    <x v="675"/>
    <n v="0.37"/>
    <n v="0.15206653438595011"/>
    <s v="United States"/>
    <x v="2"/>
    <x v="7"/>
    <x v="588"/>
    <n v="77041"/>
    <x v="80"/>
    <x v="5"/>
    <x v="0"/>
    <d v="2015-03-21T00:00:00"/>
    <n v="36.020000000000003"/>
    <n v="75"/>
    <x v="1745"/>
    <n v="548"/>
    <x v="0"/>
  </r>
  <r>
    <n v="88"/>
    <s v="Critical"/>
    <n v="0.02"/>
    <n v="6.48"/>
    <x v="177"/>
    <x v="1024"/>
    <x v="1"/>
    <x v="1024"/>
    <x v="2"/>
    <x v="1"/>
    <x v="0"/>
    <x v="7"/>
    <x v="3"/>
    <x v="250"/>
    <n v="0.37"/>
    <n v="-0.13652907713461485"/>
    <s v="United States"/>
    <x v="2"/>
    <x v="7"/>
    <x v="588"/>
    <n v="77041"/>
    <x v="80"/>
    <x v="5"/>
    <x v="0"/>
    <d v="2015-03-21T00:00:00"/>
    <n v="-50.64"/>
    <n v="53"/>
    <x v="1746"/>
    <n v="548"/>
    <x v="0"/>
  </r>
  <r>
    <n v="89"/>
    <s v="Critical"/>
    <n v="0.04"/>
    <n v="125.99"/>
    <x v="5"/>
    <x v="1024"/>
    <x v="1"/>
    <x v="1024"/>
    <x v="2"/>
    <x v="1"/>
    <x v="2"/>
    <x v="5"/>
    <x v="3"/>
    <x v="868"/>
    <n v="0.59"/>
    <n v="0.1025712689776006"/>
    <s v="United States"/>
    <x v="2"/>
    <x v="7"/>
    <x v="588"/>
    <n v="77041"/>
    <x v="80"/>
    <x v="5"/>
    <x v="0"/>
    <d v="2015-03-22T00:00:00"/>
    <n v="510.48900000000003"/>
    <n v="47"/>
    <x v="1747"/>
    <n v="548"/>
    <x v="0"/>
  </r>
  <r>
    <n v="21120"/>
    <s v="Not Specified"/>
    <n v="7.0000000000000007E-2"/>
    <n v="34.54"/>
    <x v="266"/>
    <x v="1025"/>
    <x v="1"/>
    <x v="1025"/>
    <x v="2"/>
    <x v="0"/>
    <x v="0"/>
    <x v="8"/>
    <x v="3"/>
    <x v="869"/>
    <n v="0.37"/>
    <n v="-3.5101413986816703E-2"/>
    <s v="United States"/>
    <x v="3"/>
    <x v="11"/>
    <x v="789"/>
    <n v="70560"/>
    <x v="28"/>
    <x v="3"/>
    <x v="0"/>
    <d v="2015-05-18T00:00:00"/>
    <n v="-20.182259999999999"/>
    <n v="17"/>
    <x v="1748"/>
    <n v="86860"/>
    <x v="0"/>
  </r>
  <r>
    <n v="21121"/>
    <s v="Not Specified"/>
    <n v="0.02"/>
    <n v="12.28"/>
    <x v="476"/>
    <x v="1025"/>
    <x v="1"/>
    <x v="1025"/>
    <x v="2"/>
    <x v="0"/>
    <x v="0"/>
    <x v="7"/>
    <x v="3"/>
    <x v="849"/>
    <n v="0.38"/>
    <n v="-1.3623693803159176"/>
    <s v="United States"/>
    <x v="3"/>
    <x v="11"/>
    <x v="789"/>
    <n v="70560"/>
    <x v="28"/>
    <x v="3"/>
    <x v="0"/>
    <d v="2015-05-17T00:00:00"/>
    <n v="-156.97220000000002"/>
    <n v="9"/>
    <x v="1749"/>
    <n v="86860"/>
    <x v="0"/>
  </r>
  <r>
    <n v="21122"/>
    <s v="Not Specified"/>
    <n v="0.06"/>
    <n v="34.58"/>
    <x v="20"/>
    <x v="1025"/>
    <x v="1"/>
    <x v="1025"/>
    <x v="0"/>
    <x v="0"/>
    <x v="0"/>
    <x v="0"/>
    <x v="2"/>
    <x v="870"/>
    <n v="0.56000000000000005"/>
    <n v="0.84214004117569763"/>
    <s v="United States"/>
    <x v="3"/>
    <x v="11"/>
    <x v="789"/>
    <n v="70560"/>
    <x v="28"/>
    <x v="3"/>
    <x v="0"/>
    <d v="2015-05-19T00:00:00"/>
    <n v="384.5043"/>
    <n v="13"/>
    <x v="1750"/>
    <n v="86860"/>
    <x v="0"/>
  </r>
  <r>
    <n v="20795"/>
    <s v="Critical"/>
    <n v="0.08"/>
    <n v="349.45"/>
    <x v="236"/>
    <x v="1026"/>
    <x v="0"/>
    <x v="1026"/>
    <x v="1"/>
    <x v="0"/>
    <x v="1"/>
    <x v="11"/>
    <x v="1"/>
    <x v="356"/>
    <m/>
    <n v="0.13601753888324819"/>
    <s v="United States"/>
    <x v="3"/>
    <x v="26"/>
    <x v="790"/>
    <n v="32839"/>
    <x v="133"/>
    <x v="1"/>
    <x v="0"/>
    <d v="2015-07-02T00:00:00"/>
    <n v="513.08399999999995"/>
    <n v="11"/>
    <x v="1751"/>
    <n v="86432"/>
    <x v="0"/>
  </r>
  <r>
    <n v="25473"/>
    <s v="Not Specified"/>
    <n v="0.08"/>
    <n v="315.98"/>
    <x v="3"/>
    <x v="1027"/>
    <x v="0"/>
    <x v="1027"/>
    <x v="2"/>
    <x v="1"/>
    <x v="0"/>
    <x v="8"/>
    <x v="3"/>
    <x v="871"/>
    <n v="0.38"/>
    <n v="1.6847809633374709E-2"/>
    <s v="United States"/>
    <x v="3"/>
    <x v="11"/>
    <x v="791"/>
    <n v="70117"/>
    <x v="110"/>
    <x v="1"/>
    <x v="0"/>
    <d v="2015-06-14T00:00:00"/>
    <n v="44.519999999999996"/>
    <n v="9"/>
    <x v="1752"/>
    <n v="90160"/>
    <x v="0"/>
  </r>
  <r>
    <n v="23764"/>
    <s v="Low"/>
    <n v="0.02"/>
    <n v="7.1"/>
    <x v="162"/>
    <x v="1028"/>
    <x v="0"/>
    <x v="1028"/>
    <x v="2"/>
    <x v="1"/>
    <x v="0"/>
    <x v="8"/>
    <x v="3"/>
    <x v="227"/>
    <n v="0.39"/>
    <n v="-0.79471544715447151"/>
    <s v="United States"/>
    <x v="2"/>
    <x v="12"/>
    <x v="792"/>
    <n v="60160"/>
    <x v="0"/>
    <x v="0"/>
    <x v="0"/>
    <d v="2015-01-09T00:00:00"/>
    <n v="-48.875"/>
    <n v="8"/>
    <x v="1753"/>
    <n v="87287"/>
    <x v="0"/>
  </r>
  <r>
    <n v="25060"/>
    <s v="Not Specified"/>
    <n v="0.05"/>
    <n v="120.98"/>
    <x v="300"/>
    <x v="1029"/>
    <x v="0"/>
    <x v="1029"/>
    <x v="2"/>
    <x v="1"/>
    <x v="0"/>
    <x v="8"/>
    <x v="3"/>
    <x v="470"/>
    <n v="0.35"/>
    <n v="0.69"/>
    <s v="United States"/>
    <x v="2"/>
    <x v="12"/>
    <x v="793"/>
    <n v="61265"/>
    <x v="155"/>
    <x v="3"/>
    <x v="0"/>
    <d v="2015-05-31T00:00:00"/>
    <n v="881.04719999999998"/>
    <n v="11"/>
    <x v="1754"/>
    <n v="87286"/>
    <x v="0"/>
  </r>
  <r>
    <n v="25352"/>
    <s v="High"/>
    <n v="0.08"/>
    <n v="120.97"/>
    <x v="483"/>
    <x v="1030"/>
    <x v="0"/>
    <x v="1030"/>
    <x v="1"/>
    <x v="1"/>
    <x v="2"/>
    <x v="6"/>
    <x v="1"/>
    <x v="872"/>
    <n v="0.38"/>
    <n v="-1.001116054456717"/>
    <s v="United States"/>
    <x v="2"/>
    <x v="12"/>
    <x v="794"/>
    <n v="60056"/>
    <x v="99"/>
    <x v="0"/>
    <x v="0"/>
    <d v="2015-01-07T00:00:00"/>
    <n v="-233.840688"/>
    <n v="2"/>
    <x v="1755"/>
    <n v="87285"/>
    <x v="0"/>
  </r>
  <r>
    <n v="24457"/>
    <s v="Low"/>
    <n v="0.08"/>
    <n v="3.69"/>
    <x v="10"/>
    <x v="1031"/>
    <x v="0"/>
    <x v="1031"/>
    <x v="2"/>
    <x v="2"/>
    <x v="0"/>
    <x v="4"/>
    <x v="3"/>
    <x v="488"/>
    <n v="0.39"/>
    <n v="-4.3488430268918083"/>
    <s v="United States"/>
    <x v="3"/>
    <x v="11"/>
    <x v="795"/>
    <n v="71109"/>
    <x v="97"/>
    <x v="1"/>
    <x v="0"/>
    <d v="2015-06-30T00:00:00"/>
    <n v="-139.07600000000002"/>
    <n v="9"/>
    <x v="1756"/>
    <n v="89810"/>
    <x v="0"/>
  </r>
  <r>
    <n v="20483"/>
    <s v="High"/>
    <n v="0.1"/>
    <n v="180.98"/>
    <x v="56"/>
    <x v="1032"/>
    <x v="1"/>
    <x v="1032"/>
    <x v="1"/>
    <x v="0"/>
    <x v="1"/>
    <x v="1"/>
    <x v="1"/>
    <x v="68"/>
    <n v="0.59"/>
    <n v="-0.1244927033999461"/>
    <s v="United States"/>
    <x v="2"/>
    <x v="12"/>
    <x v="796"/>
    <n v="60060"/>
    <x v="33"/>
    <x v="1"/>
    <x v="0"/>
    <d v="2015-06-23T00:00:00"/>
    <n v="-64.664000000000001"/>
    <n v="3"/>
    <x v="1757"/>
    <n v="86790"/>
    <x v="0"/>
  </r>
  <r>
    <n v="19258"/>
    <s v="Medium"/>
    <n v="0.04"/>
    <n v="62.05"/>
    <x v="196"/>
    <x v="1032"/>
    <x v="1"/>
    <x v="1032"/>
    <x v="2"/>
    <x v="0"/>
    <x v="0"/>
    <x v="15"/>
    <x v="3"/>
    <x v="873"/>
    <n v="0.55000000000000004"/>
    <n v="0.69"/>
    <s v="United States"/>
    <x v="2"/>
    <x v="12"/>
    <x v="796"/>
    <n v="60060"/>
    <x v="28"/>
    <x v="3"/>
    <x v="0"/>
    <d v="2015-05-18T00:00:00"/>
    <n v="1644.0767999999998"/>
    <n v="40"/>
    <x v="1758"/>
    <n v="86794"/>
    <x v="0"/>
  </r>
  <r>
    <n v="22459"/>
    <s v="Medium"/>
    <n v="0.1"/>
    <n v="5.81"/>
    <x v="82"/>
    <x v="1033"/>
    <x v="1"/>
    <x v="1033"/>
    <x v="2"/>
    <x v="0"/>
    <x v="0"/>
    <x v="8"/>
    <x v="3"/>
    <x v="104"/>
    <n v="0.39"/>
    <n v="-5.394696736453203"/>
    <s v="United States"/>
    <x v="2"/>
    <x v="12"/>
    <x v="797"/>
    <n v="60540"/>
    <x v="59"/>
    <x v="0"/>
    <x v="0"/>
    <d v="2015-01-17T00:00:00"/>
    <n v="-350.43950000000001"/>
    <n v="12"/>
    <x v="1759"/>
    <n v="86789"/>
    <x v="0"/>
  </r>
  <r>
    <n v="22460"/>
    <s v="Medium"/>
    <n v="0.03"/>
    <n v="1.81"/>
    <x v="239"/>
    <x v="1033"/>
    <x v="1"/>
    <x v="1033"/>
    <x v="2"/>
    <x v="0"/>
    <x v="0"/>
    <x v="3"/>
    <x v="0"/>
    <x v="874"/>
    <n v="0.52"/>
    <n v="0.21958202716823405"/>
    <s v="United States"/>
    <x v="2"/>
    <x v="12"/>
    <x v="797"/>
    <n v="60540"/>
    <x v="59"/>
    <x v="0"/>
    <x v="0"/>
    <d v="2015-01-17T00:00:00"/>
    <n v="4.2027999999999999"/>
    <n v="10"/>
    <x v="1760"/>
    <n v="86789"/>
    <x v="0"/>
  </r>
  <r>
    <n v="21719"/>
    <s v="Critical"/>
    <n v="0.08"/>
    <n v="5.4"/>
    <x v="75"/>
    <x v="1033"/>
    <x v="1"/>
    <x v="1033"/>
    <x v="2"/>
    <x v="0"/>
    <x v="0"/>
    <x v="8"/>
    <x v="3"/>
    <x v="97"/>
    <n v="0.37"/>
    <n v="-1.7383826429980274"/>
    <s v="United States"/>
    <x v="2"/>
    <x v="12"/>
    <x v="797"/>
    <n v="60540"/>
    <x v="30"/>
    <x v="5"/>
    <x v="0"/>
    <d v="2015-03-04T00:00:00"/>
    <n v="-44.067999999999998"/>
    <n v="4"/>
    <x v="1190"/>
    <n v="86792"/>
    <x v="0"/>
  </r>
  <r>
    <n v="21720"/>
    <s v="Critical"/>
    <n v="0.09"/>
    <n v="8.4600000000000009"/>
    <x v="20"/>
    <x v="1033"/>
    <x v="1"/>
    <x v="1033"/>
    <x v="0"/>
    <x v="0"/>
    <x v="2"/>
    <x v="13"/>
    <x v="2"/>
    <x v="875"/>
    <n v="0.79"/>
    <n v="-2.2320675105485233"/>
    <s v="United States"/>
    <x v="2"/>
    <x v="12"/>
    <x v="797"/>
    <n v="60540"/>
    <x v="30"/>
    <x v="5"/>
    <x v="0"/>
    <d v="2015-03-07T00:00:00"/>
    <n v="-100.51"/>
    <n v="5"/>
    <x v="1761"/>
    <n v="86792"/>
    <x v="0"/>
  </r>
  <r>
    <n v="21721"/>
    <s v="Critical"/>
    <n v="0.21"/>
    <n v="14.98"/>
    <x v="20"/>
    <x v="1033"/>
    <x v="1"/>
    <x v="1033"/>
    <x v="2"/>
    <x v="0"/>
    <x v="1"/>
    <x v="2"/>
    <x v="2"/>
    <x v="826"/>
    <n v="0.39"/>
    <n v="-0.1153571196464548"/>
    <s v="United States"/>
    <x v="2"/>
    <x v="12"/>
    <x v="797"/>
    <n v="60540"/>
    <x v="30"/>
    <x v="5"/>
    <x v="0"/>
    <d v="2015-03-05T00:00:00"/>
    <n v="-17.75"/>
    <n v="10"/>
    <x v="1762"/>
    <n v="86792"/>
    <x v="0"/>
  </r>
  <r>
    <n v="21722"/>
    <s v="Critical"/>
    <n v="0.04"/>
    <n v="155.99"/>
    <x v="68"/>
    <x v="1033"/>
    <x v="1"/>
    <x v="1033"/>
    <x v="2"/>
    <x v="0"/>
    <x v="2"/>
    <x v="5"/>
    <x v="3"/>
    <x v="876"/>
    <n v="0.6"/>
    <n v="0.49099498987619322"/>
    <s v="United States"/>
    <x v="2"/>
    <x v="12"/>
    <x v="797"/>
    <n v="60540"/>
    <x v="30"/>
    <x v="5"/>
    <x v="0"/>
    <d v="2015-03-05T00:00:00"/>
    <n v="1374.9480000000001"/>
    <n v="22"/>
    <x v="1763"/>
    <n v="86792"/>
    <x v="0"/>
  </r>
  <r>
    <n v="23898"/>
    <s v="Critical"/>
    <n v="0.03"/>
    <n v="150.88999999999999"/>
    <x v="281"/>
    <x v="1034"/>
    <x v="0"/>
    <x v="1034"/>
    <x v="1"/>
    <x v="3"/>
    <x v="1"/>
    <x v="1"/>
    <x v="1"/>
    <x v="433"/>
    <n v="0.77"/>
    <n v="-0.18850565762799529"/>
    <s v="United States"/>
    <x v="1"/>
    <x v="14"/>
    <x v="91"/>
    <n v="4073"/>
    <x v="11"/>
    <x v="2"/>
    <x v="0"/>
    <d v="2015-02-22T00:00:00"/>
    <n v="-677.87199999999996"/>
    <n v="23"/>
    <x v="1764"/>
    <n v="86791"/>
    <x v="0"/>
  </r>
  <r>
    <n v="24691"/>
    <s v="Not Specified"/>
    <n v="0.09"/>
    <n v="304.99"/>
    <x v="3"/>
    <x v="1035"/>
    <x v="0"/>
    <x v="1035"/>
    <x v="2"/>
    <x v="0"/>
    <x v="0"/>
    <x v="8"/>
    <x v="3"/>
    <x v="831"/>
    <n v="0.4"/>
    <n v="0.69"/>
    <s v="United States"/>
    <x v="1"/>
    <x v="16"/>
    <x v="798"/>
    <n v="3246"/>
    <x v="178"/>
    <x v="1"/>
    <x v="0"/>
    <d v="2015-06-09T00:00:00"/>
    <n v="1623.9494999999999"/>
    <n v="8"/>
    <x v="1765"/>
    <n v="86795"/>
    <x v="0"/>
  </r>
  <r>
    <n v="23706"/>
    <s v="Not Specified"/>
    <n v="0.05"/>
    <n v="4.0599999999999996"/>
    <x v="219"/>
    <x v="1036"/>
    <x v="0"/>
    <x v="1036"/>
    <x v="0"/>
    <x v="0"/>
    <x v="0"/>
    <x v="15"/>
    <x v="3"/>
    <x v="326"/>
    <n v="0.6"/>
    <n v="-1.3269417737928055"/>
    <s v="United States"/>
    <x v="1"/>
    <x v="16"/>
    <x v="799"/>
    <n v="3053"/>
    <x v="117"/>
    <x v="1"/>
    <x v="0"/>
    <d v="2015-06-21T00:00:00"/>
    <n v="-122.83499999999999"/>
    <n v="22"/>
    <x v="1766"/>
    <n v="86796"/>
    <x v="0"/>
  </r>
  <r>
    <n v="23427"/>
    <s v="Critical"/>
    <n v="0.09"/>
    <n v="280.98"/>
    <x v="168"/>
    <x v="1037"/>
    <x v="0"/>
    <x v="1037"/>
    <x v="1"/>
    <x v="1"/>
    <x v="1"/>
    <x v="1"/>
    <x v="1"/>
    <x v="234"/>
    <n v="0.78"/>
    <n v="3.1663073834273275E-2"/>
    <s v="United States"/>
    <x v="1"/>
    <x v="2"/>
    <x v="207"/>
    <n v="7016"/>
    <x v="10"/>
    <x v="3"/>
    <x v="0"/>
    <d v="2015-05-05T00:00:00"/>
    <n v="252.48800000000028"/>
    <n v="31"/>
    <x v="1767"/>
    <n v="86793"/>
    <x v="0"/>
  </r>
  <r>
    <n v="18917"/>
    <s v="Low"/>
    <n v="0.09"/>
    <n v="6.84"/>
    <x v="357"/>
    <x v="1038"/>
    <x v="1"/>
    <x v="1038"/>
    <x v="2"/>
    <x v="3"/>
    <x v="0"/>
    <x v="12"/>
    <x v="2"/>
    <x v="597"/>
    <n v="0.57999999999999996"/>
    <n v="-1.0170493685419058"/>
    <s v="United States"/>
    <x v="2"/>
    <x v="7"/>
    <x v="557"/>
    <n v="77506"/>
    <x v="144"/>
    <x v="1"/>
    <x v="0"/>
    <d v="2015-06-08T00:00:00"/>
    <n v="-88.584999999999994"/>
    <n v="13"/>
    <x v="1768"/>
    <n v="86369"/>
    <x v="0"/>
  </r>
  <r>
    <n v="18918"/>
    <s v="Low"/>
    <n v="7.0000000000000007E-2"/>
    <n v="48.91"/>
    <x v="97"/>
    <x v="1038"/>
    <x v="1"/>
    <x v="1038"/>
    <x v="0"/>
    <x v="3"/>
    <x v="0"/>
    <x v="10"/>
    <x v="6"/>
    <x v="595"/>
    <n v="0.83"/>
    <n v="-0.65912113562956332"/>
    <s v="United States"/>
    <x v="2"/>
    <x v="7"/>
    <x v="557"/>
    <n v="77506"/>
    <x v="144"/>
    <x v="1"/>
    <x v="0"/>
    <d v="2015-06-03T00:00:00"/>
    <n v="-485.68"/>
    <n v="15"/>
    <x v="1769"/>
    <n v="86369"/>
    <x v="0"/>
  </r>
  <r>
    <n v="26039"/>
    <s v="Medium"/>
    <n v="0.02"/>
    <n v="15.42"/>
    <x v="21"/>
    <x v="1039"/>
    <x v="0"/>
    <x v="1039"/>
    <x v="2"/>
    <x v="3"/>
    <x v="0"/>
    <x v="10"/>
    <x v="3"/>
    <x v="877"/>
    <n v="0.59"/>
    <n v="-0.48374704491725767"/>
    <s v="United States"/>
    <x v="2"/>
    <x v="7"/>
    <x v="800"/>
    <n v="78660"/>
    <x v="120"/>
    <x v="5"/>
    <x v="0"/>
    <d v="2015-03-25T00:00:00"/>
    <n v="-16.37"/>
    <n v="2"/>
    <x v="1770"/>
    <n v="86368"/>
    <x v="0"/>
  </r>
  <r>
    <n v="19193"/>
    <s v="Critical"/>
    <n v="0.03"/>
    <n v="3.36"/>
    <x v="135"/>
    <x v="1040"/>
    <x v="1"/>
    <x v="1040"/>
    <x v="2"/>
    <x v="0"/>
    <x v="0"/>
    <x v="8"/>
    <x v="3"/>
    <x v="198"/>
    <n v="0.4"/>
    <n v="-6.3260805369127517"/>
    <s v="United States"/>
    <x v="2"/>
    <x v="7"/>
    <x v="801"/>
    <n v="78577"/>
    <x v="148"/>
    <x v="0"/>
    <x v="0"/>
    <d v="2015-01-05T00:00:00"/>
    <n v="-94.258600000000001"/>
    <n v="4"/>
    <x v="1771"/>
    <n v="85850"/>
    <x v="0"/>
  </r>
  <r>
    <n v="19194"/>
    <s v="Critical"/>
    <n v="7.0000000000000007E-2"/>
    <n v="3.71"/>
    <x v="484"/>
    <x v="1040"/>
    <x v="1"/>
    <x v="1040"/>
    <x v="0"/>
    <x v="0"/>
    <x v="0"/>
    <x v="7"/>
    <x v="0"/>
    <x v="878"/>
    <n v="0.35"/>
    <n v="0.15970736629667004"/>
    <s v="United States"/>
    <x v="2"/>
    <x v="7"/>
    <x v="801"/>
    <n v="78577"/>
    <x v="148"/>
    <x v="0"/>
    <x v="0"/>
    <d v="2015-01-06T00:00:00"/>
    <n v="6.3308"/>
    <n v="11"/>
    <x v="1772"/>
    <n v="85850"/>
    <x v="0"/>
  </r>
  <r>
    <n v="24200"/>
    <s v="Medium"/>
    <n v="0.06"/>
    <n v="19.989999999999998"/>
    <x v="130"/>
    <x v="1041"/>
    <x v="0"/>
    <x v="1041"/>
    <x v="2"/>
    <x v="0"/>
    <x v="1"/>
    <x v="2"/>
    <x v="6"/>
    <x v="172"/>
    <n v="0.6"/>
    <n v="-0.47905656319449419"/>
    <s v="United States"/>
    <x v="0"/>
    <x v="44"/>
    <x v="802"/>
    <n v="83854"/>
    <x v="101"/>
    <x v="0"/>
    <x v="0"/>
    <d v="2015-01-14T00:00:00"/>
    <n v="-66.823599999999999"/>
    <n v="7"/>
    <x v="1773"/>
    <n v="89716"/>
    <x v="0"/>
  </r>
  <r>
    <n v="24202"/>
    <s v="Medium"/>
    <n v="0.06"/>
    <n v="320.98"/>
    <x v="485"/>
    <x v="1042"/>
    <x v="0"/>
    <x v="1042"/>
    <x v="1"/>
    <x v="0"/>
    <x v="1"/>
    <x v="1"/>
    <x v="1"/>
    <x v="879"/>
    <n v="0.56999999999999995"/>
    <n v="0.49764754690309004"/>
    <s v="United States"/>
    <x v="0"/>
    <x v="44"/>
    <x v="803"/>
    <n v="83440"/>
    <x v="101"/>
    <x v="0"/>
    <x v="0"/>
    <d v="2015-01-16T00:00:00"/>
    <n v="971.62200000000007"/>
    <n v="6"/>
    <x v="1774"/>
    <n v="89716"/>
    <x v="0"/>
  </r>
  <r>
    <n v="19625"/>
    <s v="Not Specified"/>
    <n v="0.01"/>
    <n v="145.97999999999999"/>
    <x v="486"/>
    <x v="1043"/>
    <x v="1"/>
    <x v="1043"/>
    <x v="1"/>
    <x v="0"/>
    <x v="1"/>
    <x v="11"/>
    <x v="5"/>
    <x v="880"/>
    <n v="0.69"/>
    <n v="-9.8127357217371008E-2"/>
    <s v="United States"/>
    <x v="0"/>
    <x v="1"/>
    <x v="804"/>
    <n v="92277"/>
    <x v="26"/>
    <x v="1"/>
    <x v="0"/>
    <d v="2015-06-03T00:00:00"/>
    <n v="-134.512"/>
    <n v="9"/>
    <x v="1775"/>
    <n v="88543"/>
    <x v="0"/>
  </r>
  <r>
    <n v="19618"/>
    <s v="Critical"/>
    <n v="0.01"/>
    <n v="3502.14"/>
    <x v="23"/>
    <x v="1043"/>
    <x v="1"/>
    <x v="1043"/>
    <x v="1"/>
    <x v="0"/>
    <x v="2"/>
    <x v="6"/>
    <x v="5"/>
    <x v="25"/>
    <n v="0.56999999999999995"/>
    <n v="-1.1639572881297851"/>
    <s v="United States"/>
    <x v="0"/>
    <x v="1"/>
    <x v="804"/>
    <n v="92277"/>
    <x v="128"/>
    <x v="2"/>
    <x v="0"/>
    <d v="2015-02-05T00:00:00"/>
    <n v="-4075.9339920000002"/>
    <n v="1"/>
    <x v="1776"/>
    <n v="88544"/>
    <x v="0"/>
  </r>
  <r>
    <n v="19619"/>
    <s v="Critical"/>
    <n v="0.06"/>
    <n v="15.73"/>
    <x v="414"/>
    <x v="1043"/>
    <x v="1"/>
    <x v="1043"/>
    <x v="2"/>
    <x v="0"/>
    <x v="0"/>
    <x v="12"/>
    <x v="2"/>
    <x v="722"/>
    <n v="0.56000000000000005"/>
    <n v="-0.2943972081218274"/>
    <s v="United States"/>
    <x v="0"/>
    <x v="1"/>
    <x v="804"/>
    <n v="92277"/>
    <x v="128"/>
    <x v="2"/>
    <x v="0"/>
    <d v="2015-02-05T00:00:00"/>
    <n v="-18.558799999999998"/>
    <n v="4"/>
    <x v="1777"/>
    <n v="88544"/>
    <x v="0"/>
  </r>
  <r>
    <n v="23322"/>
    <s v="Not Specified"/>
    <n v="0.05"/>
    <n v="25.99"/>
    <x v="123"/>
    <x v="1043"/>
    <x v="1"/>
    <x v="1043"/>
    <x v="0"/>
    <x v="0"/>
    <x v="0"/>
    <x v="0"/>
    <x v="3"/>
    <x v="577"/>
    <n v="0.56000000000000005"/>
    <n v="0.48821801262878023"/>
    <s v="United States"/>
    <x v="0"/>
    <x v="1"/>
    <x v="804"/>
    <n v="92277"/>
    <x v="160"/>
    <x v="2"/>
    <x v="0"/>
    <d v="2015-02-18T00:00:00"/>
    <n v="220.35719999999998"/>
    <n v="18"/>
    <x v="1778"/>
    <n v="88545"/>
    <x v="0"/>
  </r>
  <r>
    <n v="24723"/>
    <s v="Medium"/>
    <n v="0.04"/>
    <n v="17.239999999999998"/>
    <x v="487"/>
    <x v="1043"/>
    <x v="1"/>
    <x v="1043"/>
    <x v="2"/>
    <x v="1"/>
    <x v="0"/>
    <x v="12"/>
    <x v="2"/>
    <x v="881"/>
    <n v="0.56000000000000005"/>
    <n v="0.39908026755852843"/>
    <s v="United States"/>
    <x v="0"/>
    <x v="1"/>
    <x v="804"/>
    <n v="92277"/>
    <x v="136"/>
    <x v="2"/>
    <x v="0"/>
    <d v="2015-02-28T00:00:00"/>
    <n v="47.73"/>
    <n v="7"/>
    <x v="1779"/>
    <n v="88546"/>
    <x v="0"/>
  </r>
  <r>
    <n v="24329"/>
    <s v="Medium"/>
    <n v="0.02"/>
    <n v="5.98"/>
    <x v="25"/>
    <x v="1043"/>
    <x v="1"/>
    <x v="1043"/>
    <x v="2"/>
    <x v="0"/>
    <x v="0"/>
    <x v="8"/>
    <x v="3"/>
    <x v="370"/>
    <n v="0.39"/>
    <n v="0.47622704507512525"/>
    <s v="United States"/>
    <x v="0"/>
    <x v="1"/>
    <x v="804"/>
    <n v="92277"/>
    <x v="140"/>
    <x v="5"/>
    <x v="0"/>
    <d v="2015-03-12T00:00:00"/>
    <n v="28.526000000000003"/>
    <n v="10"/>
    <x v="1780"/>
    <n v="88547"/>
    <x v="0"/>
  </r>
  <r>
    <n v="21734"/>
    <s v="High"/>
    <n v="0.01"/>
    <n v="99.23"/>
    <x v="20"/>
    <x v="1043"/>
    <x v="1"/>
    <x v="1043"/>
    <x v="2"/>
    <x v="0"/>
    <x v="1"/>
    <x v="2"/>
    <x v="2"/>
    <x v="153"/>
    <n v="0.35"/>
    <n v="-0.88147550896996563"/>
    <s v="United States"/>
    <x v="0"/>
    <x v="1"/>
    <x v="804"/>
    <n v="92277"/>
    <x v="48"/>
    <x v="5"/>
    <x v="0"/>
    <d v="2015-04-02T00:00:00"/>
    <n v="-87.46"/>
    <n v="1"/>
    <x v="1781"/>
    <n v="88548"/>
    <x v="0"/>
  </r>
  <r>
    <n v="21436"/>
    <s v="High"/>
    <n v="0.08"/>
    <n v="150.97999999999999"/>
    <x v="100"/>
    <x v="1044"/>
    <x v="1"/>
    <x v="1044"/>
    <x v="0"/>
    <x v="0"/>
    <x v="2"/>
    <x v="6"/>
    <x v="4"/>
    <x v="216"/>
    <n v="0.38"/>
    <n v="-3.3349664644962912E-3"/>
    <s v="United States"/>
    <x v="3"/>
    <x v="26"/>
    <x v="805"/>
    <n v="33710"/>
    <x v="161"/>
    <x v="0"/>
    <x v="0"/>
    <d v="2015-01-27T00:00:00"/>
    <n v="-3.9479999999999995"/>
    <n v="8"/>
    <x v="1782"/>
    <n v="86899"/>
    <x v="0"/>
  </r>
  <r>
    <n v="20253"/>
    <s v="Critical"/>
    <n v="0.03"/>
    <n v="17.7"/>
    <x v="334"/>
    <x v="1044"/>
    <x v="1"/>
    <x v="1044"/>
    <x v="2"/>
    <x v="3"/>
    <x v="0"/>
    <x v="10"/>
    <x v="3"/>
    <x v="552"/>
    <n v="0.59"/>
    <n v="0.13967685979085095"/>
    <s v="United States"/>
    <x v="3"/>
    <x v="26"/>
    <x v="805"/>
    <n v="33710"/>
    <x v="5"/>
    <x v="3"/>
    <x v="0"/>
    <d v="2015-05-30T00:00:00"/>
    <n v="28.182599999999997"/>
    <n v="11"/>
    <x v="1783"/>
    <n v="86900"/>
    <x v="0"/>
  </r>
  <r>
    <n v="18635"/>
    <s v="Critical"/>
    <n v="0.04"/>
    <n v="21.38"/>
    <x v="20"/>
    <x v="1044"/>
    <x v="1"/>
    <x v="1044"/>
    <x v="2"/>
    <x v="0"/>
    <x v="0"/>
    <x v="0"/>
    <x v="2"/>
    <x v="731"/>
    <n v="0.59"/>
    <n v="-0.11644051751341115"/>
    <s v="United States"/>
    <x v="3"/>
    <x v="26"/>
    <x v="805"/>
    <n v="33710"/>
    <x v="25"/>
    <x v="5"/>
    <x v="0"/>
    <d v="2015-03-30T00:00:00"/>
    <n v="-51.66"/>
    <n v="21"/>
    <x v="1784"/>
    <n v="86901"/>
    <x v="0"/>
  </r>
  <r>
    <n v="23392"/>
    <s v="Critical"/>
    <n v="0.02"/>
    <n v="60.22"/>
    <x v="169"/>
    <x v="1045"/>
    <x v="1"/>
    <x v="1045"/>
    <x v="2"/>
    <x v="0"/>
    <x v="0"/>
    <x v="15"/>
    <x v="3"/>
    <x v="882"/>
    <n v="0.56999999999999995"/>
    <n v="-0.35793340224453629"/>
    <s v="United States"/>
    <x v="3"/>
    <x v="26"/>
    <x v="91"/>
    <n v="32771"/>
    <x v="13"/>
    <x v="0"/>
    <x v="0"/>
    <d v="2015-01-21T00:00:00"/>
    <n v="-193.91399999999999"/>
    <n v="9"/>
    <x v="1785"/>
    <n v="86898"/>
    <x v="0"/>
  </r>
  <r>
    <n v="21437"/>
    <s v="High"/>
    <n v="0.03"/>
    <n v="25.98"/>
    <x v="238"/>
    <x v="1045"/>
    <x v="1"/>
    <x v="1045"/>
    <x v="1"/>
    <x v="0"/>
    <x v="1"/>
    <x v="1"/>
    <x v="1"/>
    <x v="361"/>
    <n v="0.6"/>
    <n v="0.53451606910644622"/>
    <s v="United States"/>
    <x v="3"/>
    <x v="26"/>
    <x v="91"/>
    <n v="32771"/>
    <x v="161"/>
    <x v="0"/>
    <x v="0"/>
    <d v="2015-01-27T00:00:00"/>
    <n v="57.545999999999999"/>
    <n v="4"/>
    <x v="1786"/>
    <n v="86899"/>
    <x v="0"/>
  </r>
  <r>
    <n v="21438"/>
    <s v="High"/>
    <n v="0.1"/>
    <n v="32.479999999999997"/>
    <x v="97"/>
    <x v="1045"/>
    <x v="1"/>
    <x v="1045"/>
    <x v="2"/>
    <x v="0"/>
    <x v="0"/>
    <x v="10"/>
    <x v="6"/>
    <x v="233"/>
    <n v="0.81"/>
    <n v="-1.0457780008154818"/>
    <s v="United States"/>
    <x v="3"/>
    <x v="26"/>
    <x v="91"/>
    <n v="32771"/>
    <x v="161"/>
    <x v="0"/>
    <x v="0"/>
    <d v="2015-01-27T00:00:00"/>
    <n v="-333.42540000000002"/>
    <n v="10"/>
    <x v="1787"/>
    <n v="86899"/>
    <x v="0"/>
  </r>
  <r>
    <n v="22015"/>
    <s v="Critical"/>
    <n v="0.05"/>
    <n v="159.99"/>
    <x v="57"/>
    <x v="1045"/>
    <x v="1"/>
    <x v="1045"/>
    <x v="2"/>
    <x v="3"/>
    <x v="2"/>
    <x v="13"/>
    <x v="3"/>
    <x v="883"/>
    <n v="0.49"/>
    <n v="3.4060516851124106E-3"/>
    <s v="United States"/>
    <x v="3"/>
    <x v="26"/>
    <x v="91"/>
    <n v="32771"/>
    <x v="47"/>
    <x v="4"/>
    <x v="0"/>
    <d v="2015-04-21T00:00:00"/>
    <n v="12.264000000000001"/>
    <n v="23"/>
    <x v="1788"/>
    <n v="86902"/>
    <x v="0"/>
  </r>
  <r>
    <n v="19374"/>
    <s v="Not Specified"/>
    <n v="7.0000000000000007E-2"/>
    <n v="280.98"/>
    <x v="168"/>
    <x v="1046"/>
    <x v="1"/>
    <x v="1046"/>
    <x v="1"/>
    <x v="0"/>
    <x v="1"/>
    <x v="1"/>
    <x v="1"/>
    <x v="234"/>
    <n v="0.78"/>
    <n v="-7.2141106180190567E-2"/>
    <s v="United States"/>
    <x v="3"/>
    <x v="26"/>
    <x v="806"/>
    <n v="32004"/>
    <x v="117"/>
    <x v="1"/>
    <x v="0"/>
    <d v="2015-06-20T00:00:00"/>
    <n v="-283.9914"/>
    <n v="14"/>
    <x v="1789"/>
    <n v="86491"/>
    <x v="0"/>
  </r>
  <r>
    <n v="19375"/>
    <s v="Not Specified"/>
    <n v="0"/>
    <n v="4.9800000000000004"/>
    <x v="101"/>
    <x v="1046"/>
    <x v="1"/>
    <x v="1046"/>
    <x v="2"/>
    <x v="0"/>
    <x v="0"/>
    <x v="7"/>
    <x v="3"/>
    <x v="130"/>
    <n v="0.36"/>
    <n v="-2.4944706933980334"/>
    <s v="United States"/>
    <x v="3"/>
    <x v="26"/>
    <x v="806"/>
    <n v="32004"/>
    <x v="117"/>
    <x v="1"/>
    <x v="0"/>
    <d v="2015-06-21T00:00:00"/>
    <n v="-195.34200000000001"/>
    <n v="15"/>
    <x v="1790"/>
    <n v="86491"/>
    <x v="0"/>
  </r>
  <r>
    <n v="19376"/>
    <s v="Not Specified"/>
    <n v="0.1"/>
    <n v="3.98"/>
    <x v="227"/>
    <x v="1046"/>
    <x v="1"/>
    <x v="1046"/>
    <x v="2"/>
    <x v="0"/>
    <x v="0"/>
    <x v="0"/>
    <x v="0"/>
    <x v="503"/>
    <n v="0.51"/>
    <n v="-2.112793217145549"/>
    <s v="United States"/>
    <x v="3"/>
    <x v="26"/>
    <x v="806"/>
    <n v="32004"/>
    <x v="117"/>
    <x v="1"/>
    <x v="0"/>
    <d v="2015-06-21T00:00:00"/>
    <n v="-89.70920000000001"/>
    <n v="11"/>
    <x v="1315"/>
    <n v="86491"/>
    <x v="0"/>
  </r>
  <r>
    <n v="25683"/>
    <s v="Critical"/>
    <n v="0.08"/>
    <n v="7.28"/>
    <x v="212"/>
    <x v="1047"/>
    <x v="0"/>
    <x v="1047"/>
    <x v="0"/>
    <x v="2"/>
    <x v="0"/>
    <x v="7"/>
    <x v="3"/>
    <x v="306"/>
    <n v="0.37"/>
    <n v="-3.0296725784447478"/>
    <s v="United States"/>
    <x v="3"/>
    <x v="26"/>
    <x v="807"/>
    <n v="32127"/>
    <x v="53"/>
    <x v="4"/>
    <x v="0"/>
    <d v="2015-04-14T00:00:00"/>
    <n v="-44.415000000000006"/>
    <n v="1"/>
    <x v="1791"/>
    <n v="86490"/>
    <x v="0"/>
  </r>
  <r>
    <n v="26055"/>
    <s v="Medium"/>
    <n v="0.1"/>
    <n v="7.28"/>
    <x v="132"/>
    <x v="1048"/>
    <x v="0"/>
    <x v="1048"/>
    <x v="2"/>
    <x v="0"/>
    <x v="0"/>
    <x v="7"/>
    <x v="3"/>
    <x v="884"/>
    <n v="0.35"/>
    <n v="2.0126774115949"/>
    <s v="United States"/>
    <x v="3"/>
    <x v="26"/>
    <x v="808"/>
    <n v="34952"/>
    <x v="169"/>
    <x v="2"/>
    <x v="0"/>
    <d v="2015-02-13T00:00:00"/>
    <n v="167.334"/>
    <n v="12"/>
    <x v="1792"/>
    <n v="86489"/>
    <x v="0"/>
  </r>
  <r>
    <n v="21961"/>
    <s v="High"/>
    <n v="0.06"/>
    <n v="10.97"/>
    <x v="150"/>
    <x v="1049"/>
    <x v="1"/>
    <x v="1049"/>
    <x v="2"/>
    <x v="3"/>
    <x v="2"/>
    <x v="13"/>
    <x v="3"/>
    <x v="885"/>
    <n v="0.64"/>
    <n v="0.30475261324041814"/>
    <s v="United States"/>
    <x v="3"/>
    <x v="26"/>
    <x v="809"/>
    <n v="32216"/>
    <x v="82"/>
    <x v="3"/>
    <x v="0"/>
    <d v="2015-05-06T00:00:00"/>
    <n v="65.597999999999999"/>
    <n v="19"/>
    <x v="1793"/>
    <n v="90820"/>
    <x v="0"/>
  </r>
  <r>
    <n v="20964"/>
    <s v="Low"/>
    <n v="0.02"/>
    <n v="58.14"/>
    <x v="248"/>
    <x v="1049"/>
    <x v="1"/>
    <x v="1049"/>
    <x v="1"/>
    <x v="3"/>
    <x v="1"/>
    <x v="14"/>
    <x v="5"/>
    <x v="375"/>
    <n v="0.61"/>
    <n v="1.8998247448491186E-4"/>
    <s v="United States"/>
    <x v="3"/>
    <x v="26"/>
    <x v="809"/>
    <n v="32216"/>
    <x v="97"/>
    <x v="1"/>
    <x v="0"/>
    <d v="2015-07-01T00:00:00"/>
    <n v="0.25800000000000001"/>
    <n v="22"/>
    <x v="1794"/>
    <n v="90821"/>
    <x v="0"/>
  </r>
  <r>
    <n v="20965"/>
    <s v="Low"/>
    <n v="0.03"/>
    <n v="15.57"/>
    <x v="49"/>
    <x v="1049"/>
    <x v="1"/>
    <x v="1049"/>
    <x v="2"/>
    <x v="3"/>
    <x v="0"/>
    <x v="4"/>
    <x v="3"/>
    <x v="253"/>
    <n v="0.38"/>
    <n v="0.17618437186489802"/>
    <s v="United States"/>
    <x v="3"/>
    <x v="26"/>
    <x v="809"/>
    <n v="32216"/>
    <x v="97"/>
    <x v="1"/>
    <x v="0"/>
    <d v="2015-07-01T00:00:00"/>
    <n v="63.222000000000001"/>
    <n v="22"/>
    <x v="1795"/>
    <n v="90821"/>
    <x v="0"/>
  </r>
  <r>
    <n v="24493"/>
    <s v="Not Specified"/>
    <n v="0.1"/>
    <n v="62.18"/>
    <x v="316"/>
    <x v="1050"/>
    <x v="1"/>
    <x v="1050"/>
    <x v="2"/>
    <x v="3"/>
    <x v="1"/>
    <x v="2"/>
    <x v="4"/>
    <x v="499"/>
    <n v="0.63"/>
    <n v="-5.7990108880505119E-2"/>
    <s v="United States"/>
    <x v="3"/>
    <x v="26"/>
    <x v="810"/>
    <n v="33458"/>
    <x v="88"/>
    <x v="5"/>
    <x v="0"/>
    <d v="2015-03-16T00:00:00"/>
    <n v="-29.666000000000004"/>
    <n v="9"/>
    <x v="1796"/>
    <n v="90818"/>
    <x v="0"/>
  </r>
  <r>
    <n v="22086"/>
    <s v="Critical"/>
    <n v="0.06"/>
    <n v="1.68"/>
    <x v="332"/>
    <x v="1050"/>
    <x v="1"/>
    <x v="1050"/>
    <x v="2"/>
    <x v="3"/>
    <x v="0"/>
    <x v="0"/>
    <x v="0"/>
    <x v="812"/>
    <n v="0.35"/>
    <n v="-152.54335260115607"/>
    <s v="United States"/>
    <x v="3"/>
    <x v="26"/>
    <x v="810"/>
    <n v="33458"/>
    <x v="157"/>
    <x v="5"/>
    <x v="0"/>
    <d v="2015-04-02T00:00:00"/>
    <n v="-1319.5"/>
    <n v="5"/>
    <x v="1797"/>
    <n v="90819"/>
    <x v="0"/>
  </r>
  <r>
    <n v="21554"/>
    <s v="Low"/>
    <n v="7.0000000000000007E-2"/>
    <n v="35.44"/>
    <x v="392"/>
    <x v="1051"/>
    <x v="0"/>
    <x v="1051"/>
    <x v="2"/>
    <x v="0"/>
    <x v="0"/>
    <x v="7"/>
    <x v="3"/>
    <x v="854"/>
    <n v="0.38"/>
    <n v="0.69"/>
    <s v="United States"/>
    <x v="2"/>
    <x v="3"/>
    <x v="811"/>
    <n v="55060"/>
    <x v="20"/>
    <x v="1"/>
    <x v="0"/>
    <d v="2015-06-19T00:00:00"/>
    <n v="262.2"/>
    <n v="11"/>
    <x v="1798"/>
    <n v="86989"/>
    <x v="0"/>
  </r>
  <r>
    <n v="24464"/>
    <s v="High"/>
    <n v="0.08"/>
    <n v="170.98"/>
    <x v="251"/>
    <x v="1052"/>
    <x v="0"/>
    <x v="1052"/>
    <x v="1"/>
    <x v="2"/>
    <x v="1"/>
    <x v="14"/>
    <x v="5"/>
    <x v="379"/>
    <n v="0.66"/>
    <n v="-0.60062161620212551"/>
    <s v="United States"/>
    <x v="3"/>
    <x v="26"/>
    <x v="812"/>
    <n v="33569"/>
    <x v="21"/>
    <x v="5"/>
    <x v="0"/>
    <d v="2015-03-04T00:00:00"/>
    <n v="-119.812"/>
    <n v="1"/>
    <x v="1799"/>
    <n v="89025"/>
    <x v="0"/>
  </r>
  <r>
    <n v="20127"/>
    <s v="Critical"/>
    <n v="0.01"/>
    <n v="20.99"/>
    <x v="120"/>
    <x v="1053"/>
    <x v="1"/>
    <x v="1053"/>
    <x v="2"/>
    <x v="0"/>
    <x v="2"/>
    <x v="5"/>
    <x v="4"/>
    <x v="160"/>
    <n v="0.57999999999999996"/>
    <n v="-9.7089862488007661E-2"/>
    <s v="United States"/>
    <x v="2"/>
    <x v="45"/>
    <x v="813"/>
    <n v="54481"/>
    <x v="103"/>
    <x v="5"/>
    <x v="0"/>
    <d v="2015-03-18T00:00:00"/>
    <n v="-9.1079999999999988"/>
    <n v="5"/>
    <x v="1800"/>
    <n v="86447"/>
    <x v="0"/>
  </r>
  <r>
    <n v="20303"/>
    <s v="High"/>
    <n v="0.09"/>
    <n v="35.94"/>
    <x v="8"/>
    <x v="1053"/>
    <x v="1"/>
    <x v="1053"/>
    <x v="2"/>
    <x v="0"/>
    <x v="0"/>
    <x v="4"/>
    <x v="3"/>
    <x v="8"/>
    <n v="0.4"/>
    <n v="0.55270130036512699"/>
    <s v="United States"/>
    <x v="2"/>
    <x v="45"/>
    <x v="813"/>
    <n v="54481"/>
    <x v="98"/>
    <x v="4"/>
    <x v="0"/>
    <d v="2015-04-12T00:00:00"/>
    <n v="172.56439999999998"/>
    <n v="9"/>
    <x v="1801"/>
    <n v="86448"/>
    <x v="0"/>
  </r>
  <r>
    <n v="22846"/>
    <s v="Medium"/>
    <n v="0.1"/>
    <n v="4.9800000000000004"/>
    <x v="488"/>
    <x v="1054"/>
    <x v="1"/>
    <x v="1054"/>
    <x v="2"/>
    <x v="3"/>
    <x v="0"/>
    <x v="7"/>
    <x v="3"/>
    <x v="886"/>
    <n v="0.38"/>
    <n v="1.0282390510948904"/>
    <s v="United States"/>
    <x v="3"/>
    <x v="26"/>
    <x v="230"/>
    <n v="34609"/>
    <x v="17"/>
    <x v="5"/>
    <x v="0"/>
    <d v="2015-03-11T00:00:00"/>
    <n v="45.077999999999996"/>
    <n v="9"/>
    <x v="1802"/>
    <n v="89805"/>
    <x v="0"/>
  </r>
  <r>
    <n v="22847"/>
    <s v="Medium"/>
    <n v="0"/>
    <n v="22.84"/>
    <x v="373"/>
    <x v="1054"/>
    <x v="1"/>
    <x v="1054"/>
    <x v="2"/>
    <x v="3"/>
    <x v="0"/>
    <x v="7"/>
    <x v="3"/>
    <x v="635"/>
    <n v="0.39"/>
    <n v="-0.7787216029349513"/>
    <s v="United States"/>
    <x v="3"/>
    <x v="26"/>
    <x v="230"/>
    <n v="34609"/>
    <x v="17"/>
    <x v="5"/>
    <x v="0"/>
    <d v="2015-03-12T00:00:00"/>
    <n v="-110.376"/>
    <n v="6"/>
    <x v="1803"/>
    <n v="89805"/>
    <x v="0"/>
  </r>
  <r>
    <n v="3406"/>
    <s v="Not Specified"/>
    <n v="0.03"/>
    <n v="200.97"/>
    <x v="301"/>
    <x v="1055"/>
    <x v="0"/>
    <x v="1055"/>
    <x v="1"/>
    <x v="1"/>
    <x v="2"/>
    <x v="6"/>
    <x v="1"/>
    <x v="474"/>
    <n v="0.36"/>
    <n v="0.22383069025838087"/>
    <s v="United States"/>
    <x v="0"/>
    <x v="1"/>
    <x v="49"/>
    <n v="94109"/>
    <x v="23"/>
    <x v="2"/>
    <x v="0"/>
    <d v="2015-02-03T00:00:00"/>
    <n v="1951.3"/>
    <n v="43"/>
    <x v="1804"/>
    <n v="24294"/>
    <x v="0"/>
  </r>
  <r>
    <n v="21406"/>
    <s v="Not Specified"/>
    <n v="0.03"/>
    <n v="200.97"/>
    <x v="301"/>
    <x v="1056"/>
    <x v="0"/>
    <x v="1056"/>
    <x v="1"/>
    <x v="1"/>
    <x v="2"/>
    <x v="6"/>
    <x v="1"/>
    <x v="474"/>
    <n v="0.36"/>
    <n v="0.69"/>
    <s v="United States"/>
    <x v="2"/>
    <x v="12"/>
    <x v="814"/>
    <n v="60062"/>
    <x v="23"/>
    <x v="2"/>
    <x v="0"/>
    <d v="2015-02-03T00:00:00"/>
    <n v="1538.7827999999997"/>
    <n v="11"/>
    <x v="1805"/>
    <n v="90850"/>
    <x v="0"/>
  </r>
  <r>
    <n v="18437"/>
    <s v="Low"/>
    <n v="7.0000000000000007E-2"/>
    <n v="5.98"/>
    <x v="146"/>
    <x v="1057"/>
    <x v="0"/>
    <x v="1057"/>
    <x v="2"/>
    <x v="3"/>
    <x v="0"/>
    <x v="0"/>
    <x v="0"/>
    <x v="631"/>
    <n v="0.6"/>
    <n v="0.58209219858156025"/>
    <s v="United States"/>
    <x v="0"/>
    <x v="44"/>
    <x v="803"/>
    <n v="83440"/>
    <x v="25"/>
    <x v="5"/>
    <x v="0"/>
    <d v="2015-04-03T00:00:00"/>
    <n v="32.83"/>
    <n v="10"/>
    <x v="1806"/>
    <n v="87933"/>
    <x v="0"/>
  </r>
  <r>
    <n v="18438"/>
    <s v="Low"/>
    <n v="0.01"/>
    <n v="39.979999999999997"/>
    <x v="41"/>
    <x v="1058"/>
    <x v="1"/>
    <x v="1058"/>
    <x v="2"/>
    <x v="3"/>
    <x v="2"/>
    <x v="13"/>
    <x v="3"/>
    <x v="74"/>
    <n v="0.7"/>
    <n v="0.20033395464429971"/>
    <s v="United States"/>
    <x v="0"/>
    <x v="44"/>
    <x v="815"/>
    <n v="83301"/>
    <x v="25"/>
    <x v="5"/>
    <x v="0"/>
    <d v="2015-04-04T00:00:00"/>
    <n v="51.590000000000053"/>
    <n v="6"/>
    <x v="427"/>
    <n v="87933"/>
    <x v="0"/>
  </r>
  <r>
    <n v="21229"/>
    <s v="Not Specified"/>
    <n v="0.06"/>
    <n v="218.08"/>
    <x v="327"/>
    <x v="1058"/>
    <x v="1"/>
    <x v="1058"/>
    <x v="0"/>
    <x v="3"/>
    <x v="1"/>
    <x v="1"/>
    <x v="6"/>
    <x v="531"/>
    <n v="0.56999999999999995"/>
    <n v="0.65126871838281231"/>
    <s v="United States"/>
    <x v="0"/>
    <x v="44"/>
    <x v="815"/>
    <n v="83301"/>
    <x v="8"/>
    <x v="3"/>
    <x v="0"/>
    <d v="2015-05-23T00:00:00"/>
    <n v="969.42"/>
    <n v="7"/>
    <x v="1807"/>
    <n v="87934"/>
    <x v="0"/>
  </r>
  <r>
    <n v="20156"/>
    <s v="Not Specified"/>
    <n v="0.05"/>
    <n v="35.44"/>
    <x v="153"/>
    <x v="1058"/>
    <x v="1"/>
    <x v="1058"/>
    <x v="2"/>
    <x v="3"/>
    <x v="0"/>
    <x v="7"/>
    <x v="3"/>
    <x v="861"/>
    <n v="0.38"/>
    <n v="0.69"/>
    <s v="United States"/>
    <x v="0"/>
    <x v="44"/>
    <x v="815"/>
    <n v="83301"/>
    <x v="5"/>
    <x v="3"/>
    <x v="0"/>
    <d v="2015-05-29T00:00:00"/>
    <n v="553.33169999999996"/>
    <n v="23"/>
    <x v="1808"/>
    <n v="87935"/>
    <x v="0"/>
  </r>
  <r>
    <n v="24637"/>
    <s v="Critical"/>
    <n v="0.03"/>
    <n v="4.9800000000000004"/>
    <x v="107"/>
    <x v="1059"/>
    <x v="0"/>
    <x v="1059"/>
    <x v="0"/>
    <x v="0"/>
    <x v="2"/>
    <x v="13"/>
    <x v="2"/>
    <x v="139"/>
    <n v="0.64"/>
    <n v="-0.68829113924050633"/>
    <s v="United States"/>
    <x v="0"/>
    <x v="1"/>
    <x v="816"/>
    <n v="90210"/>
    <x v="162"/>
    <x v="1"/>
    <x v="0"/>
    <d v="2015-06-29T00:00:00"/>
    <n v="-30.45"/>
    <n v="8"/>
    <x v="1809"/>
    <n v="90739"/>
    <x v="0"/>
  </r>
  <r>
    <n v="22804"/>
    <s v="High"/>
    <n v="0.1"/>
    <n v="7.31"/>
    <x v="243"/>
    <x v="1060"/>
    <x v="1"/>
    <x v="1060"/>
    <x v="2"/>
    <x v="0"/>
    <x v="0"/>
    <x v="9"/>
    <x v="3"/>
    <x v="388"/>
    <n v="0.38"/>
    <n v="0.69"/>
    <s v="United States"/>
    <x v="2"/>
    <x v="12"/>
    <x v="817"/>
    <n v="60101"/>
    <x v="2"/>
    <x v="2"/>
    <x v="0"/>
    <d v="2015-02-16T00:00:00"/>
    <n v="55.020599999999995"/>
    <n v="12"/>
    <x v="1810"/>
    <n v="91522"/>
    <x v="0"/>
  </r>
  <r>
    <n v="22805"/>
    <s v="High"/>
    <n v="0.1"/>
    <n v="20.99"/>
    <x v="10"/>
    <x v="1060"/>
    <x v="1"/>
    <x v="1060"/>
    <x v="2"/>
    <x v="0"/>
    <x v="2"/>
    <x v="5"/>
    <x v="0"/>
    <x v="427"/>
    <n v="0.81"/>
    <n v="-0.11123720219136196"/>
    <s v="United States"/>
    <x v="2"/>
    <x v="12"/>
    <x v="817"/>
    <n v="60101"/>
    <x v="2"/>
    <x v="2"/>
    <x v="0"/>
    <d v="2015-02-16T00:00:00"/>
    <n v="-43.65504"/>
    <n v="23"/>
    <x v="1488"/>
    <n v="91522"/>
    <x v="0"/>
  </r>
  <r>
    <n v="23736"/>
    <s v="Not Specified"/>
    <n v="0.03"/>
    <n v="6.68"/>
    <x v="396"/>
    <x v="1061"/>
    <x v="0"/>
    <x v="1061"/>
    <x v="2"/>
    <x v="0"/>
    <x v="0"/>
    <x v="0"/>
    <x v="0"/>
    <x v="685"/>
    <n v="0.48"/>
    <n v="-11.947516556291392"/>
    <s v="United States"/>
    <x v="3"/>
    <x v="26"/>
    <x v="818"/>
    <n v="33322"/>
    <x v="142"/>
    <x v="4"/>
    <x v="0"/>
    <d v="2015-04-13T00:00:00"/>
    <n v="-577.30400000000009"/>
    <n v="7"/>
    <x v="1811"/>
    <n v="90815"/>
    <x v="0"/>
  </r>
  <r>
    <n v="25605"/>
    <s v="High"/>
    <n v="0.04"/>
    <n v="39.479999999999997"/>
    <x v="45"/>
    <x v="1062"/>
    <x v="1"/>
    <x v="1062"/>
    <x v="0"/>
    <x v="0"/>
    <x v="2"/>
    <x v="13"/>
    <x v="2"/>
    <x v="246"/>
    <n v="0.54"/>
    <n v="-4.6227312138728331"/>
    <s v="United States"/>
    <x v="3"/>
    <x v="26"/>
    <x v="819"/>
    <n v="32303"/>
    <x v="91"/>
    <x v="5"/>
    <x v="0"/>
    <d v="2015-03-19T00:00:00"/>
    <n v="-1535.4864000000002"/>
    <n v="8"/>
    <x v="1812"/>
    <n v="90814"/>
    <x v="0"/>
  </r>
  <r>
    <n v="25606"/>
    <s v="High"/>
    <n v="0"/>
    <n v="8.1199999999999992"/>
    <x v="202"/>
    <x v="1062"/>
    <x v="1"/>
    <x v="1062"/>
    <x v="2"/>
    <x v="0"/>
    <x v="2"/>
    <x v="13"/>
    <x v="2"/>
    <x v="293"/>
    <n v="0.77"/>
    <n v="-1.0792575531770763"/>
    <s v="United States"/>
    <x v="3"/>
    <x v="26"/>
    <x v="819"/>
    <n v="32303"/>
    <x v="91"/>
    <x v="5"/>
    <x v="0"/>
    <d v="2015-03-20T00:00:00"/>
    <n v="-159.32"/>
    <n v="17"/>
    <x v="1813"/>
    <n v="90814"/>
    <x v="0"/>
  </r>
  <r>
    <n v="19517"/>
    <s v="Critical"/>
    <n v="0.06"/>
    <n v="60.98"/>
    <x v="40"/>
    <x v="1063"/>
    <x v="0"/>
    <x v="1063"/>
    <x v="1"/>
    <x v="2"/>
    <x v="1"/>
    <x v="1"/>
    <x v="1"/>
    <x v="887"/>
    <n v="0.7"/>
    <n v="-0.5884670373312153"/>
    <s v="United States"/>
    <x v="3"/>
    <x v="20"/>
    <x v="820"/>
    <n v="37066"/>
    <x v="113"/>
    <x v="4"/>
    <x v="0"/>
    <d v="2015-04-02T00:00:00"/>
    <n v="-74.088000000000008"/>
    <n v="2"/>
    <x v="1814"/>
    <n v="86508"/>
    <x v="0"/>
  </r>
  <r>
    <n v="22291"/>
    <s v="Not Specified"/>
    <n v="0.1"/>
    <n v="208.16"/>
    <x v="489"/>
    <x v="1064"/>
    <x v="0"/>
    <x v="1064"/>
    <x v="1"/>
    <x v="2"/>
    <x v="0"/>
    <x v="15"/>
    <x v="1"/>
    <x v="888"/>
    <n v="0.57999999999999996"/>
    <n v="-0.17887644541564235"/>
    <s v="United States"/>
    <x v="3"/>
    <x v="20"/>
    <x v="821"/>
    <n v="38138"/>
    <x v="101"/>
    <x v="0"/>
    <x v="0"/>
    <d v="2015-01-14T00:00:00"/>
    <n v="-137.52199999999999"/>
    <n v="4"/>
    <x v="1815"/>
    <n v="86507"/>
    <x v="0"/>
  </r>
  <r>
    <n v="22292"/>
    <s v="Not Specified"/>
    <n v="7.0000000000000007E-2"/>
    <n v="90.48"/>
    <x v="3"/>
    <x v="1065"/>
    <x v="1"/>
    <x v="1065"/>
    <x v="2"/>
    <x v="2"/>
    <x v="0"/>
    <x v="4"/>
    <x v="3"/>
    <x v="634"/>
    <n v="0.4"/>
    <n v="-6.4430994056382571E-2"/>
    <s v="United States"/>
    <x v="3"/>
    <x v="20"/>
    <x v="822"/>
    <n v="37075"/>
    <x v="101"/>
    <x v="0"/>
    <x v="0"/>
    <d v="2015-01-15T00:00:00"/>
    <n v="-11.815999999999999"/>
    <n v="2"/>
    <x v="1816"/>
    <n v="86507"/>
    <x v="0"/>
  </r>
  <r>
    <n v="22293"/>
    <s v="Not Specified"/>
    <n v="0.01"/>
    <n v="9.48"/>
    <x v="2"/>
    <x v="1065"/>
    <x v="1"/>
    <x v="1065"/>
    <x v="0"/>
    <x v="2"/>
    <x v="1"/>
    <x v="2"/>
    <x v="2"/>
    <x v="2"/>
    <n v="0.45"/>
    <n v="18.521999999999998"/>
    <s v="United States"/>
    <x v="3"/>
    <x v="20"/>
    <x v="822"/>
    <n v="37075"/>
    <x v="101"/>
    <x v="0"/>
    <x v="0"/>
    <d v="2015-01-16T00:00:00"/>
    <n v="238.93379999999999"/>
    <n v="1"/>
    <x v="1817"/>
    <n v="86507"/>
    <x v="0"/>
  </r>
  <r>
    <n v="22294"/>
    <s v="Not Specified"/>
    <n v="0.02"/>
    <n v="4.28"/>
    <x v="349"/>
    <x v="1065"/>
    <x v="1"/>
    <x v="1065"/>
    <x v="2"/>
    <x v="2"/>
    <x v="0"/>
    <x v="0"/>
    <x v="0"/>
    <x v="579"/>
    <n v="0.56000000000000005"/>
    <n v="-5.8762437115707096"/>
    <s v="United States"/>
    <x v="3"/>
    <x v="20"/>
    <x v="822"/>
    <n v="37075"/>
    <x v="101"/>
    <x v="0"/>
    <x v="0"/>
    <d v="2015-01-15T00:00:00"/>
    <n v="-105.126"/>
    <n v="4"/>
    <x v="1818"/>
    <n v="86507"/>
    <x v="0"/>
  </r>
  <r>
    <n v="24343"/>
    <s v="Medium"/>
    <n v="0.06"/>
    <n v="22.24"/>
    <x v="45"/>
    <x v="1065"/>
    <x v="1"/>
    <x v="1065"/>
    <x v="2"/>
    <x v="2"/>
    <x v="2"/>
    <x v="13"/>
    <x v="2"/>
    <x v="889"/>
    <n v="0.43"/>
    <n v="0.37278411755510393"/>
    <s v="United States"/>
    <x v="3"/>
    <x v="20"/>
    <x v="822"/>
    <n v="37075"/>
    <x v="162"/>
    <x v="1"/>
    <x v="0"/>
    <d v="2015-06-30T00:00:00"/>
    <n v="95.387999999999991"/>
    <n v="12"/>
    <x v="1819"/>
    <n v="86509"/>
    <x v="0"/>
  </r>
  <r>
    <n v="18940"/>
    <s v="Not Specified"/>
    <n v="0.01"/>
    <n v="24.95"/>
    <x v="139"/>
    <x v="1066"/>
    <x v="0"/>
    <x v="1066"/>
    <x v="2"/>
    <x v="2"/>
    <x v="0"/>
    <x v="8"/>
    <x v="3"/>
    <x v="890"/>
    <n v="0.39"/>
    <n v="0.69"/>
    <s v="United States"/>
    <x v="2"/>
    <x v="45"/>
    <x v="823"/>
    <n v="54880"/>
    <x v="72"/>
    <x v="0"/>
    <x v="0"/>
    <d v="2015-01-22T00:00:00"/>
    <n v="261.38579999999996"/>
    <n v="15"/>
    <x v="1820"/>
    <n v="87435"/>
    <x v="0"/>
  </r>
  <r>
    <n v="18941"/>
    <s v="Not Specified"/>
    <n v="0"/>
    <n v="15.98"/>
    <x v="20"/>
    <x v="1067"/>
    <x v="1"/>
    <x v="1067"/>
    <x v="2"/>
    <x v="2"/>
    <x v="2"/>
    <x v="13"/>
    <x v="2"/>
    <x v="891"/>
    <n v="0.64"/>
    <n v="-0.89013010908135104"/>
    <s v="United States"/>
    <x v="2"/>
    <x v="45"/>
    <x v="824"/>
    <n v="53186"/>
    <x v="72"/>
    <x v="0"/>
    <x v="0"/>
    <d v="2015-01-23T00:00:00"/>
    <n v="-135.46"/>
    <n v="9"/>
    <x v="1821"/>
    <n v="87435"/>
    <x v="0"/>
  </r>
  <r>
    <n v="19062"/>
    <s v="Critical"/>
    <n v="0.06"/>
    <n v="4.91"/>
    <x v="317"/>
    <x v="1067"/>
    <x v="1"/>
    <x v="1067"/>
    <x v="0"/>
    <x v="2"/>
    <x v="0"/>
    <x v="8"/>
    <x v="3"/>
    <x v="500"/>
    <n v="0.36"/>
    <n v="-0.58801725737613653"/>
    <s v="United States"/>
    <x v="2"/>
    <x v="45"/>
    <x v="824"/>
    <n v="53186"/>
    <x v="1"/>
    <x v="1"/>
    <x v="0"/>
    <d v="2015-06-13T00:00:00"/>
    <n v="-31.68825"/>
    <n v="10"/>
    <x v="1822"/>
    <n v="87436"/>
    <x v="0"/>
  </r>
  <r>
    <n v="19063"/>
    <s v="Critical"/>
    <n v="7.0000000000000007E-2"/>
    <n v="48.94"/>
    <x v="384"/>
    <x v="1067"/>
    <x v="1"/>
    <x v="1067"/>
    <x v="0"/>
    <x v="2"/>
    <x v="0"/>
    <x v="7"/>
    <x v="3"/>
    <x v="892"/>
    <n v="0.35"/>
    <n v="0.69"/>
    <s v="United States"/>
    <x v="2"/>
    <x v="45"/>
    <x v="824"/>
    <n v="53186"/>
    <x v="1"/>
    <x v="1"/>
    <x v="0"/>
    <d v="2015-06-14T00:00:00"/>
    <n v="690.70379999999989"/>
    <n v="21"/>
    <x v="1823"/>
    <n v="87436"/>
    <x v="0"/>
  </r>
  <r>
    <n v="19179"/>
    <s v="Low"/>
    <n v="0.06"/>
    <n v="115.99"/>
    <x v="78"/>
    <x v="1068"/>
    <x v="0"/>
    <x v="1068"/>
    <x v="2"/>
    <x v="0"/>
    <x v="2"/>
    <x v="5"/>
    <x v="3"/>
    <x v="618"/>
    <n v="0.57999999999999996"/>
    <n v="-2.6356338993989759E-2"/>
    <s v="United States"/>
    <x v="0"/>
    <x v="6"/>
    <x v="825"/>
    <n v="97330"/>
    <x v="141"/>
    <x v="1"/>
    <x v="0"/>
    <d v="2015-06-06T00:00:00"/>
    <n v="-13.068000000000001"/>
    <n v="5"/>
    <x v="1824"/>
    <n v="89564"/>
    <x v="0"/>
  </r>
  <r>
    <n v="23084"/>
    <s v="High"/>
    <n v="0"/>
    <n v="7.28"/>
    <x v="490"/>
    <x v="1069"/>
    <x v="0"/>
    <x v="1069"/>
    <x v="2"/>
    <x v="2"/>
    <x v="2"/>
    <x v="13"/>
    <x v="2"/>
    <x v="893"/>
    <n v="0.68"/>
    <n v="-1.0271685761047462"/>
    <s v="United States"/>
    <x v="1"/>
    <x v="18"/>
    <x v="222"/>
    <n v="6010"/>
    <x v="69"/>
    <x v="1"/>
    <x v="0"/>
    <d v="2015-06-10T00:00:00"/>
    <n v="-25.103999999999999"/>
    <n v="3"/>
    <x v="1825"/>
    <n v="88329"/>
    <x v="0"/>
  </r>
  <r>
    <n v="23267"/>
    <s v="Low"/>
    <n v="0.06"/>
    <n v="5.18"/>
    <x v="36"/>
    <x v="1070"/>
    <x v="0"/>
    <x v="1070"/>
    <x v="2"/>
    <x v="2"/>
    <x v="0"/>
    <x v="7"/>
    <x v="0"/>
    <x v="43"/>
    <n v="0.36"/>
    <n v="8.9222323879231485E-2"/>
    <s v="United States"/>
    <x v="1"/>
    <x v="16"/>
    <x v="826"/>
    <n v="3051"/>
    <x v="113"/>
    <x v="4"/>
    <x v="0"/>
    <d v="2015-04-01T00:00:00"/>
    <n v="1.9504000000000001"/>
    <n v="4"/>
    <x v="1826"/>
    <n v="88330"/>
    <x v="0"/>
  </r>
  <r>
    <n v="18265"/>
    <s v="High"/>
    <n v="7.0000000000000007E-2"/>
    <n v="2.78"/>
    <x v="25"/>
    <x v="1071"/>
    <x v="0"/>
    <x v="1071"/>
    <x v="2"/>
    <x v="2"/>
    <x v="0"/>
    <x v="8"/>
    <x v="3"/>
    <x v="272"/>
    <n v="0.36"/>
    <n v="-7.2268909168081494"/>
    <s v="United States"/>
    <x v="3"/>
    <x v="11"/>
    <x v="827"/>
    <n v="70458"/>
    <x v="163"/>
    <x v="3"/>
    <x v="0"/>
    <d v="2015-05-08T00:00:00"/>
    <n v="-340.53109999999998"/>
    <n v="17"/>
    <x v="1827"/>
    <n v="87297"/>
    <x v="0"/>
  </r>
  <r>
    <n v="25820"/>
    <s v="High"/>
    <n v="0.03"/>
    <n v="42.8"/>
    <x v="139"/>
    <x v="1072"/>
    <x v="0"/>
    <x v="1072"/>
    <x v="2"/>
    <x v="0"/>
    <x v="0"/>
    <x v="8"/>
    <x v="3"/>
    <x v="894"/>
    <n v="0.36"/>
    <n v="0.69"/>
    <s v="United States"/>
    <x v="1"/>
    <x v="30"/>
    <x v="828"/>
    <n v="21403"/>
    <x v="94"/>
    <x v="3"/>
    <x v="0"/>
    <d v="2015-05-24T00:00:00"/>
    <n v="462.92099999999994"/>
    <n v="16"/>
    <x v="1828"/>
    <n v="87298"/>
    <x v="0"/>
  </r>
  <r>
    <n v="5511"/>
    <s v="Critical"/>
    <n v="0.02"/>
    <n v="5.28"/>
    <x v="309"/>
    <x v="1073"/>
    <x v="0"/>
    <x v="1073"/>
    <x v="2"/>
    <x v="0"/>
    <x v="0"/>
    <x v="7"/>
    <x v="3"/>
    <x v="489"/>
    <n v="0.4"/>
    <n v="-0.31779414615235507"/>
    <s v="United States"/>
    <x v="1"/>
    <x v="4"/>
    <x v="8"/>
    <n v="10112"/>
    <x v="164"/>
    <x v="1"/>
    <x v="0"/>
    <d v="2015-06-12T00:00:00"/>
    <n v="-131.16"/>
    <n v="76"/>
    <x v="1829"/>
    <n v="39076"/>
    <x v="0"/>
  </r>
  <r>
    <n v="23324"/>
    <s v="Critical"/>
    <n v="0.01"/>
    <n v="11.34"/>
    <x v="144"/>
    <x v="1074"/>
    <x v="1"/>
    <x v="1074"/>
    <x v="2"/>
    <x v="2"/>
    <x v="0"/>
    <x v="7"/>
    <x v="3"/>
    <x v="195"/>
    <n v="0.36"/>
    <n v="-0.81473829201101933"/>
    <s v="United States"/>
    <x v="1"/>
    <x v="4"/>
    <x v="829"/>
    <n v="12306"/>
    <x v="25"/>
    <x v="5"/>
    <x v="0"/>
    <d v="2015-04-01T00:00:00"/>
    <n v="-11.83"/>
    <n v="1"/>
    <x v="1830"/>
    <n v="87296"/>
    <x v="0"/>
  </r>
  <r>
    <n v="23511"/>
    <s v="Critical"/>
    <n v="0.02"/>
    <n v="5.28"/>
    <x v="309"/>
    <x v="1074"/>
    <x v="1"/>
    <x v="1074"/>
    <x v="2"/>
    <x v="0"/>
    <x v="0"/>
    <x v="7"/>
    <x v="3"/>
    <x v="489"/>
    <n v="0.4"/>
    <n v="-0.63558829230471015"/>
    <s v="United States"/>
    <x v="1"/>
    <x v="4"/>
    <x v="829"/>
    <n v="12306"/>
    <x v="164"/>
    <x v="1"/>
    <x v="0"/>
    <d v="2015-06-12T00:00:00"/>
    <n v="-65.58"/>
    <n v="19"/>
    <x v="1831"/>
    <n v="87299"/>
    <x v="0"/>
  </r>
  <r>
    <n v="21046"/>
    <s v="Critical"/>
    <n v="0.06"/>
    <n v="47.98"/>
    <x v="241"/>
    <x v="1075"/>
    <x v="0"/>
    <x v="1075"/>
    <x v="2"/>
    <x v="1"/>
    <x v="2"/>
    <x v="13"/>
    <x v="2"/>
    <x v="367"/>
    <n v="0.71"/>
    <n v="6.0923642302980809"/>
    <s v="United States"/>
    <x v="3"/>
    <x v="26"/>
    <x v="830"/>
    <n v="33319"/>
    <x v="29"/>
    <x v="2"/>
    <x v="0"/>
    <d v="2015-02-20T00:00:00"/>
    <n v="596.80799999999999"/>
    <n v="2"/>
    <x v="1832"/>
    <n v="90488"/>
    <x v="0"/>
  </r>
  <r>
    <n v="18728"/>
    <s v="Not Specified"/>
    <n v="0.01"/>
    <n v="349.45"/>
    <x v="236"/>
    <x v="1076"/>
    <x v="1"/>
    <x v="1076"/>
    <x v="1"/>
    <x v="3"/>
    <x v="1"/>
    <x v="11"/>
    <x v="1"/>
    <x v="356"/>
    <m/>
    <n v="0.69"/>
    <s v="United States"/>
    <x v="0"/>
    <x v="0"/>
    <x v="831"/>
    <n v="98632"/>
    <x v="66"/>
    <x v="3"/>
    <x v="0"/>
    <d v="2015-05-27T00:00:00"/>
    <n v="3739.3928999999998"/>
    <n v="15"/>
    <x v="1833"/>
    <n v="88825"/>
    <x v="0"/>
  </r>
  <r>
    <n v="21852"/>
    <s v="Medium"/>
    <n v="0"/>
    <n v="25.38"/>
    <x v="20"/>
    <x v="1076"/>
    <x v="1"/>
    <x v="1076"/>
    <x v="2"/>
    <x v="3"/>
    <x v="1"/>
    <x v="2"/>
    <x v="2"/>
    <x v="268"/>
    <n v="0.5"/>
    <n v="0.67151811082080493"/>
    <s v="United States"/>
    <x v="0"/>
    <x v="0"/>
    <x v="831"/>
    <n v="98632"/>
    <x v="116"/>
    <x v="3"/>
    <x v="0"/>
    <d v="2015-05-15T00:00:00"/>
    <n v="470.33799999999997"/>
    <n v="26"/>
    <x v="1834"/>
    <n v="88826"/>
    <x v="0"/>
  </r>
  <r>
    <n v="23010"/>
    <s v="Not Specified"/>
    <n v="0.02"/>
    <n v="55.94"/>
    <x v="491"/>
    <x v="1077"/>
    <x v="0"/>
    <x v="1077"/>
    <x v="2"/>
    <x v="3"/>
    <x v="2"/>
    <x v="13"/>
    <x v="3"/>
    <x v="420"/>
    <n v="0.68"/>
    <n v="0.62121258966114279"/>
    <s v="United States"/>
    <x v="0"/>
    <x v="0"/>
    <x v="832"/>
    <n v="98037"/>
    <x v="68"/>
    <x v="5"/>
    <x v="0"/>
    <d v="2015-03-23T00:00:00"/>
    <n v="401.85"/>
    <n v="11"/>
    <x v="1835"/>
    <n v="88824"/>
    <x v="0"/>
  </r>
  <r>
    <n v="22576"/>
    <s v="Not Specified"/>
    <n v="7.0000000000000007E-2"/>
    <n v="105.34"/>
    <x v="65"/>
    <x v="1078"/>
    <x v="0"/>
    <x v="1078"/>
    <x v="0"/>
    <x v="3"/>
    <x v="1"/>
    <x v="2"/>
    <x v="6"/>
    <x v="828"/>
    <n v="0.61"/>
    <n v="0.69"/>
    <s v="United States"/>
    <x v="2"/>
    <x v="22"/>
    <x v="833"/>
    <n v="49221"/>
    <x v="97"/>
    <x v="1"/>
    <x v="0"/>
    <d v="2015-06-26T00:00:00"/>
    <n v="710.67239999999993"/>
    <n v="10"/>
    <x v="1836"/>
    <n v="90296"/>
    <x v="0"/>
  </r>
  <r>
    <n v="19214"/>
    <s v="Medium"/>
    <n v="0.04"/>
    <n v="9.99"/>
    <x v="380"/>
    <x v="1079"/>
    <x v="0"/>
    <x v="1079"/>
    <x v="2"/>
    <x v="0"/>
    <x v="0"/>
    <x v="7"/>
    <x v="3"/>
    <x v="655"/>
    <n v="0.4"/>
    <n v="-1.7723171434056437"/>
    <s v="United States"/>
    <x v="0"/>
    <x v="1"/>
    <x v="834"/>
    <n v="95501"/>
    <x v="168"/>
    <x v="3"/>
    <x v="0"/>
    <d v="2015-05-21T00:00:00"/>
    <n v="-92.32"/>
    <n v="5"/>
    <x v="1837"/>
    <n v="89835"/>
    <x v="0"/>
  </r>
  <r>
    <n v="21459"/>
    <s v="Critical"/>
    <n v="0"/>
    <n v="122.99"/>
    <x v="32"/>
    <x v="1080"/>
    <x v="0"/>
    <x v="1080"/>
    <x v="1"/>
    <x v="0"/>
    <x v="1"/>
    <x v="1"/>
    <x v="1"/>
    <x v="36"/>
    <n v="0.74"/>
    <n v="-0.98295707791050091"/>
    <s v="United States"/>
    <x v="1"/>
    <x v="14"/>
    <x v="91"/>
    <n v="4073"/>
    <x v="9"/>
    <x v="0"/>
    <x v="0"/>
    <d v="2015-01-29T00:00:00"/>
    <n v="-1764.29"/>
    <n v="14"/>
    <x v="1838"/>
    <n v="89836"/>
    <x v="0"/>
  </r>
  <r>
    <n v="21458"/>
    <s v="Critical"/>
    <n v="0.01"/>
    <n v="60.97"/>
    <x v="60"/>
    <x v="1081"/>
    <x v="0"/>
    <x v="1081"/>
    <x v="0"/>
    <x v="0"/>
    <x v="0"/>
    <x v="15"/>
    <x v="3"/>
    <x v="714"/>
    <n v="0.56000000000000005"/>
    <n v="0.69"/>
    <s v="United States"/>
    <x v="1"/>
    <x v="2"/>
    <x v="835"/>
    <n v="7060"/>
    <x v="9"/>
    <x v="0"/>
    <x v="0"/>
    <d v="2015-01-30T00:00:00"/>
    <n v="527.87759999999992"/>
    <n v="12"/>
    <x v="1839"/>
    <n v="89836"/>
    <x v="0"/>
  </r>
  <r>
    <n v="19047"/>
    <s v="Low"/>
    <n v="0.02"/>
    <n v="13.48"/>
    <x v="456"/>
    <x v="1082"/>
    <x v="1"/>
    <x v="1082"/>
    <x v="2"/>
    <x v="1"/>
    <x v="0"/>
    <x v="10"/>
    <x v="3"/>
    <x v="804"/>
    <n v="0.59"/>
    <n v="0.27155443675267465"/>
    <s v="United States"/>
    <x v="0"/>
    <x v="0"/>
    <x v="521"/>
    <n v="98273"/>
    <x v="68"/>
    <x v="5"/>
    <x v="0"/>
    <d v="2015-03-23T00:00:00"/>
    <n v="34.520000000000003"/>
    <n v="9"/>
    <x v="1840"/>
    <n v="86233"/>
    <x v="0"/>
  </r>
  <r>
    <n v="19232"/>
    <s v="Low"/>
    <n v="0.04"/>
    <n v="449.99"/>
    <x v="65"/>
    <x v="1082"/>
    <x v="1"/>
    <x v="1082"/>
    <x v="2"/>
    <x v="2"/>
    <x v="2"/>
    <x v="16"/>
    <x v="6"/>
    <x v="895"/>
    <n v="0.52"/>
    <n v="0.69"/>
    <s v="United States"/>
    <x v="0"/>
    <x v="0"/>
    <x v="521"/>
    <n v="98273"/>
    <x v="167"/>
    <x v="0"/>
    <x v="0"/>
    <d v="2015-01-05T00:00:00"/>
    <n v="3576.8840999999998"/>
    <n v="12"/>
    <x v="1841"/>
    <n v="86234"/>
    <x v="0"/>
  </r>
  <r>
    <n v="19233"/>
    <s v="Low"/>
    <n v="0.01"/>
    <n v="5.84"/>
    <x v="43"/>
    <x v="1082"/>
    <x v="1"/>
    <x v="1082"/>
    <x v="2"/>
    <x v="2"/>
    <x v="0"/>
    <x v="0"/>
    <x v="0"/>
    <x v="469"/>
    <n v="0.55000000000000004"/>
    <n v="0.56469936270435017"/>
    <s v="United States"/>
    <x v="0"/>
    <x v="0"/>
    <x v="521"/>
    <n v="98273"/>
    <x v="167"/>
    <x v="0"/>
    <x v="0"/>
    <d v="2015-01-10T00:00:00"/>
    <n v="20.38"/>
    <n v="6"/>
    <x v="1842"/>
    <n v="86234"/>
    <x v="0"/>
  </r>
  <r>
    <n v="20039"/>
    <s v="High"/>
    <n v="0.06"/>
    <n v="89.83"/>
    <x v="97"/>
    <x v="1083"/>
    <x v="1"/>
    <x v="1083"/>
    <x v="2"/>
    <x v="1"/>
    <x v="0"/>
    <x v="10"/>
    <x v="6"/>
    <x v="896"/>
    <n v="0.83"/>
    <n v="8.4939660350570628E-2"/>
    <s v="United States"/>
    <x v="3"/>
    <x v="39"/>
    <x v="725"/>
    <n v="29203"/>
    <x v="34"/>
    <x v="4"/>
    <x v="0"/>
    <d v="2015-04-08T00:00:00"/>
    <n v="31.11"/>
    <n v="4"/>
    <x v="1843"/>
    <n v="90766"/>
    <x v="0"/>
  </r>
  <r>
    <n v="20040"/>
    <s v="High"/>
    <n v="0.1"/>
    <n v="13.43"/>
    <x v="57"/>
    <x v="1083"/>
    <x v="1"/>
    <x v="1083"/>
    <x v="2"/>
    <x v="1"/>
    <x v="0"/>
    <x v="10"/>
    <x v="3"/>
    <x v="599"/>
    <n v="0.56999999999999995"/>
    <n v="2.2678359389834797"/>
    <s v="United States"/>
    <x v="3"/>
    <x v="39"/>
    <x v="725"/>
    <n v="29203"/>
    <x v="34"/>
    <x v="4"/>
    <x v="0"/>
    <d v="2015-04-08T00:00:00"/>
    <n v="358.29539999999997"/>
    <n v="12"/>
    <x v="1844"/>
    <n v="90766"/>
    <x v="0"/>
  </r>
  <r>
    <n v="20041"/>
    <s v="High"/>
    <n v="0.01"/>
    <n v="125.99"/>
    <x v="19"/>
    <x v="1083"/>
    <x v="1"/>
    <x v="1083"/>
    <x v="2"/>
    <x v="1"/>
    <x v="2"/>
    <x v="5"/>
    <x v="3"/>
    <x v="442"/>
    <n v="0.57999999999999996"/>
    <n v="6.8613547919002694E-3"/>
    <s v="United States"/>
    <x v="3"/>
    <x v="39"/>
    <x v="725"/>
    <n v="29203"/>
    <x v="34"/>
    <x v="4"/>
    <x v="0"/>
    <d v="2015-04-06T00:00:00"/>
    <n v="8.3219999999999992"/>
    <n v="11"/>
    <x v="1845"/>
    <n v="90766"/>
    <x v="0"/>
  </r>
  <r>
    <n v="21620"/>
    <s v="Medium"/>
    <n v="0.01"/>
    <n v="45.99"/>
    <x v="7"/>
    <x v="1083"/>
    <x v="1"/>
    <x v="1083"/>
    <x v="2"/>
    <x v="1"/>
    <x v="2"/>
    <x v="5"/>
    <x v="3"/>
    <x v="402"/>
    <n v="0.56000000000000005"/>
    <n v="0.19185238437574886"/>
    <s v="United States"/>
    <x v="3"/>
    <x v="39"/>
    <x v="725"/>
    <n v="29203"/>
    <x v="88"/>
    <x v="5"/>
    <x v="0"/>
    <d v="2015-03-16T00:00:00"/>
    <n v="24.018000000000001"/>
    <n v="3"/>
    <x v="1846"/>
    <n v="90767"/>
    <x v="0"/>
  </r>
  <r>
    <n v="23022"/>
    <s v="Critical"/>
    <n v="0.05"/>
    <n v="363.25"/>
    <x v="3"/>
    <x v="1084"/>
    <x v="1"/>
    <x v="1084"/>
    <x v="0"/>
    <x v="0"/>
    <x v="0"/>
    <x v="15"/>
    <x v="3"/>
    <x v="451"/>
    <n v="0.56999999999999995"/>
    <n v="-0.14448297840431912"/>
    <s v="United States"/>
    <x v="3"/>
    <x v="26"/>
    <x v="836"/>
    <n v="33156"/>
    <x v="109"/>
    <x v="4"/>
    <x v="0"/>
    <d v="2015-04-21T00:00:00"/>
    <n v="-269.75549999999998"/>
    <n v="5"/>
    <x v="1847"/>
    <n v="90752"/>
    <x v="0"/>
  </r>
  <r>
    <n v="23211"/>
    <s v="High"/>
    <n v="0.03"/>
    <n v="17.48"/>
    <x v="45"/>
    <x v="1084"/>
    <x v="1"/>
    <x v="1084"/>
    <x v="2"/>
    <x v="0"/>
    <x v="2"/>
    <x v="13"/>
    <x v="2"/>
    <x v="121"/>
    <n v="0.45"/>
    <n v="1.3216946820379323"/>
    <s v="United States"/>
    <x v="3"/>
    <x v="26"/>
    <x v="836"/>
    <n v="33156"/>
    <x v="16"/>
    <x v="3"/>
    <x v="0"/>
    <d v="2015-05-11T00:00:00"/>
    <n v="710.80739999999992"/>
    <n v="31"/>
    <x v="1848"/>
    <n v="90753"/>
    <x v="0"/>
  </r>
  <r>
    <n v="26141"/>
    <s v="High"/>
    <n v="0.05"/>
    <n v="19.23"/>
    <x v="119"/>
    <x v="1085"/>
    <x v="0"/>
    <x v="1085"/>
    <x v="0"/>
    <x v="0"/>
    <x v="1"/>
    <x v="2"/>
    <x v="2"/>
    <x v="159"/>
    <n v="0.44"/>
    <n v="-17.809968275171148"/>
    <s v="United States"/>
    <x v="3"/>
    <x v="26"/>
    <x v="837"/>
    <n v="34741"/>
    <x v="63"/>
    <x v="2"/>
    <x v="0"/>
    <d v="2015-02-22T00:00:00"/>
    <n v="-2133.2780000000002"/>
    <n v="6"/>
    <x v="1849"/>
    <n v="90751"/>
    <x v="0"/>
  </r>
  <r>
    <n v="20350"/>
    <s v="Not Specified"/>
    <n v="0.06"/>
    <n v="1.7"/>
    <x v="45"/>
    <x v="1086"/>
    <x v="1"/>
    <x v="1086"/>
    <x v="2"/>
    <x v="3"/>
    <x v="2"/>
    <x v="13"/>
    <x v="2"/>
    <x v="286"/>
    <n v="0.51"/>
    <n v="6.5902222222222226"/>
    <s v="United States"/>
    <x v="3"/>
    <x v="8"/>
    <x v="838"/>
    <n v="20170"/>
    <x v="61"/>
    <x v="0"/>
    <x v="0"/>
    <d v="2015-01-07T00:00:00"/>
    <n v="80.071200000000005"/>
    <n v="7"/>
    <x v="1850"/>
    <n v="90750"/>
    <x v="0"/>
  </r>
  <r>
    <n v="20351"/>
    <s v="Not Specified"/>
    <n v="0.01"/>
    <n v="30.98"/>
    <x v="153"/>
    <x v="1086"/>
    <x v="1"/>
    <x v="1086"/>
    <x v="2"/>
    <x v="3"/>
    <x v="0"/>
    <x v="7"/>
    <x v="3"/>
    <x v="897"/>
    <n v="0.4"/>
    <n v="3.1079883503224459"/>
    <s v="United States"/>
    <x v="3"/>
    <x v="8"/>
    <x v="838"/>
    <n v="20170"/>
    <x v="61"/>
    <x v="0"/>
    <x v="0"/>
    <d v="2015-01-08T00:00:00"/>
    <n v="896.40599999999995"/>
    <n v="9"/>
    <x v="1851"/>
    <n v="90750"/>
    <x v="0"/>
  </r>
  <r>
    <n v="21567"/>
    <s v="Low"/>
    <n v="0.08"/>
    <n v="30.56"/>
    <x v="139"/>
    <x v="1087"/>
    <x v="0"/>
    <x v="1087"/>
    <x v="2"/>
    <x v="2"/>
    <x v="0"/>
    <x v="8"/>
    <x v="3"/>
    <x v="823"/>
    <n v="0.35"/>
    <n v="0.69"/>
    <s v="United States"/>
    <x v="0"/>
    <x v="1"/>
    <x v="839"/>
    <n v="95746"/>
    <x v="40"/>
    <x v="3"/>
    <x v="0"/>
    <d v="2015-05-27T00:00:00"/>
    <n v="352.87979999999999"/>
    <n v="17"/>
    <x v="1852"/>
    <n v="89897"/>
    <x v="0"/>
  </r>
  <r>
    <n v="23198"/>
    <s v="Low"/>
    <n v="0.04"/>
    <n v="33.89"/>
    <x v="304"/>
    <x v="1088"/>
    <x v="0"/>
    <x v="1088"/>
    <x v="2"/>
    <x v="1"/>
    <x v="0"/>
    <x v="10"/>
    <x v="3"/>
    <x v="867"/>
    <n v="0.6"/>
    <n v="0.34228468899521525"/>
    <s v="United States"/>
    <x v="3"/>
    <x v="26"/>
    <x v="840"/>
    <n v="33461"/>
    <x v="0"/>
    <x v="0"/>
    <x v="0"/>
    <d v="2015-01-12T00:00:00"/>
    <n v="68.675999999999988"/>
    <n v="6"/>
    <x v="1853"/>
    <n v="87795"/>
    <x v="0"/>
  </r>
  <r>
    <n v="20447"/>
    <s v="Medium"/>
    <n v="0.06"/>
    <n v="11.33"/>
    <x v="413"/>
    <x v="1089"/>
    <x v="0"/>
    <x v="1089"/>
    <x v="2"/>
    <x v="2"/>
    <x v="0"/>
    <x v="15"/>
    <x v="4"/>
    <x v="720"/>
    <n v="0.42"/>
    <n v="-0.9035187287173666"/>
    <s v="United States"/>
    <x v="1"/>
    <x v="18"/>
    <x v="841"/>
    <n v="6320"/>
    <x v="113"/>
    <x v="4"/>
    <x v="0"/>
    <d v="2015-04-03T00:00:00"/>
    <n v="-15.92"/>
    <n v="1"/>
    <x v="1854"/>
    <n v="90461"/>
    <x v="0"/>
  </r>
  <r>
    <n v="22732"/>
    <s v="Low"/>
    <n v="7.0000000000000007E-2"/>
    <n v="16.739999999999998"/>
    <x v="492"/>
    <x v="1090"/>
    <x v="0"/>
    <x v="1090"/>
    <x v="2"/>
    <x v="2"/>
    <x v="0"/>
    <x v="10"/>
    <x v="3"/>
    <x v="898"/>
    <n v="0.81"/>
    <n v="-1.4172251178952595"/>
    <s v="United States"/>
    <x v="1"/>
    <x v="15"/>
    <x v="842"/>
    <n v="1001"/>
    <x v="161"/>
    <x v="0"/>
    <x v="0"/>
    <d v="2015-02-02T00:00:00"/>
    <n v="-114.2"/>
    <n v="5"/>
    <x v="1855"/>
    <n v="90462"/>
    <x v="0"/>
  </r>
  <r>
    <n v="23451"/>
    <s v="Critical"/>
    <n v="0.1"/>
    <n v="6.64"/>
    <x v="493"/>
    <x v="1091"/>
    <x v="0"/>
    <x v="1091"/>
    <x v="2"/>
    <x v="2"/>
    <x v="1"/>
    <x v="2"/>
    <x v="2"/>
    <x v="899"/>
    <n v="0.37"/>
    <n v="-0.98775187672856579"/>
    <s v="United States"/>
    <x v="1"/>
    <x v="15"/>
    <x v="843"/>
    <n v="1760"/>
    <x v="120"/>
    <x v="5"/>
    <x v="0"/>
    <d v="2015-03-26T00:00:00"/>
    <n v="-25"/>
    <n v="4"/>
    <x v="1856"/>
    <n v="90460"/>
    <x v="0"/>
  </r>
  <r>
    <n v="23452"/>
    <s v="Critical"/>
    <n v="0.05"/>
    <n v="90.48"/>
    <x v="3"/>
    <x v="1092"/>
    <x v="0"/>
    <x v="1092"/>
    <x v="2"/>
    <x v="2"/>
    <x v="0"/>
    <x v="4"/>
    <x v="3"/>
    <x v="634"/>
    <n v="0.4"/>
    <n v="0.69"/>
    <s v="United States"/>
    <x v="1"/>
    <x v="15"/>
    <x v="844"/>
    <n v="2563"/>
    <x v="120"/>
    <x v="5"/>
    <x v="0"/>
    <d v="2015-03-25T00:00:00"/>
    <n v="255.14819999999997"/>
    <n v="4"/>
    <x v="1857"/>
    <n v="90460"/>
    <x v="0"/>
  </r>
  <r>
    <n v="22734"/>
    <s v="Low"/>
    <n v="0.06"/>
    <n v="6.45"/>
    <x v="211"/>
    <x v="1093"/>
    <x v="0"/>
    <x v="1093"/>
    <x v="2"/>
    <x v="2"/>
    <x v="0"/>
    <x v="7"/>
    <x v="0"/>
    <x v="858"/>
    <n v="0.36"/>
    <n v="0.69000000000000006"/>
    <s v="United States"/>
    <x v="1"/>
    <x v="15"/>
    <x v="685"/>
    <n v="1890"/>
    <x v="161"/>
    <x v="0"/>
    <x v="0"/>
    <d v="2015-01-31T00:00:00"/>
    <n v="39.426600000000001"/>
    <n v="9"/>
    <x v="1858"/>
    <n v="90462"/>
    <x v="0"/>
  </r>
  <r>
    <n v="22733"/>
    <s v="Low"/>
    <n v="0.05"/>
    <n v="122.99"/>
    <x v="32"/>
    <x v="1094"/>
    <x v="0"/>
    <x v="1094"/>
    <x v="1"/>
    <x v="2"/>
    <x v="1"/>
    <x v="1"/>
    <x v="1"/>
    <x v="36"/>
    <n v="0.74"/>
    <n v="-1.4493588328550502"/>
    <s v="United States"/>
    <x v="1"/>
    <x v="2"/>
    <x v="48"/>
    <n v="7024"/>
    <x v="161"/>
    <x v="0"/>
    <x v="0"/>
    <d v="2015-01-30T00:00:00"/>
    <n v="-722.23"/>
    <n v="4"/>
    <x v="1859"/>
    <n v="90462"/>
    <x v="0"/>
  </r>
  <r>
    <n v="19422"/>
    <s v="Low"/>
    <n v="0.03"/>
    <n v="20.98"/>
    <x v="25"/>
    <x v="1095"/>
    <x v="0"/>
    <x v="1095"/>
    <x v="2"/>
    <x v="2"/>
    <x v="0"/>
    <x v="8"/>
    <x v="3"/>
    <x v="546"/>
    <n v="0.35"/>
    <n v="6.9591822543633955E-2"/>
    <s v="United States"/>
    <x v="3"/>
    <x v="20"/>
    <x v="822"/>
    <n v="37075"/>
    <x v="8"/>
    <x v="3"/>
    <x v="0"/>
    <d v="2015-05-21T00:00:00"/>
    <n v="30.023999999999997"/>
    <n v="20"/>
    <x v="1860"/>
    <n v="90104"/>
    <x v="0"/>
  </r>
  <r>
    <n v="20203"/>
    <s v="Not Specified"/>
    <n v="0.08"/>
    <n v="3.28"/>
    <x v="240"/>
    <x v="1096"/>
    <x v="1"/>
    <x v="1096"/>
    <x v="2"/>
    <x v="2"/>
    <x v="0"/>
    <x v="0"/>
    <x v="0"/>
    <x v="623"/>
    <n v="0.56000000000000005"/>
    <n v="7.4528301886793036E-3"/>
    <s v="United States"/>
    <x v="3"/>
    <x v="20"/>
    <x v="427"/>
    <n v="38301"/>
    <x v="58"/>
    <x v="4"/>
    <x v="0"/>
    <d v="2015-04-28T00:00:00"/>
    <n v="0.42660000000000337"/>
    <n v="18"/>
    <x v="1861"/>
    <n v="90103"/>
    <x v="0"/>
  </r>
  <r>
    <n v="20204"/>
    <s v="Not Specified"/>
    <n v="0.09"/>
    <n v="40.97"/>
    <x v="20"/>
    <x v="1096"/>
    <x v="1"/>
    <x v="1096"/>
    <x v="0"/>
    <x v="2"/>
    <x v="0"/>
    <x v="0"/>
    <x v="2"/>
    <x v="786"/>
    <n v="0.59"/>
    <n v="8.0291014914514361E-2"/>
    <s v="United States"/>
    <x v="3"/>
    <x v="20"/>
    <x v="427"/>
    <n v="38301"/>
    <x v="58"/>
    <x v="4"/>
    <x v="0"/>
    <d v="2015-04-29T00:00:00"/>
    <n v="66.215999999999994"/>
    <n v="22"/>
    <x v="1862"/>
    <n v="90103"/>
    <x v="0"/>
  </r>
  <r>
    <n v="25330"/>
    <s v="Medium"/>
    <n v="0.05"/>
    <n v="6.48"/>
    <x v="462"/>
    <x v="1097"/>
    <x v="0"/>
    <x v="1097"/>
    <x v="2"/>
    <x v="3"/>
    <x v="0"/>
    <x v="7"/>
    <x v="3"/>
    <x v="815"/>
    <n v="0.37"/>
    <n v="-2.8064957264957267"/>
    <s v="United States"/>
    <x v="0"/>
    <x v="28"/>
    <x v="845"/>
    <n v="85335"/>
    <x v="6"/>
    <x v="2"/>
    <x v="0"/>
    <d v="2015-02-15T00:00:00"/>
    <n v="-164.18"/>
    <n v="9"/>
    <x v="1863"/>
    <n v="90985"/>
    <x v="0"/>
  </r>
  <r>
    <n v="20488"/>
    <s v="Low"/>
    <n v="0"/>
    <n v="8.74"/>
    <x v="494"/>
    <x v="1098"/>
    <x v="1"/>
    <x v="1098"/>
    <x v="2"/>
    <x v="3"/>
    <x v="0"/>
    <x v="4"/>
    <x v="3"/>
    <x v="526"/>
    <n v="0.38"/>
    <n v="-0.60325178544294178"/>
    <s v="United States"/>
    <x v="0"/>
    <x v="6"/>
    <x v="351"/>
    <n v="97420"/>
    <x v="137"/>
    <x v="1"/>
    <x v="0"/>
    <d v="2015-06-26T00:00:00"/>
    <n v="-79.400000000000006"/>
    <n v="14"/>
    <x v="1864"/>
    <n v="90986"/>
    <x v="0"/>
  </r>
  <r>
    <n v="23476"/>
    <s v="Critical"/>
    <n v="7.0000000000000007E-2"/>
    <n v="5.58"/>
    <x v="45"/>
    <x v="1098"/>
    <x v="1"/>
    <x v="1098"/>
    <x v="2"/>
    <x v="3"/>
    <x v="0"/>
    <x v="0"/>
    <x v="0"/>
    <x v="900"/>
    <n v="0.46"/>
    <n v="0.18974147867610736"/>
    <s v="United States"/>
    <x v="0"/>
    <x v="6"/>
    <x v="351"/>
    <n v="97420"/>
    <x v="158"/>
    <x v="4"/>
    <x v="0"/>
    <d v="2015-04-26T00:00:00"/>
    <n v="23.045999999999999"/>
    <n v="23"/>
    <x v="1865"/>
    <n v="90987"/>
    <x v="0"/>
  </r>
  <r>
    <n v="18259"/>
    <s v="Not Specified"/>
    <n v="0.06"/>
    <n v="113.98"/>
    <x v="40"/>
    <x v="1099"/>
    <x v="1"/>
    <x v="1099"/>
    <x v="1"/>
    <x v="2"/>
    <x v="1"/>
    <x v="1"/>
    <x v="1"/>
    <x v="901"/>
    <n v="0.69"/>
    <n v="-0.35744370191497726"/>
    <s v="United States"/>
    <x v="2"/>
    <x v="22"/>
    <x v="766"/>
    <n v="48060"/>
    <x v="127"/>
    <x v="5"/>
    <x v="0"/>
    <d v="2015-03-08T00:00:00"/>
    <n v="-127.3"/>
    <n v="3"/>
    <x v="1866"/>
    <n v="87272"/>
    <x v="0"/>
  </r>
  <r>
    <n v="18260"/>
    <s v="Not Specified"/>
    <n v="0.05"/>
    <n v="6.48"/>
    <x v="225"/>
    <x v="1099"/>
    <x v="1"/>
    <x v="1099"/>
    <x v="2"/>
    <x v="2"/>
    <x v="0"/>
    <x v="7"/>
    <x v="3"/>
    <x v="334"/>
    <n v="0.37"/>
    <n v="-1.9486706056129988"/>
    <s v="United States"/>
    <x v="2"/>
    <x v="22"/>
    <x v="766"/>
    <n v="48060"/>
    <x v="127"/>
    <x v="5"/>
    <x v="0"/>
    <d v="2015-03-08T00:00:00"/>
    <n v="-52.77"/>
    <n v="4"/>
    <x v="1867"/>
    <n v="87272"/>
    <x v="0"/>
  </r>
  <r>
    <n v="21588"/>
    <s v="Medium"/>
    <n v="0.09"/>
    <n v="5.98"/>
    <x v="318"/>
    <x v="1100"/>
    <x v="1"/>
    <x v="1100"/>
    <x v="2"/>
    <x v="0"/>
    <x v="0"/>
    <x v="10"/>
    <x v="3"/>
    <x v="502"/>
    <n v="0.68"/>
    <n v="-11.86232649962035"/>
    <s v="United States"/>
    <x v="3"/>
    <x v="26"/>
    <x v="846"/>
    <n v="32174"/>
    <x v="99"/>
    <x v="0"/>
    <x v="0"/>
    <d v="2015-01-06T00:00:00"/>
    <n v="-781.13419999999996"/>
    <n v="11"/>
    <x v="1868"/>
    <n v="86283"/>
    <x v="0"/>
  </r>
  <r>
    <n v="23294"/>
    <s v="Not Specified"/>
    <n v="0.02"/>
    <n v="4"/>
    <x v="44"/>
    <x v="1100"/>
    <x v="1"/>
    <x v="1100"/>
    <x v="2"/>
    <x v="0"/>
    <x v="0"/>
    <x v="7"/>
    <x v="0"/>
    <x v="55"/>
    <n v="0.37"/>
    <n v="-0.45939656872411749"/>
    <s v="United States"/>
    <x v="3"/>
    <x v="26"/>
    <x v="846"/>
    <n v="32174"/>
    <x v="85"/>
    <x v="0"/>
    <x v="0"/>
    <d v="2015-01-09T00:00:00"/>
    <n v="-23.295999999999999"/>
    <n v="12"/>
    <x v="1869"/>
    <n v="86284"/>
    <x v="0"/>
  </r>
  <r>
    <n v="21429"/>
    <s v="High"/>
    <n v="0.08"/>
    <n v="6.48"/>
    <x v="182"/>
    <x v="1101"/>
    <x v="0"/>
    <x v="1101"/>
    <x v="2"/>
    <x v="3"/>
    <x v="0"/>
    <x v="7"/>
    <x v="3"/>
    <x v="259"/>
    <n v="0.37"/>
    <n v="1.3069333333333333"/>
    <s v="United States"/>
    <x v="3"/>
    <x v="26"/>
    <x v="847"/>
    <n v="33614"/>
    <x v="163"/>
    <x v="3"/>
    <x v="0"/>
    <d v="2015-05-07T00:00:00"/>
    <n v="58.811999999999998"/>
    <n v="7"/>
    <x v="1098"/>
    <n v="85979"/>
    <x v="0"/>
  </r>
  <r>
    <n v="25613"/>
    <s v="High"/>
    <n v="0.03"/>
    <n v="2.61"/>
    <x v="28"/>
    <x v="1102"/>
    <x v="1"/>
    <x v="1102"/>
    <x v="2"/>
    <x v="3"/>
    <x v="0"/>
    <x v="9"/>
    <x v="3"/>
    <x v="413"/>
    <n v="0.39"/>
    <n v="0.2126340694006309"/>
    <s v="United States"/>
    <x v="3"/>
    <x v="26"/>
    <x v="848"/>
    <n v="32780"/>
    <x v="110"/>
    <x v="1"/>
    <x v="0"/>
    <d v="2015-06-15T00:00:00"/>
    <n v="4.0442999999999998"/>
    <n v="7"/>
    <x v="1870"/>
    <n v="85981"/>
    <x v="0"/>
  </r>
  <r>
    <n v="25614"/>
    <s v="High"/>
    <n v="0.01"/>
    <n v="11.66"/>
    <x v="359"/>
    <x v="1102"/>
    <x v="1"/>
    <x v="1102"/>
    <x v="2"/>
    <x v="3"/>
    <x v="0"/>
    <x v="0"/>
    <x v="2"/>
    <x v="603"/>
    <n v="0.57999999999999996"/>
    <n v="-5.3481198741424672E-2"/>
    <s v="United States"/>
    <x v="3"/>
    <x v="26"/>
    <x v="848"/>
    <n v="32780"/>
    <x v="110"/>
    <x v="1"/>
    <x v="0"/>
    <d v="2015-06-15T00:00:00"/>
    <n v="-10.368400000000001"/>
    <n v="16"/>
    <x v="1871"/>
    <n v="85981"/>
    <x v="0"/>
  </r>
  <r>
    <n v="22857"/>
    <s v="Medium"/>
    <n v="0.08"/>
    <n v="125.99"/>
    <x v="5"/>
    <x v="1103"/>
    <x v="0"/>
    <x v="1103"/>
    <x v="2"/>
    <x v="3"/>
    <x v="2"/>
    <x v="5"/>
    <x v="3"/>
    <x v="902"/>
    <n v="0.56999999999999995"/>
    <n v="0.69"/>
    <s v="United States"/>
    <x v="0"/>
    <x v="6"/>
    <x v="849"/>
    <n v="97060"/>
    <x v="107"/>
    <x v="0"/>
    <x v="0"/>
    <d v="2015-01-14T00:00:00"/>
    <n v="989.81189999999992"/>
    <n v="14"/>
    <x v="1872"/>
    <n v="85980"/>
    <x v="0"/>
  </r>
  <r>
    <n v="2986"/>
    <s v="Critical"/>
    <n v="0.03"/>
    <n v="194.3"/>
    <x v="52"/>
    <x v="1104"/>
    <x v="0"/>
    <x v="1104"/>
    <x v="2"/>
    <x v="1"/>
    <x v="1"/>
    <x v="2"/>
    <x v="6"/>
    <x v="423"/>
    <n v="0.59"/>
    <n v="0.33465862833721682"/>
    <s v="United States"/>
    <x v="1"/>
    <x v="41"/>
    <x v="246"/>
    <n v="20006"/>
    <x v="169"/>
    <x v="2"/>
    <x v="0"/>
    <d v="2015-02-15T00:00:00"/>
    <n v="2861.01"/>
    <n v="42"/>
    <x v="1873"/>
    <n v="21572"/>
    <x v="0"/>
  </r>
  <r>
    <n v="20986"/>
    <s v="Critical"/>
    <n v="0.03"/>
    <n v="194.3"/>
    <x v="52"/>
    <x v="1105"/>
    <x v="0"/>
    <x v="1105"/>
    <x v="2"/>
    <x v="1"/>
    <x v="1"/>
    <x v="2"/>
    <x v="6"/>
    <x v="423"/>
    <n v="0.59"/>
    <n v="0.69"/>
    <s v="United States"/>
    <x v="2"/>
    <x v="22"/>
    <x v="850"/>
    <n v="48307"/>
    <x v="169"/>
    <x v="2"/>
    <x v="0"/>
    <d v="2015-02-15T00:00:00"/>
    <n v="1544.9307000000001"/>
    <n v="11"/>
    <x v="1874"/>
    <n v="89928"/>
    <x v="0"/>
  </r>
  <r>
    <n v="18947"/>
    <s v="Medium"/>
    <n v="7.0000000000000007E-2"/>
    <n v="7.68"/>
    <x v="495"/>
    <x v="1106"/>
    <x v="1"/>
    <x v="1106"/>
    <x v="0"/>
    <x v="3"/>
    <x v="0"/>
    <x v="8"/>
    <x v="3"/>
    <x v="903"/>
    <n v="0.35"/>
    <n v="5.6935472209670133"/>
    <s v="United States"/>
    <x v="3"/>
    <x v="26"/>
    <x v="851"/>
    <n v="33411"/>
    <x v="61"/>
    <x v="0"/>
    <x v="0"/>
    <d v="2015-01-08T00:00:00"/>
    <n v="125.9982"/>
    <n v="1"/>
    <x v="1875"/>
    <n v="89355"/>
    <x v="0"/>
  </r>
  <r>
    <n v="18948"/>
    <s v="Medium"/>
    <n v="0.05"/>
    <n v="6.64"/>
    <x v="190"/>
    <x v="1106"/>
    <x v="1"/>
    <x v="1106"/>
    <x v="0"/>
    <x v="3"/>
    <x v="1"/>
    <x v="2"/>
    <x v="2"/>
    <x v="899"/>
    <n v="0.37"/>
    <n v="-2.7196136962247586"/>
    <s v="United States"/>
    <x v="3"/>
    <x v="26"/>
    <x v="851"/>
    <n v="33411"/>
    <x v="61"/>
    <x v="0"/>
    <x v="0"/>
    <d v="2015-01-08T00:00:00"/>
    <n v="-92.929200000000009"/>
    <n v="5"/>
    <x v="1876"/>
    <n v="89355"/>
    <x v="0"/>
  </r>
  <r>
    <n v="19461"/>
    <s v="Medium"/>
    <n v="0.02"/>
    <n v="110.99"/>
    <x v="10"/>
    <x v="1106"/>
    <x v="1"/>
    <x v="1106"/>
    <x v="2"/>
    <x v="3"/>
    <x v="2"/>
    <x v="5"/>
    <x v="3"/>
    <x v="170"/>
    <n v="0.56999999999999995"/>
    <n v="-0.42215270413573702"/>
    <s v="United States"/>
    <x v="3"/>
    <x v="26"/>
    <x v="851"/>
    <n v="33411"/>
    <x v="39"/>
    <x v="0"/>
    <x v="0"/>
    <d v="2015-01-29T00:00:00"/>
    <n v="-39.808999999999997"/>
    <n v="1"/>
    <x v="1877"/>
    <n v="89356"/>
    <x v="0"/>
  </r>
  <r>
    <n v="21485"/>
    <s v="Medium"/>
    <n v="0.01"/>
    <n v="73.98"/>
    <x v="95"/>
    <x v="1107"/>
    <x v="0"/>
    <x v="1107"/>
    <x v="2"/>
    <x v="2"/>
    <x v="2"/>
    <x v="13"/>
    <x v="3"/>
    <x v="124"/>
    <n v="0.67"/>
    <n v="-7.5648326479621053E-2"/>
    <s v="United States"/>
    <x v="0"/>
    <x v="0"/>
    <x v="852"/>
    <n v="98444"/>
    <x v="172"/>
    <x v="0"/>
    <x v="0"/>
    <d v="2015-01-25T00:00:00"/>
    <n v="-29.065600000000003"/>
    <n v="5"/>
    <x v="1119"/>
    <n v="91296"/>
    <x v="0"/>
  </r>
  <r>
    <n v="23248"/>
    <s v="Critical"/>
    <n v="0.1"/>
    <n v="10.89"/>
    <x v="60"/>
    <x v="1108"/>
    <x v="1"/>
    <x v="1108"/>
    <x v="2"/>
    <x v="2"/>
    <x v="0"/>
    <x v="15"/>
    <x v="3"/>
    <x v="76"/>
    <n v="0.59"/>
    <n v="-0.10799865681665546"/>
    <s v="United States"/>
    <x v="0"/>
    <x v="0"/>
    <x v="853"/>
    <n v="99301"/>
    <x v="128"/>
    <x v="2"/>
    <x v="0"/>
    <d v="2015-02-06T00:00:00"/>
    <n v="-19.2972"/>
    <n v="17"/>
    <x v="1878"/>
    <n v="91297"/>
    <x v="0"/>
  </r>
  <r>
    <n v="23474"/>
    <s v="High"/>
    <n v="0.06"/>
    <n v="6.7"/>
    <x v="257"/>
    <x v="1108"/>
    <x v="1"/>
    <x v="1108"/>
    <x v="0"/>
    <x v="2"/>
    <x v="0"/>
    <x v="0"/>
    <x v="0"/>
    <x v="389"/>
    <n v="0.52"/>
    <n v="0.51209976067514795"/>
    <s v="United States"/>
    <x v="0"/>
    <x v="0"/>
    <x v="853"/>
    <n v="99301"/>
    <x v="131"/>
    <x v="2"/>
    <x v="0"/>
    <d v="2015-02-09T00:00:00"/>
    <n v="40.6556"/>
    <n v="12"/>
    <x v="1879"/>
    <n v="91298"/>
    <x v="0"/>
  </r>
  <r>
    <n v="19838"/>
    <s v="High"/>
    <n v="0.03"/>
    <n v="28.53"/>
    <x v="25"/>
    <x v="1109"/>
    <x v="1"/>
    <x v="1109"/>
    <x v="2"/>
    <x v="0"/>
    <x v="0"/>
    <x v="8"/>
    <x v="3"/>
    <x v="107"/>
    <n v="0.38"/>
    <n v="0.68999999999999984"/>
    <s v="United States"/>
    <x v="0"/>
    <x v="1"/>
    <x v="854"/>
    <n v="92231"/>
    <x v="41"/>
    <x v="3"/>
    <x v="0"/>
    <d v="2015-05-17T00:00:00"/>
    <n v="137.67569999999998"/>
    <n v="7"/>
    <x v="1880"/>
    <n v="88589"/>
    <x v="0"/>
  </r>
  <r>
    <n v="19839"/>
    <s v="High"/>
    <n v="7.0000000000000007E-2"/>
    <n v="5.98"/>
    <x v="496"/>
    <x v="1109"/>
    <x v="1"/>
    <x v="1109"/>
    <x v="2"/>
    <x v="0"/>
    <x v="0"/>
    <x v="7"/>
    <x v="3"/>
    <x v="904"/>
    <n v="0.36"/>
    <n v="-1.6734143049932524"/>
    <s v="United States"/>
    <x v="0"/>
    <x v="1"/>
    <x v="854"/>
    <n v="92231"/>
    <x v="41"/>
    <x v="3"/>
    <x v="0"/>
    <d v="2015-05-18T00:00:00"/>
    <n v="-62"/>
    <n v="6"/>
    <x v="1881"/>
    <n v="88589"/>
    <x v="0"/>
  </r>
  <r>
    <n v="19666"/>
    <s v="Not Specified"/>
    <n v="0.04"/>
    <n v="3.69"/>
    <x v="28"/>
    <x v="1109"/>
    <x v="1"/>
    <x v="1109"/>
    <x v="2"/>
    <x v="0"/>
    <x v="0"/>
    <x v="9"/>
    <x v="3"/>
    <x v="543"/>
    <n v="0.38"/>
    <n v="0.69"/>
    <s v="United States"/>
    <x v="0"/>
    <x v="1"/>
    <x v="854"/>
    <n v="92231"/>
    <x v="12"/>
    <x v="5"/>
    <x v="0"/>
    <d v="2015-03-29T00:00:00"/>
    <n v="47.527199999999993"/>
    <n v="19"/>
    <x v="1882"/>
    <n v="88590"/>
    <x v="0"/>
  </r>
  <r>
    <n v="23906"/>
    <s v="Low"/>
    <n v="0.1"/>
    <n v="120.98"/>
    <x v="300"/>
    <x v="1110"/>
    <x v="1"/>
    <x v="1110"/>
    <x v="2"/>
    <x v="0"/>
    <x v="0"/>
    <x v="8"/>
    <x v="3"/>
    <x v="470"/>
    <n v="0.35"/>
    <n v="0.69"/>
    <s v="United States"/>
    <x v="0"/>
    <x v="1"/>
    <x v="855"/>
    <n v="93010"/>
    <x v="136"/>
    <x v="2"/>
    <x v="0"/>
    <d v="2015-03-09T00:00:00"/>
    <n v="379.3965"/>
    <n v="5"/>
    <x v="1883"/>
    <n v="88587"/>
    <x v="0"/>
  </r>
  <r>
    <n v="23907"/>
    <s v="Low"/>
    <n v="0.08"/>
    <n v="8.32"/>
    <x v="149"/>
    <x v="1110"/>
    <x v="1"/>
    <x v="1110"/>
    <x v="0"/>
    <x v="0"/>
    <x v="2"/>
    <x v="13"/>
    <x v="2"/>
    <x v="207"/>
    <n v="0.74"/>
    <n v="-0.85384772402531117"/>
    <s v="United States"/>
    <x v="0"/>
    <x v="1"/>
    <x v="855"/>
    <n v="93010"/>
    <x v="136"/>
    <x v="2"/>
    <x v="0"/>
    <d v="2015-03-04T00:00:00"/>
    <n v="-41.83"/>
    <n v="6"/>
    <x v="1884"/>
    <n v="88587"/>
    <x v="0"/>
  </r>
  <r>
    <n v="23908"/>
    <s v="Low"/>
    <n v="0.1"/>
    <n v="125.99"/>
    <x v="5"/>
    <x v="1110"/>
    <x v="1"/>
    <x v="1110"/>
    <x v="2"/>
    <x v="0"/>
    <x v="2"/>
    <x v="5"/>
    <x v="3"/>
    <x v="868"/>
    <n v="0.59"/>
    <n v="0.54650876111649205"/>
    <s v="United States"/>
    <x v="0"/>
    <x v="1"/>
    <x v="855"/>
    <n v="93010"/>
    <x v="136"/>
    <x v="2"/>
    <x v="0"/>
    <d v="2015-02-28T00:00:00"/>
    <n v="372.40199999999999"/>
    <n v="7"/>
    <x v="1885"/>
    <n v="88587"/>
    <x v="0"/>
  </r>
  <r>
    <n v="18628"/>
    <s v="Medium"/>
    <n v="7.0000000000000007E-2"/>
    <n v="5.34"/>
    <x v="125"/>
    <x v="1111"/>
    <x v="1"/>
    <x v="1111"/>
    <x v="2"/>
    <x v="0"/>
    <x v="0"/>
    <x v="8"/>
    <x v="3"/>
    <x v="166"/>
    <n v="0.39"/>
    <n v="-1.7456189047261814"/>
    <s v="United States"/>
    <x v="0"/>
    <x v="44"/>
    <x v="856"/>
    <n v="83616"/>
    <x v="82"/>
    <x v="3"/>
    <x v="0"/>
    <d v="2015-05-06T00:00:00"/>
    <n v="-116.3455"/>
    <n v="13"/>
    <x v="1886"/>
    <n v="88588"/>
    <x v="0"/>
  </r>
  <r>
    <n v="18629"/>
    <s v="Medium"/>
    <n v="0.03"/>
    <n v="160.97999999999999"/>
    <x v="40"/>
    <x v="1111"/>
    <x v="1"/>
    <x v="1111"/>
    <x v="1"/>
    <x v="0"/>
    <x v="1"/>
    <x v="1"/>
    <x v="1"/>
    <x v="48"/>
    <n v="0.62"/>
    <n v="0.44472694058947032"/>
    <s v="United States"/>
    <x v="0"/>
    <x v="44"/>
    <x v="856"/>
    <n v="83616"/>
    <x v="82"/>
    <x v="3"/>
    <x v="0"/>
    <d v="2015-05-05T00:00:00"/>
    <n v="1304.9000000000001"/>
    <n v="18"/>
    <x v="1887"/>
    <n v="88588"/>
    <x v="0"/>
  </r>
  <r>
    <n v="18630"/>
    <s v="Medium"/>
    <n v="0.04"/>
    <n v="65.989999999999995"/>
    <x v="125"/>
    <x v="1111"/>
    <x v="1"/>
    <x v="1111"/>
    <x v="0"/>
    <x v="0"/>
    <x v="2"/>
    <x v="5"/>
    <x v="3"/>
    <x v="905"/>
    <n v="0.56000000000000005"/>
    <n v="0.69"/>
    <s v="United States"/>
    <x v="0"/>
    <x v="44"/>
    <x v="856"/>
    <n v="83616"/>
    <x v="82"/>
    <x v="3"/>
    <x v="0"/>
    <d v="2015-05-04T00:00:00"/>
    <n v="605.04719999999998"/>
    <n v="15"/>
    <x v="1888"/>
    <n v="88588"/>
    <x v="0"/>
  </r>
  <r>
    <n v="22597"/>
    <s v="High"/>
    <n v="0.09"/>
    <n v="28.53"/>
    <x v="25"/>
    <x v="1112"/>
    <x v="0"/>
    <x v="1112"/>
    <x v="2"/>
    <x v="1"/>
    <x v="0"/>
    <x v="8"/>
    <x v="3"/>
    <x v="107"/>
    <n v="0.38"/>
    <n v="0.68298874976164736"/>
    <s v="United States"/>
    <x v="2"/>
    <x v="45"/>
    <x v="857"/>
    <n v="53213"/>
    <x v="65"/>
    <x v="4"/>
    <x v="0"/>
    <d v="2015-04-30T00:00:00"/>
    <n v="107.45461999999999"/>
    <n v="6"/>
    <x v="1889"/>
    <n v="91437"/>
    <x v="0"/>
  </r>
  <r>
    <n v="23359"/>
    <s v="Not Specified"/>
    <n v="0.02"/>
    <n v="9.11"/>
    <x v="292"/>
    <x v="1113"/>
    <x v="0"/>
    <x v="1113"/>
    <x v="2"/>
    <x v="1"/>
    <x v="0"/>
    <x v="7"/>
    <x v="0"/>
    <x v="452"/>
    <n v="0.4"/>
    <n v="0.67263427109974427"/>
    <s v="United States"/>
    <x v="2"/>
    <x v="45"/>
    <x v="858"/>
    <n v="53214"/>
    <x v="80"/>
    <x v="5"/>
    <x v="0"/>
    <d v="2015-03-22T00:00:00"/>
    <n v="18.41"/>
    <n v="3"/>
    <x v="1890"/>
    <n v="91435"/>
    <x v="0"/>
  </r>
  <r>
    <n v="23360"/>
    <s v="Not Specified"/>
    <n v="0.06"/>
    <n v="12.64"/>
    <x v="145"/>
    <x v="1114"/>
    <x v="1"/>
    <x v="1114"/>
    <x v="2"/>
    <x v="1"/>
    <x v="1"/>
    <x v="2"/>
    <x v="2"/>
    <x v="215"/>
    <n v="0.48"/>
    <n v="0.66860228198859006"/>
    <s v="United States"/>
    <x v="2"/>
    <x v="45"/>
    <x v="859"/>
    <n v="53095"/>
    <x v="80"/>
    <x v="5"/>
    <x v="0"/>
    <d v="2015-03-22T00:00:00"/>
    <n v="65.63"/>
    <n v="8"/>
    <x v="1891"/>
    <n v="91435"/>
    <x v="0"/>
  </r>
  <r>
    <n v="24802"/>
    <s v="Medium"/>
    <n v="0.04"/>
    <n v="7.96"/>
    <x v="190"/>
    <x v="1114"/>
    <x v="1"/>
    <x v="1114"/>
    <x v="2"/>
    <x v="1"/>
    <x v="1"/>
    <x v="2"/>
    <x v="3"/>
    <x v="461"/>
    <n v="0.41"/>
    <n v="-6.6574799758849376E-2"/>
    <s v="United States"/>
    <x v="2"/>
    <x v="45"/>
    <x v="859"/>
    <n v="53095"/>
    <x v="161"/>
    <x v="0"/>
    <x v="0"/>
    <d v="2015-01-26T00:00:00"/>
    <n v="-7.73"/>
    <n v="15"/>
    <x v="1892"/>
    <n v="91436"/>
    <x v="0"/>
  </r>
  <r>
    <n v="23887"/>
    <s v="Medium"/>
    <n v="0.03"/>
    <n v="4.9800000000000004"/>
    <x v="190"/>
    <x v="1114"/>
    <x v="1"/>
    <x v="1114"/>
    <x v="2"/>
    <x v="1"/>
    <x v="0"/>
    <x v="8"/>
    <x v="3"/>
    <x v="802"/>
    <n v="0.37"/>
    <n v="-0.50521315789473686"/>
    <s v="United States"/>
    <x v="2"/>
    <x v="45"/>
    <x v="859"/>
    <n v="53095"/>
    <x v="62"/>
    <x v="1"/>
    <x v="0"/>
    <d v="2015-06-11T00:00:00"/>
    <n v="-47.995249999999999"/>
    <n v="19"/>
    <x v="1893"/>
    <n v="91438"/>
    <x v="0"/>
  </r>
  <r>
    <n v="19749"/>
    <s v="Low"/>
    <n v="0.1"/>
    <n v="80.97"/>
    <x v="398"/>
    <x v="1115"/>
    <x v="1"/>
    <x v="1115"/>
    <x v="1"/>
    <x v="1"/>
    <x v="2"/>
    <x v="6"/>
    <x v="1"/>
    <x v="690"/>
    <n v="0.37"/>
    <n v="7.9062048545196217E-2"/>
    <s v="United States"/>
    <x v="1"/>
    <x v="10"/>
    <x v="58"/>
    <n v="45373"/>
    <x v="84"/>
    <x v="3"/>
    <x v="0"/>
    <d v="2015-05-29T00:00:00"/>
    <n v="66.22"/>
    <n v="11"/>
    <x v="1894"/>
    <n v="90501"/>
    <x v="0"/>
  </r>
  <r>
    <n v="19750"/>
    <s v="Low"/>
    <n v="0.02"/>
    <n v="6.48"/>
    <x v="237"/>
    <x v="1115"/>
    <x v="1"/>
    <x v="1115"/>
    <x v="2"/>
    <x v="1"/>
    <x v="0"/>
    <x v="7"/>
    <x v="3"/>
    <x v="357"/>
    <n v="0.37"/>
    <n v="-0.41853432942013519"/>
    <s v="United States"/>
    <x v="1"/>
    <x v="10"/>
    <x v="58"/>
    <n v="45373"/>
    <x v="84"/>
    <x v="3"/>
    <x v="0"/>
    <d v="2015-05-28T00:00:00"/>
    <n v="-23.53"/>
    <n v="8"/>
    <x v="1895"/>
    <n v="90501"/>
    <x v="0"/>
  </r>
  <r>
    <n v="23428"/>
    <s v="Critical"/>
    <n v="0.08"/>
    <n v="30.97"/>
    <x v="41"/>
    <x v="1116"/>
    <x v="1"/>
    <x v="1116"/>
    <x v="2"/>
    <x v="1"/>
    <x v="2"/>
    <x v="13"/>
    <x v="3"/>
    <x v="846"/>
    <n v="0.74"/>
    <n v="1.4071702438831593E-2"/>
    <s v="United States"/>
    <x v="1"/>
    <x v="10"/>
    <x v="860"/>
    <n v="43221"/>
    <x v="10"/>
    <x v="3"/>
    <x v="0"/>
    <d v="2015-05-03T00:00:00"/>
    <n v="10.680000000000014"/>
    <n v="26"/>
    <x v="1896"/>
    <n v="90502"/>
    <x v="0"/>
  </r>
  <r>
    <n v="23429"/>
    <s v="Critical"/>
    <n v="0.1"/>
    <n v="4.13"/>
    <x v="28"/>
    <x v="1116"/>
    <x v="1"/>
    <x v="1116"/>
    <x v="0"/>
    <x v="1"/>
    <x v="0"/>
    <x v="9"/>
    <x v="3"/>
    <x v="906"/>
    <n v="0.39"/>
    <n v="0.69"/>
    <s v="United States"/>
    <x v="1"/>
    <x v="10"/>
    <x v="860"/>
    <n v="43221"/>
    <x v="10"/>
    <x v="3"/>
    <x v="0"/>
    <d v="2015-05-04T00:00:00"/>
    <n v="58.263599999999997"/>
    <n v="18"/>
    <x v="1897"/>
    <n v="90502"/>
    <x v="0"/>
  </r>
  <r>
    <n v="26104"/>
    <s v="Medium"/>
    <n v="0.06"/>
    <n v="7.1"/>
    <x v="162"/>
    <x v="1117"/>
    <x v="0"/>
    <x v="1117"/>
    <x v="2"/>
    <x v="1"/>
    <x v="0"/>
    <x v="8"/>
    <x v="3"/>
    <x v="227"/>
    <n v="0.39"/>
    <n v="-1.4061520506835614"/>
    <s v="United States"/>
    <x v="1"/>
    <x v="10"/>
    <x v="386"/>
    <n v="43081"/>
    <x v="6"/>
    <x v="2"/>
    <x v="0"/>
    <d v="2015-02-13T00:00:00"/>
    <n v="-42.170500000000004"/>
    <n v="4"/>
    <x v="1898"/>
    <n v="90500"/>
    <x v="0"/>
  </r>
  <r>
    <n v="18311"/>
    <s v="Medium"/>
    <n v="0.01"/>
    <n v="179.29"/>
    <x v="156"/>
    <x v="1118"/>
    <x v="1"/>
    <x v="1118"/>
    <x v="1"/>
    <x v="0"/>
    <x v="1"/>
    <x v="11"/>
    <x v="5"/>
    <x v="218"/>
    <n v="0.76"/>
    <n v="4.4601263525774586E-2"/>
    <s v="United States"/>
    <x v="1"/>
    <x v="30"/>
    <x v="861"/>
    <n v="21113"/>
    <x v="42"/>
    <x v="1"/>
    <x v="0"/>
    <d v="2015-06-04T00:00:00"/>
    <n v="66.362220000000008"/>
    <n v="8"/>
    <x v="1899"/>
    <n v="87473"/>
    <x v="0"/>
  </r>
  <r>
    <n v="18320"/>
    <s v="High"/>
    <n v="0.05"/>
    <n v="73.98"/>
    <x v="95"/>
    <x v="1118"/>
    <x v="1"/>
    <x v="1118"/>
    <x v="2"/>
    <x v="1"/>
    <x v="2"/>
    <x v="13"/>
    <x v="3"/>
    <x v="124"/>
    <n v="0.67"/>
    <n v="-3.1712191872085593E-3"/>
    <s v="United States"/>
    <x v="1"/>
    <x v="30"/>
    <x v="861"/>
    <n v="21113"/>
    <x v="159"/>
    <x v="1"/>
    <x v="0"/>
    <d v="2015-06-30T00:00:00"/>
    <n v="-1.904000000000019"/>
    <n v="8"/>
    <x v="1900"/>
    <n v="87474"/>
    <x v="0"/>
  </r>
  <r>
    <n v="18321"/>
    <s v="High"/>
    <n v="0"/>
    <n v="5.98"/>
    <x v="496"/>
    <x v="1118"/>
    <x v="1"/>
    <x v="1118"/>
    <x v="2"/>
    <x v="1"/>
    <x v="0"/>
    <x v="7"/>
    <x v="3"/>
    <x v="904"/>
    <n v="0.36"/>
    <n v="-1.0816934306569344"/>
    <s v="United States"/>
    <x v="1"/>
    <x v="30"/>
    <x v="861"/>
    <n v="21113"/>
    <x v="159"/>
    <x v="1"/>
    <x v="0"/>
    <d v="2015-07-01T00:00:00"/>
    <n v="-37.048000000000002"/>
    <n v="5"/>
    <x v="1901"/>
    <n v="87474"/>
    <x v="0"/>
  </r>
  <r>
    <n v="18322"/>
    <s v="High"/>
    <n v="0.09"/>
    <n v="3.57"/>
    <x v="464"/>
    <x v="1118"/>
    <x v="1"/>
    <x v="1118"/>
    <x v="2"/>
    <x v="1"/>
    <x v="0"/>
    <x v="0"/>
    <x v="2"/>
    <x v="818"/>
    <n v="0.59"/>
    <n v="-1.8088394276629571"/>
    <s v="United States"/>
    <x v="1"/>
    <x v="30"/>
    <x v="861"/>
    <n v="21113"/>
    <x v="159"/>
    <x v="1"/>
    <x v="0"/>
    <d v="2015-07-01T00:00:00"/>
    <n v="-56.887999999999998"/>
    <n v="9"/>
    <x v="1902"/>
    <n v="87474"/>
    <x v="0"/>
  </r>
  <r>
    <n v="22378"/>
    <s v="Critical"/>
    <n v="0"/>
    <n v="19.98"/>
    <x v="412"/>
    <x v="1119"/>
    <x v="1"/>
    <x v="1119"/>
    <x v="0"/>
    <x v="0"/>
    <x v="0"/>
    <x v="7"/>
    <x v="3"/>
    <x v="907"/>
    <n v="0.38"/>
    <n v="-0.76168948488376764"/>
    <s v="United States"/>
    <x v="3"/>
    <x v="29"/>
    <x v="862"/>
    <n v="30144"/>
    <x v="173"/>
    <x v="5"/>
    <x v="0"/>
    <d v="2015-03-29T00:00:00"/>
    <n v="-189.714"/>
    <n v="12"/>
    <x v="1903"/>
    <n v="88837"/>
    <x v="0"/>
  </r>
  <r>
    <n v="20366"/>
    <s v="Critical"/>
    <n v="0.05"/>
    <n v="3.14"/>
    <x v="307"/>
    <x v="1119"/>
    <x v="1"/>
    <x v="1119"/>
    <x v="0"/>
    <x v="1"/>
    <x v="0"/>
    <x v="12"/>
    <x v="0"/>
    <x v="839"/>
    <n v="0.84"/>
    <n v="27.496960486322187"/>
    <s v="United States"/>
    <x v="3"/>
    <x v="29"/>
    <x v="862"/>
    <n v="30144"/>
    <x v="177"/>
    <x v="4"/>
    <x v="0"/>
    <d v="2015-04-26T00:00:00"/>
    <n v="1628.37"/>
    <n v="18"/>
    <x v="1904"/>
    <n v="88839"/>
    <x v="0"/>
  </r>
  <r>
    <n v="23181"/>
    <s v="Critical"/>
    <n v="0.03"/>
    <n v="315.98"/>
    <x v="3"/>
    <x v="1120"/>
    <x v="1"/>
    <x v="1120"/>
    <x v="2"/>
    <x v="1"/>
    <x v="0"/>
    <x v="8"/>
    <x v="3"/>
    <x v="871"/>
    <n v="0.38"/>
    <n v="-8.0399412797145823E-4"/>
    <s v="United States"/>
    <x v="3"/>
    <x v="29"/>
    <x v="863"/>
    <n v="30240"/>
    <x v="18"/>
    <x v="4"/>
    <x v="0"/>
    <d v="2015-04-22T00:00:00"/>
    <n v="-4.4800000000000004"/>
    <n v="18"/>
    <x v="1905"/>
    <n v="88838"/>
    <x v="0"/>
  </r>
  <r>
    <n v="23182"/>
    <s v="Critical"/>
    <n v="0.09"/>
    <n v="276.2"/>
    <x v="65"/>
    <x v="1120"/>
    <x v="1"/>
    <x v="1120"/>
    <x v="2"/>
    <x v="1"/>
    <x v="1"/>
    <x v="1"/>
    <x v="6"/>
    <x v="147"/>
    <m/>
    <n v="1.0856266701117148"/>
    <s v="United States"/>
    <x v="3"/>
    <x v="29"/>
    <x v="863"/>
    <n v="30240"/>
    <x v="18"/>
    <x v="4"/>
    <x v="0"/>
    <d v="2015-04-21T00:00:00"/>
    <n v="3193.2840000000001"/>
    <n v="11"/>
    <x v="1906"/>
    <n v="88838"/>
    <x v="0"/>
  </r>
  <r>
    <n v="23183"/>
    <s v="Critical"/>
    <n v="0.03"/>
    <n v="63.94"/>
    <x v="133"/>
    <x v="1120"/>
    <x v="1"/>
    <x v="1120"/>
    <x v="2"/>
    <x v="1"/>
    <x v="1"/>
    <x v="2"/>
    <x v="3"/>
    <x v="176"/>
    <n v="0.46"/>
    <n v="8.3626880526738875E-2"/>
    <s v="United States"/>
    <x v="3"/>
    <x v="29"/>
    <x v="863"/>
    <n v="30240"/>
    <x v="18"/>
    <x v="4"/>
    <x v="0"/>
    <d v="2015-04-21T00:00:00"/>
    <n v="43.691699999999997"/>
    <n v="8"/>
    <x v="1907"/>
    <n v="88838"/>
    <x v="0"/>
  </r>
  <r>
    <n v="24161"/>
    <s v="Not Specified"/>
    <n v="0.05"/>
    <n v="11.97"/>
    <x v="194"/>
    <x v="1121"/>
    <x v="1"/>
    <x v="1121"/>
    <x v="2"/>
    <x v="0"/>
    <x v="0"/>
    <x v="0"/>
    <x v="2"/>
    <x v="908"/>
    <n v="0.6"/>
    <n v="13.79135914658238"/>
    <s v="United States"/>
    <x v="3"/>
    <x v="29"/>
    <x v="864"/>
    <n v="31204"/>
    <x v="165"/>
    <x v="5"/>
    <x v="0"/>
    <d v="2015-03-25T00:00:00"/>
    <n v="349.05930000000001"/>
    <n v="2"/>
    <x v="1856"/>
    <n v="88836"/>
    <x v="0"/>
  </r>
  <r>
    <n v="25841"/>
    <s v="Medium"/>
    <n v="0.02"/>
    <n v="28.53"/>
    <x v="25"/>
    <x v="1121"/>
    <x v="1"/>
    <x v="1121"/>
    <x v="2"/>
    <x v="1"/>
    <x v="0"/>
    <x v="8"/>
    <x v="3"/>
    <x v="107"/>
    <n v="0.38"/>
    <n v="3.8805446788615504E-3"/>
    <s v="United States"/>
    <x v="3"/>
    <x v="29"/>
    <x v="864"/>
    <n v="31204"/>
    <x v="119"/>
    <x v="4"/>
    <x v="0"/>
    <d v="2015-04-29T00:00:00"/>
    <n v="1.9919999999999998"/>
    <n v="18"/>
    <x v="1908"/>
    <n v="88840"/>
    <x v="0"/>
  </r>
  <r>
    <n v="22341"/>
    <s v="Low"/>
    <n v="0.04"/>
    <n v="2.98"/>
    <x v="366"/>
    <x v="1122"/>
    <x v="1"/>
    <x v="1122"/>
    <x v="0"/>
    <x v="0"/>
    <x v="0"/>
    <x v="0"/>
    <x v="0"/>
    <x v="909"/>
    <n v="0.56999999999999995"/>
    <n v="-1.4019108280254777"/>
    <s v="United States"/>
    <x v="1"/>
    <x v="10"/>
    <x v="865"/>
    <n v="44512"/>
    <x v="59"/>
    <x v="0"/>
    <x v="0"/>
    <d v="2015-01-16T00:00:00"/>
    <n v="-22.009999999999998"/>
    <n v="5"/>
    <x v="1909"/>
    <n v="88745"/>
    <x v="0"/>
  </r>
  <r>
    <n v="22342"/>
    <s v="Low"/>
    <n v="0.01"/>
    <n v="125.99"/>
    <x v="20"/>
    <x v="1122"/>
    <x v="1"/>
    <x v="1122"/>
    <x v="2"/>
    <x v="0"/>
    <x v="2"/>
    <x v="5"/>
    <x v="3"/>
    <x v="157"/>
    <n v="0.59"/>
    <n v="0.62654862264012345"/>
    <s v="United States"/>
    <x v="1"/>
    <x v="10"/>
    <x v="865"/>
    <n v="44512"/>
    <x v="59"/>
    <x v="0"/>
    <x v="0"/>
    <d v="2015-01-21T00:00:00"/>
    <n v="426.46032000000002"/>
    <n v="6"/>
    <x v="1910"/>
    <n v="88745"/>
    <x v="0"/>
  </r>
  <r>
    <n v="23190"/>
    <s v="Critical"/>
    <n v="0"/>
    <n v="2.61"/>
    <x v="28"/>
    <x v="1123"/>
    <x v="1"/>
    <x v="1123"/>
    <x v="2"/>
    <x v="0"/>
    <x v="0"/>
    <x v="9"/>
    <x v="3"/>
    <x v="413"/>
    <n v="0.39"/>
    <n v="0.69"/>
    <s v="United States"/>
    <x v="1"/>
    <x v="10"/>
    <x v="143"/>
    <n v="43402"/>
    <x v="32"/>
    <x v="3"/>
    <x v="0"/>
    <d v="2015-05-05T00:00:00"/>
    <n v="19.554599999999997"/>
    <n v="10"/>
    <x v="1911"/>
    <n v="88746"/>
    <x v="0"/>
  </r>
  <r>
    <n v="23191"/>
    <s v="Critical"/>
    <n v="0.04"/>
    <n v="25.38"/>
    <x v="20"/>
    <x v="1123"/>
    <x v="1"/>
    <x v="1123"/>
    <x v="0"/>
    <x v="0"/>
    <x v="1"/>
    <x v="2"/>
    <x v="2"/>
    <x v="268"/>
    <n v="0.5"/>
    <n v="0.17703703703703708"/>
    <s v="United States"/>
    <x v="1"/>
    <x v="10"/>
    <x v="143"/>
    <n v="43402"/>
    <x v="32"/>
    <x v="3"/>
    <x v="0"/>
    <d v="2015-05-06T00:00:00"/>
    <n v="152.48200000000003"/>
    <n v="35"/>
    <x v="1912"/>
    <n v="88746"/>
    <x v="0"/>
  </r>
  <r>
    <n v="19464"/>
    <s v="Not Specified"/>
    <n v="0.03"/>
    <n v="95.99"/>
    <x v="97"/>
    <x v="1124"/>
    <x v="0"/>
    <x v="1124"/>
    <x v="2"/>
    <x v="0"/>
    <x v="0"/>
    <x v="10"/>
    <x v="6"/>
    <x v="711"/>
    <m/>
    <n v="7.4903871948493309E-2"/>
    <s v="United States"/>
    <x v="0"/>
    <x v="1"/>
    <x v="79"/>
    <n v="94533"/>
    <x v="171"/>
    <x v="3"/>
    <x v="0"/>
    <d v="2015-05-12T00:00:00"/>
    <n v="67.012000000000057"/>
    <n v="9"/>
    <x v="1913"/>
    <n v="90154"/>
    <x v="0"/>
  </r>
  <r>
    <n v="18640"/>
    <s v="Medium"/>
    <n v="0.08"/>
    <n v="125.99"/>
    <x v="19"/>
    <x v="1125"/>
    <x v="1"/>
    <x v="1125"/>
    <x v="2"/>
    <x v="3"/>
    <x v="2"/>
    <x v="5"/>
    <x v="3"/>
    <x v="19"/>
    <n v="0.59"/>
    <n v="0.527373444450701"/>
    <s v="United States"/>
    <x v="0"/>
    <x v="0"/>
    <x v="866"/>
    <n v="99163"/>
    <x v="119"/>
    <x v="4"/>
    <x v="0"/>
    <d v="2015-04-30T00:00:00"/>
    <n v="374.625"/>
    <n v="7"/>
    <x v="1914"/>
    <n v="87908"/>
    <x v="0"/>
  </r>
  <r>
    <n v="19635"/>
    <s v="Critical"/>
    <n v="0.08"/>
    <n v="4.4800000000000004"/>
    <x v="10"/>
    <x v="1125"/>
    <x v="1"/>
    <x v="1125"/>
    <x v="2"/>
    <x v="3"/>
    <x v="0"/>
    <x v="4"/>
    <x v="3"/>
    <x v="409"/>
    <n v="0.37"/>
    <n v="-4.0458852867830422E-2"/>
    <s v="United States"/>
    <x v="0"/>
    <x v="0"/>
    <x v="866"/>
    <n v="99163"/>
    <x v="79"/>
    <x v="2"/>
    <x v="0"/>
    <d v="2015-02-15T00:00:00"/>
    <n v="-3.2448000000000001"/>
    <n v="19"/>
    <x v="1915"/>
    <n v="87909"/>
    <x v="0"/>
  </r>
  <r>
    <n v="20624"/>
    <s v="Low"/>
    <n v="0"/>
    <n v="1270.99"/>
    <x v="3"/>
    <x v="1126"/>
    <x v="1"/>
    <x v="1126"/>
    <x v="2"/>
    <x v="2"/>
    <x v="0"/>
    <x v="8"/>
    <x v="3"/>
    <x v="219"/>
    <n v="0.35"/>
    <n v="0.69"/>
    <s v="United States"/>
    <x v="2"/>
    <x v="12"/>
    <x v="341"/>
    <n v="61832"/>
    <x v="31"/>
    <x v="1"/>
    <x v="0"/>
    <d v="2015-06-09T00:00:00"/>
    <n v="6384.4388999999992"/>
    <n v="7"/>
    <x v="1916"/>
    <n v="87535"/>
    <x v="0"/>
  </r>
  <r>
    <n v="19842"/>
    <s v="High"/>
    <n v="0.01"/>
    <n v="10.9"/>
    <x v="275"/>
    <x v="1126"/>
    <x v="1"/>
    <x v="1126"/>
    <x v="2"/>
    <x v="2"/>
    <x v="0"/>
    <x v="10"/>
    <x v="3"/>
    <x v="910"/>
    <n v="0.59"/>
    <n v="-0.56321450967150644"/>
    <s v="United States"/>
    <x v="2"/>
    <x v="12"/>
    <x v="341"/>
    <n v="61832"/>
    <x v="140"/>
    <x v="5"/>
    <x v="0"/>
    <d v="2015-03-12T00:00:00"/>
    <n v="-116.76"/>
    <n v="18"/>
    <x v="1917"/>
    <n v="87536"/>
    <x v="0"/>
  </r>
  <r>
    <n v="19843"/>
    <s v="High"/>
    <n v="0.1"/>
    <n v="7.99"/>
    <x v="110"/>
    <x v="1126"/>
    <x v="1"/>
    <x v="1126"/>
    <x v="2"/>
    <x v="2"/>
    <x v="2"/>
    <x v="5"/>
    <x v="4"/>
    <x v="145"/>
    <n v="0.6"/>
    <n v="-1.1245947456679708"/>
    <s v="United States"/>
    <x v="2"/>
    <x v="12"/>
    <x v="341"/>
    <n v="61832"/>
    <x v="140"/>
    <x v="5"/>
    <x v="0"/>
    <d v="2015-03-12T00:00:00"/>
    <n v="-160.952"/>
    <n v="22"/>
    <x v="1918"/>
    <n v="87536"/>
    <x v="0"/>
  </r>
  <r>
    <n v="26208"/>
    <s v="Not Specified"/>
    <n v="0.08"/>
    <n v="11.97"/>
    <x v="194"/>
    <x v="1127"/>
    <x v="0"/>
    <x v="1127"/>
    <x v="2"/>
    <x v="2"/>
    <x v="0"/>
    <x v="0"/>
    <x v="2"/>
    <x v="908"/>
    <n v="0.6"/>
    <n v="-0.69806602200733581"/>
    <s v="United States"/>
    <x v="2"/>
    <x v="12"/>
    <x v="389"/>
    <n v="60016"/>
    <x v="48"/>
    <x v="5"/>
    <x v="0"/>
    <d v="2015-03-31T00:00:00"/>
    <n v="-41.87"/>
    <n v="5"/>
    <x v="1919"/>
    <n v="87534"/>
    <x v="0"/>
  </r>
  <r>
    <n v="24911"/>
    <s v="Medium"/>
    <n v="0.1"/>
    <n v="9.3800000000000008"/>
    <x v="115"/>
    <x v="1128"/>
    <x v="0"/>
    <x v="1128"/>
    <x v="0"/>
    <x v="2"/>
    <x v="1"/>
    <x v="2"/>
    <x v="3"/>
    <x v="911"/>
    <n v="0.56999999999999995"/>
    <n v="-0.18198851082633671"/>
    <s v="United States"/>
    <x v="1"/>
    <x v="36"/>
    <x v="867"/>
    <n v="26554"/>
    <x v="36"/>
    <x v="4"/>
    <x v="0"/>
    <d v="2015-04-04T00:00:00"/>
    <n v="-24.7104"/>
    <n v="15"/>
    <x v="1920"/>
    <n v="87537"/>
    <x v="0"/>
  </r>
  <r>
    <n v="25914"/>
    <s v="High"/>
    <n v="0.1"/>
    <n v="105.98"/>
    <x v="100"/>
    <x v="1129"/>
    <x v="0"/>
    <x v="1129"/>
    <x v="0"/>
    <x v="3"/>
    <x v="1"/>
    <x v="2"/>
    <x v="4"/>
    <x v="912"/>
    <n v="0.65"/>
    <n v="0.69"/>
    <s v="United States"/>
    <x v="0"/>
    <x v="47"/>
    <x v="868"/>
    <n v="82001"/>
    <x v="102"/>
    <x v="2"/>
    <x v="0"/>
    <d v="2015-02-11T00:00:00"/>
    <n v="349.48499999999996"/>
    <n v="5"/>
    <x v="1921"/>
    <n v="8753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2F1377-7C84-43D6-B936-F2D87411FBCC}" name="PivotTable8" cacheId="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8" firstHeaderRow="1" firstDataRow="1" firstDataCol="1"/>
  <pivotFields count="31">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showAll="0"/>
    <pivotField showAll="0"/>
    <pivotField numFmtId="14" showAll="0"/>
    <pivotField showAll="0"/>
    <pivotField showAll="0"/>
    <pivotField dataField="1" showAll="0">
      <items count="1923">
        <item x="17"/>
        <item x="779"/>
        <item x="1155"/>
        <item x="765"/>
        <item x="718"/>
        <item x="98"/>
        <item x="539"/>
        <item x="877"/>
        <item x="1040"/>
        <item x="33"/>
        <item x="1353"/>
        <item x="535"/>
        <item x="1235"/>
        <item x="1552"/>
        <item x="471"/>
        <item x="1547"/>
        <item x="86"/>
        <item x="276"/>
        <item x="307"/>
        <item x="460"/>
        <item x="406"/>
        <item x="912"/>
        <item x="541"/>
        <item x="720"/>
        <item x="1306"/>
        <item x="1178"/>
        <item x="559"/>
        <item x="784"/>
        <item x="1074"/>
        <item x="161"/>
        <item x="1043"/>
        <item x="1059"/>
        <item x="523"/>
        <item x="1303"/>
        <item x="182"/>
        <item x="1797"/>
        <item x="1394"/>
        <item x="1326"/>
        <item x="737"/>
        <item x="252"/>
        <item x="1589"/>
        <item x="545"/>
        <item x="250"/>
        <item x="646"/>
        <item x="1143"/>
        <item x="1284"/>
        <item x="761"/>
        <item x="373"/>
        <item x="974"/>
        <item x="74"/>
        <item x="1362"/>
        <item x="1103"/>
        <item x="1011"/>
        <item x="1403"/>
        <item x="1422"/>
        <item x="1660"/>
        <item x="1540"/>
        <item x="62"/>
        <item x="1696"/>
        <item x="415"/>
        <item x="1034"/>
        <item x="563"/>
        <item x="684"/>
        <item x="1502"/>
        <item x="1850"/>
        <item x="1564"/>
        <item x="554"/>
        <item x="1817"/>
        <item x="0"/>
        <item x="679"/>
        <item x="333"/>
        <item x="937"/>
        <item x="1741"/>
        <item x="5"/>
        <item x="836"/>
        <item x="1543"/>
        <item x="1481"/>
        <item x="6"/>
        <item x="935"/>
        <item x="1830"/>
        <item x="869"/>
        <item x="80"/>
        <item x="1791"/>
        <item x="1218"/>
        <item x="1366"/>
        <item x="1097"/>
        <item x="1771"/>
        <item x="1514"/>
        <item x="449"/>
        <item x="1672"/>
        <item x="1909"/>
        <item x="521"/>
        <item x="1020"/>
        <item x="1358"/>
        <item x="1189"/>
        <item x="1633"/>
        <item x="1631"/>
        <item x="1319"/>
        <item x="510"/>
        <item x="496"/>
        <item x="861"/>
        <item x="1092"/>
        <item x="882"/>
        <item x="263"/>
        <item x="379"/>
        <item x="317"/>
        <item x="429"/>
        <item x="117"/>
        <item x="1854"/>
        <item x="1507"/>
        <item x="589"/>
        <item x="1818"/>
        <item x="1063"/>
        <item x="187"/>
        <item x="450"/>
        <item x="150"/>
        <item x="1187"/>
        <item x="544"/>
        <item x="163"/>
        <item x="889"/>
        <item x="289"/>
        <item x="9"/>
        <item x="1870"/>
        <item x="875"/>
        <item x="1760"/>
        <item x="892"/>
        <item x="1551"/>
        <item x="1191"/>
        <item x="831"/>
        <item x="1282"/>
        <item x="1604"/>
        <item x="716"/>
        <item x="926"/>
        <item x="1170"/>
        <item x="358"/>
        <item x="236"/>
        <item x="490"/>
        <item x="754"/>
        <item x="1273"/>
        <item x="964"/>
        <item x="316"/>
        <item x="65"/>
        <item x="1645"/>
        <item x="1146"/>
        <item x="408"/>
        <item x="253"/>
        <item x="1503"/>
        <item x="121"/>
        <item x="1021"/>
        <item x="378"/>
        <item x="1647"/>
        <item x="653"/>
        <item x="1258"/>
        <item x="1118"/>
        <item x="1826"/>
        <item x="464"/>
        <item x="993"/>
        <item x="1244"/>
        <item x="1875"/>
        <item x="4"/>
        <item x="942"/>
        <item x="800"/>
        <item x="1549"/>
        <item x="210"/>
        <item x="31"/>
        <item x="1553"/>
        <item x="237"/>
        <item x="883"/>
        <item x="1670"/>
        <item x="1496"/>
        <item x="320"/>
        <item x="1825"/>
        <item x="697"/>
        <item x="994"/>
        <item x="311"/>
        <item x="806"/>
        <item x="1667"/>
        <item x="1518"/>
        <item x="1856"/>
        <item x="1190"/>
        <item x="556"/>
        <item x="281"/>
        <item x="772"/>
        <item x="254"/>
        <item x="1470"/>
        <item x="1450"/>
        <item x="66"/>
        <item x="775"/>
        <item x="587"/>
        <item x="768"/>
        <item x="145"/>
        <item x="1504"/>
        <item x="487"/>
        <item x="1867"/>
        <item x="118"/>
        <item x="1890"/>
        <item x="1349"/>
        <item x="131"/>
        <item x="204"/>
        <item x="1635"/>
        <item x="536"/>
        <item x="488"/>
        <item x="641"/>
        <item x="1205"/>
        <item x="1023"/>
        <item x="1029"/>
        <item x="503"/>
        <item x="1328"/>
        <item x="85"/>
        <item x="111"/>
        <item x="852"/>
        <item x="340"/>
        <item x="1911"/>
        <item x="178"/>
        <item x="776"/>
        <item x="139"/>
        <item x="231"/>
        <item x="1310"/>
        <item x="900"/>
        <item x="63"/>
        <item x="1505"/>
        <item x="30"/>
        <item x="1437"/>
        <item x="721"/>
        <item x="1490"/>
        <item x="357"/>
        <item x="1704"/>
        <item x="1898"/>
        <item x="1433"/>
        <item x="940"/>
        <item x="1351"/>
        <item x="455"/>
        <item x="603"/>
        <item x="1554"/>
        <item x="97"/>
        <item x="293"/>
        <item x="537"/>
        <item x="482"/>
        <item x="215"/>
        <item x="1902"/>
        <item x="335"/>
        <item x="1113"/>
        <item x="780"/>
        <item x="1120"/>
        <item x="1742"/>
        <item x="508"/>
        <item x="1520"/>
        <item x="1756"/>
        <item x="1636"/>
        <item x="324"/>
        <item x="239"/>
        <item x="396"/>
        <item x="309"/>
        <item x="1096"/>
        <item x="1122"/>
        <item x="1602"/>
        <item x="130"/>
        <item x="245"/>
        <item x="7"/>
        <item x="1136"/>
        <item x="1153"/>
        <item x="714"/>
        <item x="91"/>
        <item x="1770"/>
        <item x="1164"/>
        <item x="351"/>
        <item x="1132"/>
        <item x="1876"/>
        <item x="1901"/>
        <item x="1487"/>
        <item x="647"/>
        <item x="143"/>
        <item x="115"/>
        <item x="1668"/>
        <item x="1052"/>
        <item x="1658"/>
        <item x="369"/>
        <item x="664"/>
        <item x="1722"/>
        <item x="1296"/>
        <item x="1240"/>
        <item x="234"/>
        <item x="1251"/>
        <item x="1675"/>
        <item x="707"/>
        <item x="1501"/>
        <item x="1842"/>
        <item x="1188"/>
        <item x="796"/>
        <item x="1109"/>
        <item x="1717"/>
        <item x="1881"/>
        <item x="213"/>
        <item x="1345"/>
        <item x="1583"/>
        <item x="637"/>
        <item x="930"/>
        <item x="1364"/>
        <item x="1000"/>
        <item x="1368"/>
        <item x="987"/>
        <item x="321"/>
        <item x="897"/>
        <item x="548"/>
        <item x="207"/>
        <item x="1277"/>
        <item x="791"/>
        <item x="1623"/>
        <item x="1388"/>
        <item x="1131"/>
        <item x="657"/>
        <item x="1439"/>
        <item x="473"/>
        <item x="579"/>
        <item x="1772"/>
        <item x="433"/>
        <item x="1208"/>
        <item x="1570"/>
        <item x="20"/>
        <item x="981"/>
        <item x="1322"/>
        <item x="1101"/>
        <item x="183"/>
        <item x="410"/>
        <item x="1463"/>
        <item x="1679"/>
        <item x="1301"/>
        <item x="164"/>
        <item x="1072"/>
        <item x="997"/>
        <item x="1537"/>
        <item x="532"/>
        <item x="45"/>
        <item x="467"/>
        <item x="1458"/>
        <item x="835"/>
        <item x="123"/>
        <item x="1359"/>
        <item x="1405"/>
        <item x="1315"/>
        <item x="1365"/>
        <item x="1333"/>
        <item x="781"/>
        <item x="1380"/>
        <item x="1435"/>
        <item x="1086"/>
        <item x="173"/>
        <item x="414"/>
        <item x="683"/>
        <item x="1559"/>
        <item x="1377"/>
        <item x="214"/>
        <item x="1802"/>
        <item x="1558"/>
        <item x="1809"/>
        <item x="1580"/>
        <item x="438"/>
        <item x="1283"/>
        <item x="1015"/>
        <item x="494"/>
        <item x="1098"/>
        <item x="1761"/>
        <item x="1627"/>
        <item x="1624"/>
        <item x="1697"/>
        <item x="606"/>
        <item x="936"/>
        <item x="51"/>
        <item x="93"/>
        <item x="969"/>
        <item x="154"/>
        <item x="329"/>
        <item x="1079"/>
        <item x="1378"/>
        <item x="103"/>
        <item x="1446"/>
        <item x="991"/>
        <item x="774"/>
        <item x="1659"/>
        <item x="1827"/>
        <item x="602"/>
        <item x="60"/>
        <item x="746"/>
        <item x="1346"/>
        <item x="423"/>
        <item x="517"/>
        <item x="854"/>
        <item x="895"/>
        <item x="744"/>
        <item x="1811"/>
        <item x="1657"/>
        <item x="871"/>
        <item x="1257"/>
        <item x="1884"/>
        <item x="1340"/>
        <item x="1461"/>
        <item x="934"/>
        <item x="495"/>
        <item x="380"/>
        <item x="1495"/>
        <item x="1710"/>
        <item x="1869"/>
        <item x="472"/>
        <item x="452"/>
        <item x="607"/>
        <item x="1065"/>
        <item x="1370"/>
        <item x="1443"/>
        <item x="1224"/>
        <item x="199"/>
        <item x="238"/>
        <item x="757"/>
        <item x="1415"/>
        <item x="1837"/>
        <item x="968"/>
        <item x="915"/>
        <item x="1482"/>
        <item x="982"/>
        <item x="144"/>
        <item x="264"/>
        <item x="1176"/>
        <item x="24"/>
        <item x="1523"/>
        <item x="106"/>
        <item x="463"/>
        <item x="1302"/>
        <item x="769"/>
        <item x="48"/>
        <item x="1822"/>
        <item x="363"/>
        <item x="601"/>
        <item x="1330"/>
        <item x="18"/>
        <item x="1221"/>
        <item x="1012"/>
        <item x="594"/>
        <item x="1213"/>
        <item x="1644"/>
        <item x="938"/>
        <item x="190"/>
        <item x="1055"/>
        <item x="691"/>
        <item x="629"/>
        <item x="1678"/>
        <item x="1895"/>
        <item x="758"/>
        <item x="1003"/>
        <item x="1806"/>
        <item x="440"/>
        <item x="1596"/>
        <item x="1713"/>
        <item x="441"/>
        <item x="573"/>
        <item x="505"/>
        <item x="1858"/>
        <item x="1861"/>
        <item x="770"/>
        <item x="287"/>
        <item x="133"/>
        <item x="925"/>
        <item x="1516"/>
        <item x="1412"/>
        <item x="64"/>
        <item x="1207"/>
        <item x="1863"/>
        <item x="1018"/>
        <item x="366"/>
        <item x="23"/>
        <item x="126"/>
        <item x="745"/>
        <item x="838"/>
        <item x="680"/>
        <item x="1904"/>
        <item x="1238"/>
        <item x="1515"/>
        <item x="1648"/>
        <item x="1619"/>
        <item x="71"/>
        <item x="1780"/>
        <item x="266"/>
        <item x="1919"/>
        <item x="1743"/>
        <item x="246"/>
        <item x="1417"/>
        <item x="1307"/>
        <item x="841"/>
        <item x="1753"/>
        <item x="160"/>
        <item x="1256"/>
        <item x="84"/>
        <item x="120"/>
        <item x="1777"/>
        <item x="493"/>
        <item x="1044"/>
        <item x="422"/>
        <item x="551"/>
        <item x="1360"/>
        <item x="867"/>
        <item x="975"/>
        <item x="79"/>
        <item x="442"/>
        <item x="1168"/>
        <item x="216"/>
        <item x="119"/>
        <item x="475"/>
        <item x="1759"/>
        <item x="581"/>
        <item x="568"/>
        <item x="799"/>
        <item x="1087"/>
        <item x="306"/>
        <item x="1868"/>
        <item x="1601"/>
        <item x="1154"/>
        <item x="288"/>
        <item x="1239"/>
        <item x="174"/>
        <item x="1886"/>
        <item x="256"/>
        <item x="260"/>
        <item x="686"/>
        <item x="627"/>
        <item x="301"/>
        <item x="413"/>
        <item x="319"/>
        <item x="1220"/>
        <item x="16"/>
        <item x="1699"/>
        <item x="148"/>
        <item x="409"/>
        <item x="1027"/>
        <item x="1462"/>
        <item x="156"/>
        <item x="407"/>
        <item x="1413"/>
        <item x="1640"/>
        <item x="1225"/>
        <item x="1882"/>
        <item x="766"/>
        <item x="723"/>
        <item x="1304"/>
        <item x="376"/>
        <item x="1652"/>
        <item x="331"/>
        <item x="169"/>
        <item x="756"/>
        <item x="1401"/>
        <item x="112"/>
        <item x="529"/>
        <item x="1260"/>
        <item x="1083"/>
        <item x="220"/>
        <item x="924"/>
        <item x="550"/>
        <item x="244"/>
        <item x="515"/>
        <item x="249"/>
        <item x="1231"/>
        <item x="751"/>
        <item x="29"/>
        <item x="225"/>
        <item x="1286"/>
        <item x="185"/>
        <item x="853"/>
        <item x="470"/>
        <item x="1508"/>
        <item x="483"/>
        <item x="1104"/>
        <item x="675"/>
        <item x="565"/>
        <item x="1698"/>
        <item x="638"/>
        <item x="1586"/>
        <item x="446"/>
        <item x="519"/>
        <item x="1254"/>
        <item x="825"/>
        <item x="1609"/>
        <item x="1305"/>
        <item x="1067"/>
        <item x="1227"/>
        <item x="69"/>
        <item x="1246"/>
        <item x="1790"/>
        <item x="386"/>
        <item x="485"/>
        <item x="1512"/>
        <item x="771"/>
        <item x="567"/>
        <item x="1879"/>
        <item x="448"/>
        <item x="977"/>
        <item x="1371"/>
        <item x="615"/>
        <item x="105"/>
        <item x="1810"/>
        <item x="135"/>
        <item x="1915"/>
        <item x="461"/>
        <item x="1592"/>
        <item x="1030"/>
        <item x="1855"/>
        <item x="1291"/>
        <item x="372"/>
        <item x="332"/>
        <item x="726"/>
        <item x="908"/>
        <item x="1686"/>
        <item x="1077"/>
        <item x="1792"/>
        <item x="400"/>
        <item x="1045"/>
        <item x="299"/>
        <item x="1215"/>
        <item x="1706"/>
        <item x="1276"/>
        <item x="1897"/>
        <item x="77"/>
        <item x="755"/>
        <item x="1150"/>
        <item x="1718"/>
        <item x="192"/>
        <item x="509"/>
        <item x="708"/>
        <item x="116"/>
        <item x="1253"/>
        <item x="477"/>
        <item x="1192"/>
        <item x="1768"/>
        <item x="1233"/>
        <item x="261"/>
        <item x="1729"/>
        <item x="1569"/>
        <item x="282"/>
        <item x="858"/>
        <item x="1582"/>
        <item x="660"/>
        <item x="1440"/>
        <item x="405"/>
        <item x="1100"/>
        <item x="998"/>
        <item x="823"/>
        <item x="665"/>
        <item x="1400"/>
        <item x="873"/>
        <item x="177"/>
        <item x="273"/>
        <item x="465"/>
        <item x="1402"/>
        <item x="1625"/>
        <item x="1571"/>
        <item x="628"/>
        <item x="42"/>
        <item x="1335"/>
        <item x="1230"/>
        <item x="1268"/>
        <item x="1318"/>
        <item x="1685"/>
        <item x="1766"/>
        <item x="434"/>
        <item x="1089"/>
        <item x="1447"/>
        <item x="1800"/>
        <item x="458"/>
        <item x="1141"/>
        <item x="1486"/>
        <item x="907"/>
        <item x="1877"/>
        <item x="73"/>
        <item x="1893"/>
        <item x="382"/>
        <item x="1428"/>
        <item x="1285"/>
        <item x="1057"/>
        <item x="1324"/>
        <item x="1352"/>
        <item x="1732"/>
        <item x="694"/>
        <item x="1832"/>
        <item x="1453"/>
        <item x="1891"/>
        <item x="1521"/>
        <item x="527"/>
        <item x="1736"/>
        <item x="582"/>
        <item x="1078"/>
        <item x="1781"/>
        <item x="338"/>
        <item x="1031"/>
        <item x="1223"/>
        <item x="447"/>
        <item x="70"/>
        <item x="1112"/>
        <item x="416"/>
        <item x="577"/>
        <item x="903"/>
        <item x="1331"/>
        <item x="1016"/>
        <item x="367"/>
        <item x="962"/>
        <item x="262"/>
        <item x="229"/>
        <item x="636"/>
        <item x="76"/>
        <item x="292"/>
        <item x="327"/>
        <item x="1653"/>
        <item x="168"/>
        <item x="1831"/>
        <item x="980"/>
        <item x="1467"/>
        <item x="175"/>
        <item x="624"/>
        <item x="193"/>
        <item x="524"/>
        <item x="635"/>
        <item x="866"/>
        <item x="986"/>
        <item x="1689"/>
        <item x="1607"/>
        <item x="804"/>
        <item x="1786"/>
        <item x="195"/>
        <item x="617"/>
        <item x="1308"/>
        <item x="140"/>
        <item x="201"/>
        <item x="1372"/>
        <item x="28"/>
        <item x="1431"/>
        <item x="1595"/>
        <item x="773"/>
        <item x="650"/>
        <item x="1452"/>
        <item x="880"/>
        <item x="186"/>
        <item x="184"/>
        <item x="1673"/>
        <item x="788"/>
        <item x="1600"/>
        <item x="1566"/>
        <item x="953"/>
        <item x="1124"/>
        <item x="1749"/>
        <item x="847"/>
        <item x="1281"/>
        <item x="1892"/>
        <item x="323"/>
        <item x="506"/>
        <item x="313"/>
        <item x="1680"/>
        <item x="881"/>
        <item x="976"/>
        <item x="1004"/>
        <item x="764"/>
        <item x="1471"/>
        <item x="1779"/>
        <item x="1849"/>
        <item x="1386"/>
        <item x="561"/>
        <item x="540"/>
        <item x="1133"/>
        <item x="127"/>
        <item x="1536"/>
        <item x="801"/>
        <item x="1865"/>
        <item x="591"/>
        <item x="67"/>
        <item x="411"/>
        <item x="1524"/>
        <item x="1095"/>
        <item x="270"/>
        <item x="811"/>
        <item x="777"/>
        <item x="1140"/>
        <item x="530"/>
        <item x="1846"/>
        <item x="1407"/>
        <item x="480"/>
        <item x="1814"/>
        <item x="457"/>
        <item x="209"/>
        <item x="1840"/>
        <item x="552"/>
        <item x="484"/>
        <item x="1454"/>
        <item x="673"/>
        <item x="946"/>
        <item x="840"/>
        <item x="704"/>
        <item x="690"/>
        <item x="933"/>
        <item x="1726"/>
        <item x="1464"/>
        <item x="95"/>
        <item x="1494"/>
        <item x="1733"/>
        <item x="739"/>
        <item x="988"/>
        <item x="1864"/>
        <item x="1740"/>
        <item x="1295"/>
        <item x="50"/>
        <item x="1047"/>
        <item x="1731"/>
        <item x="1278"/>
        <item x="518"/>
        <item x="1152"/>
        <item x="874"/>
        <item x="1643"/>
        <item x="1920"/>
        <item x="1493"/>
        <item x="1263"/>
        <item x="337"/>
        <item x="1654"/>
        <item x="466"/>
        <item x="1773"/>
        <item x="499"/>
        <item x="110"/>
        <item x="1357"/>
        <item x="1725"/>
        <item x="430"/>
        <item x="1676"/>
        <item x="1803"/>
        <item x="1017"/>
        <item x="1081"/>
        <item x="1918"/>
        <item x="243"/>
        <item x="870"/>
        <item x="613"/>
        <item x="906"/>
        <item x="782"/>
        <item x="1457"/>
        <item x="1130"/>
        <item x="1438"/>
        <item x="1565"/>
        <item x="1813"/>
        <item x="1398"/>
        <item x="355"/>
        <item x="662"/>
        <item x="667"/>
        <item x="1416"/>
        <item x="911"/>
        <item x="1532"/>
        <item x="1102"/>
        <item x="826"/>
        <item x="973"/>
        <item x="572"/>
        <item x="507"/>
        <item x="504"/>
        <item x="1339"/>
        <item x="706"/>
        <item x="1821"/>
        <item x="1032"/>
        <item x="272"/>
        <item x="1134"/>
        <item x="1762"/>
        <item x="1172"/>
        <item x="352"/>
        <item x="648"/>
        <item x="1889"/>
        <item x="834"/>
        <item x="586"/>
        <item x="830"/>
        <item x="1844"/>
        <item x="885"/>
        <item x="398"/>
        <item x="1712"/>
        <item x="232"/>
        <item x="1538"/>
        <item x="1611"/>
        <item x="558"/>
        <item x="1688"/>
        <item x="848"/>
        <item x="1649"/>
        <item x="693"/>
        <item x="886"/>
        <item x="1259"/>
        <item x="104"/>
        <item x="805"/>
        <item x="1479"/>
        <item x="525"/>
        <item x="622"/>
        <item x="1337"/>
        <item x="1211"/>
        <item x="1483"/>
        <item x="314"/>
        <item x="1234"/>
        <item x="1392"/>
        <item x="47"/>
        <item x="1705"/>
        <item x="1721"/>
        <item x="859"/>
        <item x="715"/>
        <item x="122"/>
        <item x="1449"/>
        <item x="1375"/>
        <item x="663"/>
        <item x="632"/>
        <item x="1878"/>
        <item x="248"/>
        <item x="1562"/>
        <item x="1612"/>
        <item x="651"/>
        <item x="738"/>
        <item x="795"/>
        <item x="1816"/>
        <item x="1701"/>
        <item x="1196"/>
        <item x="100"/>
        <item x="876"/>
        <item x="932"/>
        <item x="290"/>
        <item x="211"/>
        <item x="159"/>
        <item x="1408"/>
        <item x="502"/>
        <item x="1279"/>
        <item x="176"/>
        <item x="166"/>
        <item x="353"/>
        <item x="643"/>
        <item x="829"/>
        <item x="82"/>
        <item x="1418"/>
        <item x="1871"/>
        <item x="1216"/>
        <item x="397"/>
        <item x="1528"/>
        <item x="862"/>
        <item x="600"/>
        <item x="1321"/>
        <item x="1445"/>
        <item x="129"/>
        <item x="1342"/>
        <item x="492"/>
        <item x="1594"/>
        <item x="1799"/>
        <item x="1880"/>
        <item x="274"/>
        <item x="1174"/>
        <item x="1853"/>
        <item x="356"/>
        <item x="1716"/>
        <item x="1738"/>
        <item x="1248"/>
        <item x="1783"/>
        <item x="1336"/>
        <item x="1002"/>
        <item x="361"/>
        <item x="1421"/>
        <item x="1677"/>
        <item x="1484"/>
        <item x="1687"/>
        <item x="107"/>
        <item x="1068"/>
        <item x="334"/>
        <item x="1069"/>
        <item x="412"/>
        <item x="1473"/>
        <item x="1917"/>
        <item x="688"/>
        <item x="152"/>
        <item x="588"/>
        <item x="402"/>
        <item x="1048"/>
        <item x="151"/>
        <item x="280"/>
        <item x="2"/>
        <item x="188"/>
        <item x="902"/>
        <item x="1429"/>
        <item x="1793"/>
        <item x="1013"/>
        <item x="52"/>
        <item x="257"/>
        <item x="75"/>
        <item x="725"/>
        <item x="1026"/>
        <item x="599"/>
        <item x="365"/>
        <item x="102"/>
        <item x="1025"/>
        <item x="109"/>
        <item x="1442"/>
        <item x="905"/>
        <item x="710"/>
        <item x="923"/>
        <item x="1639"/>
        <item x="1598"/>
        <item x="645"/>
        <item x="325"/>
        <item x="689"/>
        <item x="68"/>
        <item x="501"/>
        <item x="255"/>
        <item x="12"/>
        <item x="1576"/>
        <item x="1615"/>
        <item x="1755"/>
        <item x="224"/>
        <item x="1641"/>
        <item x="1745"/>
        <item x="741"/>
        <item x="1374"/>
        <item x="1529"/>
        <item x="1474"/>
        <item x="1175"/>
        <item x="259"/>
        <item x="1568"/>
        <item x="1620"/>
        <item x="1700"/>
        <item x="469"/>
        <item x="740"/>
        <item x="1535"/>
        <item x="1138"/>
        <item x="1173"/>
        <item x="226"/>
        <item x="896"/>
        <item x="180"/>
        <item x="432"/>
        <item x="1007"/>
        <item x="534"/>
        <item x="1341"/>
        <item x="1669"/>
        <item x="1241"/>
        <item x="1177"/>
        <item x="1903"/>
        <item x="101"/>
        <item x="1707"/>
        <item x="989"/>
        <item x="815"/>
        <item x="375"/>
        <item x="1179"/>
        <item x="1156"/>
        <item x="1819"/>
        <item x="837"/>
        <item x="970"/>
        <item x="1419"/>
        <item x="427"/>
        <item x="1472"/>
        <item x="620"/>
        <item x="1347"/>
        <item x="1578"/>
        <item x="1126"/>
        <item x="1434"/>
        <item x="360"/>
        <item x="952"/>
        <item x="950"/>
        <item x="401"/>
        <item x="1522"/>
        <item x="198"/>
        <item x="658"/>
        <item x="476"/>
        <item x="943"/>
        <item x="294"/>
        <item x="655"/>
        <item x="809"/>
        <item x="1581"/>
        <item x="1084"/>
        <item x="985"/>
        <item x="614"/>
        <item x="1202"/>
        <item x="955"/>
        <item x="1597"/>
        <item x="1579"/>
        <item x="399"/>
        <item x="302"/>
        <item x="919"/>
        <item x="1414"/>
        <item x="1111"/>
        <item x="621"/>
        <item x="444"/>
        <item x="330"/>
        <item x="208"/>
        <item x="1466"/>
        <item x="171"/>
        <item x="1567"/>
        <item x="1734"/>
        <item x="1525"/>
        <item x="753"/>
        <item x="760"/>
        <item x="1269"/>
        <item x="1560"/>
        <item x="944"/>
        <item x="922"/>
        <item x="315"/>
        <item x="596"/>
        <item x="990"/>
        <item x="1851"/>
        <item x="844"/>
        <item x="1455"/>
        <item x="1265"/>
        <item x="827"/>
        <item x="1117"/>
        <item x="1129"/>
        <item x="814"/>
        <item x="390"/>
        <item x="88"/>
        <item x="478"/>
        <item x="14"/>
        <item x="1198"/>
        <item x="1719"/>
        <item x="1249"/>
        <item x="605"/>
        <item x="468"/>
        <item x="856"/>
        <item x="1165"/>
        <item x="57"/>
        <item x="146"/>
        <item x="1110"/>
        <item x="824"/>
        <item x="370"/>
        <item x="604"/>
        <item x="1288"/>
        <item x="630"/>
        <item x="1801"/>
        <item x="78"/>
        <item x="420"/>
        <item x="1316"/>
        <item x="1530"/>
        <item x="1622"/>
        <item x="610"/>
        <item x="1787"/>
        <item x="1033"/>
        <item x="949"/>
        <item x="391"/>
        <item x="580"/>
        <item x="1300"/>
        <item x="672"/>
        <item x="1655"/>
        <item x="1381"/>
        <item x="728"/>
        <item x="1556"/>
        <item x="296"/>
        <item x="1812"/>
        <item x="640"/>
        <item x="887"/>
        <item x="1166"/>
        <item x="436"/>
        <item x="1123"/>
        <item x="1465"/>
        <item x="1010"/>
        <item x="1275"/>
        <item x="1204"/>
        <item x="1041"/>
        <item x="931"/>
        <item x="443"/>
        <item x="1662"/>
        <item x="1546"/>
        <item x="513"/>
        <item x="574"/>
        <item x="1739"/>
        <item x="1613"/>
        <item x="404"/>
        <item x="426"/>
        <item x="789"/>
        <item x="1397"/>
        <item x="388"/>
        <item x="228"/>
        <item x="1866"/>
        <item x="1683"/>
        <item x="1492"/>
        <item x="1795"/>
        <item x="1577"/>
        <item x="864"/>
        <item x="1228"/>
        <item x="1090"/>
        <item x="1019"/>
        <item x="1632"/>
        <item x="1563"/>
        <item x="1843"/>
        <item x="722"/>
        <item x="913"/>
        <item x="454"/>
        <item x="1857"/>
        <item x="1629"/>
        <item x="1409"/>
        <item x="560"/>
        <item x="1746"/>
        <item x="1255"/>
        <item x="682"/>
        <item x="1243"/>
        <item x="1085"/>
        <item x="595"/>
        <item x="719"/>
        <item x="1820"/>
        <item x="8"/>
        <item x="1656"/>
        <item x="1798"/>
        <item x="1193"/>
        <item x="1424"/>
        <item x="1682"/>
        <item x="1014"/>
        <item x="1119"/>
        <item x="1432"/>
        <item x="1557"/>
        <item x="785"/>
        <item x="1149"/>
        <item x="868"/>
        <item x="1488"/>
        <item x="1550"/>
        <item x="197"/>
        <item x="206"/>
        <item x="526"/>
        <item x="421"/>
        <item x="221"/>
        <item x="283"/>
        <item x="593"/>
        <item x="308"/>
        <item x="966"/>
        <item x="633"/>
        <item x="1094"/>
        <item x="984"/>
        <item x="428"/>
        <item x="1829"/>
        <item x="1054"/>
        <item x="284"/>
        <item x="1334"/>
        <item x="162"/>
        <item x="909"/>
        <item x="1261"/>
        <item x="1500"/>
        <item x="1608"/>
        <item x="1157"/>
        <item x="19"/>
        <item x="1203"/>
        <item x="437"/>
        <item x="1860"/>
        <item x="812"/>
        <item x="553"/>
        <item x="235"/>
        <item x="891"/>
        <item x="1468"/>
        <item x="1344"/>
        <item x="958"/>
        <item x="1367"/>
        <item x="819"/>
        <item x="1784"/>
        <item x="786"/>
        <item x="1427"/>
        <item x="1475"/>
        <item x="125"/>
        <item x="1778"/>
        <item x="1361"/>
        <item x="963"/>
        <item x="81"/>
        <item x="1671"/>
        <item x="11"/>
        <item x="1750"/>
        <item x="1391"/>
        <item x="735"/>
        <item x="205"/>
        <item x="1236"/>
        <item x="217"/>
        <item x="1406"/>
        <item x="843"/>
        <item x="947"/>
        <item x="1008"/>
        <item x="1572"/>
        <item x="1262"/>
        <item x="285"/>
        <item x="794"/>
        <item x="1384"/>
        <item x="888"/>
        <item x="598"/>
        <item x="1070"/>
        <item x="546"/>
        <item x="575"/>
        <item x="616"/>
        <item x="275"/>
        <item x="1091"/>
        <item x="793"/>
        <item x="371"/>
        <item x="240"/>
        <item x="884"/>
        <item x="1824"/>
        <item x="486"/>
        <item x="1859"/>
        <item x="514"/>
        <item x="343"/>
        <item x="32"/>
        <item x="1921"/>
        <item x="1489"/>
        <item x="1852"/>
        <item x="1796"/>
        <item x="1908"/>
        <item x="512"/>
        <item x="920"/>
        <item x="927"/>
        <item x="310"/>
        <item x="497"/>
        <item x="670"/>
        <item x="1757"/>
        <item x="1028"/>
        <item x="1907"/>
        <item x="1663"/>
        <item x="1024"/>
        <item x="790"/>
        <item x="1539"/>
        <item x="736"/>
        <item x="1848"/>
        <item x="1785"/>
        <item x="954"/>
        <item x="1883"/>
        <item x="1214"/>
        <item x="1080"/>
        <item x="821"/>
        <item x="271"/>
        <item x="1167"/>
        <item x="1058"/>
        <item x="1264"/>
        <item x="1060"/>
        <item x="959"/>
        <item x="1053"/>
        <item x="899"/>
        <item x="703"/>
        <item x="1121"/>
        <item x="692"/>
        <item x="456"/>
        <item x="498"/>
        <item x="1748"/>
        <item x="816"/>
        <item x="1181"/>
        <item x="1237"/>
        <item x="312"/>
        <item x="1634"/>
        <item x="1720"/>
        <item x="1082"/>
        <item x="611"/>
        <item x="34"/>
        <item x="678"/>
        <item x="500"/>
        <item x="578"/>
        <item x="1491"/>
        <item x="1900"/>
        <item x="717"/>
        <item x="387"/>
        <item x="971"/>
        <item x="474"/>
        <item x="1573"/>
        <item x="1162"/>
        <item x="711"/>
        <item x="419"/>
        <item x="1510"/>
        <item x="445"/>
        <item x="359"/>
        <item x="585"/>
        <item x="1280"/>
        <item x="1226"/>
        <item x="543"/>
        <item x="822"/>
        <item x="26"/>
        <item x="1509"/>
        <item x="978"/>
        <item x="759"/>
        <item x="808"/>
        <item x="1293"/>
        <item x="1116"/>
        <item x="1606"/>
        <item x="1575"/>
        <item x="747"/>
        <item x="569"/>
        <item x="1075"/>
        <item x="1637"/>
        <item x="1006"/>
        <item x="1835"/>
        <item x="268"/>
        <item x="25"/>
        <item x="1201"/>
        <item x="562"/>
        <item x="1144"/>
        <item x="1534"/>
        <item x="992"/>
        <item x="592"/>
        <item x="570"/>
        <item x="491"/>
        <item x="1385"/>
        <item x="597"/>
        <item x="87"/>
        <item x="1299"/>
        <item x="1828"/>
        <item x="1297"/>
        <item x="1022"/>
        <item x="734"/>
        <item x="564"/>
        <item x="1910"/>
        <item x="1885"/>
        <item x="750"/>
        <item x="479"/>
        <item x="666"/>
        <item x="712"/>
        <item x="1834"/>
        <item x="318"/>
        <item x="623"/>
        <item x="878"/>
        <item x="1348"/>
        <item x="894"/>
        <item x="1914"/>
        <item x="92"/>
        <item x="247"/>
        <item x="1724"/>
        <item x="857"/>
        <item x="1369"/>
        <item x="1184"/>
        <item x="124"/>
        <item x="1661"/>
        <item x="383"/>
        <item x="904"/>
        <item x="1519"/>
        <item x="1769"/>
        <item x="1350"/>
        <item x="833"/>
        <item x="677"/>
        <item x="1066"/>
        <item x="149"/>
        <item x="167"/>
        <item x="1896"/>
        <item x="1485"/>
        <item x="749"/>
        <item x="1194"/>
        <item x="1108"/>
        <item x="1839"/>
        <item x="1325"/>
        <item x="1815"/>
        <item x="89"/>
        <item x="520"/>
        <item x="21"/>
        <item x="138"/>
        <item x="362"/>
        <item x="137"/>
        <item x="1730"/>
        <item x="1161"/>
        <item x="1808"/>
        <item x="304"/>
        <item x="1210"/>
        <item x="1219"/>
        <item x="1574"/>
        <item x="1005"/>
        <item x="549"/>
        <item x="921"/>
        <item x="983"/>
        <item x="350"/>
        <item x="1650"/>
        <item x="1527"/>
        <item x="1694"/>
        <item x="1862"/>
        <item x="364"/>
        <item x="1584"/>
        <item x="451"/>
        <item x="158"/>
        <item x="1894"/>
        <item x="1545"/>
        <item x="1271"/>
        <item x="724"/>
        <item x="1912"/>
        <item x="136"/>
        <item x="1073"/>
        <item x="1888"/>
        <item x="733"/>
        <item x="863"/>
        <item x="531"/>
        <item x="1425"/>
        <item x="1049"/>
        <item x="157"/>
        <item x="1338"/>
        <item x="928"/>
        <item x="1913"/>
        <item x="860"/>
        <item x="155"/>
        <item x="1373"/>
        <item x="99"/>
        <item x="1630"/>
        <item x="1323"/>
        <item x="431"/>
        <item x="15"/>
        <item x="223"/>
        <item x="1526"/>
        <item x="1093"/>
        <item x="917"/>
        <item x="1038"/>
        <item x="83"/>
        <item x="1646"/>
        <item x="1125"/>
        <item x="1614"/>
        <item x="818"/>
        <item x="918"/>
        <item x="1460"/>
        <item x="10"/>
        <item x="269"/>
        <item x="336"/>
        <item x="555"/>
        <item x="227"/>
        <item x="453"/>
        <item x="828"/>
        <item x="945"/>
        <item x="762"/>
        <item x="1217"/>
        <item x="1735"/>
        <item x="1476"/>
        <item x="1823"/>
        <item x="995"/>
        <item x="1356"/>
        <item x="1317"/>
        <item x="1046"/>
        <item x="649"/>
        <item x="695"/>
        <item x="798"/>
        <item x="1836"/>
        <item x="845"/>
        <item x="489"/>
        <item x="1587"/>
        <item x="1585"/>
        <item x="344"/>
        <item x="90"/>
        <item x="1469"/>
        <item x="730"/>
        <item x="1062"/>
        <item x="1036"/>
        <item x="1137"/>
        <item x="305"/>
        <item x="1638"/>
        <item x="652"/>
        <item x="241"/>
        <item x="865"/>
        <item x="1148"/>
        <item x="1292"/>
        <item x="910"/>
        <item x="1209"/>
        <item x="676"/>
        <item x="303"/>
        <item x="1266"/>
        <item x="1329"/>
        <item x="242"/>
        <item x="571"/>
        <item x="1379"/>
        <item x="696"/>
        <item x="767"/>
        <item x="395"/>
        <item x="165"/>
        <item x="1272"/>
        <item x="979"/>
        <item x="1311"/>
        <item x="3"/>
        <item x="179"/>
        <item x="1709"/>
        <item x="417"/>
        <item x="1703"/>
        <item x="1782"/>
        <item x="1355"/>
        <item x="1478"/>
        <item x="1498"/>
        <item x="1320"/>
        <item x="1845"/>
        <item x="538"/>
        <item x="218"/>
        <item x="1061"/>
        <item x="35"/>
        <item x="1197"/>
        <item x="342"/>
        <item x="59"/>
        <item x="1506"/>
        <item x="36"/>
        <item x="170"/>
        <item x="1001"/>
        <item x="1744"/>
        <item x="1754"/>
        <item x="1480"/>
        <item x="1666"/>
        <item x="687"/>
        <item x="153"/>
        <item x="999"/>
        <item x="147"/>
        <item x="1294"/>
        <item x="849"/>
        <item x="634"/>
        <item x="142"/>
        <item x="1617"/>
        <item x="1393"/>
        <item x="1513"/>
        <item x="389"/>
        <item x="1695"/>
        <item x="702"/>
        <item x="674"/>
        <item x="1794"/>
        <item x="435"/>
        <item x="1775"/>
        <item x="1105"/>
        <item x="1229"/>
        <item x="1158"/>
        <item x="850"/>
        <item x="40"/>
        <item x="1135"/>
        <item x="787"/>
        <item x="394"/>
        <item x="1517"/>
        <item x="202"/>
        <item x="368"/>
        <item x="1872"/>
        <item x="191"/>
        <item x="542"/>
        <item x="1423"/>
        <item x="1309"/>
        <item x="898"/>
        <item x="1728"/>
        <item x="965"/>
        <item x="1899"/>
        <item x="1807"/>
        <item x="328"/>
        <item x="533"/>
        <item x="1681"/>
        <item x="1684"/>
        <item x="55"/>
        <item x="1451"/>
        <item x="222"/>
        <item x="778"/>
        <item x="141"/>
        <item x="424"/>
        <item x="1274"/>
        <item x="1186"/>
        <item x="839"/>
        <item x="972"/>
        <item x="914"/>
        <item x="128"/>
        <item x="1222"/>
        <item x="1252"/>
        <item x="439"/>
        <item x="901"/>
        <item x="700"/>
        <item x="1206"/>
        <item x="576"/>
        <item x="1674"/>
        <item x="300"/>
        <item x="72"/>
        <item x="194"/>
        <item x="522"/>
        <item x="1298"/>
        <item x="1618"/>
        <item x="763"/>
        <item x="1396"/>
        <item x="1050"/>
        <item x="230"/>
        <item x="345"/>
        <item x="729"/>
        <item x="817"/>
        <item x="528"/>
        <item x="1621"/>
        <item x="1051"/>
        <item x="1430"/>
        <item x="1838"/>
        <item x="1183"/>
        <item x="1287"/>
        <item x="1651"/>
        <item x="1160"/>
        <item x="1142"/>
        <item x="41"/>
        <item x="803"/>
        <item x="1436"/>
        <item x="951"/>
        <item x="233"/>
        <item x="94"/>
        <item x="212"/>
        <item x="1332"/>
        <item x="1847"/>
        <item x="13"/>
        <item x="699"/>
        <item x="384"/>
        <item x="279"/>
        <item x="1715"/>
        <item x="348"/>
        <item x="1106"/>
        <item x="1390"/>
        <item x="1642"/>
        <item x="1774"/>
        <item x="56"/>
        <item x="893"/>
        <item x="196"/>
        <item x="219"/>
        <item x="1383"/>
        <item x="802"/>
        <item x="1247"/>
        <item x="418"/>
        <item x="846"/>
        <item x="1723"/>
        <item x="1343"/>
        <item x="462"/>
        <item x="1590"/>
        <item x="929"/>
        <item x="1376"/>
        <item x="1056"/>
        <item x="425"/>
        <item x="516"/>
        <item x="1544"/>
        <item x="956"/>
        <item x="1626"/>
        <item x="1076"/>
        <item x="792"/>
        <item x="748"/>
        <item x="1477"/>
        <item x="948"/>
        <item x="1805"/>
        <item x="1037"/>
        <item x="1874"/>
        <item x="1314"/>
        <item x="1603"/>
        <item x="511"/>
        <item x="1009"/>
        <item x="608"/>
        <item x="656"/>
        <item x="341"/>
        <item x="203"/>
        <item x="727"/>
        <item x="713"/>
        <item x="1765"/>
        <item x="566"/>
        <item x="108"/>
        <item x="1555"/>
        <item x="813"/>
        <item x="671"/>
        <item x="797"/>
        <item x="1758"/>
        <item x="1410"/>
        <item x="1665"/>
        <item x="1664"/>
        <item x="1693"/>
        <item x="890"/>
        <item x="842"/>
        <item x="1267"/>
        <item x="61"/>
        <item x="1199"/>
        <item x="1200"/>
        <item x="392"/>
        <item x="1737"/>
        <item x="709"/>
        <item x="590"/>
        <item x="644"/>
        <item x="1511"/>
        <item x="1711"/>
        <item x="278"/>
        <item x="1531"/>
        <item x="1708"/>
        <item x="639"/>
        <item x="1752"/>
        <item x="1387"/>
        <item x="626"/>
        <item x="54"/>
        <item x="1107"/>
        <item x="1448"/>
        <item x="742"/>
        <item x="377"/>
        <item x="1088"/>
        <item x="1163"/>
        <item x="810"/>
        <item x="1763"/>
        <item x="1290"/>
        <item x="134"/>
        <item x="1399"/>
        <item x="547"/>
        <item x="1363"/>
        <item x="1245"/>
        <item x="46"/>
        <item x="1887"/>
        <item x="1906"/>
        <item x="669"/>
        <item x="1232"/>
        <item x="752"/>
        <item x="113"/>
        <item x="277"/>
        <item x="44"/>
        <item x="625"/>
        <item x="1420"/>
        <item x="172"/>
        <item x="961"/>
        <item x="1691"/>
        <item x="941"/>
        <item x="27"/>
        <item x="1593"/>
        <item x="49"/>
        <item x="1139"/>
        <item x="1776"/>
        <item x="654"/>
        <item x="618"/>
        <item x="1354"/>
        <item x="1764"/>
        <item x="1071"/>
        <item x="1788"/>
        <item x="783"/>
        <item x="1042"/>
        <item x="681"/>
        <item x="1459"/>
        <item x="1289"/>
        <item x="381"/>
        <item x="661"/>
        <item x="1751"/>
        <item x="1382"/>
        <item x="1702"/>
        <item x="181"/>
        <item x="22"/>
        <item x="1039"/>
        <item x="1250"/>
        <item x="642"/>
        <item x="1542"/>
        <item x="1561"/>
        <item x="481"/>
        <item x="1789"/>
        <item x="1182"/>
        <item x="37"/>
        <item x="1242"/>
        <item x="1541"/>
        <item x="349"/>
        <item x="1127"/>
        <item x="807"/>
        <item x="1456"/>
        <item x="820"/>
        <item x="732"/>
        <item x="668"/>
        <item x="347"/>
        <item x="1114"/>
        <item x="832"/>
        <item x="1313"/>
        <item x="619"/>
        <item x="132"/>
        <item x="1169"/>
        <item x="916"/>
        <item x="38"/>
        <item x="322"/>
        <item x="851"/>
        <item x="1064"/>
        <item x="1747"/>
        <item x="1195"/>
        <item x="267"/>
        <item x="1714"/>
        <item x="1841"/>
        <item x="1599"/>
        <item x="393"/>
        <item x="685"/>
        <item x="1591"/>
        <item x="939"/>
        <item x="1833"/>
        <item x="189"/>
        <item x="1905"/>
        <item x="1692"/>
        <item x="1610"/>
        <item x="326"/>
        <item x="39"/>
        <item x="1212"/>
        <item x="698"/>
        <item x="967"/>
        <item x="1605"/>
        <item x="1180"/>
        <item x="1312"/>
        <item x="251"/>
        <item x="1185"/>
        <item x="53"/>
        <item x="1588"/>
        <item x="1327"/>
        <item x="1"/>
        <item x="584"/>
        <item x="403"/>
        <item x="1099"/>
        <item x="1159"/>
        <item x="374"/>
        <item x="731"/>
        <item x="1128"/>
        <item x="346"/>
        <item x="291"/>
        <item x="297"/>
        <item x="354"/>
        <item x="1499"/>
        <item x="96"/>
        <item x="557"/>
        <item x="996"/>
        <item x="1035"/>
        <item x="1628"/>
        <item x="1411"/>
        <item x="1115"/>
        <item x="872"/>
        <item x="1426"/>
        <item x="1441"/>
        <item x="1616"/>
        <item x="1147"/>
        <item x="1767"/>
        <item x="1389"/>
        <item x="1548"/>
        <item x="705"/>
        <item x="459"/>
        <item x="743"/>
        <item x="1873"/>
        <item x="286"/>
        <item x="265"/>
        <item x="1804"/>
        <item x="385"/>
        <item x="1916"/>
        <item x="701"/>
        <item x="58"/>
        <item x="609"/>
        <item x="200"/>
        <item x="339"/>
        <item x="1151"/>
        <item x="1690"/>
        <item x="1270"/>
        <item x="1171"/>
        <item x="631"/>
        <item x="1404"/>
        <item x="298"/>
        <item x="1533"/>
        <item x="1395"/>
        <item x="43"/>
        <item x="855"/>
        <item x="612"/>
        <item x="960"/>
        <item x="1727"/>
        <item x="114"/>
        <item x="1145"/>
        <item x="879"/>
        <item x="583"/>
        <item x="659"/>
        <item x="1497"/>
        <item x="1444"/>
        <item x="258"/>
        <item x="295"/>
        <item x="957"/>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7"/>
  </rowFields>
  <rowItems count="5">
    <i>
      <x/>
    </i>
    <i>
      <x v="1"/>
    </i>
    <i>
      <x v="2"/>
    </i>
    <i>
      <x v="3"/>
    </i>
    <i t="grand">
      <x/>
    </i>
  </rowItems>
  <colItems count="1">
    <i/>
  </colItems>
  <dataFields count="1">
    <dataField name="Sum of Sales" fld="27"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626341-3087-45F9-95F9-404236CE5E71}" name="PivotTable9" cacheId="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B7" firstHeaderRow="1" firstDataRow="1" firstDataCol="1"/>
  <pivotFields count="31">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items count="5">
        <item x="2"/>
        <item x="1"/>
        <item x="3"/>
        <item x="0"/>
        <item t="default"/>
      </items>
    </pivotField>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showAll="0"/>
    <pivotField showAll="0"/>
    <pivotField numFmtId="14"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Sum of Sales" fld="27"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9FDD28-101A-4D15-8AA6-4E2FE53129BD}" name="PivotTable10" cacheId="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1" firstHeaderRow="1" firstDataRow="1" firstDataCol="1"/>
  <pivotFields count="31">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4">
        <item x="1"/>
        <item x="0"/>
        <item x="2"/>
        <item t="default"/>
      </items>
    </pivotField>
    <pivotField axis="axisRow" showAll="0">
      <items count="18">
        <item x="15"/>
        <item x="8"/>
        <item x="14"/>
        <item x="1"/>
        <item x="13"/>
        <item x="16"/>
        <item x="4"/>
        <item x="9"/>
        <item x="2"/>
        <item x="6"/>
        <item x="7"/>
        <item x="0"/>
        <item x="3"/>
        <item x="12"/>
        <item x="10"/>
        <item x="11"/>
        <item x="5"/>
        <item t="default"/>
      </items>
    </pivotField>
    <pivotField showAll="0">
      <items count="8">
        <item x="5"/>
        <item x="1"/>
        <item x="6"/>
        <item x="4"/>
        <item x="3"/>
        <item x="2"/>
        <item x="0"/>
        <item t="default"/>
      </items>
    </pivotField>
    <pivotField showAll="0">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pivotField showAll="0">
      <items count="5">
        <item x="2"/>
        <item x="1"/>
        <item x="3"/>
        <item x="0"/>
        <item t="default"/>
      </items>
    </pivotField>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showAll="0"/>
    <pivotField showAll="0"/>
    <pivotField numFmtId="14"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11"/>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2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5B4071-A92B-4D70-801A-099FB4B196C1}" name="PivotTable12" cacheId="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10" firstHeaderRow="1" firstDataRow="1" firstDataCol="1"/>
  <pivotFields count="31">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items count="5">
        <item x="2"/>
        <item x="1"/>
        <item x="3"/>
        <item x="0"/>
        <item t="default"/>
      </items>
    </pivotField>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axis="axisRow" showAll="0">
      <items count="7">
        <item x="0"/>
        <item x="2"/>
        <item x="5"/>
        <item x="4"/>
        <item x="3"/>
        <item x="1"/>
        <item t="default"/>
      </items>
    </pivotField>
    <pivotField showAll="0"/>
    <pivotField numFmtId="14"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22"/>
  </rowFields>
  <rowItems count="7">
    <i>
      <x/>
    </i>
    <i>
      <x v="1"/>
    </i>
    <i>
      <x v="2"/>
    </i>
    <i>
      <x v="3"/>
    </i>
    <i>
      <x v="4"/>
    </i>
    <i>
      <x v="5"/>
    </i>
    <i t="grand">
      <x/>
    </i>
  </rowItems>
  <colItems count="1">
    <i/>
  </colItems>
  <dataFields count="1">
    <dataField name="Sum of Sales" fld="27"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1F600C-6982-414F-A463-2C562A7EB81C}" name="PivotTable14" cacheId="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1134" firstHeaderRow="1" firstDataRow="1" firstDataCol="1"/>
  <pivotFields count="31">
    <pivotField showAll="0"/>
    <pivotField showAll="0"/>
    <pivotField showAll="0"/>
    <pivotField showAll="0"/>
    <pivotField showAll="0">
      <items count="498">
        <item x="243"/>
        <item x="28"/>
        <item x="22"/>
        <item x="188"/>
        <item x="239"/>
        <item x="388"/>
        <item x="341"/>
        <item x="134"/>
        <item x="450"/>
        <item x="227"/>
        <item x="324"/>
        <item x="463"/>
        <item x="231"/>
        <item x="0"/>
        <item x="349"/>
        <item x="155"/>
        <item x="146"/>
        <item x="137"/>
        <item x="340"/>
        <item x="90"/>
        <item x="332"/>
        <item x="195"/>
        <item x="215"/>
        <item x="433"/>
        <item x="226"/>
        <item x="430"/>
        <item x="43"/>
        <item x="206"/>
        <item x="160"/>
        <item x="383"/>
        <item x="44"/>
        <item x="208"/>
        <item x="211"/>
        <item x="72"/>
        <item x="250"/>
        <item x="49"/>
        <item x="37"/>
        <item x="25"/>
        <item x="396"/>
        <item x="257"/>
        <item x="15"/>
        <item x="9"/>
        <item x="230"/>
        <item x="175"/>
        <item x="6"/>
        <item x="440"/>
        <item x="323"/>
        <item x="457"/>
        <item x="420"/>
        <item x="390"/>
        <item x="113"/>
        <item x="307"/>
        <item x="484"/>
        <item x="166"/>
        <item x="45"/>
        <item x="167"/>
        <item x="329"/>
        <item x="366"/>
        <item x="36"/>
        <item x="67"/>
        <item x="252"/>
        <item x="292"/>
        <item x="53"/>
        <item x="352"/>
        <item x="224"/>
        <item x="289"/>
        <item x="66"/>
        <item x="4"/>
        <item x="272"/>
        <item x="77"/>
        <item x="149"/>
        <item x="422"/>
        <item x="244"/>
        <item x="10"/>
        <item x="79"/>
        <item x="74"/>
        <item x="93"/>
        <item x="351"/>
        <item x="207"/>
        <item x="202"/>
        <item x="442"/>
        <item x="467"/>
        <item x="367"/>
        <item x="393"/>
        <item x="139"/>
        <item x="46"/>
        <item x="446"/>
        <item x="395"/>
        <item x="39"/>
        <item x="487"/>
        <item x="136"/>
        <item x="51"/>
        <item x="13"/>
        <item x="169"/>
        <item x="490"/>
        <item x="344"/>
        <item x="241"/>
        <item x="376"/>
        <item x="444"/>
        <item x="439"/>
        <item x="369"/>
        <item x="270"/>
        <item x="91"/>
        <item x="362"/>
        <item x="240"/>
        <item x="285"/>
        <item x="196"/>
        <item x="41"/>
        <item x="48"/>
        <item x="35"/>
        <item x="464"/>
        <item x="5"/>
        <item x="407"/>
        <item x="311"/>
        <item x="370"/>
        <item x="60"/>
        <item x="456"/>
        <item x="284"/>
        <item x="322"/>
        <item x="345"/>
        <item x="107"/>
        <item x="477"/>
        <item x="318"/>
        <item x="356"/>
        <item x="426"/>
        <item x="478"/>
        <item x="342"/>
        <item x="368"/>
        <item x="451"/>
        <item x="55"/>
        <item x="120"/>
        <item x="221"/>
        <item x="333"/>
        <item x="27"/>
        <item x="59"/>
        <item x="378"/>
        <item x="115"/>
        <item x="190"/>
        <item x="148"/>
        <item x="299"/>
        <item x="145"/>
        <item x="7"/>
        <item x="104"/>
        <item x="144"/>
        <item x="312"/>
        <item x="110"/>
        <item x="170"/>
        <item x="217"/>
        <item x="153"/>
        <item x="304"/>
        <item x="237"/>
        <item x="197"/>
        <item x="209"/>
        <item x="26"/>
        <item x="210"/>
        <item x="122"/>
        <item x="154"/>
        <item x="429"/>
        <item x="108"/>
        <item x="228"/>
        <item x="180"/>
        <item x="126"/>
        <item x="70"/>
        <item x="111"/>
        <item x="98"/>
        <item x="315"/>
        <item x="183"/>
        <item x="105"/>
        <item x="321"/>
        <item x="435"/>
        <item x="123"/>
        <item x="358"/>
        <item x="21"/>
        <item x="193"/>
        <item x="267"/>
        <item x="280"/>
        <item x="253"/>
        <item x="132"/>
        <item x="62"/>
        <item x="57"/>
        <item x="73"/>
        <item x="276"/>
        <item x="428"/>
        <item x="205"/>
        <item x="125"/>
        <item x="128"/>
        <item x="157"/>
        <item x="317"/>
        <item x="453"/>
        <item x="171"/>
        <item x="214"/>
        <item x="377"/>
        <item x="220"/>
        <item x="86"/>
        <item x="24"/>
        <item x="194"/>
        <item x="245"/>
        <item x="384"/>
        <item x="177"/>
        <item x="78"/>
        <item x="416"/>
        <item x="181"/>
        <item x="412"/>
        <item x="165"/>
        <item x="319"/>
        <item x="162"/>
        <item x="38"/>
        <item x="413"/>
        <item x="273"/>
        <item x="47"/>
        <item x="119"/>
        <item x="495"/>
        <item x="437"/>
        <item x="223"/>
        <item x="83"/>
        <item x="141"/>
        <item x="309"/>
        <item x="135"/>
        <item x="127"/>
        <item x="360"/>
        <item x="247"/>
        <item x="381"/>
        <item x="198"/>
        <item x="338"/>
        <item x="479"/>
        <item x="476"/>
        <item x="150"/>
        <item x="491"/>
        <item x="447"/>
        <item x="16"/>
        <item x="460"/>
        <item x="8"/>
        <item x="76"/>
        <item x="143"/>
        <item x="326"/>
        <item x="350"/>
        <item x="475"/>
        <item x="372"/>
        <item x="161"/>
        <item x="225"/>
        <item x="219"/>
        <item x="116"/>
        <item x="11"/>
        <item x="294"/>
        <item x="337"/>
        <item x="339"/>
        <item x="303"/>
        <item x="96"/>
        <item x="492"/>
        <item x="29"/>
        <item x="387"/>
        <item x="496"/>
        <item x="441"/>
        <item x="261"/>
        <item x="330"/>
        <item x="481"/>
        <item x="283"/>
        <item x="2"/>
        <item x="178"/>
        <item x="192"/>
        <item x="414"/>
        <item x="101"/>
        <item x="275"/>
        <item x="313"/>
        <item x="85"/>
        <item x="392"/>
        <item x="310"/>
        <item x="129"/>
        <item x="488"/>
        <item x="405"/>
        <item x="173"/>
        <item x="290"/>
        <item x="19"/>
        <item x="288"/>
        <item x="17"/>
        <item x="75"/>
        <item x="265"/>
        <item x="140"/>
        <item x="424"/>
        <item x="391"/>
        <item x="359"/>
        <item x="34"/>
        <item x="68"/>
        <item x="465"/>
        <item x="373"/>
        <item x="462"/>
        <item x="401"/>
        <item x="423"/>
        <item x="494"/>
        <item x="347"/>
        <item x="357"/>
        <item x="182"/>
        <item x="82"/>
        <item x="18"/>
        <item x="234"/>
        <item x="400"/>
        <item x="436"/>
        <item x="282"/>
        <item x="287"/>
        <item x="23"/>
        <item x="404"/>
        <item x="174"/>
        <item x="233"/>
        <item x="186"/>
        <item x="235"/>
        <item x="249"/>
        <item x="20"/>
        <item x="191"/>
        <item x="300"/>
        <item x="71"/>
        <item x="438"/>
        <item x="449"/>
        <item x="112"/>
        <item x="364"/>
        <item x="12"/>
        <item x="131"/>
        <item x="334"/>
        <item x="50"/>
        <item x="222"/>
        <item x="421"/>
        <item x="246"/>
        <item x="432"/>
        <item x="147"/>
        <item x="88"/>
        <item x="472"/>
        <item x="328"/>
        <item x="286"/>
        <item x="271"/>
        <item x="355"/>
        <item x="159"/>
        <item x="365"/>
        <item x="269"/>
        <item x="109"/>
        <item x="316"/>
        <item x="103"/>
        <item x="212"/>
        <item x="130"/>
        <item x="302"/>
        <item x="138"/>
        <item x="124"/>
        <item x="454"/>
        <item x="179"/>
        <item x="52"/>
        <item x="380"/>
        <item x="218"/>
        <item x="425"/>
        <item x="314"/>
        <item x="63"/>
        <item x="95"/>
        <item x="363"/>
        <item x="406"/>
        <item x="459"/>
        <item x="254"/>
        <item x="152"/>
        <item x="260"/>
        <item x="385"/>
        <item x="470"/>
        <item x="158"/>
        <item x="468"/>
        <item x="204"/>
        <item x="408"/>
        <item x="448"/>
        <item x="346"/>
        <item x="297"/>
        <item x="100"/>
        <item x="216"/>
        <item x="14"/>
        <item x="238"/>
        <item x="142"/>
        <item x="379"/>
        <item x="133"/>
        <item x="308"/>
        <item x="69"/>
        <item x="266"/>
        <item x="353"/>
        <item x="343"/>
        <item x="278"/>
        <item x="301"/>
        <item x="415"/>
        <item x="474"/>
        <item x="296"/>
        <item x="348"/>
        <item x="268"/>
        <item x="64"/>
        <item x="320"/>
        <item x="279"/>
        <item x="471"/>
        <item x="361"/>
        <item x="263"/>
        <item x="172"/>
        <item x="258"/>
        <item x="327"/>
        <item x="203"/>
        <item x="99"/>
        <item x="409"/>
        <item x="354"/>
        <item x="3"/>
        <item x="382"/>
        <item x="274"/>
        <item x="232"/>
        <item x="84"/>
        <item x="419"/>
        <item x="201"/>
        <item x="65"/>
        <item x="1"/>
        <item x="56"/>
        <item x="483"/>
        <item x="455"/>
        <item x="114"/>
        <item x="242"/>
        <item x="291"/>
        <item x="466"/>
        <item x="336"/>
        <item x="331"/>
        <item x="469"/>
        <item x="374"/>
        <item x="156"/>
        <item x="256"/>
        <item x="40"/>
        <item x="102"/>
        <item x="480"/>
        <item x="81"/>
        <item x="434"/>
        <item x="398"/>
        <item x="97"/>
        <item x="185"/>
        <item x="92"/>
        <item x="61"/>
        <item x="251"/>
        <item x="305"/>
        <item x="248"/>
        <item x="293"/>
        <item x="431"/>
        <item x="335"/>
        <item x="199"/>
        <item x="445"/>
        <item x="229"/>
        <item x="411"/>
        <item x="394"/>
        <item x="402"/>
        <item x="427"/>
        <item x="418"/>
        <item x="189"/>
        <item x="31"/>
        <item x="94"/>
        <item x="264"/>
        <item x="486"/>
        <item x="213"/>
        <item x="58"/>
        <item x="295"/>
        <item x="30"/>
        <item x="164"/>
        <item x="417"/>
        <item x="117"/>
        <item x="403"/>
        <item x="277"/>
        <item x="151"/>
        <item x="200"/>
        <item x="33"/>
        <item x="106"/>
        <item x="42"/>
        <item x="493"/>
        <item x="461"/>
        <item x="121"/>
        <item x="443"/>
        <item x="80"/>
        <item x="255"/>
        <item x="168"/>
        <item x="371"/>
        <item x="386"/>
        <item x="452"/>
        <item x="298"/>
        <item x="485"/>
        <item x="187"/>
        <item x="236"/>
        <item x="281"/>
        <item x="482"/>
        <item x="458"/>
        <item x="325"/>
        <item x="399"/>
        <item x="87"/>
        <item x="489"/>
        <item x="54"/>
        <item x="259"/>
        <item x="163"/>
        <item x="32"/>
        <item x="397"/>
        <item x="176"/>
        <item x="262"/>
        <item x="89"/>
        <item x="389"/>
        <item x="473"/>
        <item x="118"/>
        <item x="184"/>
        <item x="306"/>
        <item x="410"/>
        <item x="375"/>
        <item t="default"/>
      </items>
    </pivotField>
    <pivotField showAll="0">
      <items count="1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1"/>
        <item x="650"/>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showAll="0"/>
    <pivotField axis="axisRow"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items count="4">
        <item x="1"/>
        <item x="0"/>
        <item x="2"/>
        <item t="default"/>
      </items>
    </pivotField>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showAll="0"/>
    <pivotField showAll="0"/>
    <pivotField numFmtId="14" showAll="0"/>
    <pivotField showAll="0"/>
    <pivotField showAll="0"/>
    <pivotField dataField="1" showAll="0"/>
    <pivotField showAll="0"/>
    <pivotField showAll="0">
      <items count="4">
        <item m="1" x="2"/>
        <item x="0"/>
        <item x="1"/>
        <item t="default"/>
      </items>
    </pivotField>
    <pivotField showAll="0" defaultSubtotal="0">
      <items count="14">
        <item x="0"/>
        <item x="1"/>
        <item x="2"/>
        <item x="3"/>
        <item x="4"/>
        <item x="5"/>
        <item x="6"/>
        <item x="7"/>
        <item x="8"/>
        <item x="9"/>
        <item x="10"/>
        <item x="11"/>
        <item x="12"/>
        <item x="13"/>
      </items>
    </pivotField>
  </pivotFields>
  <rowFields count="1">
    <field x="7"/>
  </rowFields>
  <rowItems count="11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t="grand">
      <x/>
    </i>
  </rowItems>
  <colItems count="1">
    <i/>
  </colItems>
  <dataFields count="1">
    <dataField name="Sum of Sales" fld="27"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02BAC65-9AC5-4A4F-8724-64BA5C533EDF}" sourceName="Region">
  <pivotTables>
    <pivotTable tabId="17" name="PivotTable8"/>
    <pivotTable tabId="24" name="PivotTable14"/>
    <pivotTable tabId="21" name="PivotTable12"/>
    <pivotTable tabId="19" name="PivotTable10"/>
    <pivotTable tabId="18" name="PivotTable9"/>
  </pivotTables>
  <data>
    <tabular pivotCacheId="1075748190">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392C9A0-301C-455F-AC21-DCB5CC55280D}" sourceName="Ship Mode">
  <pivotTables>
    <pivotTable tabId="18" name="PivotTable9"/>
    <pivotTable tabId="24" name="PivotTable14"/>
    <pivotTable tabId="21" name="PivotTable12"/>
    <pivotTable tabId="19" name="PivotTable10"/>
    <pivotTable tabId="17" name="PivotTable8"/>
  </pivotTables>
  <data>
    <tabular pivotCacheId="107574819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DBFEC43D-BA34-4B2B-A51D-015C17369FD0}" sourceName="Product Sub-Category">
  <pivotTables>
    <pivotTable tabId="19" name="PivotTable10"/>
    <pivotTable tabId="24" name="PivotTable14"/>
    <pivotTable tabId="21" name="PivotTable12"/>
    <pivotTable tabId="17" name="PivotTable8"/>
    <pivotTable tabId="18" name="PivotTable9"/>
  </pivotTables>
  <data>
    <tabular pivotCacheId="1075748190">
      <items count="17">
        <i x="15" s="1"/>
        <i x="8" s="1"/>
        <i x="14" s="1"/>
        <i x="1" s="1"/>
        <i x="13" s="1"/>
        <i x="16" s="1"/>
        <i x="4" s="1"/>
        <i x="9" s="1"/>
        <i x="2" s="1"/>
        <i x="6" s="1"/>
        <i x="7" s="1"/>
        <i x="0" s="1"/>
        <i x="3" s="1"/>
        <i x="12" s="1"/>
        <i x="10" s="1"/>
        <i x="1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42B39C5-6BE5-4C81-B799-97EECD76702F}" sourceName="City">
  <pivotTables>
    <pivotTable tabId="24" name="PivotTable14"/>
    <pivotTable tabId="21" name="PivotTable12"/>
    <pivotTable tabId="19" name="PivotTable10"/>
    <pivotTable tabId="17" name="PivotTable8"/>
    <pivotTable tabId="18" name="PivotTable9"/>
  </pivotTables>
  <data>
    <tabular pivotCacheId="1075748190">
      <items count="869">
        <i x="675" s="1"/>
        <i x="231" s="1"/>
        <i x="817" s="1"/>
        <i x="833" s="1"/>
        <i x="842" s="1"/>
        <i x="486" s="1"/>
        <i x="114" s="1"/>
        <i x="525" s="1"/>
        <i x="369" s="1"/>
        <i x="362" s="1"/>
        <i x="220" s="1"/>
        <i x="317" s="1"/>
        <i x="36" s="1"/>
        <i x="248" s="1"/>
        <i x="343" s="1"/>
        <i x="232" s="1"/>
        <i x="0" s="1"/>
        <i x="166" s="1"/>
        <i x="409" s="1"/>
        <i x="828" s="1"/>
        <i x="38" s="1"/>
        <i x="272" s="1"/>
        <i x="653" s="1"/>
        <i x="493" s="1"/>
        <i x="50" s="1"/>
        <i x="52" s="1"/>
        <i x="301" s="1"/>
        <i x="433" s="1"/>
        <i x="273" s="1"/>
        <i x="654" s="1"/>
        <i x="669" s="1"/>
        <i x="135" s="1"/>
        <i x="113" s="1"/>
        <i x="255" s="1"/>
        <i x="53" s="1"/>
        <i x="780" s="1"/>
        <i x="681" s="1"/>
        <i x="682" s="1"/>
        <i x="96" s="1"/>
        <i x="490" s="1"/>
        <i x="57" s="1"/>
        <i x="677" s="1"/>
        <i x="90" s="1"/>
        <i x="47" s="1"/>
        <i x="372" s="1"/>
        <i x="379" s="1"/>
        <i x="260" s="1"/>
        <i x="245" s="1"/>
        <i x="87" s="1"/>
        <i x="282" s="1"/>
        <i x="81" s="1"/>
        <i x="130" s="1"/>
        <i x="268" s="1"/>
        <i x="777" s="1"/>
        <i x="290" s="1"/>
        <i x="431" s="1"/>
        <i x="479" s="1"/>
        <i x="131" s="1"/>
        <i x="816" s="1"/>
        <i x="27" s="1"/>
        <i x="405" s="1"/>
        <i x="399" s="1"/>
        <i x="410" s="1"/>
        <i x="206" s="1"/>
        <i x="107" s="1"/>
        <i x="865" s="1"/>
        <i x="344" s="1"/>
        <i x="680" s="1"/>
        <i x="181" s="1"/>
        <i x="636" s="1"/>
        <i x="28" s="1"/>
        <i x="569" s="1"/>
        <i x="143" s="1"/>
        <i x="506" s="1"/>
        <i x="355" s="1"/>
        <i x="239" s="1"/>
        <i x="678" s="1"/>
        <i x="222" s="1"/>
        <i x="564" s="1"/>
        <i x="565" s="1"/>
        <i x="342" s="1"/>
        <i x="251" s="1"/>
        <i x="271" s="1"/>
        <i x="182" s="1"/>
        <i x="691" s="1"/>
        <i x="287" s="1"/>
        <i x="436" s="1"/>
        <i x="252" s="1"/>
        <i x="19" s="1"/>
        <i x="566" s="1"/>
        <i x="507" s="1"/>
        <i x="643" s="1"/>
        <i x="699" s="1"/>
        <i x="854" s="1"/>
        <i x="288" s="1"/>
        <i x="855" s="1"/>
        <i x="649" s="1"/>
        <i x="358" s="1"/>
        <i x="20" s="1"/>
        <i x="289" s="1"/>
        <i x="484" s="1"/>
        <i x="167" s="1"/>
        <i x="356" s="1"/>
        <i x="310" s="1"/>
        <i x="338" s="1"/>
        <i x="335" s="1"/>
        <i x="120" s="1"/>
        <i x="274" s="1"/>
        <i x="363" s="1"/>
        <i x="570" s="1"/>
        <i x="480" s="1"/>
        <i x="336" s="1"/>
        <i x="339" s="1"/>
        <i x="481" s="1"/>
        <i x="277" s="1"/>
        <i x="354" s="1"/>
        <i x="700" s="1"/>
        <i x="340" s="1"/>
        <i x="746" s="1"/>
        <i x="78" s="1"/>
        <i x="437" s="1"/>
        <i x="697" s="1"/>
        <i x="278" s="1"/>
        <i x="488" s="1"/>
        <i x="648" s="1"/>
        <i x="868" s="1"/>
        <i x="25" s="1"/>
        <i x="539" s="1"/>
        <i x="21" s="1"/>
        <i x="698" s="1"/>
        <i x="112" s="1"/>
        <i x="385" s="1"/>
        <i x="717" s="1"/>
        <i x="73" s="1"/>
        <i x="688" s="1"/>
        <i x="406" s="1"/>
        <i x="604" s="1"/>
        <i x="549" s="1"/>
        <i x="600" s="1"/>
        <i x="357" s="1"/>
        <i x="767" s="1"/>
        <i x="568" s="1"/>
        <i x="396" s="1"/>
        <i x="724" s="1"/>
        <i x="352" s="1"/>
        <i x="725" s="1"/>
        <i x="94" s="1"/>
        <i x="279" s="1"/>
        <i x="353" s="1"/>
        <i x="163" s="1"/>
        <i x="439" s="1"/>
        <i x="597" s="1"/>
        <i x="351" s="1"/>
        <i x="394" s="1"/>
        <i x="395" s="1"/>
        <i x="286" s="1"/>
        <i x="651" s="1"/>
        <i x="825" s="1"/>
        <i x="644" s="1"/>
        <i x="519" s="1"/>
        <i x="144" s="1"/>
        <i x="207" s="1"/>
        <i x="102" s="1"/>
        <i x="467" s="1"/>
        <i x="606" s="1"/>
        <i x="199" s="1"/>
        <i x="607" s="1"/>
        <i x="115" s="1"/>
        <i x="188" s="1"/>
        <i x="696" s="1"/>
        <i x="240" s="1"/>
        <i x="341" s="1"/>
        <i x="663" s="1"/>
        <i x="116" s="1"/>
        <i x="478" s="1"/>
        <i x="511" s="1"/>
        <i x="400" s="1"/>
        <i x="294" s="1"/>
        <i x="280" s="1"/>
        <i x="247" s="1"/>
        <i x="749" s="1"/>
        <i x="683" s="1"/>
        <i x="727" s="1"/>
        <i x="389" s="1"/>
        <i x="56" s="1"/>
        <i x="759" s="1"/>
        <i x="295" s="1"/>
        <i x="29" s="1"/>
        <i x="390" s="1"/>
        <i x="504" s="1"/>
        <i x="108" s="1"/>
        <i x="281" s="1"/>
        <i x="553" s="1"/>
        <i x="613" s="1"/>
        <i x="392" s="1"/>
        <i x="466" s="1"/>
        <i x="704" s="1"/>
        <i x="518" s="1"/>
        <i x="856" s="1"/>
        <i x="305" s="1"/>
        <i x="200" s="1"/>
        <i x="512" s="1"/>
        <i x="716" s="1"/>
        <i x="517" s="1"/>
        <i x="705" s="1"/>
        <i x="533" s="1"/>
        <i x="591" s="1"/>
        <i x="401" s="1"/>
        <i x="608" s="1"/>
        <i x="631" s="1"/>
        <i x="306" s="1"/>
        <i x="731" s="1"/>
        <i x="720" s="1"/>
        <i x="747" s="1"/>
        <i x="845" s="1"/>
        <i x="307" s="1"/>
        <i x="440" s="1"/>
        <i x="119" s="1"/>
        <i x="693" s="1"/>
        <i x="393" s="1"/>
        <i x="326" s="1"/>
        <i x="381" s="1"/>
        <i x="503" s="1"/>
        <i x="771" s="1"/>
        <i x="378" s="1"/>
        <i x="463" s="1"/>
        <i x="483" s="1"/>
        <i x="382" s="1"/>
        <i x="308" s="1"/>
        <i x="834" s="1"/>
        <i x="105" s="1"/>
        <i x="438" s="1"/>
        <i x="551" s="1"/>
        <i x="79" s="1"/>
        <i x="867" s="1"/>
        <i x="309" s="1"/>
        <i x="534" s="1"/>
        <i x="146" s="1"/>
        <i x="411" s="1"/>
        <i x="592" s="1"/>
        <i x="75" s="1"/>
        <i x="535" s="1"/>
        <i x="211" s="1"/>
        <i x="334" s="1"/>
        <i x="673" s="1"/>
        <i x="77" s="1"/>
        <i x="44" s="1"/>
        <i x="567" s="1"/>
        <i x="552" s="1"/>
        <i x="48" s="1"/>
        <i x="610" s="1"/>
        <i x="532" s="1"/>
        <i x="328" s="1"/>
        <i x="65" s="1"/>
        <i x="204" s="1"/>
        <i x="593" s="1"/>
        <i x="706" s="1"/>
        <i x="417" s="1"/>
        <i x="418" s="1"/>
        <i x="138" s="1"/>
        <i x="662" s="1"/>
        <i x="430" s="1"/>
        <i x="611" s="1"/>
        <i x="51" s="1"/>
        <i x="707" s="1"/>
        <i x="474" s="1"/>
        <i x="820" s="1"/>
        <i x="536" s="1"/>
        <i x="742" s="1"/>
        <i x="501" s="1"/>
        <i x="451" s="1"/>
        <i x="329" s="1"/>
        <i x="461" s="1"/>
        <i x="212" s="1"/>
        <i x="821" s="1"/>
        <i x="76" s="1"/>
        <i x="235" s="1"/>
        <i x="547" s="1"/>
        <i x="423" s="1"/>
        <i x="99" s="1"/>
        <i x="92" s="1"/>
        <i x="462" s="1"/>
        <i x="236" s="1"/>
        <i x="269" s="1"/>
        <i x="743" s="1"/>
        <i x="109" s="1"/>
        <i x="66" s="1"/>
        <i x="502" s="1"/>
        <i x="614" s="1"/>
        <i x="330" s="1"/>
        <i x="839" s="1"/>
        <i x="11" s="1"/>
        <i x="602" s="1"/>
        <i x="424" s="1"/>
        <i x="603" s="1"/>
        <i x="590" s="1"/>
        <i x="407" s="1"/>
        <i x="500" s="1"/>
        <i x="12" s="1"/>
        <i x="750" s="1"/>
        <i x="408" s="1"/>
        <i x="237" s="1"/>
        <i x="671" s="1"/>
        <i x="744" s="1"/>
        <i x="786" s="1"/>
        <i x="346" s="1"/>
        <i x="70" s="1"/>
        <i x="619" s="1"/>
        <i x="132" s="1"/>
        <i x="586" s="1"/>
        <i x="587" s="1"/>
        <i x="441" s="1"/>
        <i x="459" s="1"/>
        <i x="524" s="1"/>
        <i x="425" s="1"/>
        <i x="133" s="1"/>
        <i x="728" s="1"/>
        <i x="548" s="1"/>
        <i x="6" s="1"/>
        <i x="460" s="1"/>
        <i x="157" s="1"/>
        <i x="822" s="1"/>
        <i x="838" s="1"/>
        <i x="238" s="1"/>
        <i x="732" s="1"/>
        <i x="526" s="1"/>
        <i x="527" s="1"/>
        <i x="421" s="1"/>
        <i x="261" s="1"/>
        <i x="69" s="1"/>
        <i x="455" s="1"/>
        <i x="226" s="1"/>
        <i x="574" s="1"/>
        <i x="515" s="1"/>
        <i x="666" s="1"/>
        <i x="756" s="1"/>
        <i x="633" s="1"/>
        <i x="398" s="1"/>
        <i x="420" s="1"/>
        <i x="426" s="1"/>
        <i x="443" s="1"/>
        <i x="588" s="1"/>
        <i x="826" s="1"/>
        <i x="414" s="1"/>
        <i x="321" s="1"/>
        <i x="621" s="1"/>
        <i x="622" s="1"/>
        <i x="774" s="1"/>
        <i x="768" s="1"/>
        <i x="323" s="1"/>
        <i x="560" s="1"/>
        <i x="531" s="1"/>
        <i x="375" s="1"/>
        <i x="667" s="1"/>
        <i x="721" s="1"/>
        <i x="623" s="1"/>
        <i x="672" s="1"/>
        <i x="537" s="1"/>
        <i x="427" s="1"/>
        <i x="809" s="1"/>
        <i x="562" s="1"/>
        <i x="632" s="1"/>
        <i x="380" s="1"/>
        <i x="639" s="1"/>
        <i x="453" s="1"/>
        <i x="581" s="1"/>
        <i x="810" s="1"/>
        <i x="694" s="1"/>
        <i x="645" s="1"/>
        <i x="582" s="1"/>
        <i x="110" s="1"/>
        <i x="516" s="1"/>
        <i x="624" s="1"/>
        <i x="836" s="1"/>
        <i x="862" s="1"/>
        <i x="660" s="1"/>
        <i x="456" s="1"/>
        <i x="457" s="1"/>
        <i x="625" s="1"/>
        <i x="101" s="1"/>
        <i x="100" s="1"/>
        <i x="42" s="1"/>
        <i x="778" s="1"/>
        <i x="583" s="1"/>
        <i x="837" s="1"/>
        <i x="43" s="1"/>
        <i x="376" s="1"/>
        <i x="863" s="1"/>
        <i x="345" s="1"/>
        <i x="729" s="1"/>
        <i x="779" s="1"/>
        <i x="798" s="1"/>
        <i x="377" s="1"/>
        <i x="435" s="1"/>
        <i x="9" s="1"/>
        <i x="652" s="1"/>
        <i x="646" s="1"/>
        <i x="297" s="1"/>
        <i x="31" s="1"/>
        <i x="840" s="1"/>
        <i x="575" s="1"/>
        <i x="10" s="1"/>
        <i x="298" s="1"/>
        <i x="584" s="1"/>
        <i x="695" s="1"/>
        <i x="299" s="1"/>
        <i x="615" s="1"/>
        <i x="183" s="1"/>
        <i x="745" s="1"/>
        <i x="464" s="1"/>
        <i x="34" s="1"/>
        <i x="337" s="1"/>
        <i x="775" s="1"/>
        <i x="776" s="1"/>
        <i x="46" s="1"/>
        <i x="54" s="1"/>
        <i x="599" s="1"/>
        <i x="88" s="1"/>
        <i x="444" s="1"/>
        <i x="104" s="1"/>
        <i x="523" s="1"/>
        <i x="491" s="1"/>
        <i x="111" s="1"/>
        <i x="489" s="1"/>
        <i x="563" s="1"/>
        <i x="703" s="1"/>
        <i x="635" s="1"/>
        <i x="496" s="1"/>
        <i x="513" s="1"/>
        <i x="738" s="1"/>
        <i x="30" s="1"/>
        <i x="772" s="1"/>
        <i x="799" s="1"/>
        <i x="831" s="1"/>
        <i x="494" s="1"/>
        <i x="125" s="1"/>
        <i x="154" s="1"/>
        <i x="126" s="1"/>
        <i x="127" s="1"/>
        <i x="64" s="1"/>
        <i x="85" s="1"/>
        <i x="364" s="1"/>
        <i x="365" s="1"/>
        <i x="121" s="1"/>
        <i x="832" s="1"/>
        <i x="864" s="1"/>
        <i x="320" s="1"/>
        <i x="711" s="1"/>
        <i x="173" s="1"/>
        <i x="773" s="1"/>
        <i x="26" s="1"/>
        <i x="668" s="1"/>
        <i x="739" s="1"/>
        <i x="366" s="1"/>
        <i x="145" s="1"/>
        <i x="740" s="1"/>
        <i x="751" s="1"/>
        <i x="448" s="1"/>
        <i x="601" s="1"/>
        <i x="712" s="1"/>
        <i x="449" s="1"/>
        <i x="67" s="1"/>
        <i x="713" s="1"/>
        <i x="571" s="1"/>
        <i x="585" s="1"/>
        <i x="32" s="1"/>
        <i x="529" s="1"/>
        <i x="93" s="1"/>
        <i x="572" s="1"/>
        <i x="542" s="1"/>
        <i x="629" s="1"/>
        <i x="792" s="1"/>
        <i x="370" s="1"/>
        <i x="445" s="1"/>
        <i x="670" s="1"/>
        <i x="630" s="1"/>
        <i x="147" s="1"/>
        <i x="710" s="1"/>
        <i x="95" s="1"/>
        <i x="755" s="1"/>
        <i x="514" s="1"/>
        <i x="626" s="1"/>
        <i x="128" s="1"/>
        <i x="752" s="1"/>
        <i x="769" s="1"/>
        <i x="61" s="1"/>
        <i x="223" s="1"/>
        <i x="7" s="1"/>
        <i x="634" s="1"/>
        <i x="793" s="1"/>
        <i x="148" s="1"/>
        <i x="314" s="1"/>
        <i x="627" s="1"/>
        <i x="373" s="1"/>
        <i x="150" s="1"/>
        <i x="106" s="1"/>
        <i x="458" s="1"/>
        <i x="505" s="1"/>
        <i x="540" s="1"/>
        <i x="794" s="1"/>
        <i x="521" s="1"/>
        <i x="374" s="1"/>
        <i x="397" s="1"/>
        <i x="796" s="1"/>
        <i x="647" s="1"/>
        <i x="142" s="1"/>
        <i x="60" s="1"/>
        <i x="361" s="1"/>
        <i x="628" s="1"/>
        <i x="224" s="1"/>
        <i x="541" s="1"/>
        <i x="18" s="1"/>
        <i x="797" s="1"/>
        <i x="325" s="1"/>
        <i x="187" s="1"/>
        <i x="843" s="1"/>
        <i x="160" s="1"/>
        <i x="753" s="1"/>
        <i x="757" s="1"/>
        <i x="561" s="1"/>
        <i x="322" s="1"/>
        <i x="538" s="1"/>
        <i x="789" s="1"/>
        <i x="841" s="1"/>
        <i x="258" s="1"/>
        <i x="791" s="1"/>
        <i x="227" s="1"/>
        <i x="8" s="1"/>
        <i x="82" s="1"/>
        <i x="80" s="1"/>
        <i x="450" s="1"/>
        <i x="530" s="1"/>
        <i x="63" s="1"/>
        <i x="589" s="1"/>
        <i x="123" s="1"/>
        <i x="679" s="1"/>
        <i x="719" s="1"/>
        <i x="497" s="1"/>
        <i x="723" s="1"/>
        <i x="734" s="1"/>
        <i x="733" s="1"/>
        <i x="835" s="1"/>
        <i x="528" s="1"/>
        <i x="785" s="1"/>
        <i x="735" s="1"/>
        <i x="736" s="1"/>
        <i x="814" s="1"/>
        <i x="452" s="1"/>
        <i x="304" s="1"/>
        <i x="140" s="1"/>
        <i x="758" s="1"/>
        <i x="764" s="1"/>
        <i x="781" s="1"/>
        <i x="103" s="1"/>
        <i x="788" s="1"/>
        <i x="543" s="1"/>
        <i x="718" s="1"/>
        <i x="616" s="1"/>
        <i x="861" s="1"/>
        <i x="726" s="1"/>
        <i x="256" s="1"/>
        <i x="476" s="1"/>
        <i x="296" s="1"/>
        <i x="664" s="1"/>
        <i x="62" s="1"/>
        <i x="790" s="1"/>
        <i x="846" s="1"/>
        <i x="209" s="1"/>
        <i x="661" s="1"/>
        <i x="137" s="1"/>
        <i x="189" s="1"/>
        <i x="55" s="1"/>
        <i x="811" s="1"/>
        <i x="559" s="1"/>
        <i x="185" s="1"/>
        <i x="265" s="1"/>
        <i x="391" s="1"/>
        <i x="577" s="1"/>
        <i x="203" s="1"/>
        <i x="487" s="1"/>
        <i x="402" s="1"/>
        <i x="598" s="1"/>
        <i x="194" s="1"/>
        <i x="498" s="1"/>
        <i x="730" s="1"/>
        <i x="475" s="1"/>
        <i x="852" s="1"/>
        <i x="737" s="1"/>
        <i x="557" s="1"/>
        <i x="853" s="1"/>
        <i x="331" s="1"/>
        <i x="495" s="1"/>
        <i x="477" s="1"/>
        <i x="158" s="1"/>
        <i x="612" s="1"/>
        <i x="692" s="1"/>
        <i x="210" s="1"/>
        <i x="37" s="1"/>
        <i x="620" s="1"/>
        <i x="800" s="1"/>
        <i x="801" s="1"/>
        <i x="665" s="1"/>
        <i x="332" s="1"/>
        <i x="86" s="1"/>
        <i x="499" s="1"/>
        <i x="275" s="1"/>
        <i x="715" s="1"/>
        <i x="687" s="1"/>
        <i x="155" s="1"/>
        <i x="605" s="1"/>
        <i x="520" s="1"/>
        <i x="159" s="1"/>
        <i x="806" s="1"/>
        <i x="765" s="1"/>
        <i x="686" s="1"/>
        <i x="766" s="1"/>
        <i x="807" s="1"/>
        <i x="808" s="1"/>
        <i x="674" s="1"/>
        <i x="97" s="1"/>
        <i x="368" s="1"/>
        <i x="802" s="1"/>
        <i x="89" s="1"/>
        <i x="447" s="1"/>
        <i x="213" s="1"/>
        <i x="214" s="1"/>
        <i x="3" s="1"/>
        <i x="650" s="1"/>
        <i x="156" s="1"/>
        <i x="169" s="1"/>
        <i x="171" s="1"/>
        <i x="866" s="1"/>
        <i x="14" s="1"/>
        <i x="216" s="1"/>
        <i x="762" s="1"/>
        <i x="578" s="1"/>
        <i x="184" s="1"/>
        <i x="136" s="1"/>
        <i x="684" s="1"/>
        <i x="190" s="1"/>
        <i x="253" s="1"/>
        <i x="254" s="1"/>
        <i x="13" s="1"/>
        <i x="257" s="1"/>
        <i x="262" s="1"/>
        <i x="168" s="1"/>
        <i x="242" s="1"/>
        <i x="442" s="1"/>
        <i x="803" s="1"/>
        <i x="741" s="1"/>
        <i x="68" s="1"/>
        <i x="45" s="1"/>
        <i x="404" s="1"/>
        <i x="267" s="1"/>
        <i x="263" s="1"/>
        <i x="812" s="1"/>
        <i x="770" s="1"/>
        <i x="850" s="1"/>
        <i x="594" s="1"/>
        <i x="218" s="1"/>
        <i x="609" s="1"/>
        <i x="579" s="1"/>
        <i x="522" s="1"/>
        <i x="580" s="1"/>
        <i x="291" s="1"/>
        <i x="191" s="1"/>
        <i x="2" s="1"/>
        <i x="124" s="1"/>
        <i x="151" s="1"/>
        <i x="829" s="1"/>
        <i x="16" s="1"/>
        <i x="225" s="1"/>
        <i x="851" s="1"/>
        <i x="174" s="1"/>
        <i x="270" s="1"/>
        <i x="419" s="1"/>
        <i x="508" s="1"/>
        <i x="292" s="1"/>
        <i x="195" s="1"/>
        <i x="176" s="1"/>
        <i x="196" s="1"/>
        <i x="805" s="1"/>
        <i x="17" s="1"/>
        <i x="428" s="1"/>
        <i x="638" s="1"/>
        <i x="243" s="1"/>
        <i x="74" s="1"/>
        <i x="472" s="1"/>
        <i x="473" s="1"/>
        <i x="454" s="1"/>
        <i x="49" s="1"/>
        <i x="1" s="1"/>
        <i x="118" s="1"/>
        <i x="760" s="1"/>
        <i x="844" s="1"/>
        <i x="617" s="1"/>
        <i x="91" s="1"/>
        <i x="177" s="1"/>
        <i x="178" s="1"/>
        <i x="72" s="1"/>
        <i x="179" s="1"/>
        <i x="201" s="1"/>
        <i x="259" s="1"/>
        <i x="637" s="1"/>
        <i x="618" s="1"/>
        <i x="422" s="1"/>
        <i x="244" s="1"/>
        <i x="264" s="1"/>
        <i x="141" s="1"/>
        <i x="33" s="1"/>
        <i x="152" s="1"/>
        <i x="71" s="1"/>
        <i x="161" s="1"/>
        <i x="446" s="1"/>
        <i x="180" s="1"/>
        <i x="556" s="1"/>
        <i x="83" s="1"/>
        <i x="763" s="1"/>
        <i x="153" s="1"/>
        <i x="544" s="1"/>
        <i x="787" s="1"/>
        <i x="241" s="1"/>
        <i x="795" s="1"/>
        <i x="714" s="1"/>
        <i x="676" s="1"/>
        <i x="827" s="1"/>
        <i x="4" s="1"/>
        <i x="229" s="1"/>
        <i x="468" s="1"/>
        <i x="186" s="1"/>
        <i x="313" s="1"/>
        <i x="383" s="1"/>
        <i x="327" s="1"/>
        <i x="139" s="1"/>
        <i x="117" s="1"/>
        <i x="172" s="1"/>
        <i x="192" s="1"/>
        <i x="318" s="1"/>
        <i x="595" s="1"/>
        <i x="193" s="1"/>
        <i x="230" s="1"/>
        <i x="293" s="1"/>
        <i x="319" s="1"/>
        <i x="429" s="1"/>
        <i x="576" s="1"/>
        <i x="641" s="1"/>
        <i x="546" s="1"/>
        <i x="175" s="1"/>
        <i x="813" s="1"/>
        <i x="367" s="1"/>
        <i x="748" s="1"/>
        <i x="782" s="1"/>
        <i x="205" s="1"/>
        <i x="783" s="1"/>
        <i x="324" s="1"/>
        <i x="333" s="1"/>
        <i x="596" s="1"/>
        <i x="208" s="1"/>
        <i x="371" s="1"/>
        <i x="818" s="1"/>
        <i x="823" s="1"/>
        <i x="285" s="1"/>
        <i x="5" s="1"/>
        <i x="197" s="1"/>
        <i x="819" s="1"/>
        <i x="830" s="1"/>
        <i x="847" s="1"/>
        <i x="384" s="1"/>
        <i x="303" s="1"/>
        <i x="469" s="1"/>
        <i x="24" s="1"/>
        <i x="315" s="1"/>
        <i x="233" s="1"/>
        <i x="311" s="1"/>
        <i x="198" s="1"/>
        <i x="434" s="1"/>
        <i x="848" s="1"/>
        <i x="784" s="1"/>
        <i x="15" s="1"/>
        <i x="348" s="1"/>
        <i x="465" s="1"/>
        <i x="482" s="1"/>
        <i x="134" s="1"/>
        <i x="849" s="1"/>
        <i x="58" s="1"/>
        <i x="215" s="1"/>
        <i x="642" s="1"/>
        <i x="302" s="1"/>
        <i x="722" s="1"/>
        <i x="509" s="1"/>
        <i x="689" s="1"/>
        <i x="804" s="1"/>
        <i x="815" s="1"/>
        <i x="35" s="1"/>
        <i x="316" s="1"/>
        <i x="403" s="1"/>
        <i x="860" s="1"/>
        <i x="122" s="1"/>
        <i x="59" s="1"/>
        <i x="22" s="1"/>
        <i x="23" s="1"/>
        <i x="470" s="1"/>
        <i x="754" s="1"/>
        <i x="217" s="1"/>
        <i x="149" s="1"/>
        <i x="690" s="1"/>
        <i x="347" s="1"/>
        <i x="657" s="1"/>
        <i x="312" s="1"/>
        <i x="415" s="1"/>
        <i x="228" s="1"/>
        <i x="554" s="1"/>
        <i x="246" s="1"/>
        <i x="41" s="1"/>
        <i x="702" s="1"/>
        <i x="98" s="1"/>
        <i x="412" s="1"/>
        <i x="824" s="1"/>
        <i x="857" s="1"/>
        <i x="701" s="1"/>
        <i x="359" s="1"/>
        <i x="485" s="1"/>
        <i x="492" s="1"/>
        <i x="360" s="1"/>
        <i x="858" s="1"/>
        <i x="859" s="1"/>
        <i x="761" s="1"/>
        <i x="129" s="1"/>
        <i x="170" s="1"/>
        <i x="349" s="1"/>
        <i x="471" s="1"/>
        <i x="219" s="1"/>
        <i x="545" s="1"/>
        <i x="40" s="1"/>
        <i x="550" s="1"/>
        <i x="266" s="1"/>
        <i x="350" s="1"/>
        <i x="386" s="1"/>
        <i x="387" s="1"/>
        <i x="555" s="1"/>
        <i x="234" s="1"/>
        <i x="250" s="1"/>
        <i x="658" s="1"/>
        <i x="221" s="1"/>
        <i x="84" s="1"/>
        <i x="276" s="1"/>
        <i x="413" s="1"/>
        <i x="510" s="1"/>
        <i x="164" s="1"/>
        <i x="249" s="1"/>
        <i x="708" s="1"/>
        <i x="685" s="1"/>
        <i x="573" s="1"/>
        <i x="640" s="1"/>
        <i x="655" s="1"/>
        <i x="656" s="1"/>
        <i x="202" s="1"/>
        <i x="162" s="1"/>
        <i x="709" s="1"/>
        <i x="283" s="1"/>
        <i x="416" s="1"/>
        <i x="165" s="1"/>
        <i x="432" s="1"/>
        <i x="388" s="1"/>
        <i x="558" s="1"/>
        <i x="39" s="1"/>
        <i x="659" s="1"/>
        <i x="284" s="1"/>
        <i x="30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2C985A49-4776-4910-AB86-6BA89EF2EDFF}" sourceName="Months">
  <pivotTables>
    <pivotTable tabId="21" name="PivotTable12"/>
    <pivotTable tabId="24" name="PivotTable14"/>
    <pivotTable tabId="19" name="PivotTable10"/>
    <pivotTable tabId="17" name="PivotTable8"/>
    <pivotTable tabId="18" name="PivotTable9"/>
  </pivotTables>
  <data>
    <tabular pivotCacheId="1075748190">
      <items count="14">
        <i x="1" s="1"/>
        <i x="2" s="1"/>
        <i x="3" s="1"/>
        <i x="4" s="1"/>
        <i x="5" s="1"/>
        <i x="6" s="1"/>
        <i x="7" s="1" nd="1"/>
        <i x="8" s="1" nd="1"/>
        <i x="9" s="1" nd="1"/>
        <i x="10" s="1" nd="1"/>
        <i x="11" s="1" nd="1"/>
        <i x="12" s="1" nd="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7FBD41F5-A067-4B38-9010-0925D62FE2B6}" sourceName="Customer Name">
  <pivotTables>
    <pivotTable tabId="24" name="PivotTable14"/>
  </pivotTables>
  <data>
    <tabular pivotCacheId="1075748190">
      <items count="1130">
        <i x="522" s="1"/>
        <i x="440" s="1"/>
        <i x="159" s="1"/>
        <i x="1124" s="1"/>
        <i x="227" s="1"/>
        <i x="431" s="1"/>
        <i x="217" s="1"/>
        <i x="304" s="1"/>
        <i x="588" s="1"/>
        <i x="53" s="1"/>
        <i x="380" s="1"/>
        <i x="513" s="1"/>
        <i x="1024" s="1"/>
        <i x="185" s="1"/>
        <i x="679" s="1"/>
        <i x="820" s="1"/>
        <i x="664" s="1"/>
        <i x="130" s="1"/>
        <i x="163" s="1"/>
        <i x="224" s="1"/>
        <i x="1096" s="1"/>
        <i x="868" s="1"/>
        <i x="912" s="1"/>
        <i x="189" s="1"/>
        <i x="1035" s="1"/>
        <i x="482" s="1"/>
        <i x="976" s="1"/>
        <i x="74" s="1"/>
        <i x="903" s="1"/>
        <i x="213" s="1"/>
        <i x="723" s="1"/>
        <i x="1057" s="1"/>
        <i x="259" s="1"/>
        <i x="69" s="1"/>
        <i x="614" s="1"/>
        <i x="861" s="1"/>
        <i x="214" s="1"/>
        <i x="1107" s="1"/>
        <i x="1126" s="1"/>
        <i x="948" s="1"/>
        <i x="1015" s="1"/>
        <i x="1004" s="1"/>
        <i x="117" s="1"/>
        <i x="1054" s="1"/>
        <i x="716" s="1"/>
        <i x="1032" s="1"/>
        <i x="607" s="1"/>
        <i x="207" s="1"/>
        <i x="1007" s="1"/>
        <i x="643" s="1"/>
        <i x="955" s="1"/>
        <i x="62" s="1"/>
        <i x="137" s="1"/>
        <i x="414" s="1"/>
        <i x="853" s="1"/>
        <i x="21" s="1"/>
        <i x="1119" s="1"/>
        <i x="765" s="1"/>
        <i x="997" s="1"/>
        <i x="673" s="1"/>
        <i x="934" s="1"/>
        <i x="990" s="1"/>
        <i x="858" s="1"/>
        <i x="408" s="1"/>
        <i x="911" s="1"/>
        <i x="161" s="1"/>
        <i x="442" s="1"/>
        <i x="816" s="1"/>
        <i x="382" s="1"/>
        <i x="784" s="1"/>
        <i x="742" s="1"/>
        <i x="901" s="1"/>
        <i x="905" s="1"/>
        <i x="278" s="1"/>
        <i x="1065" s="1"/>
        <i x="94" s="1"/>
        <i x="222" s="1"/>
        <i x="106" s="1"/>
        <i x="892" s="1"/>
        <i x="386" s="1"/>
        <i x="1079" s="1"/>
        <i x="313" s="1"/>
        <i x="943" s="1"/>
        <i x="92" s="1"/>
        <i x="875" s="1"/>
        <i x="953" s="1"/>
        <i x="373" s="1"/>
        <i x="726" s="1"/>
        <i x="249" s="1"/>
        <i x="747" s="1"/>
        <i x="395" s="1"/>
        <i x="461" s="1"/>
        <i x="867" s="1"/>
        <i x="956" s="1"/>
        <i x="330" s="1"/>
        <i x="235" s="1"/>
        <i x="778" s="1"/>
        <i x="285" s="1"/>
        <i x="1081" s="1"/>
        <i x="1094" s="1"/>
        <i x="401" s="1"/>
        <i x="931" s="1"/>
        <i x="1099" s="1"/>
        <i x="99" s="1"/>
        <i x="714" s="1"/>
        <i x="105" s="1"/>
        <i x="633" s="1"/>
        <i x="0" s="1"/>
        <i x="937" s="1"/>
        <i x="495" s="1"/>
        <i x="97" s="1"/>
        <i x="409" s="1"/>
        <i x="731" s="1"/>
        <i x="862" s="1"/>
        <i x="698" s="1"/>
        <i x="95" s="1"/>
        <i x="71" s="1"/>
        <i x="873" s="1"/>
        <i x="72" s="1"/>
        <i x="734" s="1"/>
        <i x="190" s="1"/>
        <i x="336" s="1"/>
        <i x="902" s="1"/>
        <i x="216" s="1"/>
        <i x="463" s="1"/>
        <i x="200" s="1"/>
        <i x="40" s="1"/>
        <i x="124" s="1"/>
        <i x="79" s="1"/>
        <i x="301" s="1"/>
        <i x="126" s="1"/>
        <i x="920" s="1"/>
        <i x="156" s="1"/>
        <i x="292" s="1"/>
        <i x="732" s="1"/>
        <i x="256" s="1"/>
        <i x="878" s="1"/>
        <i x="76" s="1"/>
        <i x="1123" s="1"/>
        <i x="376" s="1"/>
        <i x="155" s="1"/>
        <i x="294" s="1"/>
        <i x="503" s="1"/>
        <i x="1088" s="1"/>
        <i x="1009" s="1"/>
        <i x="927" s="1"/>
        <i x="30" s="1"/>
        <i x="893" s="1"/>
        <i x="535" s="1"/>
        <i x="683" s="1"/>
        <i x="455" s="1"/>
        <i x="635" s="1"/>
        <i x="127" s="1"/>
        <i x="1001" s="1"/>
        <i x="939" s="1"/>
        <i x="561" s="1"/>
        <i x="1106" s="1"/>
        <i x="922" s="1"/>
        <i x="265" s="1"/>
        <i x="1031" s="1"/>
        <i x="651" s="1"/>
        <i x="511" s="1"/>
        <i x="533" s="1"/>
        <i x="458" s="1"/>
        <i x="183" s="1"/>
        <i x="487" s="1"/>
        <i x="579" s="1"/>
        <i x="262" s="1"/>
        <i x="107" s="1"/>
        <i x="445" s="1"/>
        <i x="428" s="1"/>
        <i x="266" s="1"/>
        <i x="451" s="1"/>
        <i x="50" s="1"/>
        <i x="909" s="1"/>
        <i x="199" s="1"/>
        <i x="718" s="1"/>
        <i x="564" s="1"/>
        <i x="1121" s="1"/>
        <i x="426" s="1"/>
        <i x="919" s="1"/>
        <i x="1089" s="1"/>
        <i x="719" s="1"/>
        <i x="1008" s="1"/>
        <i x="29" s="1"/>
        <i x="666" s="1"/>
        <i x="1063" s="1"/>
        <i x="599" s="1"/>
        <i x="762" s="1"/>
        <i x="64" s="1"/>
        <i x="353" s="1"/>
        <i x="757" s="1"/>
        <i x="917" s="1"/>
        <i x="558" s="1"/>
        <i x="1101" s="1"/>
        <i x="694" s="1"/>
        <i x="962" s="1"/>
        <i x="141" s="1"/>
        <i x="812" s="1"/>
        <i x="689" s="1"/>
        <i x="457" s="1"/>
        <i x="98" s="1"/>
        <i x="649" s="1"/>
        <i x="39" s="1"/>
        <i x="532" s="1"/>
        <i x="1115" s="1"/>
        <i x="279" s="1"/>
        <i x="1058" s="1"/>
        <i x="424" s="1"/>
        <i x="941" s="1"/>
        <i x="628" s="1"/>
        <i x="1027" s="1"/>
        <i x="1113" s="1"/>
        <i x="1122" s="1"/>
        <i x="764" s="1"/>
        <i x="477" s="1"/>
        <i x="418" s="1"/>
        <i x="566" s="1"/>
        <i x="866" s="1"/>
        <i x="590" s="1"/>
        <i x="115" s="1"/>
        <i x="56" s="1"/>
        <i x="795" s="1"/>
        <i x="239" s="1"/>
        <i x="710" s="1"/>
        <i x="1037" s="1"/>
        <i x="644" s="1"/>
        <i x="245" s="1"/>
        <i x="916" s="1"/>
        <i x="567" s="1"/>
        <i x="776" s="1"/>
        <i x="1016" s="1"/>
        <i x="138" s="1"/>
        <i x="253" s="1"/>
        <i x="770" s="1"/>
        <i x="735" s="1"/>
        <i x="791" s="1"/>
        <i x="398" s="1"/>
        <i x="123" s="1"/>
        <i x="433" s="1"/>
        <i x="306" s="1"/>
        <i x="737" s="1"/>
        <i x="551" s="1"/>
        <i x="166" s="1"/>
        <i x="363" s="1"/>
        <i x="585" s="1"/>
        <i x="208" s="1"/>
        <i x="829" s="1"/>
        <i x="624" s="1"/>
        <i x="46" s="1"/>
        <i x="1098" s="1"/>
        <i x="1062" s="1"/>
        <i x="299" s="1"/>
        <i x="484" s="1"/>
        <i x="66" s="1"/>
        <i x="514" s="1"/>
        <i x="706" s="1"/>
        <i x="894" s="1"/>
        <i x="798" s="1"/>
        <i x="145" s="1"/>
        <i x="184" s="1"/>
        <i x="307" s="1"/>
        <i x="786" s="1"/>
        <i x="152" s="1"/>
        <i x="271" s="1"/>
        <i x="597" s="1"/>
        <i x="362" s="1"/>
        <i x="34" s="1"/>
        <i x="938" s="1"/>
        <i x="389" s="1"/>
        <i x="620" s="1"/>
        <i x="449" s="1"/>
        <i x="1071" s="1"/>
        <i x="444" s="1"/>
        <i x="492" s="1"/>
        <i x="27" s="1"/>
        <i x="712" s="1"/>
        <i x="1080" s="1"/>
        <i x="146" s="1"/>
        <i x="22" s="1"/>
        <i x="381" s="1"/>
        <i x="1000" s="1"/>
        <i x="838" s="1"/>
        <i x="379" s="1"/>
        <i x="882" s="1"/>
        <i x="167" s="1"/>
        <i x="568" s="1"/>
        <i x="9" s="1"/>
        <i x="435" s="1"/>
        <i x="394" s="1"/>
        <i x="147" s="1"/>
        <i x="218" s="1"/>
        <i x="75" s="1"/>
        <i x="1090" s="1"/>
        <i x="1091" s="1"/>
        <i x="506" s="1"/>
        <i x="150" s="1"/>
        <i x="933" s="1"/>
        <i x="399" s="1"/>
        <i x="626" s="1"/>
        <i x="260" s="1"/>
        <i x="658" s="1"/>
        <i x="81" s="1"/>
        <i x="246" s="1"/>
        <i x="1100" s="1"/>
        <i x="283" s="1"/>
        <i x="19" s="1"/>
        <i x="975" s="1"/>
        <i x="667" s="1"/>
        <i x="1059" s="1"/>
        <i x="403" s="1"/>
        <i x="969" s="1"/>
        <i x="534" s="1"/>
        <i x="212" s="1"/>
        <i x="763" s="1"/>
        <i x="751" s="1"/>
        <i x="565" s="1"/>
        <i x="120" s="1"/>
        <i x="349" s="1"/>
        <i x="895" s="1"/>
        <i x="282" s="1"/>
        <i x="652" s="1"/>
        <i x="602" s="1"/>
        <i x="343" s="1"/>
        <i x="129" s="1"/>
        <i x="308" s="1"/>
        <i x="960" s="1"/>
        <i x="539" s="1"/>
        <i x="529" s="1"/>
        <i x="942" s="1"/>
        <i x="852" s="1"/>
        <i x="335" s="1"/>
        <i x="1120" s="1"/>
        <i x="181" s="1"/>
        <i x="407" s="1"/>
        <i x="904" s="1"/>
        <i x="176" s="1"/>
        <i x="671" s="1"/>
        <i x="96" s="1"/>
        <i x="964" s="1"/>
        <i x="1044" s="1"/>
        <i x="759" s="1"/>
        <i x="396" s="1"/>
        <i x="1128" s="1"/>
        <i x="61" s="1"/>
        <i x="824" s="1"/>
        <i x="468" s="1"/>
        <i x="978" s="1"/>
        <i x="957" s="1"/>
        <i x="63" s="1"/>
        <i x="317" s="1"/>
        <i x="974" s="1"/>
        <i x="660" s="1"/>
        <i x="331" s="1"/>
        <i x="290" s="1"/>
        <i x="704" s="1"/>
        <i x="512" s="1"/>
        <i x="625" s="1"/>
        <i x="982" s="1"/>
        <i x="320" s="1"/>
        <i x="286" s="1"/>
        <i x="951" s="1"/>
        <i x="406" s="1"/>
        <i x="500" s="1"/>
        <i x="344" s="1"/>
        <i x="346" s="1"/>
        <i x="707" s="1"/>
        <i x="728" s="1"/>
        <i x="817" s="1"/>
        <i x="881" s="1"/>
        <i x="773" s="1"/>
        <i x="44" s="1"/>
        <i x="452" s="1"/>
        <i x="136" s="1"/>
        <i x="860" s="1"/>
        <i x="55" s="1"/>
        <i x="272" s="1"/>
        <i x="519" s="1"/>
        <i x="524" s="1"/>
        <i x="252" s="1"/>
        <i x="804" s="1"/>
        <i x="68" s="1"/>
        <i x="603" s="1"/>
        <i x="856" s="1"/>
        <i x="160" s="1"/>
        <i x="1022" s="1"/>
        <i x="90" s="1"/>
        <i x="334" s="1"/>
        <i x="746" s="1"/>
        <i x="388" s="1"/>
        <i x="1043" s="1"/>
        <i x="1110" s="1"/>
        <i x="486" s="1"/>
        <i x="756" s="1"/>
        <i x="1011" s="1"/>
        <i x="175" s="1"/>
        <i x="811" s="1"/>
        <i x="947" s="1"/>
        <i x="393" s="1"/>
        <i x="465" s="1"/>
        <i x="316" s="1"/>
        <i x="621" s="1"/>
        <i x="157" s="1"/>
        <i x="187" s="1"/>
        <i x="1077" s="1"/>
        <i x="610" s="1"/>
        <i x="952" s="1"/>
        <i x="830" s="1"/>
        <i x="10" s="1"/>
        <i x="1030" s="1"/>
        <i x="3" s="1"/>
        <i x="959" s="1"/>
        <i x="618" s="1"/>
        <i x="422" s="1"/>
        <i x="646" s="1"/>
        <i x="288" s="1"/>
        <i x="1042" s="1"/>
        <i x="828" s="1"/>
        <i x="918" s="1"/>
        <i x="699" s="1"/>
        <i x="354" s="1"/>
        <i x="404" s="1"/>
        <i x="454" s="1"/>
        <i x="194" s="1"/>
        <i x="193" s="1"/>
        <i x="729" s="1"/>
        <i x="835" s="1"/>
        <i x="274" s="1"/>
        <i x="36" s="1"/>
        <i x="247" s="1"/>
        <i x="571" s="1"/>
        <i x="23" s="1"/>
        <i x="165" s="1"/>
        <i x="411" s="1"/>
        <i x="425" s="1"/>
        <i x="1036" s="1"/>
        <i x="570" s="1"/>
        <i x="598" s="1"/>
        <i x="210" s="1"/>
        <i x="547" s="1"/>
        <i x="258" s="1"/>
        <i x="318" s="1"/>
        <i x="192" s="1"/>
        <i x="591" s="1"/>
        <i x="73" s="1"/>
        <i x="1125" s="1"/>
        <i x="682" s="1"/>
        <i x="809" s="1"/>
        <i x="586" s="1"/>
        <i x="437" s="1"/>
        <i x="582" s="1"/>
        <i x="1093" s="1"/>
        <i x="1049" s="1"/>
        <i x="913" s="1"/>
        <i x="608" s="1"/>
        <i x="277" s="1"/>
        <i x="775" s="1"/>
        <i x="767" s="1"/>
        <i x="100" s="1"/>
        <i x="78" s="1"/>
        <i x="730" s="1"/>
        <i x="648" s="1"/>
        <i x="446" s="1"/>
        <i x="504" s="1"/>
        <i x="1028" s="1"/>
        <i x="1118" s="1"/>
        <i x="309" s="1"/>
        <i x="438" s="1"/>
        <i x="831" s="1"/>
        <i x="1047" s="1"/>
        <i x="49" s="1"/>
        <i x="774" s="1"/>
        <i x="257" s="1"/>
        <i x="1026" s="1"/>
        <i x="657" s="1"/>
        <i x="453" s="1"/>
        <i x="254" s="1"/>
        <i x="469" s="1"/>
        <i x="821" s="1"/>
        <i x="538" s="1"/>
        <i x="450" s="1"/>
        <i x="112" s="1"/>
        <i x="724" s="1"/>
        <i x="577" s="1"/>
        <i x="1112" s="1"/>
        <i x="681" s="1"/>
        <i x="251" s="1"/>
        <i x="876" s="1"/>
        <i x="287" s="1"/>
        <i x="720" s="1"/>
        <i x="557" s="1"/>
        <i x="229" s="1"/>
        <i x="1053" s="1"/>
        <i x="195" s="1"/>
        <i x="400" s="1"/>
        <i x="342" s="1"/>
        <i x="1038" s="1"/>
        <i x="516" s="1"/>
        <i x="936" s="1"/>
        <i x="273" s="1"/>
        <i x="385" s="1"/>
        <i x="339" s="1"/>
        <i x="383" s="1"/>
        <i x="298" s="1"/>
        <i x="162" s="1"/>
        <i x="1105" s="1"/>
        <i x="7" s="1"/>
        <i x="153" s="1"/>
        <i x="921" s="1"/>
        <i x="740" s="1"/>
        <i x="799" s="1"/>
        <i x="841" s="1"/>
        <i x="502" s="1"/>
        <i x="267" s="1"/>
        <i x="361" s="1"/>
        <i x="984" s="1"/>
        <i x="872" s="1"/>
        <i x="420" s="1"/>
        <i x="703" s="1"/>
        <i x="748" s="1"/>
        <i x="448" s="1"/>
        <i x="803" s="1"/>
        <i x="119" s="1"/>
        <i x="907" s="1"/>
        <i x="182" s="1"/>
        <i x="498" s="1"/>
        <i x="787" s="1"/>
        <i x="390" s="1"/>
        <i x="226" s="1"/>
        <i x="496" s="1"/>
        <i x="340" s="1"/>
        <i x="690" s="1"/>
        <i x="654" s="1"/>
        <i x="1060" s="1"/>
        <i x="1003" s="1"/>
        <i x="289" s="1"/>
        <i x="244" s="1"/>
        <i x="971" s="1"/>
        <i x="490" s="1"/>
        <i x="230" s="1"/>
        <i x="548" s="1"/>
        <i x="836" s="1"/>
        <i x="421" s="1"/>
        <i x="601" s="1"/>
        <i x="242" s="1"/>
        <i x="685" s="1"/>
        <i x="587" s="1"/>
        <i x="134" s="1"/>
        <i x="889" s="1"/>
        <i x="198" s="1"/>
        <i x="560" s="1"/>
        <i x="104" s="1"/>
        <i x="792" s="1"/>
        <i x="132" s="1"/>
        <i x="647" s="1"/>
        <i x="701" s="1"/>
        <i x="397" s="1"/>
        <i x="264" s="1"/>
        <i x="365" s="1"/>
        <i x="779" s="1"/>
        <i x="1045" s="1"/>
        <i x="540" s="1"/>
        <i x="333" s="1"/>
        <i x="125" s="1"/>
        <i x="237" s="1"/>
        <i x="518" s="1"/>
        <i x="630" s="1"/>
        <i x="38" s="1"/>
        <i x="752" s="1"/>
        <i x="412" s="1"/>
        <i x="276" s="1"/>
        <i x="708" s="1"/>
        <i x="845" s="1"/>
        <i x="843" s="1"/>
        <i x="485" s="1"/>
        <i x="1014" s="1"/>
        <i x="593" s="1"/>
        <i x="173" s="1"/>
        <i x="896" s="1"/>
        <i x="93" s="1"/>
        <i x="525" s="1"/>
        <i x="515" s="1"/>
        <i x="1068" s="1"/>
        <i x="178" s="1"/>
        <i x="954" s="1"/>
        <i x="883" s="1"/>
        <i x="979" s="1"/>
        <i x="555" s="1"/>
        <i x="970" s="1"/>
        <i x="219" s="1"/>
        <i x="489" s="1"/>
        <i x="416" s="1"/>
        <i x="430" s="1"/>
        <i x="345" s="1"/>
        <i x="914" s="1"/>
        <i x="668" s="1"/>
        <i x="231" s="1"/>
        <i x="807" s="1"/>
        <i x="303" s="1"/>
        <i x="402" s="1"/>
        <i x="780" s="1"/>
        <i x="793" s="1"/>
        <i x="659" s="1"/>
        <i x="338" s="1"/>
        <i x="848" s="1"/>
        <i x="45" s="1"/>
        <i x="760" s="1"/>
        <i x="467" s="1"/>
        <i x="693" s="1"/>
        <i x="296" s="1"/>
        <i x="562" s="1"/>
        <i x="818" s="1"/>
        <i x="908" s="1"/>
        <i x="988" s="1"/>
        <i x="103" s="1"/>
        <i x="357" s="1"/>
        <i x="788" s="1"/>
        <i x="328" s="1"/>
        <i x="443" s="1"/>
        <i x="171" s="1"/>
        <i x="169" s="1"/>
        <i x="733" s="1"/>
        <i x="1033" s="1"/>
        <i x="371" s="1"/>
        <i x="781" s="1"/>
        <i x="470" s="1"/>
        <i x="543" s="1"/>
        <i x="493" s="1"/>
        <i x="743" s="1"/>
        <i x="750" s="1"/>
        <i x="499" s="1"/>
        <i x="859" s="1"/>
        <i x="220" s="1"/>
        <i x="925" s="1"/>
        <i x="967" s="1"/>
        <i x="6" s="1"/>
        <i x="711" s="1"/>
        <i x="844" s="1"/>
        <i x="1050" s="1"/>
        <i x="583" s="1"/>
        <i x="1048" s="1"/>
        <i x="1023" s="1"/>
        <i x="206" s="1"/>
        <i x="275" s="1"/>
        <i x="968" s="1"/>
        <i x="1034" s="1"/>
        <i x="261" s="1"/>
        <i x="387" s="1"/>
        <i x="678" s="1"/>
        <i x="825" s="1"/>
        <i x="871" s="1"/>
        <i x="874" s="1"/>
        <i x="356" s="1"/>
        <i x="977" s="1"/>
        <i x="59" s="1"/>
        <i x="1041" s="1"/>
        <i x="930" s="1"/>
        <i x="1097" s="1"/>
        <i x="135" s="1"/>
        <i x="629" s="1"/>
        <i x="963" s="1"/>
        <i x="1102" s="1"/>
        <i x="692" s="1"/>
        <i x="709" s="1"/>
        <i x="215" s="1"/>
        <i x="550" s="1"/>
        <i x="865" s="1"/>
        <i x="559" s="1"/>
        <i x="35" s="1"/>
        <i x="236" s="1"/>
        <i x="653" s="1"/>
        <i x="188" s="1"/>
        <i x="790" s="1"/>
        <i x="987" s="1"/>
        <i x="772" s="1"/>
        <i x="605" s="1"/>
        <i x="885" s="1"/>
        <i x="326" s="1"/>
        <i x="983" s="1"/>
        <i x="880" s="1"/>
        <i x="725" s="1"/>
        <i x="54" s="1"/>
        <i x="322" s="1"/>
        <i x="31" s="1"/>
        <i x="410" s="1"/>
        <i x="201" s="1"/>
        <i x="523" s="1"/>
        <i x="1021" s="1"/>
        <i x="14" s="1"/>
        <i x="391" s="1"/>
        <i x="661" s="1"/>
        <i x="509" s="1"/>
        <i x="802" s="1"/>
        <i x="738" s="1"/>
        <i x="83" s="1"/>
        <i x="364" s="1"/>
        <i x="891" s="1"/>
        <i x="655" s="1"/>
        <i x="642" s="1"/>
        <i x="325" s="1"/>
        <i x="101" s="1"/>
        <i x="755" s="1"/>
        <i x="18" s="1"/>
        <i x="542" s="1"/>
        <i x="315" s="1"/>
        <i x="961" s="1"/>
        <i x="1013" s="1"/>
        <i x="641" s="1"/>
        <i x="377" s="1"/>
        <i x="854" s="1"/>
        <i x="284" s="1"/>
        <i x="670" s="1"/>
        <i x="139" s="1"/>
        <i x="459" s="1"/>
        <i x="616" s="1"/>
        <i x="888" s="1"/>
        <i x="2" s="1"/>
        <i x="41" s="1"/>
        <i x="337" s="1"/>
        <i x="441" s="1"/>
        <i x="815" s="1"/>
        <i x="140" s="1"/>
        <i x="944" s="1"/>
        <i x="663" s="1"/>
        <i x="869" s="1"/>
        <i x="263" s="1"/>
        <i x="640" s="1"/>
        <i x="434" s="1"/>
        <i x="1051" s="1"/>
        <i x="142" s="1"/>
        <i x="432" s="1"/>
        <i x="351" s="1"/>
        <i x="295" s="1"/>
        <i x="209" s="1"/>
        <i x="923" s="1"/>
        <i x="375" s="1"/>
        <i x="158" s="1"/>
        <i x="177" s="1"/>
        <i x="1095" s="1"/>
        <i x="884" s="1"/>
        <i x="736" s="1"/>
        <i x="578" s="1"/>
        <i x="1069" s="1"/>
        <i x="293" s="1"/>
        <i x="636" s="1"/>
        <i x="70" s="1"/>
        <i x="849" s="1"/>
        <i x="840" s="1"/>
        <i x="606" s="1"/>
        <i x="268" s="1"/>
        <i x="480" s="1"/>
        <i x="769" s="1"/>
        <i x="705" s="1"/>
        <i x="1127" s="1"/>
        <i x="527" s="1"/>
        <i x="589" s="1"/>
        <i x="686" s="1"/>
        <i x="1087" s="1"/>
        <i x="243" s="1"/>
        <i x="11" s="1"/>
        <i x="672" s="1"/>
        <i x="612" s="1"/>
        <i x="1040" s="1"/>
        <i x="1075" s="1"/>
        <i x="992" s="1"/>
        <i x="722" s="1"/>
        <i x="834" s="1"/>
        <i x="926" s="1"/>
        <i x="28" s="1"/>
        <i x="60" s="1"/>
        <i x="360" s="1"/>
        <i x="753" s="1"/>
        <i x="900" s="1"/>
        <i x="611" s="1"/>
        <i x="700" s="1"/>
        <i x="796" s="1"/>
        <i x="695" s="1"/>
        <i x="546" s="1"/>
        <i x="998" s="1"/>
        <i x="234" s="1"/>
        <i x="688" s="1"/>
        <i x="332" s="1"/>
        <i x="238" s="1"/>
        <i x="374" s="1"/>
        <i x="1085" s="1"/>
        <i x="481" s="1"/>
        <i x="574" s="1"/>
        <i x="65" s="1"/>
        <i x="810" s="1"/>
        <i x="600" s="1"/>
        <i x="768" s="1"/>
        <i x="1020" s="1"/>
        <i x="771" s="1"/>
        <i x="341" s="1"/>
        <i x="1074" s="1"/>
        <i x="1019" s="1"/>
        <i x="980" s="1"/>
        <i x="580" s="1"/>
        <i x="211" s="1"/>
        <i x="833" s="1"/>
        <i x="536" s="1"/>
        <i x="521" s="1"/>
        <i x="148" s="1"/>
        <i x="691" s="1"/>
        <i x="739" s="1"/>
        <i x="928" s="1"/>
        <i x="270" s="1"/>
        <i x="122" s="1"/>
        <i x="1067" s="1"/>
        <i x="741" s="1"/>
        <i x="794" s="1"/>
        <i x="985" s="1"/>
        <i x="677" s="1"/>
        <i x="619" s="1"/>
        <i x="662" s="1"/>
        <i x="1108" s="1"/>
        <i x="321" s="1"/>
        <i x="202" s="1"/>
        <i x="544" s="1"/>
        <i x="1029" s="1"/>
        <i x="248" s="1"/>
        <i x="494" s="1"/>
        <i x="1039" s="1"/>
        <i x="228" s="1"/>
        <i x="573" s="1"/>
        <i x="785" s="1"/>
        <i x="1072" s="1"/>
        <i x="727" s="1"/>
        <i x="497" s="1"/>
        <i x="530" s="1"/>
        <i x="563" s="1"/>
        <i x="474" s="1"/>
        <i x="24" s="1"/>
        <i x="609" s="1"/>
        <i x="713" s="1"/>
        <i x="1114" s="1"/>
        <i x="569" s="1"/>
        <i x="680" s="1"/>
        <i x="684" s="1"/>
        <i x="232" s="1"/>
        <i x="350" s="1"/>
        <i x="17" s="1"/>
        <i x="372" s="1"/>
        <i x="460" s="1"/>
        <i x="877" s="1"/>
        <i x="749" s="1"/>
        <i x="87" s="1"/>
        <i x="520" s="1"/>
        <i x="405" s="1"/>
        <i x="761" s="1"/>
        <i x="108" s="1"/>
        <i x="447" s="1"/>
        <i x="675" s="1"/>
        <i x="479" s="1"/>
        <i x="1104" s="1"/>
        <i x="924" s="1"/>
        <i x="645" s="1"/>
        <i x="85" s="1"/>
        <i x="822" s="1"/>
        <i x="423" s="1"/>
        <i x="813" s="1"/>
        <i x="168" s="1"/>
        <i x="368" s="1"/>
        <i x="240" s="1"/>
        <i x="855" s="1"/>
        <i x="897" s="1"/>
        <i x="995" s="1"/>
        <i x="613" s="1"/>
        <i x="656" s="1"/>
        <i x="1073" s="1"/>
        <i x="1012" s="1"/>
        <i x="172" s="1"/>
        <i x="687" s="1"/>
        <i x="1103" s="1"/>
        <i x="312" s="1"/>
        <i x="52" s="1"/>
        <i x="323" s="1"/>
        <i x="965" s="1"/>
        <i x="863" s="1"/>
        <i x="989" s="1"/>
        <i x="637" s="1"/>
        <i x="327" s="1"/>
        <i x="898" s="1"/>
        <i x="291" s="1"/>
        <i x="575" s="1"/>
        <i x="491" s="1"/>
        <i x="16" s="1"/>
        <i x="369" s="1"/>
        <i x="370" s="1"/>
        <i x="581" s="1"/>
        <i x="1046" s="1"/>
        <i x="462" s="1"/>
        <i x="553" s="1"/>
        <i x="116" s="1"/>
        <i x="488" s="1"/>
        <i x="1116" s="1"/>
        <i x="808" s="1"/>
        <i x="42" s="1"/>
        <i x="545" s="1"/>
        <i x="805" s="1"/>
        <i x="225" s="1"/>
        <i x="1111" s="1"/>
        <i x="837" s="1"/>
        <i x="1055" s="1"/>
        <i x="832" s="1"/>
        <i x="1083" s="1"/>
        <i x="1086" s="1"/>
        <i x="12" s="1"/>
        <i x="806" s="1"/>
        <i x="887" s="1"/>
        <i x="324" s="1"/>
        <i x="638" s="1"/>
        <i x="191" s="1"/>
        <i x="576" s="1"/>
        <i x="604" s="1"/>
        <i x="940" s="1"/>
        <i x="111" s="1"/>
        <i x="203" s="1"/>
        <i x="47" s="1"/>
        <i x="1006" s="1"/>
        <i x="1064" s="1"/>
        <i x="302" s="1"/>
        <i x="864" s="1"/>
        <i x="958" s="1"/>
        <i x="464" s="1"/>
        <i x="471" s="1"/>
        <i x="915" s="1"/>
        <i x="82" s="1"/>
        <i x="205" s="1"/>
        <i x="118" s="1"/>
        <i x="33" s="1"/>
        <i x="510" s="1"/>
        <i x="149" s="1"/>
        <i x="508" s="1"/>
        <i x="1" s="1"/>
        <i x="419" s="1"/>
        <i x="102" s="1"/>
        <i x="847" s="1"/>
        <i x="554" s="1"/>
        <i x="77" s="1"/>
        <i x="144" s="1"/>
        <i x="531" s="1"/>
        <i x="991" s="1"/>
        <i x="91" s="1"/>
        <i x="378" s="1"/>
        <i x="556" s="1"/>
        <i x="300" s="1"/>
        <i x="164" s="1"/>
        <i x="415" s="1"/>
        <i x="745" s="1"/>
        <i x="886" s="1"/>
        <i x="311" s="1"/>
        <i x="981" s="1"/>
        <i x="110" s="1"/>
        <i x="80" s="1"/>
        <i x="528" s="1"/>
        <i x="366" s="1"/>
        <i x="58" s="1"/>
        <i x="744" s="1"/>
        <i x="549" s="1"/>
        <i x="782" s="1"/>
        <i x="113" s="1"/>
        <i x="1018" s="1"/>
        <i x="281" s="1"/>
        <i x="384" s="1"/>
        <i x="826" s="1"/>
        <i x="1109" s="1"/>
        <i x="88" s="1"/>
        <i x="255" s="1"/>
        <i x="5" s="1"/>
        <i x="20" s="1"/>
        <i x="128" s="1"/>
        <i x="197" s="1"/>
        <i x="623" s="1"/>
        <i x="634" s="1"/>
        <i x="986" s="1"/>
        <i x="721" s="1"/>
        <i x="814" s="1"/>
        <i x="1061" s="1"/>
        <i x="615" s="1"/>
        <i x="851" s="1"/>
        <i x="221" s="1"/>
        <i x="945" s="1"/>
        <i x="280" s="1"/>
        <i x="1066" s="1"/>
        <i x="552" s="1"/>
        <i x="1076" s="1"/>
        <i x="715" s="1"/>
        <i x="121" s="1"/>
        <i x="67" s="1"/>
        <i x="827" s="1"/>
        <i x="37" s="1"/>
        <i x="639" s="1"/>
        <i x="899" s="1"/>
        <i x="427" s="1"/>
        <i x="572" s="1"/>
        <i x="507" s="1"/>
        <i x="269" s="1"/>
        <i x="702" s="1"/>
        <i x="966" s="1"/>
        <i x="358" s="1"/>
        <i x="392" s="1"/>
        <i x="1052" s="1"/>
        <i x="526" s="1"/>
        <i x="823" s="1"/>
        <i x="15" s="1"/>
        <i x="537" s="1"/>
        <i x="241" s="1"/>
        <i x="595" s="1"/>
        <i x="1117" s="1"/>
        <i x="717" s="1"/>
        <i x="466" s="1"/>
        <i x="890" s="1"/>
        <i x="754" s="1"/>
        <i x="305" s="1"/>
        <i x="233" s="1"/>
        <i x="154" s="1"/>
        <i x="204" s="1"/>
        <i x="473" s="1"/>
        <i x="1078" s="1"/>
        <i x="950" s="1"/>
        <i x="250" s="1"/>
        <i x="949" s="1"/>
        <i x="319" s="1"/>
        <i x="946" s="1"/>
        <i x="596" s="1"/>
        <i x="114" s="1"/>
        <i x="758" s="1"/>
        <i x="1082" s="1"/>
        <i x="1129" s="1"/>
        <i x="57" s="1"/>
        <i x="996" s="1"/>
        <i x="1002" s="1"/>
        <i x="501" s="1"/>
        <i x="631" s="1"/>
        <i x="355" s="1"/>
        <i x="1017" s="1"/>
        <i x="870" s="1"/>
        <i x="429" s="1"/>
        <i x="627" s="1"/>
        <i x="993" s="1"/>
        <i x="196" s="1"/>
        <i x="131" s="1"/>
        <i x="972" s="1"/>
        <i x="13" s="1"/>
        <i x="910" s="1"/>
        <i x="352" s="1"/>
        <i x="329" s="1"/>
        <i x="89" s="1"/>
        <i x="994" s="1"/>
        <i x="1092" s="1"/>
        <i x="1010" s="1"/>
        <i x="929" s="1"/>
        <i x="179" s="1"/>
        <i x="4" s="1"/>
        <i x="359" s="1"/>
        <i x="999" s="1"/>
        <i x="777" s="1"/>
        <i x="665" s="1"/>
        <i x="696" s="1"/>
        <i x="32" s="1"/>
        <i x="478" s="1"/>
        <i x="223" s="1"/>
        <i x="857" s="1"/>
        <i x="819" s="1"/>
        <i x="151" s="1"/>
        <i x="310" s="1"/>
        <i x="143" s="1"/>
        <i x="8" s="1"/>
        <i x="797" s="1"/>
        <i x="367" s="1"/>
        <i x="617" s="1"/>
        <i x="676" s="1"/>
        <i x="1005" s="1"/>
        <i x="297" s="1"/>
        <i x="906" s="1"/>
        <i x="801" s="1"/>
        <i x="789" s="1"/>
        <i x="109" s="1"/>
        <i x="133" s="1"/>
        <i x="584" s="1"/>
        <i x="592" s="1"/>
        <i x="932" s="1"/>
        <i x="174" s="1"/>
        <i x="674" s="1"/>
        <i x="472" s="1"/>
        <i x="348" s="1"/>
        <i x="48" s="1"/>
        <i x="935" s="1"/>
        <i x="476" s="1"/>
        <i x="84" s="1"/>
        <i x="413" s="1"/>
        <i x="417" s="1"/>
        <i x="632" s="1"/>
        <i x="186" s="1"/>
        <i x="669" s="1"/>
        <i x="26" s="1"/>
        <i x="766" s="1"/>
        <i x="594" s="1"/>
        <i x="86" s="1"/>
        <i x="842" s="1"/>
        <i x="439" s="1"/>
        <i x="436" s="1"/>
        <i x="1056" s="1"/>
        <i x="25" s="1"/>
        <i x="170" s="1"/>
        <i x="1070" s="1"/>
        <i x="839" s="1"/>
        <i x="650" s="1"/>
        <i x="1025" s="1"/>
        <i x="517" s="1"/>
        <i x="483" s="1"/>
        <i x="850" s="1"/>
        <i x="783" s="1"/>
        <i x="541" s="1"/>
        <i x="697" s="1"/>
        <i x="475" s="1"/>
        <i x="456" s="1"/>
        <i x="51" s="1"/>
        <i x="622" s="1"/>
        <i x="180" s="1"/>
        <i x="973" s="1"/>
        <i x="1084" s="1"/>
        <i x="347" s="1"/>
        <i x="314" s="1"/>
        <i x="800" s="1"/>
        <i x="43" s="1"/>
        <i x="879" s="1"/>
        <i x="846" s="1"/>
        <i x="50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D7FDC6E-78EF-4D64-88F7-E5535D329F40}" cache="Slicer_Region1" caption="Region" style="SlicerStyleLight6" rowHeight="225425"/>
  <slicer name="Ship Mode 1" xr10:uid="{6F213396-F83D-46EB-8EB1-90946A914A78}" cache="Slicer_Ship_Mode" caption="Ship Mode" style="SlicerStyleLight6" rowHeight="225425"/>
  <slicer name="Product Sub-Category 1" xr10:uid="{775C8D41-B6B0-4670-BC2C-BC7B6DA36EF0}" cache="Slicer_Product_Sub_Category" caption="Product Sub-Category" startItem="11" style="SlicerStyleLight6" rowHeight="225425"/>
  <slicer name="City 1" xr10:uid="{E4654057-8F74-4C53-B641-859EDF157E0A}" cache="Slicer_City" caption="City" startItem="348" style="SlicerStyleLight6" rowHeight="225425"/>
  <slicer name="Months 1" xr10:uid="{1394B8DD-F935-470A-AB8E-F779CFC72528}" cache="Slicer_Months" caption="Months" style="SlicerStyleLight6"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CD3D85B-83C9-4501-814B-390D1D1E8A31}" cache="Slicer_Region1" caption="Region"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2785E4B-604B-4B35-A7F0-159C717816FA}" cache="Slicer_Ship_Mode" caption="Ship Mode" rowHeight="22542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Sub-Category" xr10:uid="{61164300-B7C9-4689-AE83-9CFD22855BA4}" cache="Slicer_Product_Sub_Category" caption="Product Sub-Category"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9CC3B69E-EB92-41E1-8AD6-8EF9CEA572CE}" cache="Slicer_Months" caption="Months" rowHeight="22542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895A99E3-56A0-4A08-861E-D998D235DBC6}" cache="Slicer_Customer_Name" caption="Customer Name"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49D92D-33D9-414D-9FA3-E3457AAD38AB}" name="Table1" displayName="Table1" ref="A1:AD1953" totalsRowShown="0" headerRowDxfId="31" dataDxfId="30">
  <tableColumns count="30">
    <tableColumn id="1" xr3:uid="{9CC8B6AB-0359-424F-A482-2CD4FE091307}" name="Row ID" dataDxfId="29"/>
    <tableColumn id="2" xr3:uid="{F06F5C0B-2679-6C4C-A3D4-CCEC8EE045AB}" name="Order Priority" dataDxfId="28"/>
    <tableColumn id="3" xr3:uid="{A5841107-8A6E-FE4A-8B8C-10AE15DFE0A0}" name="Discount" dataDxfId="27"/>
    <tableColumn id="4" xr3:uid="{2AAD9DBF-5898-6C4C-971A-F5DFA7C532D4}" name="Unit Price" dataDxfId="26"/>
    <tableColumn id="5" xr3:uid="{FB256205-1665-B448-93F5-FAC8D504731A}" name="Shipping Cost" dataDxfId="25"/>
    <tableColumn id="6" xr3:uid="{B257D233-CFE2-FC49-B553-56FFEBA27516}" name="Customer ID" dataDxfId="24"/>
    <tableColumn id="33" xr3:uid="{90A4A0DD-EC65-744C-80CD-EA514D59CA63}" name="Repeat Customers" dataDxfId="23">
      <calculatedColumnFormula>IF(COUNTIF(Table1[Customer ID],Table1[[#This Row],[Customer ID]])&gt;1,"Repeat Customer","One-Time Customer")</calculatedColumnFormula>
    </tableColumn>
    <tableColumn id="7" xr3:uid="{F88E3027-BB5A-8C43-82BF-73BC73EFF8CB}" name="Customer Name" dataDxfId="22"/>
    <tableColumn id="8" xr3:uid="{5D31AF65-AB70-4449-9F7F-05ABB0E771BA}" name="Ship Mode" dataDxfId="21"/>
    <tableColumn id="9" xr3:uid="{BF078D56-75A1-2847-9FDF-B1C2814750D2}" name="Customer Segment" dataDxfId="20"/>
    <tableColumn id="10" xr3:uid="{50D6BC02-E6DB-2A40-B93F-30C84F789237}" name="Product Category" dataDxfId="19"/>
    <tableColumn id="11" xr3:uid="{6EB13E21-882D-604E-B4EC-B7E394908AA6}" name="Product Sub-Category" dataDxfId="18"/>
    <tableColumn id="12" xr3:uid="{4041B1F3-E3D8-9F4D-9CEA-2E9C0359B7AF}" name="Product Container" dataDxfId="17"/>
    <tableColumn id="13" xr3:uid="{7F5BDEF1-D88D-8943-A17B-3BA742AD622E}" name="Product Name" dataDxfId="16"/>
    <tableColumn id="14" xr3:uid="{B9D46AE3-7106-0141-A02B-7016DBA65964}" name="Product Base Margin" dataDxfId="15"/>
    <tableColumn id="32" xr3:uid="{0C243729-371E-1B4E-8727-3990D266619B}" name="Profit Margin" dataDxfId="14">
      <calculatedColumnFormula>Table1[[#This Row],[Profit]]/Table1[[#This Row],[Sales]]</calculatedColumnFormula>
    </tableColumn>
    <tableColumn id="15" xr3:uid="{63365DB6-B303-CD4E-8D8A-71CFE7D24826}" name="Country" dataDxfId="13"/>
    <tableColumn id="16" xr3:uid="{4383D1EE-F833-9D42-AAF5-961CCF0FB505}" name="Region" dataDxfId="12"/>
    <tableColumn id="17" xr3:uid="{E7FF9D3D-65A3-D849-8D70-CA299E3A5EF8}" name="State or Province" dataDxfId="11"/>
    <tableColumn id="18" xr3:uid="{9C279048-E7A9-2546-8554-468DEB76FDD5}" name="City" dataDxfId="10"/>
    <tableColumn id="19" xr3:uid="{67444D17-3389-6D46-8468-6949823ED204}" name="Postal Code" dataDxfId="9"/>
    <tableColumn id="20" xr3:uid="{025D264C-BBAF-2847-88C2-41DD5802CE70}" name="Order Date" dataDxfId="8"/>
    <tableColumn id="29" xr3:uid="{CCDD62A5-FBDB-9444-AB84-DD04B2EFA43E}" name="Order Month" dataDxfId="7">
      <calculatedColumnFormula>TEXT(Table1[[#This Row],[Order Date]],"mmmm")</calculatedColumnFormula>
    </tableColumn>
    <tableColumn id="31" xr3:uid="{870AF2DD-7F2A-B74F-83CA-525AE3132618}" name="Order Year" dataDxfId="6">
      <calculatedColumnFormula>TEXT(Table1[[#This Row],[Order Date]],"yyyy")</calculatedColumnFormula>
    </tableColumn>
    <tableColumn id="21" xr3:uid="{00C058F8-CBED-9644-8966-D5F6473DD0CA}" name="Ship Date" dataDxfId="5"/>
    <tableColumn id="22" xr3:uid="{2BF13824-83E0-D249-8A51-CC161CB87222}" name="Profit" dataDxfId="4"/>
    <tableColumn id="23" xr3:uid="{31F431F8-02FC-EF4F-B007-4E7A4E53136C}" name="Quantity ordered new" dataDxfId="3"/>
    <tableColumn id="24" xr3:uid="{A3093BF7-C493-E442-9A5E-A12206FC4975}" name="Sales" dataDxfId="2"/>
    <tableColumn id="25" xr3:uid="{86B72BB7-A001-1E4E-A3F0-3BC652D08C0C}" name="Order ID" dataDxfId="1"/>
    <tableColumn id="26" xr3:uid="{32D01CD4-342F-C948-A8FF-DF45AE400975}" name="Return Status" dataDxfId="0">
      <calculatedColumnFormula>IF(COUNTIF(Returns!$A$2:$A$1635,Orders!AC2)&gt;0,"Returned","Not Returned")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70114-AA12-8447-8D4F-15B3009013E6}">
  <dimension ref="A1"/>
  <sheetViews>
    <sheetView zoomScale="40" zoomScaleNormal="40" workbookViewId="0">
      <selection activeCell="AO36" sqref="AO36"/>
    </sheetView>
  </sheetViews>
  <sheetFormatPr defaultColWidth="11" defaultRowHeight="12.75" x14ac:dyDescent="0.2"/>
  <cols>
    <col min="1" max="1" width="4.140625" style="14" customWidth="1"/>
    <col min="2" max="2" width="5" style="14" customWidth="1"/>
    <col min="3" max="16384" width="11"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D6A65-8BA9-431B-9B64-9636599D7504}">
  <dimension ref="A3:B11"/>
  <sheetViews>
    <sheetView workbookViewId="0">
      <selection activeCell="A11" sqref="A11"/>
    </sheetView>
  </sheetViews>
  <sheetFormatPr defaultRowHeight="12.75" x14ac:dyDescent="0.2"/>
  <cols>
    <col min="1" max="1" width="15.140625" bestFit="1" customWidth="1"/>
    <col min="2" max="2" width="14.42578125" bestFit="1" customWidth="1"/>
  </cols>
  <sheetData>
    <row r="3" spans="1:2" x14ac:dyDescent="0.2">
      <c r="A3" s="15" t="s">
        <v>3037</v>
      </c>
      <c r="B3" t="s">
        <v>3036</v>
      </c>
    </row>
    <row r="4" spans="1:2" x14ac:dyDescent="0.2">
      <c r="A4" s="16" t="s">
        <v>61</v>
      </c>
      <c r="B4" s="17">
        <v>448284.7</v>
      </c>
    </row>
    <row r="5" spans="1:2" x14ac:dyDescent="0.2">
      <c r="A5" s="16" t="s">
        <v>53</v>
      </c>
      <c r="B5" s="17">
        <v>592171.48999999964</v>
      </c>
    </row>
    <row r="6" spans="1:2" x14ac:dyDescent="0.2">
      <c r="A6" s="16" t="s">
        <v>136</v>
      </c>
      <c r="B6" s="17">
        <v>357105.12000000011</v>
      </c>
    </row>
    <row r="7" spans="1:2" x14ac:dyDescent="0.2">
      <c r="A7" s="16" t="s">
        <v>34</v>
      </c>
      <c r="B7" s="17">
        <v>526776.56999999995</v>
      </c>
    </row>
    <row r="8" spans="1:2" x14ac:dyDescent="0.2">
      <c r="A8" s="16" t="s">
        <v>3044</v>
      </c>
      <c r="B8" s="17">
        <v>1924337.88</v>
      </c>
    </row>
    <row r="11" spans="1:2" x14ac:dyDescent="0.2">
      <c r="A11" s="20">
        <f>GETPIVOTDATA("Sales",$A$3)</f>
        <v>1924337.88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016C6-827E-4ABE-8919-E859294B0CAF}">
  <dimension ref="A3:B12"/>
  <sheetViews>
    <sheetView workbookViewId="0">
      <selection activeCell="A12" sqref="A12"/>
    </sheetView>
  </sheetViews>
  <sheetFormatPr defaultRowHeight="12.75" x14ac:dyDescent="0.2"/>
  <cols>
    <col min="1" max="1" width="15.140625" bestFit="1" customWidth="1"/>
    <col min="2" max="2" width="14.42578125" bestFit="1" customWidth="1"/>
  </cols>
  <sheetData>
    <row r="3" spans="1:2" x14ac:dyDescent="0.2">
      <c r="A3" s="15" t="s">
        <v>3037</v>
      </c>
      <c r="B3" t="s">
        <v>3036</v>
      </c>
    </row>
    <row r="4" spans="1:2" x14ac:dyDescent="0.2">
      <c r="A4" s="16" t="s">
        <v>39</v>
      </c>
      <c r="B4" s="17">
        <v>789235.4600000002</v>
      </c>
    </row>
    <row r="5" spans="1:2" x14ac:dyDescent="0.2">
      <c r="A5" s="16" t="s">
        <v>27</v>
      </c>
      <c r="B5" s="17">
        <v>145050.22000000009</v>
      </c>
    </row>
    <row r="6" spans="1:2" x14ac:dyDescent="0.2">
      <c r="A6" s="16" t="s">
        <v>49</v>
      </c>
      <c r="B6" s="17">
        <v>990052.19999999902</v>
      </c>
    </row>
    <row r="7" spans="1:2" x14ac:dyDescent="0.2">
      <c r="A7" s="16" t="s">
        <v>3044</v>
      </c>
      <c r="B7" s="17">
        <v>1924337.8799999994</v>
      </c>
    </row>
    <row r="12" spans="1:2" x14ac:dyDescent="0.2">
      <c r="A12" s="21">
        <f>GETPIVOTDATA("Sales",$A$3)</f>
        <v>1924337.8799999994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5740-56BA-4A98-A9BD-918BF1758324}">
  <dimension ref="A3:B23"/>
  <sheetViews>
    <sheetView workbookViewId="0">
      <selection activeCell="D23" sqref="D23"/>
    </sheetView>
  </sheetViews>
  <sheetFormatPr defaultRowHeight="12.75" x14ac:dyDescent="0.2"/>
  <cols>
    <col min="1" max="1" width="29.28515625" bestFit="1" customWidth="1"/>
    <col min="2" max="2" width="14.42578125" bestFit="1" customWidth="1"/>
  </cols>
  <sheetData>
    <row r="3" spans="1:2" x14ac:dyDescent="0.2">
      <c r="A3" s="15" t="s">
        <v>3037</v>
      </c>
      <c r="B3" t="s">
        <v>3036</v>
      </c>
    </row>
    <row r="4" spans="1:2" x14ac:dyDescent="0.2">
      <c r="A4" s="16" t="s">
        <v>257</v>
      </c>
      <c r="B4" s="17">
        <v>82201.149999999965</v>
      </c>
    </row>
    <row r="5" spans="1:2" x14ac:dyDescent="0.2">
      <c r="A5" s="16" t="s">
        <v>109</v>
      </c>
      <c r="B5" s="17">
        <v>185928.13999999987</v>
      </c>
    </row>
    <row r="6" spans="1:2" x14ac:dyDescent="0.2">
      <c r="A6" s="16" t="s">
        <v>191</v>
      </c>
      <c r="B6" s="17">
        <v>107796.09</v>
      </c>
    </row>
    <row r="7" spans="1:2" x14ac:dyDescent="0.2">
      <c r="A7" s="16" t="s">
        <v>42</v>
      </c>
      <c r="B7" s="17">
        <v>261072.73</v>
      </c>
    </row>
    <row r="8" spans="1:2" x14ac:dyDescent="0.2">
      <c r="A8" s="16" t="s">
        <v>180</v>
      </c>
      <c r="B8" s="17">
        <v>96261.300000000032</v>
      </c>
    </row>
    <row r="9" spans="1:2" x14ac:dyDescent="0.2">
      <c r="A9" s="16" t="s">
        <v>587</v>
      </c>
      <c r="B9" s="17">
        <v>99069.479999999981</v>
      </c>
    </row>
    <row r="10" spans="1:2" x14ac:dyDescent="0.2">
      <c r="A10" s="16" t="s">
        <v>69</v>
      </c>
      <c r="B10" s="17">
        <v>10479.769999999999</v>
      </c>
    </row>
    <row r="11" spans="1:2" x14ac:dyDescent="0.2">
      <c r="A11" s="16" t="s">
        <v>134</v>
      </c>
      <c r="B11" s="17">
        <v>4914.8199999999988</v>
      </c>
    </row>
    <row r="12" spans="1:2" x14ac:dyDescent="0.2">
      <c r="A12" s="16" t="s">
        <v>50</v>
      </c>
      <c r="B12" s="17">
        <v>98070.91</v>
      </c>
    </row>
    <row r="13" spans="1:2" x14ac:dyDescent="0.2">
      <c r="A13" s="16" t="s">
        <v>85</v>
      </c>
      <c r="B13" s="17">
        <v>318169.67999999993</v>
      </c>
    </row>
    <row r="14" spans="1:2" x14ac:dyDescent="0.2">
      <c r="A14" s="16" t="s">
        <v>93</v>
      </c>
      <c r="B14" s="17">
        <v>55813.920000000042</v>
      </c>
    </row>
    <row r="15" spans="1:2" x14ac:dyDescent="0.2">
      <c r="A15" s="16" t="s">
        <v>30</v>
      </c>
      <c r="B15" s="17">
        <v>26071.61</v>
      </c>
    </row>
    <row r="16" spans="1:2" x14ac:dyDescent="0.2">
      <c r="A16" s="16" t="s">
        <v>66</v>
      </c>
      <c r="B16" s="17">
        <v>1789.43</v>
      </c>
    </row>
    <row r="17" spans="1:2" x14ac:dyDescent="0.2">
      <c r="A17" s="16" t="s">
        <v>174</v>
      </c>
      <c r="B17" s="17">
        <v>6752.1800000000021</v>
      </c>
    </row>
    <row r="18" spans="1:2" x14ac:dyDescent="0.2">
      <c r="A18" s="16" t="s">
        <v>141</v>
      </c>
      <c r="B18" s="17">
        <v>177417.59999999992</v>
      </c>
    </row>
    <row r="19" spans="1:2" x14ac:dyDescent="0.2">
      <c r="A19" s="16" t="s">
        <v>152</v>
      </c>
      <c r="B19" s="17">
        <v>193764.58000000005</v>
      </c>
    </row>
    <row r="20" spans="1:2" x14ac:dyDescent="0.2">
      <c r="A20" s="16" t="s">
        <v>78</v>
      </c>
      <c r="B20" s="17">
        <v>198764.49000000008</v>
      </c>
    </row>
    <row r="21" spans="1:2" x14ac:dyDescent="0.2">
      <c r="A21" s="16" t="s">
        <v>3044</v>
      </c>
      <c r="B21" s="17">
        <v>1924337.8799999997</v>
      </c>
    </row>
    <row r="23" spans="1:2" x14ac:dyDescent="0.2">
      <c r="B23" s="21">
        <f>GETPIVOTDATA("Sales",$A$3)</f>
        <v>1924337.8799999997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2DFF-58E9-42F2-9B74-42778F9C2622}">
  <dimension ref="A3:B10"/>
  <sheetViews>
    <sheetView workbookViewId="0">
      <selection activeCell="G12" sqref="G12"/>
    </sheetView>
  </sheetViews>
  <sheetFormatPr defaultRowHeight="12.75" x14ac:dyDescent="0.2"/>
  <cols>
    <col min="1" max="1" width="15.140625" bestFit="1" customWidth="1"/>
    <col min="2" max="2" width="14.42578125" bestFit="1" customWidth="1"/>
  </cols>
  <sheetData>
    <row r="3" spans="1:2" x14ac:dyDescent="0.2">
      <c r="A3" s="15" t="s">
        <v>3037</v>
      </c>
      <c r="B3" t="s">
        <v>3036</v>
      </c>
    </row>
    <row r="4" spans="1:2" x14ac:dyDescent="0.2">
      <c r="A4" s="16" t="s">
        <v>3038</v>
      </c>
      <c r="B4" s="17">
        <v>274766.92000000016</v>
      </c>
    </row>
    <row r="5" spans="1:2" x14ac:dyDescent="0.2">
      <c r="A5" s="16" t="s">
        <v>3039</v>
      </c>
      <c r="B5" s="17">
        <v>326101.46999999997</v>
      </c>
    </row>
    <row r="6" spans="1:2" x14ac:dyDescent="0.2">
      <c r="A6" s="16" t="s">
        <v>3040</v>
      </c>
      <c r="B6" s="17">
        <v>271696.67000000016</v>
      </c>
    </row>
    <row r="7" spans="1:2" x14ac:dyDescent="0.2">
      <c r="A7" s="16" t="s">
        <v>3041</v>
      </c>
      <c r="B7" s="17">
        <v>389831.94999999978</v>
      </c>
    </row>
    <row r="8" spans="1:2" x14ac:dyDescent="0.2">
      <c r="A8" s="16" t="s">
        <v>3042</v>
      </c>
      <c r="B8" s="17">
        <v>306572.06999999977</v>
      </c>
    </row>
    <row r="9" spans="1:2" x14ac:dyDescent="0.2">
      <c r="A9" s="16" t="s">
        <v>3043</v>
      </c>
      <c r="B9" s="17">
        <v>355368.79999999964</v>
      </c>
    </row>
    <row r="10" spans="1:2" x14ac:dyDescent="0.2">
      <c r="A10" s="16" t="s">
        <v>3044</v>
      </c>
      <c r="B10" s="17">
        <v>1924337.8799999994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221D-9B17-4558-8B2A-6537D18B75EC}">
  <dimension ref="A3:E1134"/>
  <sheetViews>
    <sheetView workbookViewId="0">
      <selection activeCell="E22" sqref="E22"/>
    </sheetView>
  </sheetViews>
  <sheetFormatPr defaultRowHeight="12.75" x14ac:dyDescent="0.2"/>
  <cols>
    <col min="1" max="1" width="26" bestFit="1" customWidth="1"/>
    <col min="2" max="2" width="14.42578125" bestFit="1" customWidth="1"/>
    <col min="3" max="3" width="22.7109375" bestFit="1" customWidth="1"/>
  </cols>
  <sheetData>
    <row r="3" spans="1:5" x14ac:dyDescent="0.2">
      <c r="A3" s="15" t="s">
        <v>3037</v>
      </c>
      <c r="B3" t="s">
        <v>3036</v>
      </c>
    </row>
    <row r="4" spans="1:5" x14ac:dyDescent="0.2">
      <c r="A4" s="16" t="s">
        <v>1634</v>
      </c>
      <c r="B4" s="17">
        <v>710.16</v>
      </c>
      <c r="D4" s="16"/>
      <c r="E4" s="17"/>
    </row>
    <row r="5" spans="1:5" x14ac:dyDescent="0.2">
      <c r="A5" s="16" t="s">
        <v>1419</v>
      </c>
      <c r="B5" s="17">
        <v>18.34</v>
      </c>
      <c r="D5" s="16"/>
      <c r="E5" s="17"/>
    </row>
    <row r="6" spans="1:5" x14ac:dyDescent="0.2">
      <c r="A6" s="16" t="s">
        <v>626</v>
      </c>
      <c r="B6" s="17">
        <v>3598.26</v>
      </c>
      <c r="D6" s="16"/>
      <c r="E6" s="17"/>
    </row>
    <row r="7" spans="1:5" x14ac:dyDescent="0.2">
      <c r="A7" s="16" t="s">
        <v>3017</v>
      </c>
      <c r="B7" s="17">
        <v>894.64</v>
      </c>
      <c r="D7" s="16"/>
      <c r="E7" s="17"/>
    </row>
    <row r="8" spans="1:5" x14ac:dyDescent="0.2">
      <c r="A8" s="16" t="s">
        <v>831</v>
      </c>
      <c r="B8" s="17">
        <v>1638.5</v>
      </c>
      <c r="D8" s="16"/>
      <c r="E8" s="17"/>
    </row>
    <row r="9" spans="1:5" x14ac:dyDescent="0.2">
      <c r="A9" s="16" t="s">
        <v>1395</v>
      </c>
      <c r="B9" s="17">
        <v>48.3</v>
      </c>
      <c r="D9" s="16"/>
      <c r="E9" s="17"/>
    </row>
    <row r="10" spans="1:5" x14ac:dyDescent="0.2">
      <c r="A10" s="16" t="s">
        <v>796</v>
      </c>
      <c r="B10" s="17">
        <v>485.01</v>
      </c>
      <c r="D10" s="16"/>
      <c r="E10" s="17"/>
    </row>
    <row r="11" spans="1:5" x14ac:dyDescent="0.2">
      <c r="A11" s="16" t="s">
        <v>1055</v>
      </c>
      <c r="B11" s="17">
        <v>396.19</v>
      </c>
      <c r="D11" s="16"/>
      <c r="E11" s="17"/>
    </row>
    <row r="12" spans="1:5" x14ac:dyDescent="0.2">
      <c r="A12" s="16" t="s">
        <v>1801</v>
      </c>
      <c r="B12" s="17">
        <v>1338.6</v>
      </c>
      <c r="D12" s="16"/>
      <c r="E12" s="17"/>
    </row>
    <row r="13" spans="1:5" x14ac:dyDescent="0.2">
      <c r="A13" s="16" t="s">
        <v>279</v>
      </c>
      <c r="B13" s="17">
        <v>267.89</v>
      </c>
      <c r="D13" s="16"/>
      <c r="E13" s="17"/>
    </row>
    <row r="14" spans="1:5" x14ac:dyDescent="0.2">
      <c r="A14" s="16" t="s">
        <v>1257</v>
      </c>
      <c r="B14" s="17">
        <v>191.68</v>
      </c>
      <c r="D14" s="16"/>
      <c r="E14" s="17"/>
    </row>
    <row r="15" spans="1:5" x14ac:dyDescent="0.2">
      <c r="A15" s="16" t="s">
        <v>1606</v>
      </c>
      <c r="B15" s="17">
        <v>205.76</v>
      </c>
      <c r="D15" s="16"/>
      <c r="E15" s="17"/>
    </row>
    <row r="16" spans="1:5" x14ac:dyDescent="0.2">
      <c r="A16" s="16" t="s">
        <v>2799</v>
      </c>
      <c r="B16" s="17">
        <v>5584.7</v>
      </c>
      <c r="D16" s="16"/>
      <c r="E16" s="17"/>
    </row>
    <row r="17" spans="1:5" x14ac:dyDescent="0.2">
      <c r="A17" s="16" t="s">
        <v>711</v>
      </c>
      <c r="B17" s="17">
        <v>116.8</v>
      </c>
      <c r="D17" s="16"/>
      <c r="E17" s="17"/>
    </row>
    <row r="18" spans="1:5" x14ac:dyDescent="0.2">
      <c r="A18" s="16" t="s">
        <v>2020</v>
      </c>
      <c r="B18" s="17">
        <v>33.65</v>
      </c>
      <c r="D18" s="16"/>
      <c r="E18" s="17"/>
    </row>
    <row r="19" spans="1:5" x14ac:dyDescent="0.2">
      <c r="A19" s="16" t="s">
        <v>2351</v>
      </c>
      <c r="B19" s="17">
        <v>10.72</v>
      </c>
      <c r="D19" s="16"/>
      <c r="E19" s="17"/>
    </row>
    <row r="20" spans="1:5" x14ac:dyDescent="0.2">
      <c r="A20" s="16" t="s">
        <v>1981</v>
      </c>
      <c r="B20" s="17">
        <v>10925.98</v>
      </c>
      <c r="D20" s="16"/>
      <c r="E20" s="17"/>
    </row>
    <row r="21" spans="1:5" x14ac:dyDescent="0.2">
      <c r="A21" s="16" t="s">
        <v>537</v>
      </c>
      <c r="B21" s="17">
        <v>952.26</v>
      </c>
      <c r="D21" s="16"/>
      <c r="E21" s="17"/>
    </row>
    <row r="22" spans="1:5" x14ac:dyDescent="0.2">
      <c r="A22" s="16" t="s">
        <v>640</v>
      </c>
      <c r="B22" s="17">
        <v>414.49</v>
      </c>
      <c r="D22" s="16"/>
      <c r="E22" s="17"/>
    </row>
    <row r="23" spans="1:5" x14ac:dyDescent="0.2">
      <c r="A23" s="16" t="s">
        <v>816</v>
      </c>
      <c r="B23" s="17">
        <v>49.81</v>
      </c>
      <c r="D23" s="16"/>
      <c r="E23" s="17"/>
    </row>
    <row r="24" spans="1:5" x14ac:dyDescent="0.2">
      <c r="A24" s="16" t="s">
        <v>2958</v>
      </c>
      <c r="B24" s="17">
        <v>881.94</v>
      </c>
      <c r="D24" s="16"/>
      <c r="E24" s="17"/>
    </row>
    <row r="25" spans="1:5" x14ac:dyDescent="0.2">
      <c r="A25" s="16" t="s">
        <v>2453</v>
      </c>
      <c r="B25" s="17">
        <v>1277.49</v>
      </c>
      <c r="D25" s="16"/>
      <c r="E25" s="17"/>
    </row>
    <row r="26" spans="1:5" x14ac:dyDescent="0.2">
      <c r="A26" s="16" t="s">
        <v>2549</v>
      </c>
      <c r="B26" s="17">
        <v>2956.6299999999997</v>
      </c>
      <c r="D26" s="16"/>
      <c r="E26" s="17"/>
    </row>
    <row r="27" spans="1:5" x14ac:dyDescent="0.2">
      <c r="A27" s="16" t="s">
        <v>720</v>
      </c>
      <c r="B27" s="17">
        <v>1494.63</v>
      </c>
      <c r="D27" s="16"/>
      <c r="E27" s="17"/>
    </row>
    <row r="28" spans="1:5" x14ac:dyDescent="0.2">
      <c r="A28" s="16" t="s">
        <v>2827</v>
      </c>
      <c r="B28" s="17">
        <v>2353.5500000000002</v>
      </c>
      <c r="D28" s="16"/>
      <c r="E28" s="17"/>
    </row>
    <row r="29" spans="1:5" x14ac:dyDescent="0.2">
      <c r="A29" s="16" t="s">
        <v>1521</v>
      </c>
      <c r="B29" s="17">
        <v>1455.1499999999999</v>
      </c>
      <c r="D29" s="16"/>
      <c r="E29" s="17"/>
    </row>
    <row r="30" spans="1:5" x14ac:dyDescent="0.2">
      <c r="A30" s="16" t="s">
        <v>2690</v>
      </c>
      <c r="B30" s="17">
        <v>379.72</v>
      </c>
      <c r="D30" s="16"/>
      <c r="E30" s="17"/>
    </row>
    <row r="31" spans="1:5" x14ac:dyDescent="0.2">
      <c r="A31" s="16" t="s">
        <v>360</v>
      </c>
      <c r="B31" s="17">
        <v>52.47</v>
      </c>
      <c r="D31" s="16"/>
      <c r="E31" s="17"/>
    </row>
    <row r="32" spans="1:5" x14ac:dyDescent="0.2">
      <c r="A32" s="16" t="s">
        <v>2530</v>
      </c>
      <c r="B32" s="17">
        <v>657.61</v>
      </c>
      <c r="D32" s="16"/>
      <c r="E32" s="17"/>
    </row>
    <row r="33" spans="1:5" x14ac:dyDescent="0.2">
      <c r="A33" s="16" t="s">
        <v>786</v>
      </c>
      <c r="B33" s="17">
        <v>1053.2</v>
      </c>
      <c r="D33" s="16"/>
      <c r="E33" s="17"/>
    </row>
    <row r="34" spans="1:5" x14ac:dyDescent="0.2">
      <c r="A34" s="16" t="s">
        <v>2126</v>
      </c>
      <c r="B34" s="17">
        <v>51.41</v>
      </c>
      <c r="D34" s="16"/>
      <c r="E34" s="17"/>
    </row>
    <row r="35" spans="1:5" x14ac:dyDescent="0.2">
      <c r="A35" s="16" t="s">
        <v>2876</v>
      </c>
      <c r="B35" s="17">
        <v>56.4</v>
      </c>
      <c r="D35" s="16"/>
      <c r="E35" s="17"/>
    </row>
    <row r="36" spans="1:5" x14ac:dyDescent="0.2">
      <c r="A36" s="16" t="s">
        <v>923</v>
      </c>
      <c r="B36" s="17">
        <v>94.89</v>
      </c>
      <c r="D36" s="16"/>
      <c r="E36" s="17"/>
    </row>
    <row r="37" spans="1:5" x14ac:dyDescent="0.2">
      <c r="A37" s="16" t="s">
        <v>341</v>
      </c>
      <c r="B37" s="17">
        <v>3762.9799999999996</v>
      </c>
      <c r="D37" s="16"/>
      <c r="E37" s="17"/>
    </row>
    <row r="38" spans="1:5" x14ac:dyDescent="0.2">
      <c r="A38" s="16" t="s">
        <v>1863</v>
      </c>
      <c r="B38" s="17">
        <v>8.34</v>
      </c>
      <c r="D38" s="16"/>
      <c r="E38" s="17"/>
    </row>
    <row r="39" spans="1:5" x14ac:dyDescent="0.2">
      <c r="A39" s="16" t="s">
        <v>2437</v>
      </c>
      <c r="B39" s="17">
        <v>2338.1799999999998</v>
      </c>
      <c r="D39" s="16"/>
      <c r="E39" s="17"/>
    </row>
    <row r="40" spans="1:5" x14ac:dyDescent="0.2">
      <c r="A40" s="16" t="s">
        <v>788</v>
      </c>
      <c r="B40" s="17">
        <v>159.73000000000002</v>
      </c>
      <c r="D40" s="16"/>
      <c r="E40" s="17"/>
    </row>
    <row r="41" spans="1:5" x14ac:dyDescent="0.2">
      <c r="A41" s="16" t="s">
        <v>2980</v>
      </c>
      <c r="B41" s="17">
        <v>384.22</v>
      </c>
      <c r="D41" s="16"/>
      <c r="E41" s="17"/>
    </row>
    <row r="42" spans="1:5" x14ac:dyDescent="0.2">
      <c r="A42" s="16" t="s">
        <v>3020</v>
      </c>
      <c r="B42" s="17">
        <v>9603.24</v>
      </c>
      <c r="D42" s="16"/>
      <c r="E42" s="17"/>
    </row>
    <row r="43" spans="1:5" x14ac:dyDescent="0.2">
      <c r="A43" s="16" t="s">
        <v>2632</v>
      </c>
      <c r="B43" s="17">
        <v>12417.560000000001</v>
      </c>
      <c r="D43" s="16"/>
      <c r="E43" s="17"/>
    </row>
    <row r="44" spans="1:5" x14ac:dyDescent="0.2">
      <c r="A44" s="16" t="s">
        <v>2779</v>
      </c>
      <c r="B44" s="17">
        <v>16792.21</v>
      </c>
      <c r="D44" s="16"/>
      <c r="E44" s="17"/>
    </row>
    <row r="45" spans="1:5" x14ac:dyDescent="0.2">
      <c r="A45" s="16" t="s">
        <v>2754</v>
      </c>
      <c r="B45" s="17">
        <v>251.06</v>
      </c>
      <c r="D45" s="16"/>
      <c r="E45" s="17"/>
    </row>
    <row r="46" spans="1:5" x14ac:dyDescent="0.2">
      <c r="A46" s="16" t="s">
        <v>494</v>
      </c>
      <c r="B46" s="17">
        <v>126.9</v>
      </c>
      <c r="D46" s="16"/>
      <c r="E46" s="17"/>
    </row>
    <row r="47" spans="1:5" x14ac:dyDescent="0.2">
      <c r="A47" s="16" t="s">
        <v>2871</v>
      </c>
      <c r="B47" s="17">
        <v>185.58</v>
      </c>
      <c r="D47" s="16"/>
      <c r="E47" s="17"/>
    </row>
    <row r="48" spans="1:5" x14ac:dyDescent="0.2">
      <c r="A48" s="16" t="s">
        <v>2110</v>
      </c>
      <c r="B48" s="17">
        <v>193.88</v>
      </c>
      <c r="D48" s="16"/>
      <c r="E48" s="17"/>
    </row>
    <row r="49" spans="1:5" x14ac:dyDescent="0.2">
      <c r="A49" s="16" t="s">
        <v>2818</v>
      </c>
      <c r="B49" s="17">
        <v>2902.14</v>
      </c>
      <c r="D49" s="16"/>
      <c r="E49" s="17"/>
    </row>
    <row r="50" spans="1:5" x14ac:dyDescent="0.2">
      <c r="A50" s="16" t="s">
        <v>1845</v>
      </c>
      <c r="B50" s="17">
        <v>11.35</v>
      </c>
      <c r="D50" s="16"/>
      <c r="E50" s="17"/>
    </row>
    <row r="51" spans="1:5" x14ac:dyDescent="0.2">
      <c r="A51" s="16" t="s">
        <v>771</v>
      </c>
      <c r="B51" s="17">
        <v>29.92</v>
      </c>
      <c r="D51" s="16"/>
      <c r="E51" s="17"/>
    </row>
    <row r="52" spans="1:5" x14ac:dyDescent="0.2">
      <c r="A52" s="16" t="s">
        <v>2759</v>
      </c>
      <c r="B52" s="17">
        <v>2779.6</v>
      </c>
      <c r="D52" s="16"/>
      <c r="E52" s="17"/>
    </row>
    <row r="53" spans="1:5" x14ac:dyDescent="0.2">
      <c r="A53" s="16" t="s">
        <v>1930</v>
      </c>
      <c r="B53" s="17">
        <v>65.69</v>
      </c>
      <c r="D53" s="18"/>
      <c r="E53" s="19"/>
    </row>
    <row r="54" spans="1:5" x14ac:dyDescent="0.2">
      <c r="A54" s="16" t="s">
        <v>2646</v>
      </c>
      <c r="B54" s="17">
        <v>7415.64</v>
      </c>
    </row>
    <row r="55" spans="1:5" x14ac:dyDescent="0.2">
      <c r="A55" s="16" t="s">
        <v>313</v>
      </c>
      <c r="B55" s="17">
        <v>236.80999999999997</v>
      </c>
    </row>
    <row r="56" spans="1:5" x14ac:dyDescent="0.2">
      <c r="A56" s="16" t="s">
        <v>558</v>
      </c>
      <c r="B56" s="17">
        <v>492.9</v>
      </c>
    </row>
    <row r="57" spans="1:5" x14ac:dyDescent="0.2">
      <c r="A57" s="16" t="s">
        <v>1349</v>
      </c>
      <c r="B57" s="17">
        <v>226.22</v>
      </c>
    </row>
    <row r="58" spans="1:5" x14ac:dyDescent="0.2">
      <c r="A58" s="16" t="s">
        <v>2420</v>
      </c>
      <c r="B58" s="17">
        <v>4500.72</v>
      </c>
    </row>
    <row r="59" spans="1:5" x14ac:dyDescent="0.2">
      <c r="A59" s="16" t="s">
        <v>148</v>
      </c>
      <c r="B59" s="17">
        <v>1400.53</v>
      </c>
    </row>
    <row r="60" spans="1:5" x14ac:dyDescent="0.2">
      <c r="A60" s="16" t="s">
        <v>3005</v>
      </c>
      <c r="B60" s="17">
        <v>308.28999999999996</v>
      </c>
    </row>
    <row r="61" spans="1:5" x14ac:dyDescent="0.2">
      <c r="A61" s="16" t="s">
        <v>2229</v>
      </c>
      <c r="B61" s="17">
        <v>53.42</v>
      </c>
    </row>
    <row r="62" spans="1:5" x14ac:dyDescent="0.2">
      <c r="A62" s="16" t="s">
        <v>2736</v>
      </c>
      <c r="B62" s="17">
        <v>4597.8900000000003</v>
      </c>
    </row>
    <row r="63" spans="1:5" x14ac:dyDescent="0.2">
      <c r="A63" s="16" t="s">
        <v>2005</v>
      </c>
      <c r="B63" s="17">
        <v>13424.37</v>
      </c>
    </row>
    <row r="64" spans="1:5" x14ac:dyDescent="0.2">
      <c r="A64" s="16" t="s">
        <v>2604</v>
      </c>
      <c r="B64" s="17">
        <v>1042.54</v>
      </c>
    </row>
    <row r="65" spans="1:2" x14ac:dyDescent="0.2">
      <c r="A65" s="16" t="s">
        <v>2721</v>
      </c>
      <c r="B65" s="17">
        <v>117.87</v>
      </c>
    </row>
    <row r="66" spans="1:2" x14ac:dyDescent="0.2">
      <c r="A66" s="16" t="s">
        <v>2430</v>
      </c>
      <c r="B66" s="17">
        <v>68.45</v>
      </c>
    </row>
    <row r="67" spans="1:2" x14ac:dyDescent="0.2">
      <c r="A67" s="16" t="s">
        <v>1329</v>
      </c>
      <c r="B67" s="17">
        <v>1634.67</v>
      </c>
    </row>
    <row r="68" spans="1:2" x14ac:dyDescent="0.2">
      <c r="A68" s="16" t="s">
        <v>2546</v>
      </c>
      <c r="B68" s="17">
        <v>3916.27</v>
      </c>
    </row>
    <row r="69" spans="1:2" x14ac:dyDescent="0.2">
      <c r="A69" s="16" t="s">
        <v>634</v>
      </c>
      <c r="B69" s="17">
        <v>323.78999999999996</v>
      </c>
    </row>
    <row r="70" spans="1:2" x14ac:dyDescent="0.2">
      <c r="A70" s="16" t="s">
        <v>1426</v>
      </c>
      <c r="B70" s="17">
        <v>119.29</v>
      </c>
    </row>
    <row r="71" spans="1:2" x14ac:dyDescent="0.2">
      <c r="A71" s="16" t="s">
        <v>2344</v>
      </c>
      <c r="B71" s="17">
        <v>12808.029999999999</v>
      </c>
    </row>
    <row r="72" spans="1:2" x14ac:dyDescent="0.2">
      <c r="A72" s="16" t="s">
        <v>1262</v>
      </c>
      <c r="B72" s="17">
        <v>110.75</v>
      </c>
    </row>
    <row r="73" spans="1:2" x14ac:dyDescent="0.2">
      <c r="A73" s="16" t="s">
        <v>2271</v>
      </c>
      <c r="B73" s="17">
        <v>1899.6399999999999</v>
      </c>
    </row>
    <row r="74" spans="1:2" x14ac:dyDescent="0.2">
      <c r="A74" s="16" t="s">
        <v>2175</v>
      </c>
      <c r="B74" s="17">
        <v>374.6</v>
      </c>
    </row>
    <row r="75" spans="1:2" x14ac:dyDescent="0.2">
      <c r="A75" s="16" t="s">
        <v>2525</v>
      </c>
      <c r="B75" s="17">
        <v>2591.09</v>
      </c>
    </row>
    <row r="76" spans="1:2" x14ac:dyDescent="0.2">
      <c r="A76" s="16" t="s">
        <v>2534</v>
      </c>
      <c r="B76" s="17">
        <v>120.81</v>
      </c>
    </row>
    <row r="77" spans="1:2" x14ac:dyDescent="0.2">
      <c r="A77" s="16" t="s">
        <v>980</v>
      </c>
      <c r="B77" s="17">
        <v>64.89</v>
      </c>
    </row>
    <row r="78" spans="1:2" x14ac:dyDescent="0.2">
      <c r="A78" s="16" t="s">
        <v>2893</v>
      </c>
      <c r="B78" s="17">
        <v>470.06</v>
      </c>
    </row>
    <row r="79" spans="1:2" x14ac:dyDescent="0.2">
      <c r="A79" s="16" t="s">
        <v>427</v>
      </c>
      <c r="B79" s="17">
        <v>89.76</v>
      </c>
    </row>
    <row r="80" spans="1:2" x14ac:dyDescent="0.2">
      <c r="A80" s="16" t="s">
        <v>809</v>
      </c>
      <c r="B80" s="17">
        <v>2737.4300000000003</v>
      </c>
    </row>
    <row r="81" spans="1:2" x14ac:dyDescent="0.2">
      <c r="A81" s="16" t="s">
        <v>461</v>
      </c>
      <c r="B81" s="17">
        <v>1714.93</v>
      </c>
    </row>
    <row r="82" spans="1:2" x14ac:dyDescent="0.2">
      <c r="A82" s="16" t="s">
        <v>2509</v>
      </c>
      <c r="B82" s="17">
        <v>31.96</v>
      </c>
    </row>
    <row r="83" spans="1:2" x14ac:dyDescent="0.2">
      <c r="A83" s="16" t="s">
        <v>1273</v>
      </c>
      <c r="B83" s="17">
        <v>266.95</v>
      </c>
    </row>
    <row r="84" spans="1:2" x14ac:dyDescent="0.2">
      <c r="A84" s="16" t="s">
        <v>2925</v>
      </c>
      <c r="B84" s="17">
        <v>52.09</v>
      </c>
    </row>
    <row r="85" spans="1:2" x14ac:dyDescent="0.2">
      <c r="A85" s="16" t="s">
        <v>1077</v>
      </c>
      <c r="B85" s="17">
        <v>120.12</v>
      </c>
    </row>
    <row r="86" spans="1:2" x14ac:dyDescent="0.2">
      <c r="A86" s="16" t="s">
        <v>2621</v>
      </c>
      <c r="B86" s="17">
        <v>2306.12</v>
      </c>
    </row>
    <row r="87" spans="1:2" x14ac:dyDescent="0.2">
      <c r="A87" s="16" t="s">
        <v>421</v>
      </c>
      <c r="B87" s="17">
        <v>43.08</v>
      </c>
    </row>
    <row r="88" spans="1:2" x14ac:dyDescent="0.2">
      <c r="A88" s="16" t="s">
        <v>2465</v>
      </c>
      <c r="B88" s="17">
        <v>541.13</v>
      </c>
    </row>
    <row r="89" spans="1:2" x14ac:dyDescent="0.2">
      <c r="A89" s="16" t="s">
        <v>2643</v>
      </c>
      <c r="B89" s="17">
        <v>2125.12</v>
      </c>
    </row>
    <row r="90" spans="1:2" x14ac:dyDescent="0.2">
      <c r="A90" s="16" t="s">
        <v>1241</v>
      </c>
      <c r="B90" s="17">
        <v>101.73</v>
      </c>
    </row>
    <row r="91" spans="1:2" x14ac:dyDescent="0.2">
      <c r="A91" s="16" t="s">
        <v>2134</v>
      </c>
      <c r="B91" s="17">
        <v>91.92</v>
      </c>
    </row>
    <row r="92" spans="1:2" x14ac:dyDescent="0.2">
      <c r="A92" s="16" t="s">
        <v>894</v>
      </c>
      <c r="B92" s="17">
        <v>92.96</v>
      </c>
    </row>
    <row r="93" spans="1:2" x14ac:dyDescent="0.2">
      <c r="A93" s="16" t="s">
        <v>2187</v>
      </c>
      <c r="B93" s="17">
        <v>2814.94</v>
      </c>
    </row>
    <row r="94" spans="1:2" x14ac:dyDescent="0.2">
      <c r="A94" s="16" t="s">
        <v>1298</v>
      </c>
      <c r="B94" s="17">
        <v>1125.76</v>
      </c>
    </row>
    <row r="95" spans="1:2" x14ac:dyDescent="0.2">
      <c r="A95" s="16" t="s">
        <v>1473</v>
      </c>
      <c r="B95" s="17">
        <v>653.81999999999994</v>
      </c>
    </row>
    <row r="96" spans="1:2" x14ac:dyDescent="0.2">
      <c r="A96" s="16" t="s">
        <v>2450</v>
      </c>
      <c r="B96" s="17">
        <v>4542.16</v>
      </c>
    </row>
    <row r="97" spans="1:2" x14ac:dyDescent="0.2">
      <c r="A97" s="16" t="s">
        <v>2649</v>
      </c>
      <c r="B97" s="17">
        <v>920.56</v>
      </c>
    </row>
    <row r="98" spans="1:2" x14ac:dyDescent="0.2">
      <c r="A98" s="16" t="s">
        <v>1117</v>
      </c>
      <c r="B98" s="17">
        <v>650.70000000000005</v>
      </c>
    </row>
    <row r="99" spans="1:2" x14ac:dyDescent="0.2">
      <c r="A99" s="16" t="s">
        <v>855</v>
      </c>
      <c r="B99" s="17">
        <v>100.38</v>
      </c>
    </row>
    <row r="100" spans="1:2" x14ac:dyDescent="0.2">
      <c r="A100" s="16" t="s">
        <v>2258</v>
      </c>
      <c r="B100" s="17">
        <v>904.31</v>
      </c>
    </row>
    <row r="101" spans="1:2" x14ac:dyDescent="0.2">
      <c r="A101" s="16" t="s">
        <v>1002</v>
      </c>
      <c r="B101" s="17">
        <v>680</v>
      </c>
    </row>
    <row r="102" spans="1:2" x14ac:dyDescent="0.2">
      <c r="A102" s="16" t="s">
        <v>2928</v>
      </c>
      <c r="B102" s="17">
        <v>765.04</v>
      </c>
    </row>
    <row r="103" spans="1:2" x14ac:dyDescent="0.2">
      <c r="A103" s="16" t="s">
        <v>2956</v>
      </c>
      <c r="B103" s="17">
        <v>498.31</v>
      </c>
    </row>
    <row r="104" spans="1:2" x14ac:dyDescent="0.2">
      <c r="A104" s="16" t="s">
        <v>1314</v>
      </c>
      <c r="B104" s="17">
        <v>5258.94</v>
      </c>
    </row>
    <row r="105" spans="1:2" x14ac:dyDescent="0.2">
      <c r="A105" s="16" t="s">
        <v>2596</v>
      </c>
      <c r="B105" s="17">
        <v>938.44999999999993</v>
      </c>
    </row>
    <row r="106" spans="1:2" x14ac:dyDescent="0.2">
      <c r="A106" s="16" t="s">
        <v>2963</v>
      </c>
      <c r="B106" s="17">
        <v>383.21999999999997</v>
      </c>
    </row>
    <row r="107" spans="1:2" x14ac:dyDescent="0.2">
      <c r="A107" s="16" t="s">
        <v>441</v>
      </c>
      <c r="B107" s="17">
        <v>152.18</v>
      </c>
    </row>
    <row r="108" spans="1:2" x14ac:dyDescent="0.2">
      <c r="A108" s="16" t="s">
        <v>2105</v>
      </c>
      <c r="B108" s="17">
        <v>606.47</v>
      </c>
    </row>
    <row r="109" spans="1:2" x14ac:dyDescent="0.2">
      <c r="A109" s="16" t="s">
        <v>457</v>
      </c>
      <c r="B109" s="17">
        <v>189.60000000000002</v>
      </c>
    </row>
    <row r="110" spans="1:2" x14ac:dyDescent="0.2">
      <c r="A110" s="16" t="s">
        <v>1909</v>
      </c>
      <c r="B110" s="17">
        <v>4321.5000000000009</v>
      </c>
    </row>
    <row r="111" spans="1:2" x14ac:dyDescent="0.2">
      <c r="A111" s="16" t="s">
        <v>26</v>
      </c>
      <c r="B111" s="17">
        <v>13.01</v>
      </c>
    </row>
    <row r="112" spans="1:2" x14ac:dyDescent="0.2">
      <c r="A112" s="16" t="s">
        <v>2610</v>
      </c>
      <c r="B112" s="17">
        <v>3292.02</v>
      </c>
    </row>
    <row r="113" spans="1:2" x14ac:dyDescent="0.2">
      <c r="A113" s="16" t="s">
        <v>1557</v>
      </c>
      <c r="B113" s="17">
        <v>4920.8100000000004</v>
      </c>
    </row>
    <row r="114" spans="1:2" x14ac:dyDescent="0.2">
      <c r="A114" s="16" t="s">
        <v>434</v>
      </c>
      <c r="B114" s="17">
        <v>243.32</v>
      </c>
    </row>
    <row r="115" spans="1:2" x14ac:dyDescent="0.2">
      <c r="A115" s="16" t="s">
        <v>1331</v>
      </c>
      <c r="B115" s="17">
        <v>10629.55</v>
      </c>
    </row>
    <row r="116" spans="1:2" x14ac:dyDescent="0.2">
      <c r="A116" s="16" t="s">
        <v>2148</v>
      </c>
      <c r="B116" s="17">
        <v>283.56</v>
      </c>
    </row>
    <row r="117" spans="1:2" x14ac:dyDescent="0.2">
      <c r="A117" s="16" t="s">
        <v>2440</v>
      </c>
      <c r="B117" s="17">
        <v>145.22</v>
      </c>
    </row>
    <row r="118" spans="1:2" x14ac:dyDescent="0.2">
      <c r="A118" s="16" t="s">
        <v>2068</v>
      </c>
      <c r="B118" s="17">
        <v>7727.12</v>
      </c>
    </row>
    <row r="119" spans="1:2" x14ac:dyDescent="0.2">
      <c r="A119" s="16" t="s">
        <v>429</v>
      </c>
      <c r="B119" s="17">
        <v>28.46</v>
      </c>
    </row>
    <row r="120" spans="1:2" x14ac:dyDescent="0.2">
      <c r="A120" s="16" t="s">
        <v>350</v>
      </c>
      <c r="B120" s="17">
        <v>1653.29</v>
      </c>
    </row>
    <row r="121" spans="1:2" x14ac:dyDescent="0.2">
      <c r="A121" s="16" t="s">
        <v>2462</v>
      </c>
      <c r="B121" s="17">
        <v>94.2</v>
      </c>
    </row>
    <row r="122" spans="1:2" x14ac:dyDescent="0.2">
      <c r="A122" s="16" t="s">
        <v>354</v>
      </c>
      <c r="B122" s="17">
        <v>1332.82</v>
      </c>
    </row>
    <row r="123" spans="1:2" x14ac:dyDescent="0.2">
      <c r="A123" s="16" t="s">
        <v>2156</v>
      </c>
      <c r="B123" s="17">
        <v>78.08</v>
      </c>
    </row>
    <row r="124" spans="1:2" x14ac:dyDescent="0.2">
      <c r="A124" s="16" t="s">
        <v>722</v>
      </c>
      <c r="B124" s="17">
        <v>325.51</v>
      </c>
    </row>
    <row r="125" spans="1:2" x14ac:dyDescent="0.2">
      <c r="A125" s="16" t="s">
        <v>1139</v>
      </c>
      <c r="B125" s="17">
        <v>825.46</v>
      </c>
    </row>
    <row r="126" spans="1:2" x14ac:dyDescent="0.2">
      <c r="A126" s="16" t="s">
        <v>2528</v>
      </c>
      <c r="B126" s="17">
        <v>10514.6</v>
      </c>
    </row>
    <row r="127" spans="1:2" x14ac:dyDescent="0.2">
      <c r="A127" s="16" t="s">
        <v>793</v>
      </c>
      <c r="B127" s="17">
        <v>343.83000000000004</v>
      </c>
    </row>
    <row r="128" spans="1:2" x14ac:dyDescent="0.2">
      <c r="A128" s="16" t="s">
        <v>1478</v>
      </c>
      <c r="B128" s="17">
        <v>2376.12</v>
      </c>
    </row>
    <row r="129" spans="1:2" x14ac:dyDescent="0.2">
      <c r="A129" s="16" t="s">
        <v>750</v>
      </c>
      <c r="B129" s="17">
        <v>1549.1</v>
      </c>
    </row>
    <row r="130" spans="1:2" x14ac:dyDescent="0.2">
      <c r="A130" s="16" t="s">
        <v>226</v>
      </c>
      <c r="B130" s="17">
        <v>312.58999999999997</v>
      </c>
    </row>
    <row r="131" spans="1:2" x14ac:dyDescent="0.2">
      <c r="A131" s="16" t="s">
        <v>518</v>
      </c>
      <c r="B131" s="17">
        <v>1989.32</v>
      </c>
    </row>
    <row r="132" spans="1:2" x14ac:dyDescent="0.2">
      <c r="A132" s="16" t="s">
        <v>381</v>
      </c>
      <c r="B132" s="17">
        <v>1542.46</v>
      </c>
    </row>
    <row r="133" spans="1:2" x14ac:dyDescent="0.2">
      <c r="A133" s="16" t="s">
        <v>1046</v>
      </c>
      <c r="B133" s="17">
        <v>1719.07</v>
      </c>
    </row>
    <row r="134" spans="1:2" x14ac:dyDescent="0.2">
      <c r="A134" s="16" t="s">
        <v>524</v>
      </c>
      <c r="B134" s="17">
        <v>400.47</v>
      </c>
    </row>
    <row r="135" spans="1:2" x14ac:dyDescent="0.2">
      <c r="A135" s="16" t="s">
        <v>2572</v>
      </c>
      <c r="B135" s="17">
        <v>87.25</v>
      </c>
    </row>
    <row r="136" spans="1:2" x14ac:dyDescent="0.2">
      <c r="A136" s="16" t="s">
        <v>616</v>
      </c>
      <c r="B136" s="17">
        <v>677.08</v>
      </c>
    </row>
    <row r="137" spans="1:2" x14ac:dyDescent="0.2">
      <c r="A137" s="16" t="s">
        <v>1024</v>
      </c>
      <c r="B137" s="17">
        <v>85.26</v>
      </c>
    </row>
    <row r="138" spans="1:2" x14ac:dyDescent="0.2">
      <c r="A138" s="16" t="s">
        <v>2151</v>
      </c>
      <c r="B138" s="17">
        <v>4086.5</v>
      </c>
    </row>
    <row r="139" spans="1:2" x14ac:dyDescent="0.2">
      <c r="A139" s="16" t="s">
        <v>915</v>
      </c>
      <c r="B139" s="17">
        <v>614.99</v>
      </c>
    </row>
    <row r="140" spans="1:2" x14ac:dyDescent="0.2">
      <c r="A140" s="16" t="s">
        <v>2472</v>
      </c>
      <c r="B140" s="17">
        <v>204.79000000000002</v>
      </c>
    </row>
    <row r="141" spans="1:2" x14ac:dyDescent="0.2">
      <c r="A141" s="16" t="s">
        <v>368</v>
      </c>
      <c r="B141" s="17">
        <v>304.33999999999997</v>
      </c>
    </row>
    <row r="142" spans="1:2" x14ac:dyDescent="0.2">
      <c r="A142" s="16" t="s">
        <v>3016</v>
      </c>
      <c r="B142" s="17">
        <v>889.64</v>
      </c>
    </row>
    <row r="143" spans="1:2" x14ac:dyDescent="0.2">
      <c r="A143" s="16" t="s">
        <v>1247</v>
      </c>
      <c r="B143" s="17">
        <v>3855.28</v>
      </c>
    </row>
    <row r="144" spans="1:2" x14ac:dyDescent="0.2">
      <c r="A144" s="16" t="s">
        <v>611</v>
      </c>
      <c r="B144" s="17">
        <v>1593.26</v>
      </c>
    </row>
    <row r="145" spans="1:2" x14ac:dyDescent="0.2">
      <c r="A145" s="16" t="s">
        <v>1029</v>
      </c>
      <c r="B145" s="17">
        <v>346.52</v>
      </c>
    </row>
    <row r="146" spans="1:2" x14ac:dyDescent="0.2">
      <c r="A146" s="16" t="s">
        <v>1580</v>
      </c>
      <c r="B146" s="17">
        <v>211.82999999999998</v>
      </c>
    </row>
    <row r="147" spans="1:2" x14ac:dyDescent="0.2">
      <c r="A147" s="16" t="s">
        <v>2943</v>
      </c>
      <c r="B147" s="17">
        <v>200.64</v>
      </c>
    </row>
    <row r="148" spans="1:2" x14ac:dyDescent="0.2">
      <c r="A148" s="16" t="s">
        <v>2765</v>
      </c>
      <c r="B148" s="17">
        <v>5086.08</v>
      </c>
    </row>
    <row r="149" spans="1:2" x14ac:dyDescent="0.2">
      <c r="A149" s="16" t="s">
        <v>2589</v>
      </c>
      <c r="B149" s="17">
        <v>127.35999999999999</v>
      </c>
    </row>
    <row r="150" spans="1:2" x14ac:dyDescent="0.2">
      <c r="A150" s="16" t="s">
        <v>190</v>
      </c>
      <c r="B150" s="17">
        <v>10740.57</v>
      </c>
    </row>
    <row r="151" spans="1:2" x14ac:dyDescent="0.2">
      <c r="A151" s="16" t="s">
        <v>2511</v>
      </c>
      <c r="B151" s="17">
        <v>98.17</v>
      </c>
    </row>
    <row r="152" spans="1:2" x14ac:dyDescent="0.2">
      <c r="A152" s="16" t="s">
        <v>1671</v>
      </c>
      <c r="B152" s="17">
        <v>1943.87</v>
      </c>
    </row>
    <row r="153" spans="1:2" x14ac:dyDescent="0.2">
      <c r="A153" s="16" t="s">
        <v>2031</v>
      </c>
      <c r="B153" s="17">
        <v>799.76</v>
      </c>
    </row>
    <row r="154" spans="1:2" x14ac:dyDescent="0.2">
      <c r="A154" s="16" t="s">
        <v>1459</v>
      </c>
      <c r="B154" s="17">
        <v>397.54999999999995</v>
      </c>
    </row>
    <row r="155" spans="1:2" x14ac:dyDescent="0.2">
      <c r="A155" s="16" t="s">
        <v>1914</v>
      </c>
      <c r="B155" s="17">
        <v>641.11</v>
      </c>
    </row>
    <row r="156" spans="1:2" x14ac:dyDescent="0.2">
      <c r="A156" s="16" t="s">
        <v>527</v>
      </c>
      <c r="B156" s="17">
        <v>1531.31</v>
      </c>
    </row>
    <row r="157" spans="1:2" x14ac:dyDescent="0.2">
      <c r="A157" s="16" t="s">
        <v>2747</v>
      </c>
      <c r="B157" s="17">
        <v>1211.6000000000001</v>
      </c>
    </row>
    <row r="158" spans="1:2" x14ac:dyDescent="0.2">
      <c r="A158" s="16" t="s">
        <v>2613</v>
      </c>
      <c r="B158" s="17">
        <v>110.71</v>
      </c>
    </row>
    <row r="159" spans="1:2" x14ac:dyDescent="0.2">
      <c r="A159" s="16" t="s">
        <v>1738</v>
      </c>
      <c r="B159" s="17">
        <v>546.21</v>
      </c>
    </row>
    <row r="160" spans="1:2" x14ac:dyDescent="0.2">
      <c r="A160" s="16" t="s">
        <v>2977</v>
      </c>
      <c r="B160" s="17">
        <v>150.6</v>
      </c>
    </row>
    <row r="161" spans="1:2" x14ac:dyDescent="0.2">
      <c r="A161" s="16" t="s">
        <v>2576</v>
      </c>
      <c r="B161" s="17">
        <v>4093.16</v>
      </c>
    </row>
    <row r="162" spans="1:2" x14ac:dyDescent="0.2">
      <c r="A162" s="16" t="s">
        <v>943</v>
      </c>
      <c r="B162" s="17">
        <v>5.9</v>
      </c>
    </row>
    <row r="163" spans="1:2" x14ac:dyDescent="0.2">
      <c r="A163" s="16" t="s">
        <v>2816</v>
      </c>
      <c r="B163" s="17">
        <v>31.98</v>
      </c>
    </row>
    <row r="164" spans="1:2" x14ac:dyDescent="0.2">
      <c r="A164" s="16" t="s">
        <v>1948</v>
      </c>
      <c r="B164" s="17">
        <v>236.71</v>
      </c>
    </row>
    <row r="165" spans="1:2" x14ac:dyDescent="0.2">
      <c r="A165" s="16" t="s">
        <v>1600</v>
      </c>
      <c r="B165" s="17">
        <v>7584.2300000000005</v>
      </c>
    </row>
    <row r="166" spans="1:2" x14ac:dyDescent="0.2">
      <c r="A166" s="16" t="s">
        <v>1666</v>
      </c>
      <c r="B166" s="17">
        <v>1254.1199999999999</v>
      </c>
    </row>
    <row r="167" spans="1:2" x14ac:dyDescent="0.2">
      <c r="A167" s="16" t="s">
        <v>1465</v>
      </c>
      <c r="B167" s="17">
        <v>536.23</v>
      </c>
    </row>
    <row r="168" spans="1:2" x14ac:dyDescent="0.2">
      <c r="A168" s="16" t="s">
        <v>701</v>
      </c>
      <c r="B168" s="17">
        <v>787.36</v>
      </c>
    </row>
    <row r="169" spans="1:2" x14ac:dyDescent="0.2">
      <c r="A169" s="16" t="s">
        <v>1535</v>
      </c>
      <c r="B169" s="17">
        <v>1635.0800000000002</v>
      </c>
    </row>
    <row r="170" spans="1:2" x14ac:dyDescent="0.2">
      <c r="A170" s="16" t="s">
        <v>1783</v>
      </c>
      <c r="B170" s="17">
        <v>106.57</v>
      </c>
    </row>
    <row r="171" spans="1:2" x14ac:dyDescent="0.2">
      <c r="A171" s="16" t="s">
        <v>936</v>
      </c>
      <c r="B171" s="17">
        <v>694.91</v>
      </c>
    </row>
    <row r="172" spans="1:2" x14ac:dyDescent="0.2">
      <c r="A172" s="16" t="s">
        <v>464</v>
      </c>
      <c r="B172" s="17">
        <v>107.95</v>
      </c>
    </row>
    <row r="173" spans="1:2" x14ac:dyDescent="0.2">
      <c r="A173" s="16" t="s">
        <v>1436</v>
      </c>
      <c r="B173" s="17">
        <v>57.34</v>
      </c>
    </row>
    <row r="174" spans="1:2" x14ac:dyDescent="0.2">
      <c r="A174" s="16" t="s">
        <v>1389</v>
      </c>
      <c r="B174" s="17">
        <v>182.33</v>
      </c>
    </row>
    <row r="175" spans="1:2" x14ac:dyDescent="0.2">
      <c r="A175" s="16" t="s">
        <v>946</v>
      </c>
      <c r="B175" s="17">
        <v>80.23</v>
      </c>
    </row>
    <row r="176" spans="1:2" x14ac:dyDescent="0.2">
      <c r="A176" s="16" t="s">
        <v>1450</v>
      </c>
      <c r="B176" s="17">
        <v>28.66</v>
      </c>
    </row>
    <row r="177" spans="1:2" x14ac:dyDescent="0.2">
      <c r="A177" s="16" t="s">
        <v>271</v>
      </c>
      <c r="B177" s="17">
        <v>3.42</v>
      </c>
    </row>
    <row r="178" spans="1:2" x14ac:dyDescent="0.2">
      <c r="A178" s="16" t="s">
        <v>2543</v>
      </c>
      <c r="B178" s="17">
        <v>10.96</v>
      </c>
    </row>
    <row r="179" spans="1:2" x14ac:dyDescent="0.2">
      <c r="A179" s="16" t="s">
        <v>747</v>
      </c>
      <c r="B179" s="17">
        <v>1232.01</v>
      </c>
    </row>
    <row r="180" spans="1:2" x14ac:dyDescent="0.2">
      <c r="A180" s="16" t="s">
        <v>2115</v>
      </c>
      <c r="B180" s="17">
        <v>14.76</v>
      </c>
    </row>
    <row r="181" spans="1:2" x14ac:dyDescent="0.2">
      <c r="A181" s="16" t="s">
        <v>1745</v>
      </c>
      <c r="B181" s="17">
        <v>15224.63</v>
      </c>
    </row>
    <row r="182" spans="1:2" x14ac:dyDescent="0.2">
      <c r="A182" s="16" t="s">
        <v>3010</v>
      </c>
      <c r="B182" s="17">
        <v>538.64</v>
      </c>
    </row>
    <row r="183" spans="1:2" x14ac:dyDescent="0.2">
      <c r="A183" s="16" t="s">
        <v>1383</v>
      </c>
      <c r="B183" s="17">
        <v>996.45</v>
      </c>
    </row>
    <row r="184" spans="1:2" x14ac:dyDescent="0.2">
      <c r="A184" s="16" t="s">
        <v>2569</v>
      </c>
      <c r="B184" s="17">
        <v>386.61</v>
      </c>
    </row>
    <row r="185" spans="1:2" x14ac:dyDescent="0.2">
      <c r="A185" s="16" t="s">
        <v>2945</v>
      </c>
      <c r="B185" s="17">
        <v>17.62</v>
      </c>
    </row>
    <row r="186" spans="1:2" x14ac:dyDescent="0.2">
      <c r="A186" s="16" t="s">
        <v>2117</v>
      </c>
      <c r="B186" s="17">
        <v>875.85</v>
      </c>
    </row>
    <row r="187" spans="1:2" x14ac:dyDescent="0.2">
      <c r="A187" s="16" t="s">
        <v>2762</v>
      </c>
      <c r="B187" s="17">
        <v>56.71</v>
      </c>
    </row>
    <row r="188" spans="1:2" x14ac:dyDescent="0.2">
      <c r="A188" s="16" t="s">
        <v>186</v>
      </c>
      <c r="B188" s="17">
        <v>303.58999999999997</v>
      </c>
    </row>
    <row r="189" spans="1:2" x14ac:dyDescent="0.2">
      <c r="A189" s="16" t="s">
        <v>1985</v>
      </c>
      <c r="B189" s="17">
        <v>219.64</v>
      </c>
    </row>
    <row r="190" spans="1:2" x14ac:dyDescent="0.2">
      <c r="A190" s="16" t="s">
        <v>2887</v>
      </c>
      <c r="B190" s="17">
        <v>125.9</v>
      </c>
    </row>
    <row r="191" spans="1:2" x14ac:dyDescent="0.2">
      <c r="A191" s="16" t="s">
        <v>1828</v>
      </c>
      <c r="B191" s="17">
        <v>535.08000000000004</v>
      </c>
    </row>
    <row r="192" spans="1:2" x14ac:dyDescent="0.2">
      <c r="A192" s="16" t="s">
        <v>2224</v>
      </c>
      <c r="B192" s="17">
        <v>2395.79</v>
      </c>
    </row>
    <row r="193" spans="1:2" x14ac:dyDescent="0.2">
      <c r="A193" s="16" t="s">
        <v>320</v>
      </c>
      <c r="B193" s="17">
        <v>450.49</v>
      </c>
    </row>
    <row r="194" spans="1:2" x14ac:dyDescent="0.2">
      <c r="A194" s="16" t="s">
        <v>1190</v>
      </c>
      <c r="B194" s="17">
        <v>196.41</v>
      </c>
    </row>
    <row r="195" spans="1:2" x14ac:dyDescent="0.2">
      <c r="A195" s="16" t="s">
        <v>2212</v>
      </c>
      <c r="B195" s="17">
        <v>2117.31</v>
      </c>
    </row>
    <row r="196" spans="1:2" x14ac:dyDescent="0.2">
      <c r="A196" s="16" t="s">
        <v>2562</v>
      </c>
      <c r="B196" s="17">
        <v>28.130000000000003</v>
      </c>
    </row>
    <row r="197" spans="1:2" x14ac:dyDescent="0.2">
      <c r="A197" s="16" t="s">
        <v>1730</v>
      </c>
      <c r="B197" s="17">
        <v>4605.45</v>
      </c>
    </row>
    <row r="198" spans="1:2" x14ac:dyDescent="0.2">
      <c r="A198" s="16" t="s">
        <v>2967</v>
      </c>
      <c r="B198" s="17">
        <v>45</v>
      </c>
    </row>
    <row r="199" spans="1:2" x14ac:dyDescent="0.2">
      <c r="A199" s="16" t="s">
        <v>2057</v>
      </c>
      <c r="B199" s="17">
        <v>53.02</v>
      </c>
    </row>
    <row r="200" spans="1:2" x14ac:dyDescent="0.2">
      <c r="A200" s="16" t="s">
        <v>2664</v>
      </c>
      <c r="B200" s="17">
        <v>295.18</v>
      </c>
    </row>
    <row r="201" spans="1:2" x14ac:dyDescent="0.2">
      <c r="A201" s="16" t="s">
        <v>570</v>
      </c>
      <c r="B201" s="17">
        <v>73.040000000000006</v>
      </c>
    </row>
    <row r="202" spans="1:2" x14ac:dyDescent="0.2">
      <c r="A202" s="16" t="s">
        <v>2338</v>
      </c>
      <c r="B202" s="17">
        <v>6270.61</v>
      </c>
    </row>
    <row r="203" spans="1:2" x14ac:dyDescent="0.2">
      <c r="A203" s="16" t="s">
        <v>2047</v>
      </c>
      <c r="B203" s="17">
        <v>64.48</v>
      </c>
    </row>
    <row r="204" spans="1:2" x14ac:dyDescent="0.2">
      <c r="A204" s="16" t="s">
        <v>1463</v>
      </c>
      <c r="B204" s="17">
        <v>467.17999999999995</v>
      </c>
    </row>
    <row r="205" spans="1:2" x14ac:dyDescent="0.2">
      <c r="A205" s="16" t="s">
        <v>437</v>
      </c>
      <c r="B205" s="17">
        <v>3833.8500000000004</v>
      </c>
    </row>
    <row r="206" spans="1:2" x14ac:dyDescent="0.2">
      <c r="A206" s="16" t="s">
        <v>1944</v>
      </c>
      <c r="B206" s="17">
        <v>88.22</v>
      </c>
    </row>
    <row r="207" spans="1:2" x14ac:dyDescent="0.2">
      <c r="A207" s="16" t="s">
        <v>222</v>
      </c>
      <c r="B207" s="17">
        <v>186.26</v>
      </c>
    </row>
    <row r="208" spans="1:2" x14ac:dyDescent="0.2">
      <c r="A208" s="16" t="s">
        <v>1661</v>
      </c>
      <c r="B208" s="17">
        <v>593.95000000000005</v>
      </c>
    </row>
    <row r="209" spans="1:2" x14ac:dyDescent="0.2">
      <c r="A209" s="16" t="s">
        <v>2998</v>
      </c>
      <c r="B209" s="17">
        <v>893.79000000000008</v>
      </c>
    </row>
    <row r="210" spans="1:2" x14ac:dyDescent="0.2">
      <c r="A210" s="16" t="s">
        <v>982</v>
      </c>
      <c r="B210" s="17">
        <v>353.99</v>
      </c>
    </row>
    <row r="211" spans="1:2" x14ac:dyDescent="0.2">
      <c r="A211" s="16" t="s">
        <v>2877</v>
      </c>
      <c r="B211" s="17">
        <v>2547.96</v>
      </c>
    </row>
    <row r="212" spans="1:2" x14ac:dyDescent="0.2">
      <c r="A212" s="16" t="s">
        <v>1380</v>
      </c>
      <c r="B212" s="17">
        <v>11084.08</v>
      </c>
    </row>
    <row r="213" spans="1:2" x14ac:dyDescent="0.2">
      <c r="A213" s="16" t="s">
        <v>2618</v>
      </c>
      <c r="B213" s="17">
        <v>226.88</v>
      </c>
    </row>
    <row r="214" spans="1:2" x14ac:dyDescent="0.2">
      <c r="A214" s="16" t="s">
        <v>1899</v>
      </c>
      <c r="B214" s="17">
        <v>4935.22</v>
      </c>
    </row>
    <row r="215" spans="1:2" x14ac:dyDescent="0.2">
      <c r="A215" s="16" t="s">
        <v>2806</v>
      </c>
      <c r="B215" s="17">
        <v>2642.48</v>
      </c>
    </row>
    <row r="216" spans="1:2" x14ac:dyDescent="0.2">
      <c r="A216" s="16" t="s">
        <v>2994</v>
      </c>
      <c r="B216" s="17">
        <v>27.37</v>
      </c>
    </row>
    <row r="217" spans="1:2" x14ac:dyDescent="0.2">
      <c r="A217" s="16" t="s">
        <v>3013</v>
      </c>
      <c r="B217" s="17">
        <v>696.35</v>
      </c>
    </row>
    <row r="218" spans="1:2" x14ac:dyDescent="0.2">
      <c r="A218" s="16" t="s">
        <v>2228</v>
      </c>
      <c r="B218" s="17">
        <v>365.55</v>
      </c>
    </row>
    <row r="219" spans="1:2" x14ac:dyDescent="0.2">
      <c r="A219" s="16" t="s">
        <v>1509</v>
      </c>
      <c r="B219" s="17">
        <v>4410.1899999999996</v>
      </c>
    </row>
    <row r="220" spans="1:2" x14ac:dyDescent="0.2">
      <c r="A220" s="16" t="s">
        <v>1362</v>
      </c>
      <c r="B220" s="17">
        <v>7.15</v>
      </c>
    </row>
    <row r="221" spans="1:2" x14ac:dyDescent="0.2">
      <c r="A221" s="16" t="s">
        <v>1749</v>
      </c>
      <c r="B221" s="17">
        <v>472.07</v>
      </c>
    </row>
    <row r="222" spans="1:2" x14ac:dyDescent="0.2">
      <c r="A222" s="16" t="s">
        <v>2449</v>
      </c>
      <c r="B222" s="17">
        <v>448.47</v>
      </c>
    </row>
    <row r="223" spans="1:2" x14ac:dyDescent="0.2">
      <c r="A223" s="16" t="s">
        <v>1807</v>
      </c>
      <c r="B223" s="17">
        <v>202.38</v>
      </c>
    </row>
    <row r="224" spans="1:2" x14ac:dyDescent="0.2">
      <c r="A224" s="16" t="s">
        <v>487</v>
      </c>
      <c r="B224" s="17">
        <v>394.51</v>
      </c>
    </row>
    <row r="225" spans="1:2" x14ac:dyDescent="0.2">
      <c r="A225" s="16" t="s">
        <v>290</v>
      </c>
      <c r="B225" s="17">
        <v>364.42</v>
      </c>
    </row>
    <row r="226" spans="1:2" x14ac:dyDescent="0.2">
      <c r="A226" s="16" t="s">
        <v>2296</v>
      </c>
      <c r="B226" s="17">
        <v>769.53</v>
      </c>
    </row>
    <row r="227" spans="1:2" x14ac:dyDescent="0.2">
      <c r="A227" s="16" t="s">
        <v>863</v>
      </c>
      <c r="B227" s="17">
        <v>612.25</v>
      </c>
    </row>
    <row r="228" spans="1:2" x14ac:dyDescent="0.2">
      <c r="A228" s="16" t="s">
        <v>2097</v>
      </c>
      <c r="B228" s="17">
        <v>27.96</v>
      </c>
    </row>
    <row r="229" spans="1:2" x14ac:dyDescent="0.2">
      <c r="A229" s="16" t="s">
        <v>2831</v>
      </c>
      <c r="B229" s="17">
        <v>7974.21</v>
      </c>
    </row>
    <row r="230" spans="1:2" x14ac:dyDescent="0.2">
      <c r="A230" s="16" t="s">
        <v>1932</v>
      </c>
      <c r="B230" s="17">
        <v>3702.4</v>
      </c>
    </row>
    <row r="231" spans="1:2" x14ac:dyDescent="0.2">
      <c r="A231" s="16" t="s">
        <v>882</v>
      </c>
      <c r="B231" s="17">
        <v>411.64</v>
      </c>
    </row>
    <row r="232" spans="1:2" x14ac:dyDescent="0.2">
      <c r="A232" s="16" t="s">
        <v>2559</v>
      </c>
      <c r="B232" s="17">
        <v>19.29</v>
      </c>
    </row>
    <row r="233" spans="1:2" x14ac:dyDescent="0.2">
      <c r="A233" s="16" t="s">
        <v>1752</v>
      </c>
      <c r="B233" s="17">
        <v>1892.6</v>
      </c>
    </row>
    <row r="234" spans="1:2" x14ac:dyDescent="0.2">
      <c r="A234" s="16" t="s">
        <v>2253</v>
      </c>
      <c r="B234" s="17">
        <v>1219.1600000000001</v>
      </c>
    </row>
    <row r="235" spans="1:2" x14ac:dyDescent="0.2">
      <c r="A235" s="16" t="s">
        <v>2781</v>
      </c>
      <c r="B235" s="17">
        <v>1029.4099999999999</v>
      </c>
    </row>
    <row r="236" spans="1:2" x14ac:dyDescent="0.2">
      <c r="A236" s="16" t="s">
        <v>561</v>
      </c>
      <c r="B236" s="17">
        <v>1081.54</v>
      </c>
    </row>
    <row r="237" spans="1:2" x14ac:dyDescent="0.2">
      <c r="A237" s="16" t="s">
        <v>904</v>
      </c>
      <c r="B237" s="17">
        <v>1664.6100000000001</v>
      </c>
    </row>
    <row r="238" spans="1:2" x14ac:dyDescent="0.2">
      <c r="A238" s="16" t="s">
        <v>2240</v>
      </c>
      <c r="B238" s="17">
        <v>170.44</v>
      </c>
    </row>
    <row r="239" spans="1:2" x14ac:dyDescent="0.2">
      <c r="A239" s="16" t="s">
        <v>2159</v>
      </c>
      <c r="B239" s="17">
        <v>2215.2000000000003</v>
      </c>
    </row>
    <row r="240" spans="1:2" x14ac:dyDescent="0.2">
      <c r="A240" s="16" t="s">
        <v>2288</v>
      </c>
      <c r="B240" s="17">
        <v>47.4</v>
      </c>
    </row>
    <row r="241" spans="1:2" x14ac:dyDescent="0.2">
      <c r="A241" s="16" t="s">
        <v>1303</v>
      </c>
      <c r="B241" s="17">
        <v>13.05</v>
      </c>
    </row>
    <row r="242" spans="1:2" x14ac:dyDescent="0.2">
      <c r="A242" s="16" t="s">
        <v>516</v>
      </c>
      <c r="B242" s="17">
        <v>1216.32</v>
      </c>
    </row>
    <row r="243" spans="1:2" x14ac:dyDescent="0.2">
      <c r="A243" s="16" t="s">
        <v>1400</v>
      </c>
      <c r="B243" s="17">
        <v>761.16</v>
      </c>
    </row>
    <row r="244" spans="1:2" x14ac:dyDescent="0.2">
      <c r="A244" s="16" t="s">
        <v>1060</v>
      </c>
      <c r="B244" s="17">
        <v>1782.44</v>
      </c>
    </row>
    <row r="245" spans="1:2" x14ac:dyDescent="0.2">
      <c r="A245" s="16" t="s">
        <v>2165</v>
      </c>
      <c r="B245" s="17">
        <v>3846.06</v>
      </c>
    </row>
    <row r="246" spans="1:2" x14ac:dyDescent="0.2">
      <c r="A246" s="16" t="s">
        <v>1712</v>
      </c>
      <c r="B246" s="17">
        <v>3282.2000000000003</v>
      </c>
    </row>
    <row r="247" spans="1:2" x14ac:dyDescent="0.2">
      <c r="A247" s="16" t="s">
        <v>650</v>
      </c>
      <c r="B247" s="17">
        <v>66.319999999999993</v>
      </c>
    </row>
    <row r="248" spans="1:2" x14ac:dyDescent="0.2">
      <c r="A248" s="16" t="s">
        <v>1212</v>
      </c>
      <c r="B248" s="17">
        <v>108.99</v>
      </c>
    </row>
    <row r="249" spans="1:2" x14ac:dyDescent="0.2">
      <c r="A249" s="16" t="s">
        <v>1796</v>
      </c>
      <c r="B249" s="17">
        <v>6968.9</v>
      </c>
    </row>
    <row r="250" spans="1:2" x14ac:dyDescent="0.2">
      <c r="A250" s="16" t="s">
        <v>774</v>
      </c>
      <c r="B250" s="17">
        <v>19.73</v>
      </c>
    </row>
    <row r="251" spans="1:2" x14ac:dyDescent="0.2">
      <c r="A251" s="16" t="s">
        <v>2367</v>
      </c>
      <c r="B251" s="17">
        <v>58.05</v>
      </c>
    </row>
    <row r="252" spans="1:2" x14ac:dyDescent="0.2">
      <c r="A252" s="16" t="s">
        <v>1887</v>
      </c>
      <c r="B252" s="17">
        <v>2665.54</v>
      </c>
    </row>
    <row r="253" spans="1:2" x14ac:dyDescent="0.2">
      <c r="A253" s="16" t="s">
        <v>253</v>
      </c>
      <c r="B253" s="17">
        <v>1083.8999999999999</v>
      </c>
    </row>
    <row r="254" spans="1:2" x14ac:dyDescent="0.2">
      <c r="A254" s="16" t="s">
        <v>2961</v>
      </c>
      <c r="B254" s="17">
        <v>253.07999999999998</v>
      </c>
    </row>
    <row r="255" spans="1:2" x14ac:dyDescent="0.2">
      <c r="A255" s="16" t="s">
        <v>2885</v>
      </c>
      <c r="B255" s="17">
        <v>479.78000000000003</v>
      </c>
    </row>
    <row r="256" spans="1:2" x14ac:dyDescent="0.2">
      <c r="A256" s="16" t="s">
        <v>1041</v>
      </c>
      <c r="B256" s="17">
        <v>782</v>
      </c>
    </row>
    <row r="257" spans="1:2" x14ac:dyDescent="0.2">
      <c r="A257" s="16" t="s">
        <v>1529</v>
      </c>
      <c r="B257" s="17">
        <v>739.07</v>
      </c>
    </row>
    <row r="258" spans="1:2" x14ac:dyDescent="0.2">
      <c r="A258" s="16" t="s">
        <v>328</v>
      </c>
      <c r="B258" s="17">
        <v>1858.04</v>
      </c>
    </row>
    <row r="259" spans="1:2" x14ac:dyDescent="0.2">
      <c r="A259" s="16" t="s">
        <v>1609</v>
      </c>
      <c r="B259" s="17">
        <v>13831.16</v>
      </c>
    </row>
    <row r="260" spans="1:2" x14ac:dyDescent="0.2">
      <c r="A260" s="16" t="s">
        <v>2087</v>
      </c>
      <c r="B260" s="17">
        <v>1414.13</v>
      </c>
    </row>
    <row r="261" spans="1:2" x14ac:dyDescent="0.2">
      <c r="A261" s="16" t="s">
        <v>2513</v>
      </c>
      <c r="B261" s="17">
        <v>264.95</v>
      </c>
    </row>
    <row r="262" spans="1:2" x14ac:dyDescent="0.2">
      <c r="A262" s="16" t="s">
        <v>2303</v>
      </c>
      <c r="B262" s="17">
        <v>3550.28</v>
      </c>
    </row>
    <row r="263" spans="1:2" x14ac:dyDescent="0.2">
      <c r="A263" s="16" t="s">
        <v>581</v>
      </c>
      <c r="B263" s="17">
        <v>179.51</v>
      </c>
    </row>
    <row r="264" spans="1:2" x14ac:dyDescent="0.2">
      <c r="A264" s="16" t="s">
        <v>707</v>
      </c>
      <c r="B264" s="17">
        <v>4973.5200000000004</v>
      </c>
    </row>
    <row r="265" spans="1:2" x14ac:dyDescent="0.2">
      <c r="A265" s="16" t="s">
        <v>1062</v>
      </c>
      <c r="B265" s="17">
        <v>72.11</v>
      </c>
    </row>
    <row r="266" spans="1:2" x14ac:dyDescent="0.2">
      <c r="A266" s="16" t="s">
        <v>2277</v>
      </c>
      <c r="B266" s="17">
        <v>462.39</v>
      </c>
    </row>
    <row r="267" spans="1:2" x14ac:dyDescent="0.2">
      <c r="A267" s="16" t="s">
        <v>602</v>
      </c>
      <c r="B267" s="17">
        <v>153.87</v>
      </c>
    </row>
    <row r="268" spans="1:2" x14ac:dyDescent="0.2">
      <c r="A268" s="16" t="s">
        <v>960</v>
      </c>
      <c r="B268" s="17">
        <v>89.91</v>
      </c>
    </row>
    <row r="269" spans="1:2" x14ac:dyDescent="0.2">
      <c r="A269" s="16" t="s">
        <v>1826</v>
      </c>
      <c r="B269" s="17">
        <v>675.83</v>
      </c>
    </row>
    <row r="270" spans="1:2" x14ac:dyDescent="0.2">
      <c r="A270" s="16" t="s">
        <v>1210</v>
      </c>
      <c r="B270" s="17">
        <v>829.96</v>
      </c>
    </row>
    <row r="271" spans="1:2" x14ac:dyDescent="0.2">
      <c r="A271" s="16" t="s">
        <v>205</v>
      </c>
      <c r="B271" s="17">
        <v>26.07</v>
      </c>
    </row>
    <row r="272" spans="1:2" x14ac:dyDescent="0.2">
      <c r="A272" s="16" t="s">
        <v>2611</v>
      </c>
      <c r="B272" s="17">
        <v>199.43</v>
      </c>
    </row>
    <row r="273" spans="1:2" x14ac:dyDescent="0.2">
      <c r="A273" s="16" t="s">
        <v>1284</v>
      </c>
      <c r="B273" s="17">
        <v>361.49</v>
      </c>
    </row>
    <row r="274" spans="1:2" x14ac:dyDescent="0.2">
      <c r="A274" s="16" t="s">
        <v>1879</v>
      </c>
      <c r="B274" s="17">
        <v>1757.15</v>
      </c>
    </row>
    <row r="275" spans="1:2" x14ac:dyDescent="0.2">
      <c r="A275" s="16" t="s">
        <v>1445</v>
      </c>
      <c r="B275" s="17">
        <v>46.94</v>
      </c>
    </row>
    <row r="276" spans="1:2" x14ac:dyDescent="0.2">
      <c r="A276" s="16" t="s">
        <v>2909</v>
      </c>
      <c r="B276" s="17">
        <v>47.12</v>
      </c>
    </row>
    <row r="277" spans="1:2" x14ac:dyDescent="0.2">
      <c r="A277" s="16" t="s">
        <v>1432</v>
      </c>
      <c r="B277" s="17">
        <v>79.81</v>
      </c>
    </row>
    <row r="278" spans="1:2" x14ac:dyDescent="0.2">
      <c r="A278" s="16" t="s">
        <v>1550</v>
      </c>
      <c r="B278" s="17">
        <v>2026.91</v>
      </c>
    </row>
    <row r="279" spans="1:2" x14ac:dyDescent="0.2">
      <c r="A279" s="16" t="s">
        <v>176</v>
      </c>
      <c r="B279" s="17">
        <v>8940.74</v>
      </c>
    </row>
    <row r="280" spans="1:2" x14ac:dyDescent="0.2">
      <c r="A280" s="16" t="s">
        <v>2101</v>
      </c>
      <c r="B280" s="17">
        <v>1924.66</v>
      </c>
    </row>
    <row r="281" spans="1:2" x14ac:dyDescent="0.2">
      <c r="A281" s="16" t="s">
        <v>2927</v>
      </c>
      <c r="B281" s="17">
        <v>1794.88</v>
      </c>
    </row>
    <row r="282" spans="1:2" x14ac:dyDescent="0.2">
      <c r="A282" s="16" t="s">
        <v>583</v>
      </c>
      <c r="B282" s="17">
        <v>6058.09</v>
      </c>
    </row>
    <row r="283" spans="1:2" x14ac:dyDescent="0.2">
      <c r="A283" s="16" t="s">
        <v>151</v>
      </c>
      <c r="B283" s="17">
        <v>1821.89</v>
      </c>
    </row>
    <row r="284" spans="1:2" x14ac:dyDescent="0.2">
      <c r="A284" s="16" t="s">
        <v>1260</v>
      </c>
      <c r="B284" s="17">
        <v>1013.84</v>
      </c>
    </row>
    <row r="285" spans="1:2" x14ac:dyDescent="0.2">
      <c r="A285" s="16" t="s">
        <v>2744</v>
      </c>
      <c r="B285" s="17">
        <v>4294.47</v>
      </c>
    </row>
    <row r="286" spans="1:2" x14ac:dyDescent="0.2">
      <c r="A286" s="16" t="s">
        <v>2382</v>
      </c>
      <c r="B286" s="17">
        <v>10.86</v>
      </c>
    </row>
    <row r="287" spans="1:2" x14ac:dyDescent="0.2">
      <c r="A287" s="16" t="s">
        <v>1255</v>
      </c>
      <c r="B287" s="17">
        <v>8.83</v>
      </c>
    </row>
    <row r="288" spans="1:2" x14ac:dyDescent="0.2">
      <c r="A288" s="16" t="s">
        <v>2483</v>
      </c>
      <c r="B288" s="17">
        <v>1326.3500000000001</v>
      </c>
    </row>
    <row r="289" spans="1:2" x14ac:dyDescent="0.2">
      <c r="A289" s="16" t="s">
        <v>653</v>
      </c>
      <c r="B289" s="17">
        <v>7030.35</v>
      </c>
    </row>
    <row r="290" spans="1:2" x14ac:dyDescent="0.2">
      <c r="A290" s="16" t="s">
        <v>1755</v>
      </c>
      <c r="B290" s="17">
        <v>5835.41</v>
      </c>
    </row>
    <row r="291" spans="1:2" x14ac:dyDescent="0.2">
      <c r="A291" s="16" t="s">
        <v>92</v>
      </c>
      <c r="B291" s="17">
        <v>69.739999999999995</v>
      </c>
    </row>
    <row r="292" spans="1:2" x14ac:dyDescent="0.2">
      <c r="A292" s="16" t="s">
        <v>1405</v>
      </c>
      <c r="B292" s="17">
        <v>175.3</v>
      </c>
    </row>
    <row r="293" spans="1:2" x14ac:dyDescent="0.2">
      <c r="A293" s="16" t="s">
        <v>1296</v>
      </c>
      <c r="B293" s="17">
        <v>75.17</v>
      </c>
    </row>
    <row r="294" spans="1:2" x14ac:dyDescent="0.2">
      <c r="A294" s="16" t="s">
        <v>589</v>
      </c>
      <c r="B294" s="17">
        <v>8.77</v>
      </c>
    </row>
    <row r="295" spans="1:2" x14ac:dyDescent="0.2">
      <c r="A295" s="16" t="s">
        <v>798</v>
      </c>
      <c r="B295" s="17">
        <v>81.14</v>
      </c>
    </row>
    <row r="296" spans="1:2" x14ac:dyDescent="0.2">
      <c r="A296" s="16" t="s">
        <v>364</v>
      </c>
      <c r="B296" s="17">
        <v>26.38</v>
      </c>
    </row>
    <row r="297" spans="1:2" x14ac:dyDescent="0.2">
      <c r="A297" s="16" t="s">
        <v>2947</v>
      </c>
      <c r="B297" s="17">
        <v>80.58</v>
      </c>
    </row>
    <row r="298" spans="1:2" x14ac:dyDescent="0.2">
      <c r="A298" s="16" t="s">
        <v>2950</v>
      </c>
      <c r="B298" s="17">
        <v>25.31</v>
      </c>
    </row>
    <row r="299" spans="1:2" x14ac:dyDescent="0.2">
      <c r="A299" s="16" t="s">
        <v>1588</v>
      </c>
      <c r="B299" s="17">
        <v>169.68</v>
      </c>
    </row>
    <row r="300" spans="1:2" x14ac:dyDescent="0.2">
      <c r="A300" s="16" t="s">
        <v>595</v>
      </c>
      <c r="B300" s="17">
        <v>229.57</v>
      </c>
    </row>
    <row r="301" spans="1:2" x14ac:dyDescent="0.2">
      <c r="A301" s="16" t="s">
        <v>2602</v>
      </c>
      <c r="B301" s="17">
        <v>832.97</v>
      </c>
    </row>
    <row r="302" spans="1:2" x14ac:dyDescent="0.2">
      <c r="A302" s="16" t="s">
        <v>1306</v>
      </c>
      <c r="B302" s="17">
        <v>3731.8399999999997</v>
      </c>
    </row>
    <row r="303" spans="1:2" x14ac:dyDescent="0.2">
      <c r="A303" s="16" t="s">
        <v>1894</v>
      </c>
      <c r="B303" s="17">
        <v>1784.34</v>
      </c>
    </row>
    <row r="304" spans="1:2" x14ac:dyDescent="0.2">
      <c r="A304" s="16" t="s">
        <v>925</v>
      </c>
      <c r="B304" s="17">
        <v>903.55000000000007</v>
      </c>
    </row>
    <row r="305" spans="1:2" x14ac:dyDescent="0.2">
      <c r="A305" s="16" t="s">
        <v>1964</v>
      </c>
      <c r="B305" s="17">
        <v>12602.909999999998</v>
      </c>
    </row>
    <row r="306" spans="1:2" x14ac:dyDescent="0.2">
      <c r="A306" s="16" t="s">
        <v>389</v>
      </c>
      <c r="B306" s="17">
        <v>1979.99</v>
      </c>
    </row>
    <row r="307" spans="1:2" x14ac:dyDescent="0.2">
      <c r="A307" s="16" t="s">
        <v>884</v>
      </c>
      <c r="B307" s="17">
        <v>159.13</v>
      </c>
    </row>
    <row r="308" spans="1:2" x14ac:dyDescent="0.2">
      <c r="A308" s="16" t="s">
        <v>2965</v>
      </c>
      <c r="B308" s="17">
        <v>116.56</v>
      </c>
    </row>
    <row r="309" spans="1:2" x14ac:dyDescent="0.2">
      <c r="A309" s="16" t="s">
        <v>997</v>
      </c>
      <c r="B309" s="17">
        <v>54.69</v>
      </c>
    </row>
    <row r="310" spans="1:2" x14ac:dyDescent="0.2">
      <c r="A310" s="16" t="s">
        <v>140</v>
      </c>
      <c r="B310" s="17">
        <v>1225.5999999999999</v>
      </c>
    </row>
    <row r="311" spans="1:2" x14ac:dyDescent="0.2">
      <c r="A311" s="16" t="s">
        <v>2687</v>
      </c>
      <c r="B311" s="17">
        <v>326.02999999999997</v>
      </c>
    </row>
    <row r="312" spans="1:2" x14ac:dyDescent="0.2">
      <c r="A312" s="16" t="s">
        <v>1987</v>
      </c>
      <c r="B312" s="17">
        <v>120.34</v>
      </c>
    </row>
    <row r="313" spans="1:2" x14ac:dyDescent="0.2">
      <c r="A313" s="16" t="s">
        <v>2879</v>
      </c>
      <c r="B313" s="17">
        <v>44.24</v>
      </c>
    </row>
    <row r="314" spans="1:2" x14ac:dyDescent="0.2">
      <c r="A314" s="16" t="s">
        <v>1317</v>
      </c>
      <c r="B314" s="17">
        <v>1282.67</v>
      </c>
    </row>
    <row r="315" spans="1:2" x14ac:dyDescent="0.2">
      <c r="A315" s="16" t="s">
        <v>2677</v>
      </c>
      <c r="B315" s="17">
        <v>59.75</v>
      </c>
    </row>
    <row r="316" spans="1:2" x14ac:dyDescent="0.2">
      <c r="A316" s="16" t="s">
        <v>1668</v>
      </c>
      <c r="B316" s="17">
        <v>6.97</v>
      </c>
    </row>
    <row r="317" spans="1:2" x14ac:dyDescent="0.2">
      <c r="A317" s="16" t="s">
        <v>783</v>
      </c>
      <c r="B317" s="17">
        <v>54.04</v>
      </c>
    </row>
    <row r="318" spans="1:2" x14ac:dyDescent="0.2">
      <c r="A318" s="16" t="s">
        <v>2225</v>
      </c>
      <c r="B318" s="17">
        <v>668.38</v>
      </c>
    </row>
    <row r="319" spans="1:2" x14ac:dyDescent="0.2">
      <c r="A319" s="16" t="s">
        <v>2196</v>
      </c>
      <c r="B319" s="17">
        <v>460.81</v>
      </c>
    </row>
    <row r="320" spans="1:2" x14ac:dyDescent="0.2">
      <c r="A320" s="16" t="s">
        <v>1747</v>
      </c>
      <c r="B320" s="17">
        <v>101.13</v>
      </c>
    </row>
    <row r="321" spans="1:2" x14ac:dyDescent="0.2">
      <c r="A321" s="16" t="s">
        <v>504</v>
      </c>
      <c r="B321" s="17">
        <v>80.81</v>
      </c>
    </row>
    <row r="322" spans="1:2" x14ac:dyDescent="0.2">
      <c r="A322" s="16" t="s">
        <v>1179</v>
      </c>
      <c r="B322" s="17">
        <v>286.39999999999998</v>
      </c>
    </row>
    <row r="323" spans="1:2" x14ac:dyDescent="0.2">
      <c r="A323" s="16" t="s">
        <v>2515</v>
      </c>
      <c r="B323" s="17">
        <v>176.01</v>
      </c>
    </row>
    <row r="324" spans="1:2" x14ac:dyDescent="0.2">
      <c r="A324" s="16" t="s">
        <v>993</v>
      </c>
      <c r="B324" s="17">
        <v>575.70000000000005</v>
      </c>
    </row>
    <row r="325" spans="1:2" x14ac:dyDescent="0.2">
      <c r="A325" s="16" t="s">
        <v>1951</v>
      </c>
      <c r="B325" s="17">
        <v>1370.99</v>
      </c>
    </row>
    <row r="326" spans="1:2" x14ac:dyDescent="0.2">
      <c r="A326" s="16" t="s">
        <v>1834</v>
      </c>
      <c r="B326" s="17">
        <v>522.22</v>
      </c>
    </row>
    <row r="327" spans="1:2" x14ac:dyDescent="0.2">
      <c r="A327" s="16" t="s">
        <v>1161</v>
      </c>
      <c r="B327" s="17">
        <v>20565.990000000002</v>
      </c>
    </row>
    <row r="328" spans="1:2" x14ac:dyDescent="0.2">
      <c r="A328" s="16" t="s">
        <v>532</v>
      </c>
      <c r="B328" s="17">
        <v>553.39</v>
      </c>
    </row>
    <row r="329" spans="1:2" x14ac:dyDescent="0.2">
      <c r="A329" s="16" t="s">
        <v>1065</v>
      </c>
      <c r="B329" s="17">
        <v>1006.1300000000001</v>
      </c>
    </row>
    <row r="330" spans="1:2" x14ac:dyDescent="0.2">
      <c r="A330" s="16" t="s">
        <v>2661</v>
      </c>
      <c r="B330" s="17">
        <v>1068.5999999999999</v>
      </c>
    </row>
    <row r="331" spans="1:2" x14ac:dyDescent="0.2">
      <c r="A331" s="16" t="s">
        <v>1681</v>
      </c>
      <c r="B331" s="17">
        <v>1331.94</v>
      </c>
    </row>
    <row r="332" spans="1:2" x14ac:dyDescent="0.2">
      <c r="A332" s="16" t="s">
        <v>1655</v>
      </c>
      <c r="B332" s="17">
        <v>35.97</v>
      </c>
    </row>
    <row r="333" spans="1:2" x14ac:dyDescent="0.2">
      <c r="A333" s="16" t="s">
        <v>2619</v>
      </c>
      <c r="B333" s="17">
        <v>5399.94</v>
      </c>
    </row>
    <row r="334" spans="1:2" x14ac:dyDescent="0.2">
      <c r="A334" s="16" t="s">
        <v>2417</v>
      </c>
      <c r="B334" s="17">
        <v>417.71</v>
      </c>
    </row>
    <row r="335" spans="1:2" x14ac:dyDescent="0.2">
      <c r="A335" s="16" t="s">
        <v>1134</v>
      </c>
      <c r="B335" s="17">
        <v>1346.1799999999998</v>
      </c>
    </row>
    <row r="336" spans="1:2" x14ac:dyDescent="0.2">
      <c r="A336" s="16" t="s">
        <v>3008</v>
      </c>
      <c r="B336" s="17">
        <v>9036.0600000000013</v>
      </c>
    </row>
    <row r="337" spans="1:2" x14ac:dyDescent="0.2">
      <c r="A337" s="16" t="s">
        <v>696</v>
      </c>
      <c r="B337" s="17">
        <v>285.87</v>
      </c>
    </row>
    <row r="338" spans="1:2" x14ac:dyDescent="0.2">
      <c r="A338" s="16" t="s">
        <v>1325</v>
      </c>
      <c r="B338" s="17">
        <v>8824.17</v>
      </c>
    </row>
    <row r="339" spans="1:2" x14ac:dyDescent="0.2">
      <c r="A339" s="16" t="s">
        <v>2532</v>
      </c>
      <c r="B339" s="17">
        <v>241.97</v>
      </c>
    </row>
    <row r="340" spans="1:2" x14ac:dyDescent="0.2">
      <c r="A340" s="16" t="s">
        <v>682</v>
      </c>
      <c r="B340" s="17">
        <v>515.88</v>
      </c>
    </row>
    <row r="341" spans="1:2" x14ac:dyDescent="0.2">
      <c r="A341" s="16" t="s">
        <v>2000</v>
      </c>
      <c r="B341" s="17">
        <v>1818.41</v>
      </c>
    </row>
    <row r="342" spans="1:2" x14ac:dyDescent="0.2">
      <c r="A342" s="16" t="s">
        <v>432</v>
      </c>
      <c r="B342" s="17">
        <v>1170.21</v>
      </c>
    </row>
    <row r="343" spans="1:2" x14ac:dyDescent="0.2">
      <c r="A343" s="16" t="s">
        <v>2670</v>
      </c>
      <c r="B343" s="17">
        <v>135.77000000000001</v>
      </c>
    </row>
    <row r="344" spans="1:2" x14ac:dyDescent="0.2">
      <c r="A344" s="16" t="s">
        <v>2848</v>
      </c>
      <c r="B344" s="17">
        <v>1829.25</v>
      </c>
    </row>
    <row r="345" spans="1:2" x14ac:dyDescent="0.2">
      <c r="A345" s="16" t="s">
        <v>2216</v>
      </c>
      <c r="B345" s="17">
        <v>80.86</v>
      </c>
    </row>
    <row r="346" spans="1:2" x14ac:dyDescent="0.2">
      <c r="A346" s="16" t="s">
        <v>1300</v>
      </c>
      <c r="B346" s="17">
        <v>746.03</v>
      </c>
    </row>
    <row r="347" spans="1:2" x14ac:dyDescent="0.2">
      <c r="A347" s="16" t="s">
        <v>3023</v>
      </c>
      <c r="B347" s="17">
        <v>135.78</v>
      </c>
    </row>
    <row r="348" spans="1:2" x14ac:dyDescent="0.2">
      <c r="A348" s="16" t="s">
        <v>307</v>
      </c>
      <c r="B348" s="17">
        <v>172.64</v>
      </c>
    </row>
    <row r="349" spans="1:2" x14ac:dyDescent="0.2">
      <c r="A349" s="16" t="s">
        <v>2358</v>
      </c>
      <c r="B349" s="17">
        <v>125.37</v>
      </c>
    </row>
    <row r="350" spans="1:2" x14ac:dyDescent="0.2">
      <c r="A350" s="16" t="s">
        <v>1487</v>
      </c>
      <c r="B350" s="17">
        <v>4942.08</v>
      </c>
    </row>
    <row r="351" spans="1:2" x14ac:dyDescent="0.2">
      <c r="A351" s="16" t="s">
        <v>2693</v>
      </c>
      <c r="B351" s="17">
        <v>34.909999999999997</v>
      </c>
    </row>
    <row r="352" spans="1:2" x14ac:dyDescent="0.2">
      <c r="A352" s="16" t="s">
        <v>2652</v>
      </c>
      <c r="B352" s="17">
        <v>364.26</v>
      </c>
    </row>
    <row r="353" spans="1:2" x14ac:dyDescent="0.2">
      <c r="A353" s="16" t="s">
        <v>317</v>
      </c>
      <c r="B353" s="17">
        <v>730.37</v>
      </c>
    </row>
    <row r="354" spans="1:2" x14ac:dyDescent="0.2">
      <c r="A354" s="16" t="s">
        <v>1084</v>
      </c>
      <c r="B354" s="17">
        <v>8.8000000000000007</v>
      </c>
    </row>
    <row r="355" spans="1:2" x14ac:dyDescent="0.2">
      <c r="A355" s="16" t="s">
        <v>2685</v>
      </c>
      <c r="B355" s="17">
        <v>137.76</v>
      </c>
    </row>
    <row r="356" spans="1:2" x14ac:dyDescent="0.2">
      <c r="A356" s="16" t="s">
        <v>1971</v>
      </c>
      <c r="B356" s="17">
        <v>981.22</v>
      </c>
    </row>
    <row r="357" spans="1:2" x14ac:dyDescent="0.2">
      <c r="A357" s="16" t="s">
        <v>1120</v>
      </c>
      <c r="B357" s="17">
        <v>11.41</v>
      </c>
    </row>
    <row r="358" spans="1:2" x14ac:dyDescent="0.2">
      <c r="A358" s="16" t="s">
        <v>1019</v>
      </c>
      <c r="B358" s="17">
        <v>116.92</v>
      </c>
    </row>
    <row r="359" spans="1:2" x14ac:dyDescent="0.2">
      <c r="A359" s="16" t="s">
        <v>2083</v>
      </c>
      <c r="B359" s="17">
        <v>381.91</v>
      </c>
    </row>
    <row r="360" spans="1:2" x14ac:dyDescent="0.2">
      <c r="A360" s="16" t="s">
        <v>1604</v>
      </c>
      <c r="B360" s="17">
        <v>17.420000000000002</v>
      </c>
    </row>
    <row r="361" spans="1:2" x14ac:dyDescent="0.2">
      <c r="A361" s="16" t="s">
        <v>1892</v>
      </c>
      <c r="B361" s="17">
        <v>558.16999999999996</v>
      </c>
    </row>
    <row r="362" spans="1:2" x14ac:dyDescent="0.2">
      <c r="A362" s="16" t="s">
        <v>2704</v>
      </c>
      <c r="B362" s="17">
        <v>1278.96</v>
      </c>
    </row>
    <row r="363" spans="1:2" x14ac:dyDescent="0.2">
      <c r="A363" s="16" t="s">
        <v>1091</v>
      </c>
      <c r="B363" s="17">
        <v>38.58</v>
      </c>
    </row>
    <row r="364" spans="1:2" x14ac:dyDescent="0.2">
      <c r="A364" s="16" t="s">
        <v>1006</v>
      </c>
      <c r="B364" s="17">
        <v>307.11</v>
      </c>
    </row>
    <row r="365" spans="1:2" x14ac:dyDescent="0.2">
      <c r="A365" s="16" t="s">
        <v>2639</v>
      </c>
      <c r="B365" s="17">
        <v>318.18</v>
      </c>
    </row>
    <row r="366" spans="1:2" x14ac:dyDescent="0.2">
      <c r="A366" s="16" t="s">
        <v>1322</v>
      </c>
      <c r="B366" s="17">
        <v>1847.4099999999999</v>
      </c>
    </row>
    <row r="367" spans="1:2" x14ac:dyDescent="0.2">
      <c r="A367" s="16" t="s">
        <v>1571</v>
      </c>
      <c r="B367" s="17">
        <v>723.54</v>
      </c>
    </row>
    <row r="368" spans="1:2" x14ac:dyDescent="0.2">
      <c r="A368" s="16" t="s">
        <v>1165</v>
      </c>
      <c r="B368" s="17">
        <v>157.78</v>
      </c>
    </row>
    <row r="369" spans="1:2" x14ac:dyDescent="0.2">
      <c r="A369" s="16" t="s">
        <v>1171</v>
      </c>
      <c r="B369" s="17">
        <v>2649.66</v>
      </c>
    </row>
    <row r="370" spans="1:2" x14ac:dyDescent="0.2">
      <c r="A370" s="16" t="s">
        <v>2089</v>
      </c>
      <c r="B370" s="17">
        <v>5218.7700000000004</v>
      </c>
    </row>
    <row r="371" spans="1:2" x14ac:dyDescent="0.2">
      <c r="A371" s="16" t="s">
        <v>2139</v>
      </c>
      <c r="B371" s="17">
        <v>723.76</v>
      </c>
    </row>
    <row r="372" spans="1:2" x14ac:dyDescent="0.2">
      <c r="A372" s="16" t="s">
        <v>2345</v>
      </c>
      <c r="B372" s="17">
        <v>2814.57</v>
      </c>
    </row>
    <row r="373" spans="1:2" x14ac:dyDescent="0.2">
      <c r="A373" s="16" t="s">
        <v>2480</v>
      </c>
      <c r="B373" s="17">
        <v>455.27</v>
      </c>
    </row>
    <row r="374" spans="1:2" x14ac:dyDescent="0.2">
      <c r="A374" s="16" t="s">
        <v>2246</v>
      </c>
      <c r="B374" s="17">
        <v>10671.060000000001</v>
      </c>
    </row>
    <row r="375" spans="1:2" x14ac:dyDescent="0.2">
      <c r="A375" s="16" t="s">
        <v>242</v>
      </c>
      <c r="B375" s="17">
        <v>90.57</v>
      </c>
    </row>
    <row r="376" spans="1:2" x14ac:dyDescent="0.2">
      <c r="A376" s="16" t="s">
        <v>1452</v>
      </c>
      <c r="B376" s="17">
        <v>1656.77</v>
      </c>
    </row>
    <row r="377" spans="1:2" x14ac:dyDescent="0.2">
      <c r="A377" s="16" t="s">
        <v>555</v>
      </c>
      <c r="B377" s="17">
        <v>32.4</v>
      </c>
    </row>
    <row r="378" spans="1:2" x14ac:dyDescent="0.2">
      <c r="A378" s="16" t="s">
        <v>2435</v>
      </c>
      <c r="B378" s="17">
        <v>40.69</v>
      </c>
    </row>
    <row r="379" spans="1:2" x14ac:dyDescent="0.2">
      <c r="A379" s="16" t="s">
        <v>285</v>
      </c>
      <c r="B379" s="17">
        <v>2692.44</v>
      </c>
    </row>
    <row r="380" spans="1:2" x14ac:dyDescent="0.2">
      <c r="A380" s="16" t="s">
        <v>962</v>
      </c>
      <c r="B380" s="17">
        <v>138.51</v>
      </c>
    </row>
    <row r="381" spans="1:2" x14ac:dyDescent="0.2">
      <c r="A381" s="16" t="s">
        <v>1624</v>
      </c>
      <c r="B381" s="17">
        <v>163.01</v>
      </c>
    </row>
    <row r="382" spans="1:2" x14ac:dyDescent="0.2">
      <c r="A382" s="16" t="s">
        <v>1640</v>
      </c>
      <c r="B382" s="17">
        <v>38.54</v>
      </c>
    </row>
    <row r="383" spans="1:2" x14ac:dyDescent="0.2">
      <c r="A383" s="16" t="s">
        <v>903</v>
      </c>
      <c r="B383" s="17">
        <v>429.33</v>
      </c>
    </row>
    <row r="384" spans="1:2" x14ac:dyDescent="0.2">
      <c r="A384" s="16" t="s">
        <v>2319</v>
      </c>
      <c r="B384" s="17">
        <v>491.21</v>
      </c>
    </row>
    <row r="385" spans="1:2" x14ac:dyDescent="0.2">
      <c r="A385" s="16" t="s">
        <v>338</v>
      </c>
      <c r="B385" s="17">
        <v>57.41</v>
      </c>
    </row>
    <row r="386" spans="1:2" x14ac:dyDescent="0.2">
      <c r="A386" s="16" t="s">
        <v>1835</v>
      </c>
      <c r="B386" s="17">
        <v>28.01</v>
      </c>
    </row>
    <row r="387" spans="1:2" x14ac:dyDescent="0.2">
      <c r="A387" s="16" t="s">
        <v>2427</v>
      </c>
      <c r="B387" s="17">
        <v>945.36</v>
      </c>
    </row>
    <row r="388" spans="1:2" x14ac:dyDescent="0.2">
      <c r="A388" s="16" t="s">
        <v>630</v>
      </c>
      <c r="B388" s="17">
        <v>4482.9400000000005</v>
      </c>
    </row>
    <row r="389" spans="1:2" x14ac:dyDescent="0.2">
      <c r="A389" s="16" t="s">
        <v>2795</v>
      </c>
      <c r="B389" s="17">
        <v>31.71</v>
      </c>
    </row>
    <row r="390" spans="1:2" x14ac:dyDescent="0.2">
      <c r="A390" s="16" t="s">
        <v>418</v>
      </c>
      <c r="B390" s="17">
        <v>280.62</v>
      </c>
    </row>
    <row r="391" spans="1:2" x14ac:dyDescent="0.2">
      <c r="A391" s="16" t="s">
        <v>1131</v>
      </c>
      <c r="B391" s="17">
        <v>1300.31</v>
      </c>
    </row>
    <row r="392" spans="1:2" x14ac:dyDescent="0.2">
      <c r="A392" s="16" t="s">
        <v>2183</v>
      </c>
      <c r="B392" s="17">
        <v>1978.3000000000002</v>
      </c>
    </row>
    <row r="393" spans="1:2" x14ac:dyDescent="0.2">
      <c r="A393" s="16" t="s">
        <v>1281</v>
      </c>
      <c r="B393" s="17">
        <v>3741.39</v>
      </c>
    </row>
    <row r="394" spans="1:2" x14ac:dyDescent="0.2">
      <c r="A394" s="16" t="s">
        <v>2844</v>
      </c>
      <c r="B394" s="17">
        <v>5665.6900000000005</v>
      </c>
    </row>
    <row r="395" spans="1:2" x14ac:dyDescent="0.2">
      <c r="A395" s="16" t="s">
        <v>2987</v>
      </c>
      <c r="B395" s="17">
        <v>1280.26</v>
      </c>
    </row>
    <row r="396" spans="1:2" x14ac:dyDescent="0.2">
      <c r="A396" s="16" t="s">
        <v>1533</v>
      </c>
      <c r="B396" s="17">
        <v>270.81</v>
      </c>
    </row>
    <row r="397" spans="1:2" x14ac:dyDescent="0.2">
      <c r="A397" s="16" t="s">
        <v>2210</v>
      </c>
      <c r="B397" s="17">
        <v>73.959999999999994</v>
      </c>
    </row>
    <row r="398" spans="1:2" x14ac:dyDescent="0.2">
      <c r="A398" s="16" t="s">
        <v>2770</v>
      </c>
      <c r="B398" s="17">
        <v>84.6</v>
      </c>
    </row>
    <row r="399" spans="1:2" x14ac:dyDescent="0.2">
      <c r="A399" s="16" t="s">
        <v>679</v>
      </c>
      <c r="B399" s="17">
        <v>32.6</v>
      </c>
    </row>
    <row r="400" spans="1:2" x14ac:dyDescent="0.2">
      <c r="A400" s="16" t="s">
        <v>2335</v>
      </c>
      <c r="B400" s="17">
        <v>370.1</v>
      </c>
    </row>
    <row r="401" spans="1:2" x14ac:dyDescent="0.2">
      <c r="A401" s="16" t="s">
        <v>2630</v>
      </c>
      <c r="B401" s="17">
        <v>5665.09</v>
      </c>
    </row>
    <row r="402" spans="1:2" x14ac:dyDescent="0.2">
      <c r="A402" s="16" t="s">
        <v>1293</v>
      </c>
      <c r="B402" s="17">
        <v>1350.94</v>
      </c>
    </row>
    <row r="403" spans="1:2" x14ac:dyDescent="0.2">
      <c r="A403" s="16" t="s">
        <v>1483</v>
      </c>
      <c r="B403" s="17">
        <v>2013.67</v>
      </c>
    </row>
    <row r="404" spans="1:2" x14ac:dyDescent="0.2">
      <c r="A404" s="16" t="s">
        <v>1081</v>
      </c>
      <c r="B404" s="17">
        <v>638.07000000000005</v>
      </c>
    </row>
    <row r="405" spans="1:2" x14ac:dyDescent="0.2">
      <c r="A405" s="16" t="s">
        <v>1880</v>
      </c>
      <c r="B405" s="17">
        <v>1786.04</v>
      </c>
    </row>
    <row r="406" spans="1:2" x14ac:dyDescent="0.2">
      <c r="A406" s="16" t="s">
        <v>620</v>
      </c>
      <c r="B406" s="17">
        <v>242.32999999999998</v>
      </c>
    </row>
    <row r="407" spans="1:2" x14ac:dyDescent="0.2">
      <c r="A407" s="16" t="s">
        <v>716</v>
      </c>
      <c r="B407" s="17">
        <v>227.79</v>
      </c>
    </row>
    <row r="408" spans="1:2" x14ac:dyDescent="0.2">
      <c r="A408" s="16" t="s">
        <v>2921</v>
      </c>
      <c r="B408" s="17">
        <v>646.88</v>
      </c>
    </row>
    <row r="409" spans="1:2" x14ac:dyDescent="0.2">
      <c r="A409" s="16" t="s">
        <v>1852</v>
      </c>
      <c r="B409" s="17">
        <v>2233.46</v>
      </c>
    </row>
    <row r="410" spans="1:2" x14ac:dyDescent="0.2">
      <c r="A410" s="16" t="s">
        <v>2641</v>
      </c>
      <c r="B410" s="17">
        <v>174.45999999999998</v>
      </c>
    </row>
    <row r="411" spans="1:2" x14ac:dyDescent="0.2">
      <c r="A411" s="16" t="s">
        <v>2368</v>
      </c>
      <c r="B411" s="17">
        <v>68.64</v>
      </c>
    </row>
    <row r="412" spans="1:2" x14ac:dyDescent="0.2">
      <c r="A412" s="16" t="s">
        <v>97</v>
      </c>
      <c r="B412" s="17">
        <v>54.78</v>
      </c>
    </row>
    <row r="413" spans="1:2" x14ac:dyDescent="0.2">
      <c r="A413" s="16" t="s">
        <v>2813</v>
      </c>
      <c r="B413" s="17">
        <v>233.58</v>
      </c>
    </row>
    <row r="414" spans="1:2" x14ac:dyDescent="0.2">
      <c r="A414" s="16" t="s">
        <v>57</v>
      </c>
      <c r="B414" s="17">
        <v>1214.93</v>
      </c>
    </row>
    <row r="415" spans="1:2" x14ac:dyDescent="0.2">
      <c r="A415" s="16" t="s">
        <v>2658</v>
      </c>
      <c r="B415" s="17">
        <v>674.39</v>
      </c>
    </row>
    <row r="416" spans="1:2" x14ac:dyDescent="0.2">
      <c r="A416" s="16" t="s">
        <v>1874</v>
      </c>
      <c r="B416" s="17">
        <v>168.04</v>
      </c>
    </row>
    <row r="417" spans="1:2" x14ac:dyDescent="0.2">
      <c r="A417" s="16" t="s">
        <v>1375</v>
      </c>
      <c r="B417" s="17">
        <v>327.61</v>
      </c>
    </row>
    <row r="418" spans="1:2" x14ac:dyDescent="0.2">
      <c r="A418" s="16" t="s">
        <v>1939</v>
      </c>
      <c r="B418" s="17">
        <v>564.25</v>
      </c>
    </row>
    <row r="419" spans="1:2" x14ac:dyDescent="0.2">
      <c r="A419" s="16" t="s">
        <v>1014</v>
      </c>
      <c r="B419" s="17">
        <v>1536.48</v>
      </c>
    </row>
    <row r="420" spans="1:2" x14ac:dyDescent="0.2">
      <c r="A420" s="16" t="s">
        <v>2841</v>
      </c>
      <c r="B420" s="17">
        <v>1952.43</v>
      </c>
    </row>
    <row r="421" spans="1:2" x14ac:dyDescent="0.2">
      <c r="A421" s="16" t="s">
        <v>2366</v>
      </c>
      <c r="B421" s="17">
        <v>7303.05</v>
      </c>
    </row>
    <row r="422" spans="1:2" x14ac:dyDescent="0.2">
      <c r="A422" s="16" t="s">
        <v>2565</v>
      </c>
      <c r="B422" s="17">
        <v>2722.43</v>
      </c>
    </row>
    <row r="423" spans="1:2" x14ac:dyDescent="0.2">
      <c r="A423" s="16" t="s">
        <v>2071</v>
      </c>
      <c r="B423" s="17">
        <v>54.98</v>
      </c>
    </row>
    <row r="424" spans="1:2" x14ac:dyDescent="0.2">
      <c r="A424" s="16" t="s">
        <v>1192</v>
      </c>
      <c r="B424" s="17">
        <v>54.08</v>
      </c>
    </row>
    <row r="425" spans="1:2" x14ac:dyDescent="0.2">
      <c r="A425" s="16" t="s">
        <v>1318</v>
      </c>
      <c r="B425" s="17">
        <v>566.66</v>
      </c>
    </row>
    <row r="426" spans="1:2" x14ac:dyDescent="0.2">
      <c r="A426" s="16" t="s">
        <v>1457</v>
      </c>
      <c r="B426" s="17">
        <v>3761.88</v>
      </c>
    </row>
    <row r="427" spans="1:2" x14ac:dyDescent="0.2">
      <c r="A427" s="16" t="s">
        <v>733</v>
      </c>
      <c r="B427" s="17">
        <v>948.97</v>
      </c>
    </row>
    <row r="428" spans="1:2" x14ac:dyDescent="0.2">
      <c r="A428" s="16" t="s">
        <v>732</v>
      </c>
      <c r="B428" s="17">
        <v>31.46</v>
      </c>
    </row>
    <row r="429" spans="1:2" x14ac:dyDescent="0.2">
      <c r="A429" s="16" t="s">
        <v>2142</v>
      </c>
      <c r="B429" s="17">
        <v>577.75</v>
      </c>
    </row>
    <row r="430" spans="1:2" x14ac:dyDescent="0.2">
      <c r="A430" s="16" t="s">
        <v>2377</v>
      </c>
      <c r="B430" s="17">
        <v>193.81</v>
      </c>
    </row>
    <row r="431" spans="1:2" x14ac:dyDescent="0.2">
      <c r="A431" s="16" t="s">
        <v>968</v>
      </c>
      <c r="B431" s="17">
        <v>620.45000000000005</v>
      </c>
    </row>
    <row r="432" spans="1:2" x14ac:dyDescent="0.2">
      <c r="A432" s="16" t="s">
        <v>210</v>
      </c>
      <c r="B432" s="17">
        <v>1768.58</v>
      </c>
    </row>
    <row r="433" spans="1:2" x14ac:dyDescent="0.2">
      <c r="A433" s="16" t="s">
        <v>888</v>
      </c>
      <c r="B433" s="17">
        <v>1149.26</v>
      </c>
    </row>
    <row r="434" spans="1:2" x14ac:dyDescent="0.2">
      <c r="A434" s="16" t="s">
        <v>1763</v>
      </c>
      <c r="B434" s="17">
        <v>151.46</v>
      </c>
    </row>
    <row r="435" spans="1:2" x14ac:dyDescent="0.2">
      <c r="A435" s="16" t="s">
        <v>156</v>
      </c>
      <c r="B435" s="17">
        <v>10818.98</v>
      </c>
    </row>
    <row r="436" spans="1:2" x14ac:dyDescent="0.2">
      <c r="A436" s="16" t="s">
        <v>646</v>
      </c>
      <c r="B436" s="17">
        <v>57.37</v>
      </c>
    </row>
    <row r="437" spans="1:2" x14ac:dyDescent="0.2">
      <c r="A437" s="16" t="s">
        <v>1337</v>
      </c>
      <c r="B437" s="17">
        <v>188.08</v>
      </c>
    </row>
    <row r="438" spans="1:2" x14ac:dyDescent="0.2">
      <c r="A438" s="16" t="s">
        <v>1381</v>
      </c>
      <c r="B438" s="17">
        <v>1554.91</v>
      </c>
    </row>
    <row r="439" spans="1:2" x14ac:dyDescent="0.2">
      <c r="A439" s="16" t="s">
        <v>2829</v>
      </c>
      <c r="B439" s="17">
        <v>92.57</v>
      </c>
    </row>
    <row r="440" spans="1:2" x14ac:dyDescent="0.2">
      <c r="A440" s="16" t="s">
        <v>1759</v>
      </c>
      <c r="B440" s="17">
        <v>2477.46</v>
      </c>
    </row>
    <row r="441" spans="1:2" x14ac:dyDescent="0.2">
      <c r="A441" s="16" t="s">
        <v>1827</v>
      </c>
      <c r="B441" s="17">
        <v>28</v>
      </c>
    </row>
    <row r="442" spans="1:2" x14ac:dyDescent="0.2">
      <c r="A442" s="16" t="s">
        <v>779</v>
      </c>
      <c r="B442" s="17">
        <v>261.33999999999997</v>
      </c>
    </row>
    <row r="443" spans="1:2" x14ac:dyDescent="0.2">
      <c r="A443" s="16" t="s">
        <v>1701</v>
      </c>
      <c r="B443" s="17">
        <v>129.54</v>
      </c>
    </row>
    <row r="444" spans="1:2" x14ac:dyDescent="0.2">
      <c r="A444" s="16" t="s">
        <v>920</v>
      </c>
      <c r="B444" s="17">
        <v>99.92</v>
      </c>
    </row>
    <row r="445" spans="1:2" x14ac:dyDescent="0.2">
      <c r="A445" s="16" t="s">
        <v>1086</v>
      </c>
      <c r="B445" s="17">
        <v>477.2</v>
      </c>
    </row>
    <row r="446" spans="1:2" x14ac:dyDescent="0.2">
      <c r="A446" s="16" t="s">
        <v>729</v>
      </c>
      <c r="B446" s="17">
        <v>205.98</v>
      </c>
    </row>
    <row r="447" spans="1:2" x14ac:dyDescent="0.2">
      <c r="A447" s="16" t="s">
        <v>1809</v>
      </c>
      <c r="B447" s="17">
        <v>175.51</v>
      </c>
    </row>
    <row r="448" spans="1:2" x14ac:dyDescent="0.2">
      <c r="A448" s="16" t="s">
        <v>357</v>
      </c>
      <c r="B448" s="17">
        <v>34.64</v>
      </c>
    </row>
    <row r="449" spans="1:2" x14ac:dyDescent="0.2">
      <c r="A449" s="16" t="s">
        <v>3018</v>
      </c>
      <c r="B449" s="17">
        <v>790.56000000000006</v>
      </c>
    </row>
    <row r="450" spans="1:2" x14ac:dyDescent="0.2">
      <c r="A450" s="16" t="s">
        <v>2028</v>
      </c>
      <c r="B450" s="17">
        <v>8412.6200000000008</v>
      </c>
    </row>
    <row r="451" spans="1:2" x14ac:dyDescent="0.2">
      <c r="A451" s="16" t="s">
        <v>2331</v>
      </c>
      <c r="B451" s="17">
        <v>2498.1999999999998</v>
      </c>
    </row>
    <row r="452" spans="1:2" x14ac:dyDescent="0.2">
      <c r="A452" s="16" t="s">
        <v>1798</v>
      </c>
      <c r="B452" s="17">
        <v>41.29</v>
      </c>
    </row>
    <row r="453" spans="1:2" x14ac:dyDescent="0.2">
      <c r="A453" s="16" t="s">
        <v>1411</v>
      </c>
      <c r="B453" s="17">
        <v>56.24</v>
      </c>
    </row>
    <row r="454" spans="1:2" x14ac:dyDescent="0.2">
      <c r="A454" s="16" t="s">
        <v>1789</v>
      </c>
      <c r="B454" s="17">
        <v>680.58</v>
      </c>
    </row>
    <row r="455" spans="1:2" x14ac:dyDescent="0.2">
      <c r="A455" s="16" t="s">
        <v>2955</v>
      </c>
      <c r="B455" s="17">
        <v>57.14</v>
      </c>
    </row>
    <row r="456" spans="1:2" x14ac:dyDescent="0.2">
      <c r="A456" s="16" t="s">
        <v>2860</v>
      </c>
      <c r="B456" s="17">
        <v>1932.11</v>
      </c>
    </row>
    <row r="457" spans="1:2" x14ac:dyDescent="0.2">
      <c r="A457" s="16" t="s">
        <v>2551</v>
      </c>
      <c r="B457" s="17">
        <v>345.07</v>
      </c>
    </row>
    <row r="458" spans="1:2" x14ac:dyDescent="0.2">
      <c r="A458" s="16" t="s">
        <v>1847</v>
      </c>
      <c r="B458" s="17">
        <v>7029.1</v>
      </c>
    </row>
    <row r="459" spans="1:2" x14ac:dyDescent="0.2">
      <c r="A459" s="16" t="s">
        <v>977</v>
      </c>
      <c r="B459" s="17">
        <v>606.51</v>
      </c>
    </row>
    <row r="460" spans="1:2" x14ac:dyDescent="0.2">
      <c r="A460" s="16" t="s">
        <v>2249</v>
      </c>
      <c r="B460" s="17">
        <v>1458.67</v>
      </c>
    </row>
    <row r="461" spans="1:2" x14ac:dyDescent="0.2">
      <c r="A461" s="16" t="s">
        <v>2234</v>
      </c>
      <c r="B461" s="17">
        <v>69.89</v>
      </c>
    </row>
    <row r="462" spans="1:2" x14ac:dyDescent="0.2">
      <c r="A462" s="16" t="s">
        <v>445</v>
      </c>
      <c r="B462" s="17">
        <v>73.97</v>
      </c>
    </row>
    <row r="463" spans="1:2" x14ac:dyDescent="0.2">
      <c r="A463" s="16" t="s">
        <v>376</v>
      </c>
      <c r="B463" s="17">
        <v>229.44</v>
      </c>
    </row>
    <row r="464" spans="1:2" x14ac:dyDescent="0.2">
      <c r="A464" s="16" t="s">
        <v>2145</v>
      </c>
      <c r="B464" s="17">
        <v>125.85999999999999</v>
      </c>
    </row>
    <row r="465" spans="1:2" x14ac:dyDescent="0.2">
      <c r="A465" s="16" t="s">
        <v>1943</v>
      </c>
      <c r="B465" s="17">
        <v>6614.07</v>
      </c>
    </row>
    <row r="466" spans="1:2" x14ac:dyDescent="0.2">
      <c r="A466" s="16" t="s">
        <v>1438</v>
      </c>
      <c r="B466" s="17">
        <v>79.02</v>
      </c>
    </row>
    <row r="467" spans="1:2" x14ac:dyDescent="0.2">
      <c r="A467" s="16" t="s">
        <v>1582</v>
      </c>
      <c r="B467" s="17">
        <v>1240.81</v>
      </c>
    </row>
    <row r="468" spans="1:2" x14ac:dyDescent="0.2">
      <c r="A468" s="16" t="s">
        <v>2809</v>
      </c>
      <c r="B468" s="17">
        <v>61.5</v>
      </c>
    </row>
    <row r="469" spans="1:2" x14ac:dyDescent="0.2">
      <c r="A469" s="16" t="s">
        <v>3003</v>
      </c>
      <c r="B469" s="17">
        <v>2154</v>
      </c>
    </row>
    <row r="470" spans="1:2" x14ac:dyDescent="0.2">
      <c r="A470" s="16" t="s">
        <v>1067</v>
      </c>
      <c r="B470" s="17">
        <v>1788.1799999999998</v>
      </c>
    </row>
    <row r="471" spans="1:2" x14ac:dyDescent="0.2">
      <c r="A471" s="16" t="s">
        <v>1414</v>
      </c>
      <c r="B471" s="17">
        <v>627.78</v>
      </c>
    </row>
    <row r="472" spans="1:2" x14ac:dyDescent="0.2">
      <c r="A472" s="16" t="s">
        <v>2370</v>
      </c>
      <c r="B472" s="17">
        <v>277.07</v>
      </c>
    </row>
    <row r="473" spans="1:2" x14ac:dyDescent="0.2">
      <c r="A473" s="16" t="s">
        <v>2855</v>
      </c>
      <c r="B473" s="17">
        <v>14.66</v>
      </c>
    </row>
    <row r="474" spans="1:2" x14ac:dyDescent="0.2">
      <c r="A474" s="16" t="s">
        <v>266</v>
      </c>
      <c r="B474" s="17">
        <v>7106.7199999999993</v>
      </c>
    </row>
    <row r="475" spans="1:2" x14ac:dyDescent="0.2">
      <c r="A475" s="16" t="s">
        <v>2247</v>
      </c>
      <c r="B475" s="17">
        <v>2259.9899999999998</v>
      </c>
    </row>
    <row r="476" spans="1:2" x14ac:dyDescent="0.2">
      <c r="A476" s="16" t="s">
        <v>917</v>
      </c>
      <c r="B476" s="17">
        <v>76.23</v>
      </c>
    </row>
    <row r="477" spans="1:2" x14ac:dyDescent="0.2">
      <c r="A477" s="16" t="s">
        <v>2804</v>
      </c>
      <c r="B477" s="17">
        <v>3772.19</v>
      </c>
    </row>
    <row r="478" spans="1:2" x14ac:dyDescent="0.2">
      <c r="A478" s="16" t="s">
        <v>1962</v>
      </c>
      <c r="B478" s="17">
        <v>100.11</v>
      </c>
    </row>
    <row r="479" spans="1:2" x14ac:dyDescent="0.2">
      <c r="A479" s="16" t="s">
        <v>1455</v>
      </c>
      <c r="B479" s="17">
        <v>76.900000000000006</v>
      </c>
    </row>
    <row r="480" spans="1:2" x14ac:dyDescent="0.2">
      <c r="A480" s="16" t="s">
        <v>908</v>
      </c>
      <c r="B480" s="17">
        <v>522.15</v>
      </c>
    </row>
    <row r="481" spans="1:2" x14ac:dyDescent="0.2">
      <c r="A481" s="16" t="s">
        <v>1491</v>
      </c>
      <c r="B481" s="17">
        <v>267.83</v>
      </c>
    </row>
    <row r="482" spans="1:2" x14ac:dyDescent="0.2">
      <c r="A482" s="16" t="s">
        <v>2354</v>
      </c>
      <c r="B482" s="17">
        <v>10180.01</v>
      </c>
    </row>
    <row r="483" spans="1:2" x14ac:dyDescent="0.2">
      <c r="A483" s="16" t="s">
        <v>1679</v>
      </c>
      <c r="B483" s="17">
        <v>276.64</v>
      </c>
    </row>
    <row r="484" spans="1:2" x14ac:dyDescent="0.2">
      <c r="A484" s="16" t="s">
        <v>1448</v>
      </c>
      <c r="B484" s="17">
        <v>26.18</v>
      </c>
    </row>
    <row r="485" spans="1:2" x14ac:dyDescent="0.2">
      <c r="A485" s="16" t="s">
        <v>479</v>
      </c>
      <c r="B485" s="17">
        <v>11075.970000000001</v>
      </c>
    </row>
    <row r="486" spans="1:2" x14ac:dyDescent="0.2">
      <c r="A486" s="16" t="s">
        <v>2128</v>
      </c>
      <c r="B486" s="17">
        <v>765.22</v>
      </c>
    </row>
    <row r="487" spans="1:2" x14ac:dyDescent="0.2">
      <c r="A487" s="16" t="s">
        <v>1780</v>
      </c>
      <c r="B487" s="17">
        <v>410.17</v>
      </c>
    </row>
    <row r="488" spans="1:2" x14ac:dyDescent="0.2">
      <c r="A488" s="16" t="s">
        <v>2992</v>
      </c>
      <c r="B488" s="17">
        <v>157.33000000000001</v>
      </c>
    </row>
    <row r="489" spans="1:2" x14ac:dyDescent="0.2">
      <c r="A489" s="16" t="s">
        <v>2025</v>
      </c>
      <c r="B489" s="17">
        <v>1377.46</v>
      </c>
    </row>
    <row r="490" spans="1:2" x14ac:dyDescent="0.2">
      <c r="A490" s="16" t="s">
        <v>900</v>
      </c>
      <c r="B490" s="17">
        <v>336.64</v>
      </c>
    </row>
    <row r="491" spans="1:2" x14ac:dyDescent="0.2">
      <c r="A491" s="16" t="s">
        <v>2468</v>
      </c>
      <c r="B491" s="17">
        <v>599.03</v>
      </c>
    </row>
    <row r="492" spans="1:2" x14ac:dyDescent="0.2">
      <c r="A492" s="16" t="s">
        <v>1011</v>
      </c>
      <c r="B492" s="17">
        <v>584.07999999999993</v>
      </c>
    </row>
    <row r="493" spans="1:2" x14ac:dyDescent="0.2">
      <c r="A493" s="16" t="s">
        <v>2119</v>
      </c>
      <c r="B493" s="17">
        <v>55.08</v>
      </c>
    </row>
    <row r="494" spans="1:2" x14ac:dyDescent="0.2">
      <c r="A494" s="16" t="s">
        <v>1727</v>
      </c>
      <c r="B494" s="17">
        <v>464.94</v>
      </c>
    </row>
    <row r="495" spans="1:2" x14ac:dyDescent="0.2">
      <c r="A495" s="16" t="s">
        <v>835</v>
      </c>
      <c r="B495" s="17">
        <v>8066.13</v>
      </c>
    </row>
    <row r="496" spans="1:2" x14ac:dyDescent="0.2">
      <c r="A496" s="16" t="s">
        <v>2869</v>
      </c>
      <c r="B496" s="17">
        <v>406.03000000000003</v>
      </c>
    </row>
    <row r="497" spans="1:2" x14ac:dyDescent="0.2">
      <c r="A497" s="16" t="s">
        <v>735</v>
      </c>
      <c r="B497" s="17">
        <v>136.99</v>
      </c>
    </row>
    <row r="498" spans="1:2" x14ac:dyDescent="0.2">
      <c r="A498" s="16" t="s">
        <v>1310</v>
      </c>
      <c r="B498" s="17">
        <v>429.82</v>
      </c>
    </row>
    <row r="499" spans="1:2" x14ac:dyDescent="0.2">
      <c r="A499" s="16" t="s">
        <v>1159</v>
      </c>
      <c r="B499" s="17">
        <v>98.96</v>
      </c>
    </row>
    <row r="500" spans="1:2" x14ac:dyDescent="0.2">
      <c r="A500" s="16" t="s">
        <v>2832</v>
      </c>
      <c r="B500" s="17">
        <v>823.96</v>
      </c>
    </row>
    <row r="501" spans="1:2" x14ac:dyDescent="0.2">
      <c r="A501" s="16" t="s">
        <v>1616</v>
      </c>
      <c r="B501" s="17">
        <v>40.869999999999997</v>
      </c>
    </row>
    <row r="502" spans="1:2" x14ac:dyDescent="0.2">
      <c r="A502" s="16" t="s">
        <v>2609</v>
      </c>
      <c r="B502" s="17">
        <v>7435.77</v>
      </c>
    </row>
    <row r="503" spans="1:2" x14ac:dyDescent="0.2">
      <c r="A503" s="16" t="s">
        <v>965</v>
      </c>
      <c r="B503" s="17">
        <v>41.96</v>
      </c>
    </row>
    <row r="504" spans="1:2" x14ac:dyDescent="0.2">
      <c r="A504" s="16" t="s">
        <v>1271</v>
      </c>
      <c r="B504" s="17">
        <v>39.15</v>
      </c>
    </row>
    <row r="505" spans="1:2" x14ac:dyDescent="0.2">
      <c r="A505" s="16" t="s">
        <v>1150</v>
      </c>
      <c r="B505" s="17">
        <v>598.38</v>
      </c>
    </row>
    <row r="506" spans="1:2" x14ac:dyDescent="0.2">
      <c r="A506" s="16" t="s">
        <v>1264</v>
      </c>
      <c r="B506" s="17">
        <v>1257.76</v>
      </c>
    </row>
    <row r="507" spans="1:2" x14ac:dyDescent="0.2">
      <c r="A507" s="16" t="s">
        <v>1038</v>
      </c>
      <c r="B507" s="17">
        <v>211.14999999999998</v>
      </c>
    </row>
    <row r="508" spans="1:2" x14ac:dyDescent="0.2">
      <c r="A508" s="16" t="s">
        <v>637</v>
      </c>
      <c r="B508" s="17">
        <v>403.25</v>
      </c>
    </row>
    <row r="509" spans="1:2" x14ac:dyDescent="0.2">
      <c r="A509" s="16" t="s">
        <v>2975</v>
      </c>
      <c r="B509" s="17">
        <v>2239.0300000000002</v>
      </c>
    </row>
    <row r="510" spans="1:2" x14ac:dyDescent="0.2">
      <c r="A510" s="16" t="s">
        <v>84</v>
      </c>
      <c r="B510" s="17">
        <v>231.79</v>
      </c>
    </row>
    <row r="511" spans="1:2" x14ac:dyDescent="0.2">
      <c r="A511" s="16" t="s">
        <v>606</v>
      </c>
      <c r="B511" s="17">
        <v>8868.9800000000014</v>
      </c>
    </row>
    <row r="512" spans="1:2" x14ac:dyDescent="0.2">
      <c r="A512" s="16" t="s">
        <v>2574</v>
      </c>
      <c r="B512" s="17">
        <v>284.33999999999997</v>
      </c>
    </row>
    <row r="513" spans="1:2" x14ac:dyDescent="0.2">
      <c r="A513" s="16" t="s">
        <v>2171</v>
      </c>
      <c r="B513" s="17">
        <v>86.12</v>
      </c>
    </row>
    <row r="514" spans="1:2" x14ac:dyDescent="0.2">
      <c r="A514" s="16" t="s">
        <v>2305</v>
      </c>
      <c r="B514" s="17">
        <v>2198.56</v>
      </c>
    </row>
    <row r="515" spans="1:2" x14ac:dyDescent="0.2">
      <c r="A515" s="16" t="s">
        <v>2390</v>
      </c>
      <c r="B515" s="17">
        <v>385.45</v>
      </c>
    </row>
    <row r="516" spans="1:2" x14ac:dyDescent="0.2">
      <c r="A516" s="16" t="s">
        <v>1577</v>
      </c>
      <c r="B516" s="17">
        <v>1067.0999999999999</v>
      </c>
    </row>
    <row r="517" spans="1:2" x14ac:dyDescent="0.2">
      <c r="A517" s="16" t="s">
        <v>949</v>
      </c>
      <c r="B517" s="17">
        <v>2044.9</v>
      </c>
    </row>
    <row r="518" spans="1:2" x14ac:dyDescent="0.2">
      <c r="A518" s="16" t="s">
        <v>1208</v>
      </c>
      <c r="B518" s="17">
        <v>144.33000000000001</v>
      </c>
    </row>
    <row r="519" spans="1:2" x14ac:dyDescent="0.2">
      <c r="A519" s="16" t="s">
        <v>2708</v>
      </c>
      <c r="B519" s="17">
        <v>596.49999999999989</v>
      </c>
    </row>
    <row r="520" spans="1:2" x14ac:dyDescent="0.2">
      <c r="A520" s="16" t="s">
        <v>2460</v>
      </c>
      <c r="B520" s="17">
        <v>759.88</v>
      </c>
    </row>
    <row r="521" spans="1:2" x14ac:dyDescent="0.2">
      <c r="A521" s="16" t="s">
        <v>1369</v>
      </c>
      <c r="B521" s="17">
        <v>1072.19</v>
      </c>
    </row>
    <row r="522" spans="1:2" x14ac:dyDescent="0.2">
      <c r="A522" s="16" t="s">
        <v>2080</v>
      </c>
      <c r="B522" s="17">
        <v>86.8</v>
      </c>
    </row>
    <row r="523" spans="1:2" x14ac:dyDescent="0.2">
      <c r="A523" s="16" t="s">
        <v>2191</v>
      </c>
      <c r="B523" s="17">
        <v>10608.119999999999</v>
      </c>
    </row>
    <row r="524" spans="1:2" x14ac:dyDescent="0.2">
      <c r="A524" s="16" t="s">
        <v>1443</v>
      </c>
      <c r="B524" s="17">
        <v>110.72</v>
      </c>
    </row>
    <row r="525" spans="1:2" x14ac:dyDescent="0.2">
      <c r="A525" s="16" t="s">
        <v>2315</v>
      </c>
      <c r="B525" s="17">
        <v>2940.62</v>
      </c>
    </row>
    <row r="526" spans="1:2" x14ac:dyDescent="0.2">
      <c r="A526" s="16" t="s">
        <v>502</v>
      </c>
      <c r="B526" s="17">
        <v>1845.23</v>
      </c>
    </row>
    <row r="527" spans="1:2" x14ac:dyDescent="0.2">
      <c r="A527" s="16" t="s">
        <v>2539</v>
      </c>
      <c r="B527" s="17">
        <v>159.53</v>
      </c>
    </row>
    <row r="528" spans="1:2" x14ac:dyDescent="0.2">
      <c r="A528" s="16" t="s">
        <v>699</v>
      </c>
      <c r="B528" s="17">
        <v>20.37</v>
      </c>
    </row>
    <row r="529" spans="1:2" x14ac:dyDescent="0.2">
      <c r="A529" s="16" t="s">
        <v>1565</v>
      </c>
      <c r="B529" s="17">
        <v>11015.82</v>
      </c>
    </row>
    <row r="530" spans="1:2" x14ac:dyDescent="0.2">
      <c r="A530" s="16" t="s">
        <v>2279</v>
      </c>
      <c r="B530" s="17">
        <v>885.65</v>
      </c>
    </row>
    <row r="531" spans="1:2" x14ac:dyDescent="0.2">
      <c r="A531" s="16" t="s">
        <v>1286</v>
      </c>
      <c r="B531" s="17">
        <v>88.84</v>
      </c>
    </row>
    <row r="532" spans="1:2" x14ac:dyDescent="0.2">
      <c r="A532" s="16" t="s">
        <v>826</v>
      </c>
      <c r="B532" s="17">
        <v>1039.48</v>
      </c>
    </row>
    <row r="533" spans="1:2" x14ac:dyDescent="0.2">
      <c r="A533" s="16" t="s">
        <v>1560</v>
      </c>
      <c r="B533" s="17">
        <v>28.22</v>
      </c>
    </row>
    <row r="534" spans="1:2" x14ac:dyDescent="0.2">
      <c r="A534" s="16" t="s">
        <v>1153</v>
      </c>
      <c r="B534" s="17">
        <v>39.36</v>
      </c>
    </row>
    <row r="535" spans="1:2" x14ac:dyDescent="0.2">
      <c r="A535" s="16" t="s">
        <v>2049</v>
      </c>
      <c r="B535" s="17">
        <v>4845.2700000000004</v>
      </c>
    </row>
    <row r="536" spans="1:2" x14ac:dyDescent="0.2">
      <c r="A536" s="16" t="s">
        <v>1957</v>
      </c>
      <c r="B536" s="17">
        <v>36.72</v>
      </c>
    </row>
    <row r="537" spans="1:2" x14ac:dyDescent="0.2">
      <c r="A537" s="16" t="s">
        <v>2881</v>
      </c>
      <c r="B537" s="17">
        <v>472.19</v>
      </c>
    </row>
    <row r="538" spans="1:2" x14ac:dyDescent="0.2">
      <c r="A538" s="16" t="s">
        <v>2751</v>
      </c>
      <c r="B538" s="17">
        <v>84.04</v>
      </c>
    </row>
    <row r="539" spans="1:2" x14ac:dyDescent="0.2">
      <c r="A539" s="16" t="s">
        <v>1017</v>
      </c>
      <c r="B539" s="17">
        <v>428.05</v>
      </c>
    </row>
    <row r="540" spans="1:2" x14ac:dyDescent="0.2">
      <c r="A540" s="16" t="s">
        <v>879</v>
      </c>
      <c r="B540" s="17">
        <v>257.52</v>
      </c>
    </row>
    <row r="541" spans="1:2" x14ac:dyDescent="0.2">
      <c r="A541" s="16" t="s">
        <v>2680</v>
      </c>
      <c r="B541" s="17">
        <v>2629.15</v>
      </c>
    </row>
    <row r="542" spans="1:2" x14ac:dyDescent="0.2">
      <c r="A542" s="16" t="s">
        <v>1545</v>
      </c>
      <c r="B542" s="17">
        <v>288.67</v>
      </c>
    </row>
    <row r="543" spans="1:2" x14ac:dyDescent="0.2">
      <c r="A543" s="16" t="s">
        <v>841</v>
      </c>
      <c r="B543" s="17">
        <v>87.89</v>
      </c>
    </row>
    <row r="544" spans="1:2" x14ac:dyDescent="0.2">
      <c r="A544" s="16" t="s">
        <v>1704</v>
      </c>
      <c r="B544" s="17">
        <v>63.73</v>
      </c>
    </row>
    <row r="545" spans="1:2" x14ac:dyDescent="0.2">
      <c r="A545" s="16" t="s">
        <v>2379</v>
      </c>
      <c r="B545" s="17">
        <v>3452.47</v>
      </c>
    </row>
    <row r="546" spans="1:2" x14ac:dyDescent="0.2">
      <c r="A546" s="16" t="s">
        <v>1372</v>
      </c>
      <c r="B546" s="17">
        <v>2425.2400000000002</v>
      </c>
    </row>
    <row r="547" spans="1:2" x14ac:dyDescent="0.2">
      <c r="A547" s="16" t="s">
        <v>1832</v>
      </c>
      <c r="B547" s="17">
        <v>68.34</v>
      </c>
    </row>
    <row r="548" spans="1:2" x14ac:dyDescent="0.2">
      <c r="A548" s="16" t="s">
        <v>872</v>
      </c>
      <c r="B548" s="17">
        <v>3761.6899999999996</v>
      </c>
    </row>
    <row r="549" spans="1:2" x14ac:dyDescent="0.2">
      <c r="A549" s="16" t="s">
        <v>2036</v>
      </c>
      <c r="B549" s="17">
        <v>33.950000000000003</v>
      </c>
    </row>
    <row r="550" spans="1:2" x14ac:dyDescent="0.2">
      <c r="A550" s="16" t="s">
        <v>1799</v>
      </c>
      <c r="B550" s="17">
        <v>88.64</v>
      </c>
    </row>
    <row r="551" spans="1:2" x14ac:dyDescent="0.2">
      <c r="A551" s="16" t="s">
        <v>549</v>
      </c>
      <c r="B551" s="17">
        <v>512.91000000000008</v>
      </c>
    </row>
    <row r="552" spans="1:2" x14ac:dyDescent="0.2">
      <c r="A552" s="16" t="s">
        <v>2501</v>
      </c>
      <c r="B552" s="17">
        <v>74.680000000000007</v>
      </c>
    </row>
    <row r="553" spans="1:2" x14ac:dyDescent="0.2">
      <c r="A553" s="16" t="s">
        <v>743</v>
      </c>
      <c r="B553" s="17">
        <v>2337.81</v>
      </c>
    </row>
    <row r="554" spans="1:2" x14ac:dyDescent="0.2">
      <c r="A554" s="16" t="s">
        <v>1735</v>
      </c>
      <c r="B554" s="17">
        <v>114.81</v>
      </c>
    </row>
    <row r="555" spans="1:2" x14ac:dyDescent="0.2">
      <c r="A555" s="16" t="s">
        <v>455</v>
      </c>
      <c r="B555" s="17">
        <v>1495.8799999999999</v>
      </c>
    </row>
    <row r="556" spans="1:2" x14ac:dyDescent="0.2">
      <c r="A556" s="16" t="s">
        <v>2290</v>
      </c>
      <c r="B556" s="17">
        <v>260</v>
      </c>
    </row>
    <row r="557" spans="1:2" x14ac:dyDescent="0.2">
      <c r="A557" s="16" t="s">
        <v>541</v>
      </c>
      <c r="B557" s="17">
        <v>1897.41</v>
      </c>
    </row>
    <row r="558" spans="1:2" x14ac:dyDescent="0.2">
      <c r="A558" s="16" t="s">
        <v>1941</v>
      </c>
      <c r="B558" s="17">
        <v>14.85</v>
      </c>
    </row>
    <row r="559" spans="1:2" x14ac:dyDescent="0.2">
      <c r="A559" s="16" t="s">
        <v>2076</v>
      </c>
      <c r="B559" s="17">
        <v>25.35</v>
      </c>
    </row>
    <row r="560" spans="1:2" x14ac:dyDescent="0.2">
      <c r="A560" s="16" t="s">
        <v>1302</v>
      </c>
      <c r="B560" s="17">
        <v>593.33000000000004</v>
      </c>
    </row>
    <row r="561" spans="1:2" x14ac:dyDescent="0.2">
      <c r="A561" s="16" t="s">
        <v>941</v>
      </c>
      <c r="B561" s="17">
        <v>8332.91</v>
      </c>
    </row>
    <row r="562" spans="1:2" x14ac:dyDescent="0.2">
      <c r="A562" s="16" t="s">
        <v>1218</v>
      </c>
      <c r="B562" s="17">
        <v>302.01</v>
      </c>
    </row>
    <row r="563" spans="1:2" x14ac:dyDescent="0.2">
      <c r="A563" s="16" t="s">
        <v>2260</v>
      </c>
      <c r="B563" s="17">
        <v>96.86</v>
      </c>
    </row>
    <row r="564" spans="1:2" x14ac:dyDescent="0.2">
      <c r="A564" s="16" t="s">
        <v>2850</v>
      </c>
      <c r="B564" s="17">
        <v>4568.8999999999996</v>
      </c>
    </row>
    <row r="565" spans="1:2" x14ac:dyDescent="0.2">
      <c r="A565" s="16" t="s">
        <v>1684</v>
      </c>
      <c r="B565" s="17">
        <v>510.46000000000004</v>
      </c>
    </row>
    <row r="566" spans="1:2" x14ac:dyDescent="0.2">
      <c r="A566" s="16" t="s">
        <v>1127</v>
      </c>
      <c r="B566" s="17">
        <v>2498.7399999999998</v>
      </c>
    </row>
    <row r="567" spans="1:2" x14ac:dyDescent="0.2">
      <c r="A567" s="16" t="s">
        <v>521</v>
      </c>
      <c r="B567" s="17">
        <v>72.760000000000005</v>
      </c>
    </row>
    <row r="568" spans="1:2" x14ac:dyDescent="0.2">
      <c r="A568" s="16" t="s">
        <v>859</v>
      </c>
      <c r="B568" s="17">
        <v>1178.32</v>
      </c>
    </row>
    <row r="569" spans="1:2" x14ac:dyDescent="0.2">
      <c r="A569" s="16" t="s">
        <v>1621</v>
      </c>
      <c r="B569" s="17">
        <v>158.13</v>
      </c>
    </row>
    <row r="570" spans="1:2" x14ac:dyDescent="0.2">
      <c r="A570" s="16" t="s">
        <v>1905</v>
      </c>
      <c r="B570" s="17">
        <v>746.91</v>
      </c>
    </row>
    <row r="571" spans="1:2" x14ac:dyDescent="0.2">
      <c r="A571" s="16" t="s">
        <v>218</v>
      </c>
      <c r="B571" s="17">
        <v>227.45999999999998</v>
      </c>
    </row>
    <row r="572" spans="1:2" x14ac:dyDescent="0.2">
      <c r="A572" s="16" t="s">
        <v>2200</v>
      </c>
      <c r="B572" s="17">
        <v>134.09</v>
      </c>
    </row>
    <row r="573" spans="1:2" x14ac:dyDescent="0.2">
      <c r="A573" s="16" t="s">
        <v>1339</v>
      </c>
      <c r="B573" s="17">
        <v>2819.41</v>
      </c>
    </row>
    <row r="574" spans="1:2" x14ac:dyDescent="0.2">
      <c r="A574" s="16" t="s">
        <v>975</v>
      </c>
      <c r="B574" s="17">
        <v>39.26</v>
      </c>
    </row>
    <row r="575" spans="1:2" x14ac:dyDescent="0.2">
      <c r="A575" s="16" t="s">
        <v>2092</v>
      </c>
      <c r="B575" s="17">
        <v>922.37</v>
      </c>
    </row>
    <row r="576" spans="1:2" x14ac:dyDescent="0.2">
      <c r="A576" s="16" t="s">
        <v>2399</v>
      </c>
      <c r="B576" s="17">
        <v>39.17</v>
      </c>
    </row>
    <row r="577" spans="1:2" x14ac:dyDescent="0.2">
      <c r="A577" s="16" t="s">
        <v>2395</v>
      </c>
      <c r="B577" s="17">
        <v>334.1</v>
      </c>
    </row>
    <row r="578" spans="1:2" x14ac:dyDescent="0.2">
      <c r="A578" s="16" t="s">
        <v>1531</v>
      </c>
      <c r="B578" s="17">
        <v>199.79999999999998</v>
      </c>
    </row>
    <row r="579" spans="1:2" x14ac:dyDescent="0.2">
      <c r="A579" s="16" t="s">
        <v>2776</v>
      </c>
      <c r="B579" s="17">
        <v>207.12</v>
      </c>
    </row>
    <row r="580" spans="1:2" x14ac:dyDescent="0.2">
      <c r="A580" s="16" t="s">
        <v>1814</v>
      </c>
      <c r="B580" s="17">
        <v>348.23999999999995</v>
      </c>
    </row>
    <row r="581" spans="1:2" x14ac:dyDescent="0.2">
      <c r="A581" s="16" t="s">
        <v>674</v>
      </c>
      <c r="B581" s="17">
        <v>65.739999999999995</v>
      </c>
    </row>
    <row r="582" spans="1:2" x14ac:dyDescent="0.2">
      <c r="A582" s="16" t="s">
        <v>2517</v>
      </c>
      <c r="B582" s="17">
        <v>282.38</v>
      </c>
    </row>
    <row r="583" spans="1:2" x14ac:dyDescent="0.2">
      <c r="A583" s="16" t="s">
        <v>423</v>
      </c>
      <c r="B583" s="17">
        <v>362.22</v>
      </c>
    </row>
    <row r="584" spans="1:2" x14ac:dyDescent="0.2">
      <c r="A584" s="16" t="s">
        <v>1642</v>
      </c>
      <c r="B584" s="17">
        <v>1483.16</v>
      </c>
    </row>
    <row r="585" spans="1:2" x14ac:dyDescent="0.2">
      <c r="A585" s="16" t="s">
        <v>1612</v>
      </c>
      <c r="B585" s="17">
        <v>229.28</v>
      </c>
    </row>
    <row r="586" spans="1:2" x14ac:dyDescent="0.2">
      <c r="A586" s="16" t="s">
        <v>2903</v>
      </c>
      <c r="B586" s="17">
        <v>495.82</v>
      </c>
    </row>
    <row r="587" spans="1:2" x14ac:dyDescent="0.2">
      <c r="A587" s="16" t="s">
        <v>688</v>
      </c>
      <c r="B587" s="17">
        <v>578.24</v>
      </c>
    </row>
    <row r="588" spans="1:2" x14ac:dyDescent="0.2">
      <c r="A588" s="16" t="s">
        <v>2645</v>
      </c>
      <c r="B588" s="17">
        <v>45.05</v>
      </c>
    </row>
    <row r="589" spans="1:2" x14ac:dyDescent="0.2">
      <c r="A589" s="16" t="s">
        <v>2486</v>
      </c>
      <c r="B589" s="17">
        <v>17.64</v>
      </c>
    </row>
    <row r="590" spans="1:2" x14ac:dyDescent="0.2">
      <c r="A590" s="16" t="s">
        <v>2696</v>
      </c>
      <c r="B590" s="17">
        <v>47.04</v>
      </c>
    </row>
    <row r="591" spans="1:2" x14ac:dyDescent="0.2">
      <c r="A591" s="16" t="s">
        <v>1723</v>
      </c>
      <c r="B591" s="17">
        <v>974.14</v>
      </c>
    </row>
    <row r="592" spans="1:2" x14ac:dyDescent="0.2">
      <c r="A592" s="16" t="s">
        <v>2678</v>
      </c>
      <c r="B592" s="17">
        <v>162.49</v>
      </c>
    </row>
    <row r="593" spans="1:2" x14ac:dyDescent="0.2">
      <c r="A593" s="16" t="s">
        <v>800</v>
      </c>
      <c r="B593" s="17">
        <v>6631.28</v>
      </c>
    </row>
    <row r="594" spans="1:2" x14ac:dyDescent="0.2">
      <c r="A594" s="16" t="s">
        <v>1543</v>
      </c>
      <c r="B594" s="17">
        <v>464.86</v>
      </c>
    </row>
    <row r="595" spans="1:2" x14ac:dyDescent="0.2">
      <c r="A595" s="16" t="s">
        <v>1357</v>
      </c>
      <c r="B595" s="17">
        <v>38.65</v>
      </c>
    </row>
    <row r="596" spans="1:2" x14ac:dyDescent="0.2">
      <c r="A596" s="16" t="s">
        <v>1394</v>
      </c>
      <c r="B596" s="17">
        <v>11542.68</v>
      </c>
    </row>
    <row r="597" spans="1:2" x14ac:dyDescent="0.2">
      <c r="A597" s="16" t="s">
        <v>1166</v>
      </c>
      <c r="B597" s="17">
        <v>253.92000000000002</v>
      </c>
    </row>
    <row r="598" spans="1:2" x14ac:dyDescent="0.2">
      <c r="A598" s="16" t="s">
        <v>2553</v>
      </c>
      <c r="B598" s="17">
        <v>8229.48</v>
      </c>
    </row>
    <row r="599" spans="1:2" x14ac:dyDescent="0.2">
      <c r="A599" s="16" t="s">
        <v>1989</v>
      </c>
      <c r="B599" s="17">
        <v>153.61000000000001</v>
      </c>
    </row>
    <row r="600" spans="1:2" x14ac:dyDescent="0.2">
      <c r="A600" s="16" t="s">
        <v>842</v>
      </c>
      <c r="B600" s="17">
        <v>163.76</v>
      </c>
    </row>
    <row r="601" spans="1:2" x14ac:dyDescent="0.2">
      <c r="A601" s="16" t="s">
        <v>2327</v>
      </c>
      <c r="B601" s="17">
        <v>79.61</v>
      </c>
    </row>
    <row r="602" spans="1:2" x14ac:dyDescent="0.2">
      <c r="A602" s="16" t="s">
        <v>1052</v>
      </c>
      <c r="B602" s="17">
        <v>166.59</v>
      </c>
    </row>
    <row r="603" spans="1:2" x14ac:dyDescent="0.2">
      <c r="A603" s="16" t="s">
        <v>1315</v>
      </c>
      <c r="B603" s="17">
        <v>66.739999999999995</v>
      </c>
    </row>
    <row r="604" spans="1:2" x14ac:dyDescent="0.2">
      <c r="A604" s="16" t="s">
        <v>2262</v>
      </c>
      <c r="B604" s="17">
        <v>765.65</v>
      </c>
    </row>
    <row r="605" spans="1:2" x14ac:dyDescent="0.2">
      <c r="A605" s="16" t="s">
        <v>2292</v>
      </c>
      <c r="B605" s="17">
        <v>709.7</v>
      </c>
    </row>
    <row r="606" spans="1:2" x14ac:dyDescent="0.2">
      <c r="A606" s="16" t="s">
        <v>1968</v>
      </c>
      <c r="B606" s="17">
        <v>312.75</v>
      </c>
    </row>
    <row r="607" spans="1:2" x14ac:dyDescent="0.2">
      <c r="A607" s="16" t="s">
        <v>1147</v>
      </c>
      <c r="B607" s="17">
        <v>100.59</v>
      </c>
    </row>
    <row r="608" spans="1:2" x14ac:dyDescent="0.2">
      <c r="A608" s="16" t="s">
        <v>2406</v>
      </c>
      <c r="B608" s="17">
        <v>2834.91</v>
      </c>
    </row>
    <row r="609" spans="1:2" x14ac:dyDescent="0.2">
      <c r="A609" s="16" t="s">
        <v>247</v>
      </c>
      <c r="B609" s="17">
        <v>1738.13</v>
      </c>
    </row>
    <row r="610" spans="1:2" x14ac:dyDescent="0.2">
      <c r="A610" s="16" t="s">
        <v>2218</v>
      </c>
      <c r="B610" s="17">
        <v>3031.73</v>
      </c>
    </row>
    <row r="611" spans="1:2" x14ac:dyDescent="0.2">
      <c r="A611" s="16" t="s">
        <v>1486</v>
      </c>
      <c r="B611" s="17">
        <v>272.86</v>
      </c>
    </row>
    <row r="612" spans="1:2" x14ac:dyDescent="0.2">
      <c r="A612" s="16" t="s">
        <v>2055</v>
      </c>
      <c r="B612" s="17">
        <v>237.83</v>
      </c>
    </row>
    <row r="613" spans="1:2" x14ac:dyDescent="0.2">
      <c r="A613" s="16" t="s">
        <v>1033</v>
      </c>
      <c r="B613" s="17">
        <v>2188.16</v>
      </c>
    </row>
    <row r="614" spans="1:2" x14ac:dyDescent="0.2">
      <c r="A614" s="16" t="s">
        <v>1740</v>
      </c>
      <c r="B614" s="17">
        <v>272.86</v>
      </c>
    </row>
    <row r="615" spans="1:2" x14ac:dyDescent="0.2">
      <c r="A615" s="16" t="s">
        <v>2347</v>
      </c>
      <c r="B615" s="17">
        <v>88.85</v>
      </c>
    </row>
    <row r="616" spans="1:2" x14ac:dyDescent="0.2">
      <c r="A616" s="16" t="s">
        <v>2541</v>
      </c>
      <c r="B616" s="17">
        <v>536.29</v>
      </c>
    </row>
    <row r="617" spans="1:2" x14ac:dyDescent="0.2">
      <c r="A617" s="16" t="s">
        <v>2717</v>
      </c>
      <c r="B617" s="17">
        <v>56.19</v>
      </c>
    </row>
    <row r="618" spans="1:2" x14ac:dyDescent="0.2">
      <c r="A618" s="16" t="s">
        <v>453</v>
      </c>
      <c r="B618" s="17">
        <v>5768.4900000000007</v>
      </c>
    </row>
    <row r="619" spans="1:2" x14ac:dyDescent="0.2">
      <c r="A619" s="16" t="s">
        <v>1200</v>
      </c>
      <c r="B619" s="17">
        <v>51.02</v>
      </c>
    </row>
    <row r="620" spans="1:2" x14ac:dyDescent="0.2">
      <c r="A620" s="16" t="s">
        <v>2281</v>
      </c>
      <c r="B620" s="17">
        <v>447.59000000000003</v>
      </c>
    </row>
    <row r="621" spans="1:2" x14ac:dyDescent="0.2">
      <c r="A621" s="16" t="s">
        <v>1110</v>
      </c>
      <c r="B621" s="17">
        <v>6963.67</v>
      </c>
    </row>
    <row r="622" spans="1:2" x14ac:dyDescent="0.2">
      <c r="A622" s="16" t="s">
        <v>1429</v>
      </c>
      <c r="B622" s="17">
        <v>1218.26</v>
      </c>
    </row>
    <row r="623" spans="1:2" x14ac:dyDescent="0.2">
      <c r="A623" s="16" t="s">
        <v>666</v>
      </c>
      <c r="B623" s="17">
        <v>341.79</v>
      </c>
    </row>
    <row r="624" spans="1:2" x14ac:dyDescent="0.2">
      <c r="A624" s="16" t="s">
        <v>661</v>
      </c>
      <c r="B624" s="17">
        <v>50475.31</v>
      </c>
    </row>
    <row r="625" spans="1:2" x14ac:dyDescent="0.2">
      <c r="A625" s="16" t="s">
        <v>2153</v>
      </c>
      <c r="B625" s="17">
        <v>3272.49</v>
      </c>
    </row>
    <row r="626" spans="1:2" x14ac:dyDescent="0.2">
      <c r="A626" s="16" t="s">
        <v>2821</v>
      </c>
      <c r="B626" s="17">
        <v>3108.68</v>
      </c>
    </row>
    <row r="627" spans="1:2" x14ac:dyDescent="0.2">
      <c r="A627" s="16" t="s">
        <v>1233</v>
      </c>
      <c r="B627" s="17">
        <v>55.97</v>
      </c>
    </row>
    <row r="628" spans="1:2" x14ac:dyDescent="0.2">
      <c r="A628" s="16" t="s">
        <v>2263</v>
      </c>
      <c r="B628" s="17">
        <v>6392.5</v>
      </c>
    </row>
    <row r="629" spans="1:2" x14ac:dyDescent="0.2">
      <c r="A629" s="16" t="s">
        <v>1493</v>
      </c>
      <c r="B629" s="17">
        <v>21.46</v>
      </c>
    </row>
    <row r="630" spans="1:2" x14ac:dyDescent="0.2">
      <c r="A630" s="16" t="s">
        <v>1691</v>
      </c>
      <c r="B630" s="17">
        <v>514.79</v>
      </c>
    </row>
    <row r="631" spans="1:2" x14ac:dyDescent="0.2">
      <c r="A631" s="16" t="s">
        <v>1552</v>
      </c>
      <c r="B631" s="17">
        <v>115.53</v>
      </c>
    </row>
    <row r="632" spans="1:2" x14ac:dyDescent="0.2">
      <c r="A632" s="16" t="s">
        <v>2177</v>
      </c>
      <c r="B632" s="17">
        <v>132.31</v>
      </c>
    </row>
    <row r="633" spans="1:2" x14ac:dyDescent="0.2">
      <c r="A633" s="16" t="s">
        <v>2194</v>
      </c>
      <c r="B633" s="17">
        <v>1569.19</v>
      </c>
    </row>
    <row r="634" spans="1:2" x14ac:dyDescent="0.2">
      <c r="A634" s="16" t="s">
        <v>1568</v>
      </c>
      <c r="B634" s="17">
        <v>300.67</v>
      </c>
    </row>
    <row r="635" spans="1:2" x14ac:dyDescent="0.2">
      <c r="A635" s="16" t="s">
        <v>2433</v>
      </c>
      <c r="B635" s="17">
        <v>44.75</v>
      </c>
    </row>
    <row r="636" spans="1:2" x14ac:dyDescent="0.2">
      <c r="A636" s="16" t="s">
        <v>804</v>
      </c>
      <c r="B636" s="17">
        <v>253.78</v>
      </c>
    </row>
    <row r="637" spans="1:2" x14ac:dyDescent="0.2">
      <c r="A637" s="16" t="s">
        <v>2584</v>
      </c>
      <c r="B637" s="17">
        <v>395.43</v>
      </c>
    </row>
    <row r="638" spans="1:2" x14ac:dyDescent="0.2">
      <c r="A638" s="16" t="s">
        <v>2674</v>
      </c>
      <c r="B638" s="17">
        <v>931.87</v>
      </c>
    </row>
    <row r="639" spans="1:2" x14ac:dyDescent="0.2">
      <c r="A639" s="16" t="s">
        <v>80</v>
      </c>
      <c r="B639" s="17">
        <v>455.77</v>
      </c>
    </row>
    <row r="640" spans="1:2" x14ac:dyDescent="0.2">
      <c r="A640" s="16" t="s">
        <v>2099</v>
      </c>
      <c r="B640" s="17">
        <v>1733.91</v>
      </c>
    </row>
    <row r="641" spans="1:2" x14ac:dyDescent="0.2">
      <c r="A641" s="16" t="s">
        <v>2396</v>
      </c>
      <c r="B641" s="17">
        <v>2005.18</v>
      </c>
    </row>
    <row r="642" spans="1:2" x14ac:dyDescent="0.2">
      <c r="A642" s="16" t="s">
        <v>2863</v>
      </c>
      <c r="B642" s="17">
        <v>520.22</v>
      </c>
    </row>
    <row r="643" spans="1:2" x14ac:dyDescent="0.2">
      <c r="A643" s="16" t="s">
        <v>1792</v>
      </c>
      <c r="B643" s="17">
        <v>24.57</v>
      </c>
    </row>
    <row r="644" spans="1:2" x14ac:dyDescent="0.2">
      <c r="A644" s="16" t="s">
        <v>2857</v>
      </c>
      <c r="B644" s="17">
        <v>83.14</v>
      </c>
    </row>
    <row r="645" spans="1:2" x14ac:dyDescent="0.2">
      <c r="A645" s="16" t="s">
        <v>2797</v>
      </c>
      <c r="B645" s="17">
        <v>1421.69</v>
      </c>
    </row>
    <row r="646" spans="1:2" x14ac:dyDescent="0.2">
      <c r="A646" s="16" t="s">
        <v>767</v>
      </c>
      <c r="B646" s="17">
        <v>7443.2</v>
      </c>
    </row>
    <row r="647" spans="1:2" x14ac:dyDescent="0.2">
      <c r="A647" s="16" t="s">
        <v>973</v>
      </c>
      <c r="B647" s="17">
        <v>50.83</v>
      </c>
    </row>
    <row r="648" spans="1:2" x14ac:dyDescent="0.2">
      <c r="A648" s="16" t="s">
        <v>2676</v>
      </c>
      <c r="B648" s="17">
        <v>21.41</v>
      </c>
    </row>
    <row r="649" spans="1:2" x14ac:dyDescent="0.2">
      <c r="A649" s="16" t="s">
        <v>2826</v>
      </c>
      <c r="B649" s="17">
        <v>3596.03</v>
      </c>
    </row>
    <row r="650" spans="1:2" x14ac:dyDescent="0.2">
      <c r="A650" s="16" t="s">
        <v>930</v>
      </c>
      <c r="B650" s="17">
        <v>1358.1599999999999</v>
      </c>
    </row>
    <row r="651" spans="1:2" x14ac:dyDescent="0.2">
      <c r="A651" s="16" t="s">
        <v>1276</v>
      </c>
      <c r="B651" s="17">
        <v>20640.349999999999</v>
      </c>
    </row>
    <row r="652" spans="1:2" x14ac:dyDescent="0.2">
      <c r="A652" s="16" t="s">
        <v>2018</v>
      </c>
      <c r="B652" s="17">
        <v>9801.2999999999993</v>
      </c>
    </row>
    <row r="653" spans="1:2" x14ac:dyDescent="0.2">
      <c r="A653" s="16" t="s">
        <v>2361</v>
      </c>
      <c r="B653" s="17">
        <v>190.85</v>
      </c>
    </row>
    <row r="654" spans="1:2" x14ac:dyDescent="0.2">
      <c r="A654" s="16" t="s">
        <v>2459</v>
      </c>
      <c r="B654" s="17">
        <v>203.29</v>
      </c>
    </row>
    <row r="655" spans="1:2" x14ac:dyDescent="0.2">
      <c r="A655" s="16" t="s">
        <v>2463</v>
      </c>
      <c r="B655" s="17">
        <v>426.77</v>
      </c>
    </row>
    <row r="656" spans="1:2" x14ac:dyDescent="0.2">
      <c r="A656" s="16" t="s">
        <v>1197</v>
      </c>
      <c r="B656" s="17">
        <v>45.24</v>
      </c>
    </row>
    <row r="657" spans="1:2" x14ac:dyDescent="0.2">
      <c r="A657" s="16" t="s">
        <v>2692</v>
      </c>
      <c r="B657" s="17">
        <v>48.33</v>
      </c>
    </row>
    <row r="658" spans="1:2" x14ac:dyDescent="0.2">
      <c r="A658" s="16" t="s">
        <v>299</v>
      </c>
      <c r="B658" s="17">
        <v>12599.55</v>
      </c>
    </row>
    <row r="659" spans="1:2" x14ac:dyDescent="0.2">
      <c r="A659" s="16" t="s">
        <v>2839</v>
      </c>
      <c r="B659" s="17">
        <v>139.49</v>
      </c>
    </row>
    <row r="660" spans="1:2" x14ac:dyDescent="0.2">
      <c r="A660" s="16" t="s">
        <v>2594</v>
      </c>
      <c r="B660" s="17">
        <v>869.53</v>
      </c>
    </row>
    <row r="661" spans="1:2" x14ac:dyDescent="0.2">
      <c r="A661" s="16" t="s">
        <v>2959</v>
      </c>
      <c r="B661" s="17">
        <v>58.5</v>
      </c>
    </row>
    <row r="662" spans="1:2" x14ac:dyDescent="0.2">
      <c r="A662" s="16" t="s">
        <v>553</v>
      </c>
      <c r="B662" s="17">
        <v>51.83</v>
      </c>
    </row>
    <row r="663" spans="1:2" x14ac:dyDescent="0.2">
      <c r="A663" s="16" t="s">
        <v>1902</v>
      </c>
      <c r="B663" s="17">
        <v>51.03</v>
      </c>
    </row>
    <row r="664" spans="1:2" x14ac:dyDescent="0.2">
      <c r="A664" s="16" t="s">
        <v>2667</v>
      </c>
      <c r="B664" s="17">
        <v>2181.6999999999998</v>
      </c>
    </row>
    <row r="665" spans="1:2" x14ac:dyDescent="0.2">
      <c r="A665" s="16" t="s">
        <v>2969</v>
      </c>
      <c r="B665" s="17">
        <v>212.89000000000001</v>
      </c>
    </row>
    <row r="666" spans="1:2" x14ac:dyDescent="0.2">
      <c r="A666" s="16" t="s">
        <v>2053</v>
      </c>
      <c r="B666" s="17">
        <v>200.61</v>
      </c>
    </row>
    <row r="667" spans="1:2" x14ac:dyDescent="0.2">
      <c r="A667" s="16" t="s">
        <v>2094</v>
      </c>
      <c r="B667" s="17">
        <v>771.3900000000001</v>
      </c>
    </row>
    <row r="668" spans="1:2" x14ac:dyDescent="0.2">
      <c r="A668" s="16" t="s">
        <v>792</v>
      </c>
      <c r="B668" s="17">
        <v>1429.81</v>
      </c>
    </row>
    <row r="669" spans="1:2" x14ac:dyDescent="0.2">
      <c r="A669" s="16" t="s">
        <v>1710</v>
      </c>
      <c r="B669" s="17">
        <v>5374.83</v>
      </c>
    </row>
    <row r="670" spans="1:2" x14ac:dyDescent="0.2">
      <c r="A670" s="16" t="s">
        <v>2447</v>
      </c>
      <c r="B670" s="17">
        <v>237.8</v>
      </c>
    </row>
    <row r="671" spans="1:2" x14ac:dyDescent="0.2">
      <c r="A671" s="16" t="s">
        <v>1733</v>
      </c>
      <c r="B671" s="17">
        <v>261.56</v>
      </c>
    </row>
    <row r="672" spans="1:2" x14ac:dyDescent="0.2">
      <c r="A672" s="16" t="s">
        <v>208</v>
      </c>
      <c r="B672" s="17">
        <v>528.24</v>
      </c>
    </row>
    <row r="673" spans="1:2" x14ac:dyDescent="0.2">
      <c r="A673" s="16" t="s">
        <v>858</v>
      </c>
      <c r="B673" s="17">
        <v>66.319999999999993</v>
      </c>
    </row>
    <row r="674" spans="1:2" x14ac:dyDescent="0.2">
      <c r="A674" s="16" t="s">
        <v>1954</v>
      </c>
      <c r="B674" s="17">
        <v>5368.34</v>
      </c>
    </row>
    <row r="675" spans="1:2" x14ac:dyDescent="0.2">
      <c r="A675" s="16" t="s">
        <v>719</v>
      </c>
      <c r="B675" s="17">
        <v>5781.91</v>
      </c>
    </row>
    <row r="676" spans="1:2" x14ac:dyDescent="0.2">
      <c r="A676" s="16" t="s">
        <v>2286</v>
      </c>
      <c r="B676" s="17">
        <v>474.32</v>
      </c>
    </row>
    <row r="677" spans="1:2" x14ac:dyDescent="0.2">
      <c r="A677" s="16" t="s">
        <v>2715</v>
      </c>
      <c r="B677" s="17">
        <v>203.05</v>
      </c>
    </row>
    <row r="678" spans="1:2" x14ac:dyDescent="0.2">
      <c r="A678" s="16" t="s">
        <v>2244</v>
      </c>
      <c r="B678" s="17">
        <v>1191.54</v>
      </c>
    </row>
    <row r="679" spans="1:2" x14ac:dyDescent="0.2">
      <c r="A679" s="16" t="s">
        <v>1839</v>
      </c>
      <c r="B679" s="17">
        <v>252.18</v>
      </c>
    </row>
    <row r="680" spans="1:2" x14ac:dyDescent="0.2">
      <c r="A680" s="16" t="s">
        <v>2492</v>
      </c>
      <c r="B680" s="17">
        <v>627.19000000000005</v>
      </c>
    </row>
    <row r="681" spans="1:2" x14ac:dyDescent="0.2">
      <c r="A681" s="16" t="s">
        <v>1105</v>
      </c>
      <c r="B681" s="17">
        <v>962.6099999999999</v>
      </c>
    </row>
    <row r="682" spans="1:2" x14ac:dyDescent="0.2">
      <c r="A682" s="16" t="s">
        <v>2706</v>
      </c>
      <c r="B682" s="17">
        <v>331.37</v>
      </c>
    </row>
    <row r="683" spans="1:2" x14ac:dyDescent="0.2">
      <c r="A683" s="16" t="s">
        <v>2479</v>
      </c>
      <c r="B683" s="17">
        <v>6938.19</v>
      </c>
    </row>
    <row r="684" spans="1:2" x14ac:dyDescent="0.2">
      <c r="A684" s="16" t="s">
        <v>2131</v>
      </c>
      <c r="B684" s="17">
        <v>1735.19</v>
      </c>
    </row>
    <row r="685" spans="1:2" x14ac:dyDescent="0.2">
      <c r="A685" s="16" t="s">
        <v>282</v>
      </c>
      <c r="B685" s="17">
        <v>164.71</v>
      </c>
    </row>
    <row r="686" spans="1:2" x14ac:dyDescent="0.2">
      <c r="A686" s="16" t="s">
        <v>1095</v>
      </c>
      <c r="B686" s="17">
        <v>72.83</v>
      </c>
    </row>
    <row r="687" spans="1:2" x14ac:dyDescent="0.2">
      <c r="A687" s="16" t="s">
        <v>196</v>
      </c>
      <c r="B687" s="17">
        <v>2441.27</v>
      </c>
    </row>
    <row r="688" spans="1:2" x14ac:dyDescent="0.2">
      <c r="A688" s="16" t="s">
        <v>1334</v>
      </c>
      <c r="B688" s="17">
        <v>8910.7400000000016</v>
      </c>
    </row>
    <row r="689" spans="1:2" x14ac:dyDescent="0.2">
      <c r="A689" s="16" t="s">
        <v>754</v>
      </c>
      <c r="B689" s="17">
        <v>1769.91</v>
      </c>
    </row>
    <row r="690" spans="1:2" x14ac:dyDescent="0.2">
      <c r="A690" s="16" t="s">
        <v>1637</v>
      </c>
      <c r="B690" s="17">
        <v>291.49</v>
      </c>
    </row>
    <row r="691" spans="1:2" x14ac:dyDescent="0.2">
      <c r="A691" s="16" t="s">
        <v>2793</v>
      </c>
      <c r="B691" s="17">
        <v>493.7</v>
      </c>
    </row>
    <row r="692" spans="1:2" x14ac:dyDescent="0.2">
      <c r="A692" s="16" t="s">
        <v>117</v>
      </c>
      <c r="B692" s="17">
        <v>627.04</v>
      </c>
    </row>
    <row r="693" spans="1:2" x14ac:dyDescent="0.2">
      <c r="A693" s="16" t="s">
        <v>1288</v>
      </c>
      <c r="B693" s="17">
        <v>11568.51</v>
      </c>
    </row>
    <row r="694" spans="1:2" x14ac:dyDescent="0.2">
      <c r="A694" s="16" t="s">
        <v>1973</v>
      </c>
      <c r="B694" s="17">
        <v>32.76</v>
      </c>
    </row>
    <row r="695" spans="1:2" x14ac:dyDescent="0.2">
      <c r="A695" s="16" t="s">
        <v>1595</v>
      </c>
      <c r="B695" s="17">
        <v>144.03</v>
      </c>
    </row>
    <row r="696" spans="1:2" x14ac:dyDescent="0.2">
      <c r="A696" s="16" t="s">
        <v>2313</v>
      </c>
      <c r="B696" s="17">
        <v>515.39</v>
      </c>
    </row>
    <row r="697" spans="1:2" x14ac:dyDescent="0.2">
      <c r="A697" s="16" t="s">
        <v>2167</v>
      </c>
      <c r="B697" s="17">
        <v>35.93</v>
      </c>
    </row>
    <row r="698" spans="1:2" x14ac:dyDescent="0.2">
      <c r="A698" s="16" t="s">
        <v>394</v>
      </c>
      <c r="B698" s="17">
        <v>8.3000000000000007</v>
      </c>
    </row>
    <row r="699" spans="1:2" x14ac:dyDescent="0.2">
      <c r="A699" s="16" t="s">
        <v>1215</v>
      </c>
      <c r="B699" s="17">
        <v>8226.0300000000007</v>
      </c>
    </row>
    <row r="700" spans="1:2" x14ac:dyDescent="0.2">
      <c r="A700" s="16" t="s">
        <v>2506</v>
      </c>
      <c r="B700" s="17">
        <v>761.42</v>
      </c>
    </row>
    <row r="701" spans="1:2" x14ac:dyDescent="0.2">
      <c r="A701" s="16" t="s">
        <v>1959</v>
      </c>
      <c r="B701" s="17">
        <v>305.70999999999998</v>
      </c>
    </row>
    <row r="702" spans="1:2" x14ac:dyDescent="0.2">
      <c r="A702" s="16" t="s">
        <v>1927</v>
      </c>
      <c r="B702" s="17">
        <v>419.99</v>
      </c>
    </row>
    <row r="703" spans="1:2" x14ac:dyDescent="0.2">
      <c r="A703" s="16" t="s">
        <v>1102</v>
      </c>
      <c r="B703" s="17">
        <v>432.44</v>
      </c>
    </row>
    <row r="704" spans="1:2" x14ac:dyDescent="0.2">
      <c r="A704" s="16" t="s">
        <v>448</v>
      </c>
      <c r="B704" s="17">
        <v>111.86</v>
      </c>
    </row>
    <row r="705" spans="1:2" x14ac:dyDescent="0.2">
      <c r="A705" s="16" t="s">
        <v>2208</v>
      </c>
      <c r="B705" s="17">
        <v>105.36</v>
      </c>
    </row>
    <row r="706" spans="1:2" x14ac:dyDescent="0.2">
      <c r="A706" s="16" t="s">
        <v>133</v>
      </c>
      <c r="B706" s="17">
        <v>593.79999999999995</v>
      </c>
    </row>
    <row r="707" spans="1:2" x14ac:dyDescent="0.2">
      <c r="A707" s="16" t="s">
        <v>1689</v>
      </c>
      <c r="B707" s="17">
        <v>19.670000000000002</v>
      </c>
    </row>
    <row r="708" spans="1:2" x14ac:dyDescent="0.2">
      <c r="A708" s="16" t="s">
        <v>1080</v>
      </c>
      <c r="B708" s="17">
        <v>1452.18</v>
      </c>
    </row>
    <row r="709" spans="1:2" x14ac:dyDescent="0.2">
      <c r="A709" s="16" t="s">
        <v>2662</v>
      </c>
      <c r="B709" s="17">
        <v>99.75</v>
      </c>
    </row>
    <row r="710" spans="1:2" x14ac:dyDescent="0.2">
      <c r="A710" s="16" t="s">
        <v>2774</v>
      </c>
      <c r="B710" s="17">
        <v>582.20000000000005</v>
      </c>
    </row>
    <row r="711" spans="1:2" x14ac:dyDescent="0.2">
      <c r="A711" s="16" t="s">
        <v>1926</v>
      </c>
      <c r="B711" s="17">
        <v>269.33</v>
      </c>
    </row>
    <row r="712" spans="1:2" x14ac:dyDescent="0.2">
      <c r="A712" s="16" t="s">
        <v>1250</v>
      </c>
      <c r="B712" s="17">
        <v>192.49</v>
      </c>
    </row>
    <row r="713" spans="1:2" x14ac:dyDescent="0.2">
      <c r="A713" s="16" t="s">
        <v>2422</v>
      </c>
      <c r="B713" s="17">
        <v>42.02</v>
      </c>
    </row>
    <row r="714" spans="1:2" x14ac:dyDescent="0.2">
      <c r="A714" s="16" t="s">
        <v>1000</v>
      </c>
      <c r="B714" s="17">
        <v>1033.56</v>
      </c>
    </row>
    <row r="715" spans="1:2" x14ac:dyDescent="0.2">
      <c r="A715" s="16" t="s">
        <v>1995</v>
      </c>
      <c r="B715" s="17">
        <v>3837.6499999999996</v>
      </c>
    </row>
    <row r="716" spans="1:2" x14ac:dyDescent="0.2">
      <c r="A716" s="16" t="s">
        <v>564</v>
      </c>
      <c r="B716" s="17">
        <v>1132.8399999999999</v>
      </c>
    </row>
    <row r="717" spans="1:2" x14ac:dyDescent="0.2">
      <c r="A717" s="16" t="s">
        <v>1468</v>
      </c>
      <c r="B717" s="17">
        <v>38.81</v>
      </c>
    </row>
    <row r="718" spans="1:2" x14ac:dyDescent="0.2">
      <c r="A718" s="16" t="s">
        <v>1867</v>
      </c>
      <c r="B718" s="17">
        <v>1095.1600000000001</v>
      </c>
    </row>
    <row r="719" spans="1:2" x14ac:dyDescent="0.2">
      <c r="A719" s="16" t="s">
        <v>2497</v>
      </c>
      <c r="B719" s="17">
        <v>1424.32</v>
      </c>
    </row>
    <row r="720" spans="1:2" x14ac:dyDescent="0.2">
      <c r="A720" s="16" t="s">
        <v>48</v>
      </c>
      <c r="B720" s="17">
        <v>211.15</v>
      </c>
    </row>
    <row r="721" spans="1:2" x14ac:dyDescent="0.2">
      <c r="A721" s="16" t="s">
        <v>230</v>
      </c>
      <c r="B721" s="17">
        <v>64.400000000000006</v>
      </c>
    </row>
    <row r="722" spans="1:2" x14ac:dyDescent="0.2">
      <c r="A722" s="16" t="s">
        <v>1143</v>
      </c>
      <c r="B722" s="17">
        <v>1764.1499999999999</v>
      </c>
    </row>
    <row r="723" spans="1:2" x14ac:dyDescent="0.2">
      <c r="A723" s="16" t="s">
        <v>1423</v>
      </c>
      <c r="B723" s="17">
        <v>2730.34</v>
      </c>
    </row>
    <row r="724" spans="1:2" x14ac:dyDescent="0.2">
      <c r="A724" s="16" t="s">
        <v>2343</v>
      </c>
      <c r="B724" s="17">
        <v>8.66</v>
      </c>
    </row>
    <row r="725" spans="1:2" x14ac:dyDescent="0.2">
      <c r="A725" s="16" t="s">
        <v>567</v>
      </c>
      <c r="B725" s="17">
        <v>143.63</v>
      </c>
    </row>
    <row r="726" spans="1:2" x14ac:dyDescent="0.2">
      <c r="A726" s="16" t="s">
        <v>2624</v>
      </c>
      <c r="B726" s="17">
        <v>6499.1500000000005</v>
      </c>
    </row>
    <row r="727" spans="1:2" x14ac:dyDescent="0.2">
      <c r="A727" s="16" t="s">
        <v>1978</v>
      </c>
      <c r="B727" s="17">
        <v>260.66000000000003</v>
      </c>
    </row>
    <row r="728" spans="1:2" x14ac:dyDescent="0.2">
      <c r="A728" s="16" t="s">
        <v>2455</v>
      </c>
      <c r="B728" s="17">
        <v>14.2</v>
      </c>
    </row>
    <row r="729" spans="1:2" x14ac:dyDescent="0.2">
      <c r="A729" s="16" t="s">
        <v>939</v>
      </c>
      <c r="B729" s="17">
        <v>93.82</v>
      </c>
    </row>
    <row r="730" spans="1:2" x14ac:dyDescent="0.2">
      <c r="A730" s="16" t="s">
        <v>1924</v>
      </c>
      <c r="B730" s="17">
        <v>72.75</v>
      </c>
    </row>
    <row r="731" spans="1:2" x14ac:dyDescent="0.2">
      <c r="A731" s="16" t="s">
        <v>1402</v>
      </c>
      <c r="B731" s="17">
        <v>4036.04</v>
      </c>
    </row>
    <row r="732" spans="1:2" x14ac:dyDescent="0.2">
      <c r="A732" s="16" t="s">
        <v>2865</v>
      </c>
      <c r="B732" s="17">
        <v>380</v>
      </c>
    </row>
    <row r="733" spans="1:2" x14ac:dyDescent="0.2">
      <c r="A733" s="16" t="s">
        <v>573</v>
      </c>
      <c r="B733" s="17">
        <v>33.35</v>
      </c>
    </row>
    <row r="734" spans="1:2" x14ac:dyDescent="0.2">
      <c r="A734" s="16" t="s">
        <v>1398</v>
      </c>
      <c r="B734" s="17">
        <v>2900.01</v>
      </c>
    </row>
    <row r="735" spans="1:2" x14ac:dyDescent="0.2">
      <c r="A735" s="16" t="s">
        <v>1185</v>
      </c>
      <c r="B735" s="17">
        <v>473.53</v>
      </c>
    </row>
    <row r="736" spans="1:2" x14ac:dyDescent="0.2">
      <c r="A736" s="16" t="s">
        <v>1031</v>
      </c>
      <c r="B736" s="17">
        <v>499.31</v>
      </c>
    </row>
    <row r="737" spans="1:2" x14ac:dyDescent="0.2">
      <c r="A737" s="16" t="s">
        <v>777</v>
      </c>
      <c r="B737" s="17">
        <v>615.54</v>
      </c>
    </row>
    <row r="738" spans="1:2" x14ac:dyDescent="0.2">
      <c r="A738" s="16" t="s">
        <v>2579</v>
      </c>
      <c r="B738" s="17">
        <v>364.92</v>
      </c>
    </row>
    <row r="739" spans="1:2" x14ac:dyDescent="0.2">
      <c r="A739" s="16" t="s">
        <v>1245</v>
      </c>
      <c r="B739" s="17">
        <v>27.76</v>
      </c>
    </row>
    <row r="740" spans="1:2" x14ac:dyDescent="0.2">
      <c r="A740" s="16" t="s">
        <v>624</v>
      </c>
      <c r="B740" s="17">
        <v>199.76</v>
      </c>
    </row>
    <row r="741" spans="1:2" x14ac:dyDescent="0.2">
      <c r="A741" s="16" t="s">
        <v>685</v>
      </c>
      <c r="B741" s="17">
        <v>25.06</v>
      </c>
    </row>
    <row r="742" spans="1:2" x14ac:dyDescent="0.2">
      <c r="A742" s="16" t="s">
        <v>2957</v>
      </c>
      <c r="B742" s="17">
        <v>431.43</v>
      </c>
    </row>
    <row r="743" spans="1:2" x14ac:dyDescent="0.2">
      <c r="A743" s="16" t="s">
        <v>2489</v>
      </c>
      <c r="B743" s="17">
        <v>74.23</v>
      </c>
    </row>
    <row r="744" spans="1:2" x14ac:dyDescent="0.2">
      <c r="A744" s="16" t="s">
        <v>2162</v>
      </c>
      <c r="B744" s="17">
        <v>298.51</v>
      </c>
    </row>
    <row r="745" spans="1:2" x14ac:dyDescent="0.2">
      <c r="A745" s="16" t="s">
        <v>1781</v>
      </c>
      <c r="B745" s="17">
        <v>269.54000000000002</v>
      </c>
    </row>
    <row r="746" spans="1:2" x14ac:dyDescent="0.2">
      <c r="A746" s="16" t="s">
        <v>2905</v>
      </c>
      <c r="B746" s="17">
        <v>24.44</v>
      </c>
    </row>
    <row r="747" spans="1:2" x14ac:dyDescent="0.2">
      <c r="A747" s="16" t="s">
        <v>1025</v>
      </c>
      <c r="B747" s="17">
        <v>2815.5299999999997</v>
      </c>
    </row>
    <row r="748" spans="1:2" x14ac:dyDescent="0.2">
      <c r="A748" s="16" t="s">
        <v>1915</v>
      </c>
      <c r="B748" s="17">
        <v>35.479999999999997</v>
      </c>
    </row>
    <row r="749" spans="1:2" x14ac:dyDescent="0.2">
      <c r="A749" s="16" t="s">
        <v>346</v>
      </c>
      <c r="B749" s="17">
        <v>1619.5300000000002</v>
      </c>
    </row>
    <row r="750" spans="1:2" x14ac:dyDescent="0.2">
      <c r="A750" s="16" t="s">
        <v>2409</v>
      </c>
      <c r="B750" s="17">
        <v>200.51</v>
      </c>
    </row>
    <row r="751" spans="1:2" x14ac:dyDescent="0.2">
      <c r="A751" s="16" t="s">
        <v>2388</v>
      </c>
      <c r="B751" s="17">
        <v>2210.8299999999995</v>
      </c>
    </row>
    <row r="752" spans="1:2" x14ac:dyDescent="0.2">
      <c r="A752" s="16" t="s">
        <v>1843</v>
      </c>
      <c r="B752" s="17">
        <v>320.75</v>
      </c>
    </row>
    <row r="753" spans="1:2" x14ac:dyDescent="0.2">
      <c r="A753" s="16" t="s">
        <v>952</v>
      </c>
      <c r="B753" s="17">
        <v>53.3</v>
      </c>
    </row>
    <row r="754" spans="1:2" x14ac:dyDescent="0.2">
      <c r="A754" s="16" t="s">
        <v>1518</v>
      </c>
      <c r="B754" s="17">
        <v>307.64999999999998</v>
      </c>
    </row>
    <row r="755" spans="1:2" x14ac:dyDescent="0.2">
      <c r="A755" s="16" t="s">
        <v>2238</v>
      </c>
      <c r="B755" s="17">
        <v>7.2</v>
      </c>
    </row>
    <row r="756" spans="1:2" x14ac:dyDescent="0.2">
      <c r="A756" s="16" t="s">
        <v>2084</v>
      </c>
      <c r="B756" s="17">
        <v>5775.74</v>
      </c>
    </row>
    <row r="757" spans="1:2" x14ac:dyDescent="0.2">
      <c r="A757" s="16" t="s">
        <v>3022</v>
      </c>
      <c r="B757" s="17">
        <v>59.98</v>
      </c>
    </row>
    <row r="758" spans="1:2" x14ac:dyDescent="0.2">
      <c r="A758" s="16" t="s">
        <v>1649</v>
      </c>
      <c r="B758" s="17">
        <v>214.14</v>
      </c>
    </row>
    <row r="759" spans="1:2" x14ac:dyDescent="0.2">
      <c r="A759" s="16" t="s">
        <v>1804</v>
      </c>
      <c r="B759" s="17">
        <v>1263.3499999999999</v>
      </c>
    </row>
    <row r="760" spans="1:2" x14ac:dyDescent="0.2">
      <c r="A760" s="16" t="s">
        <v>2039</v>
      </c>
      <c r="B760" s="17">
        <v>302.33999999999997</v>
      </c>
    </row>
    <row r="761" spans="1:2" x14ac:dyDescent="0.2">
      <c r="A761" s="16" t="s">
        <v>2941</v>
      </c>
      <c r="B761" s="17">
        <v>511.42</v>
      </c>
    </row>
    <row r="762" spans="1:2" x14ac:dyDescent="0.2">
      <c r="A762" s="16" t="s">
        <v>876</v>
      </c>
      <c r="B762" s="17">
        <v>353.1</v>
      </c>
    </row>
    <row r="763" spans="1:2" x14ac:dyDescent="0.2">
      <c r="A763" s="16" t="s">
        <v>100</v>
      </c>
      <c r="B763" s="17">
        <v>5086.54</v>
      </c>
    </row>
    <row r="764" spans="1:2" x14ac:dyDescent="0.2">
      <c r="A764" s="16" t="s">
        <v>2002</v>
      </c>
      <c r="B764" s="17">
        <v>8.9499999999999993</v>
      </c>
    </row>
    <row r="765" spans="1:2" x14ac:dyDescent="0.2">
      <c r="A765" s="16" t="s">
        <v>1857</v>
      </c>
      <c r="B765" s="17">
        <v>4192.66</v>
      </c>
    </row>
    <row r="766" spans="1:2" x14ac:dyDescent="0.2">
      <c r="A766" s="16" t="s">
        <v>2836</v>
      </c>
      <c r="B766" s="17">
        <v>54.54</v>
      </c>
    </row>
    <row r="767" spans="1:2" x14ac:dyDescent="0.2">
      <c r="A767" s="16" t="s">
        <v>2917</v>
      </c>
      <c r="B767" s="17">
        <v>97.96</v>
      </c>
    </row>
    <row r="768" spans="1:2" x14ac:dyDescent="0.2">
      <c r="A768" s="16" t="s">
        <v>2725</v>
      </c>
      <c r="B768" s="17">
        <v>738.94</v>
      </c>
    </row>
    <row r="769" spans="1:2" x14ac:dyDescent="0.2">
      <c r="A769" s="16" t="s">
        <v>2124</v>
      </c>
      <c r="B769" s="17">
        <v>99.75</v>
      </c>
    </row>
    <row r="770" spans="1:2" x14ac:dyDescent="0.2">
      <c r="A770" s="16" t="s">
        <v>2375</v>
      </c>
      <c r="B770" s="17">
        <v>61.1</v>
      </c>
    </row>
    <row r="771" spans="1:2" x14ac:dyDescent="0.2">
      <c r="A771" s="16" t="s">
        <v>2586</v>
      </c>
      <c r="B771" s="17">
        <v>240.05</v>
      </c>
    </row>
    <row r="772" spans="1:2" x14ac:dyDescent="0.2">
      <c r="A772" s="16" t="s">
        <v>182</v>
      </c>
      <c r="B772" s="17">
        <v>3479.24</v>
      </c>
    </row>
    <row r="773" spans="1:2" x14ac:dyDescent="0.2">
      <c r="A773" s="16" t="s">
        <v>302</v>
      </c>
      <c r="B773" s="17">
        <v>120.44</v>
      </c>
    </row>
    <row r="774" spans="1:2" x14ac:dyDescent="0.2">
      <c r="A774" s="16" t="s">
        <v>1205</v>
      </c>
      <c r="B774" s="17">
        <v>12178.2</v>
      </c>
    </row>
    <row r="775" spans="1:2" x14ac:dyDescent="0.2">
      <c r="A775" s="16" t="s">
        <v>2202</v>
      </c>
      <c r="B775" s="17">
        <v>191.73</v>
      </c>
    </row>
    <row r="776" spans="1:2" x14ac:dyDescent="0.2">
      <c r="A776" s="16" t="s">
        <v>2523</v>
      </c>
      <c r="B776" s="17">
        <v>316.27999999999997</v>
      </c>
    </row>
    <row r="777" spans="1:2" x14ac:dyDescent="0.2">
      <c r="A777" s="16" t="s">
        <v>1855</v>
      </c>
      <c r="B777" s="17">
        <v>928.92</v>
      </c>
    </row>
    <row r="778" spans="1:2" x14ac:dyDescent="0.2">
      <c r="A778" s="16" t="s">
        <v>2074</v>
      </c>
      <c r="B778" s="17">
        <v>16.03</v>
      </c>
    </row>
    <row r="779" spans="1:2" x14ac:dyDescent="0.2">
      <c r="A779" s="16" t="s">
        <v>2298</v>
      </c>
      <c r="B779" s="17">
        <v>96.96</v>
      </c>
    </row>
    <row r="780" spans="1:2" x14ac:dyDescent="0.2">
      <c r="A780" s="16" t="s">
        <v>2058</v>
      </c>
      <c r="B780" s="17">
        <v>256.05</v>
      </c>
    </row>
    <row r="781" spans="1:2" x14ac:dyDescent="0.2">
      <c r="A781" s="16" t="s">
        <v>1698</v>
      </c>
      <c r="B781" s="17">
        <v>531.88</v>
      </c>
    </row>
    <row r="782" spans="1:2" x14ac:dyDescent="0.2">
      <c r="A782" s="16" t="s">
        <v>2738</v>
      </c>
      <c r="B782" s="17">
        <v>56.379999999999995</v>
      </c>
    </row>
    <row r="783" spans="1:2" x14ac:dyDescent="0.2">
      <c r="A783" s="16" t="s">
        <v>850</v>
      </c>
      <c r="B783" s="17">
        <v>121.24000000000001</v>
      </c>
    </row>
    <row r="784" spans="1:2" x14ac:dyDescent="0.2">
      <c r="A784" s="16" t="s">
        <v>2044</v>
      </c>
      <c r="B784" s="17">
        <v>556.61</v>
      </c>
    </row>
    <row r="785" spans="1:2" x14ac:dyDescent="0.2">
      <c r="A785" s="16" t="s">
        <v>1123</v>
      </c>
      <c r="B785" s="17">
        <v>755.91</v>
      </c>
    </row>
    <row r="786" spans="1:2" x14ac:dyDescent="0.2">
      <c r="A786" s="16" t="s">
        <v>861</v>
      </c>
      <c r="B786" s="17">
        <v>2016.32</v>
      </c>
    </row>
    <row r="787" spans="1:2" x14ac:dyDescent="0.2">
      <c r="A787" s="16" t="s">
        <v>1243</v>
      </c>
      <c r="B787" s="17">
        <v>3076.53</v>
      </c>
    </row>
    <row r="788" spans="1:2" x14ac:dyDescent="0.2">
      <c r="A788" s="16" t="s">
        <v>2936</v>
      </c>
      <c r="B788" s="17">
        <v>119.78</v>
      </c>
    </row>
    <row r="789" spans="1:2" x14ac:dyDescent="0.2">
      <c r="A789" s="16" t="s">
        <v>1520</v>
      </c>
      <c r="B789" s="17">
        <v>228.25</v>
      </c>
    </row>
    <row r="790" spans="1:2" x14ac:dyDescent="0.2">
      <c r="A790" s="16" t="s">
        <v>1771</v>
      </c>
      <c r="B790" s="17">
        <v>1304.01</v>
      </c>
    </row>
    <row r="791" spans="1:2" x14ac:dyDescent="0.2">
      <c r="A791" s="16" t="s">
        <v>324</v>
      </c>
      <c r="B791" s="17">
        <v>179.26999999999998</v>
      </c>
    </row>
    <row r="792" spans="1:2" x14ac:dyDescent="0.2">
      <c r="A792" s="16" t="s">
        <v>2333</v>
      </c>
      <c r="B792" s="17">
        <v>1230.78</v>
      </c>
    </row>
    <row r="793" spans="1:2" x14ac:dyDescent="0.2">
      <c r="A793" s="16" t="s">
        <v>1830</v>
      </c>
      <c r="B793" s="17">
        <v>443.23</v>
      </c>
    </row>
    <row r="794" spans="1:2" x14ac:dyDescent="0.2">
      <c r="A794" s="16" t="s">
        <v>2236</v>
      </c>
      <c r="B794" s="17">
        <v>77.42</v>
      </c>
    </row>
    <row r="795" spans="1:2" x14ac:dyDescent="0.2">
      <c r="A795" s="16" t="s">
        <v>2789</v>
      </c>
      <c r="B795" s="17">
        <v>2914.81</v>
      </c>
    </row>
    <row r="796" spans="1:2" x14ac:dyDescent="0.2">
      <c r="A796" s="16" t="s">
        <v>2242</v>
      </c>
      <c r="B796" s="17">
        <v>1477.84</v>
      </c>
    </row>
    <row r="797" spans="1:2" x14ac:dyDescent="0.2">
      <c r="A797" s="16" t="s">
        <v>1155</v>
      </c>
      <c r="B797" s="17">
        <v>387.86</v>
      </c>
    </row>
    <row r="798" spans="1:2" x14ac:dyDescent="0.2">
      <c r="A798" s="16" t="s">
        <v>2915</v>
      </c>
      <c r="B798" s="17">
        <v>117.7</v>
      </c>
    </row>
    <row r="799" spans="1:2" x14ac:dyDescent="0.2">
      <c r="A799" s="16" t="s">
        <v>2787</v>
      </c>
      <c r="B799" s="17">
        <v>991.24</v>
      </c>
    </row>
    <row r="800" spans="1:2" x14ac:dyDescent="0.2">
      <c r="A800" s="16" t="s">
        <v>2697</v>
      </c>
      <c r="B800" s="17">
        <v>1087.19</v>
      </c>
    </row>
    <row r="801" spans="1:2" x14ac:dyDescent="0.2">
      <c r="A801" s="16" t="s">
        <v>1785</v>
      </c>
      <c r="B801" s="17">
        <v>421.36</v>
      </c>
    </row>
    <row r="802" spans="1:2" x14ac:dyDescent="0.2">
      <c r="A802" s="16" t="s">
        <v>781</v>
      </c>
      <c r="B802" s="17">
        <v>995.8</v>
      </c>
    </row>
    <row r="803" spans="1:2" x14ac:dyDescent="0.2">
      <c r="A803" s="16" t="s">
        <v>2374</v>
      </c>
      <c r="B803" s="17">
        <v>149.66999999999999</v>
      </c>
    </row>
    <row r="804" spans="1:2" x14ac:dyDescent="0.2">
      <c r="A804" s="16" t="s">
        <v>1674</v>
      </c>
      <c r="B804" s="17">
        <v>4934</v>
      </c>
    </row>
    <row r="805" spans="1:2" x14ac:dyDescent="0.2">
      <c r="A805" s="16" t="s">
        <v>1629</v>
      </c>
      <c r="B805" s="17">
        <v>4841.07</v>
      </c>
    </row>
    <row r="806" spans="1:2" x14ac:dyDescent="0.2">
      <c r="A806" s="16" t="s">
        <v>592</v>
      </c>
      <c r="B806" s="17">
        <v>20.87</v>
      </c>
    </row>
    <row r="807" spans="1:2" x14ac:dyDescent="0.2">
      <c r="A807" s="16" t="s">
        <v>2050</v>
      </c>
      <c r="B807" s="17">
        <v>10215.6</v>
      </c>
    </row>
    <row r="808" spans="1:2" x14ac:dyDescent="0.2">
      <c r="A808" s="16" t="s">
        <v>2169</v>
      </c>
      <c r="B808" s="17">
        <v>1610.84</v>
      </c>
    </row>
    <row r="809" spans="1:2" x14ac:dyDescent="0.2">
      <c r="A809" s="16" t="s">
        <v>2590</v>
      </c>
      <c r="B809" s="17">
        <v>557.49</v>
      </c>
    </row>
    <row r="810" spans="1:2" x14ac:dyDescent="0.2">
      <c r="A810" s="16" t="s">
        <v>957</v>
      </c>
      <c r="B810" s="17">
        <v>28.46</v>
      </c>
    </row>
    <row r="811" spans="1:2" x14ac:dyDescent="0.2">
      <c r="A811" s="16" t="s">
        <v>512</v>
      </c>
      <c r="B811" s="17">
        <v>526.53</v>
      </c>
    </row>
    <row r="812" spans="1:2" x14ac:dyDescent="0.2">
      <c r="A812" s="16" t="s">
        <v>2899</v>
      </c>
      <c r="B812" s="17">
        <v>1207.0899999999999</v>
      </c>
    </row>
    <row r="813" spans="1:2" x14ac:dyDescent="0.2">
      <c r="A813" s="16" t="s">
        <v>2173</v>
      </c>
      <c r="B813" s="17">
        <v>76.87</v>
      </c>
    </row>
    <row r="814" spans="1:2" x14ac:dyDescent="0.2">
      <c r="A814" s="16" t="s">
        <v>2294</v>
      </c>
      <c r="B814" s="17">
        <v>27.42</v>
      </c>
    </row>
    <row r="815" spans="1:2" x14ac:dyDescent="0.2">
      <c r="A815" s="16" t="s">
        <v>2710</v>
      </c>
      <c r="B815" s="17">
        <v>1736.3400000000001</v>
      </c>
    </row>
    <row r="816" spans="1:2" x14ac:dyDescent="0.2">
      <c r="A816" s="16" t="s">
        <v>2016</v>
      </c>
      <c r="B816" s="17">
        <v>84.59</v>
      </c>
    </row>
    <row r="817" spans="1:2" x14ac:dyDescent="0.2">
      <c r="A817" s="16" t="s">
        <v>1877</v>
      </c>
      <c r="B817" s="17">
        <v>882.93</v>
      </c>
    </row>
    <row r="818" spans="1:2" x14ac:dyDescent="0.2">
      <c r="A818" s="16" t="s">
        <v>1975</v>
      </c>
      <c r="B818" s="17">
        <v>1386.35</v>
      </c>
    </row>
    <row r="819" spans="1:2" x14ac:dyDescent="0.2">
      <c r="A819" s="16" t="s">
        <v>2982</v>
      </c>
      <c r="B819" s="17">
        <v>258.07</v>
      </c>
    </row>
    <row r="820" spans="1:2" x14ac:dyDescent="0.2">
      <c r="A820" s="16" t="s">
        <v>1093</v>
      </c>
      <c r="B820" s="17">
        <v>810.47</v>
      </c>
    </row>
    <row r="821" spans="1:2" x14ac:dyDescent="0.2">
      <c r="A821" s="16" t="s">
        <v>757</v>
      </c>
      <c r="B821" s="17">
        <v>17390.239999999998</v>
      </c>
    </row>
    <row r="822" spans="1:2" x14ac:dyDescent="0.2">
      <c r="A822" s="16" t="s">
        <v>1693</v>
      </c>
      <c r="B822" s="17">
        <v>2947.13</v>
      </c>
    </row>
    <row r="823" spans="1:2" x14ac:dyDescent="0.2">
      <c r="A823" s="16" t="s">
        <v>2811</v>
      </c>
      <c r="B823" s="17">
        <v>1276.8800000000001</v>
      </c>
    </row>
    <row r="824" spans="1:2" x14ac:dyDescent="0.2">
      <c r="A824" s="16" t="s">
        <v>891</v>
      </c>
      <c r="B824" s="17">
        <v>39.97</v>
      </c>
    </row>
    <row r="825" spans="1:2" x14ac:dyDescent="0.2">
      <c r="A825" s="16" t="s">
        <v>1554</v>
      </c>
      <c r="B825" s="17">
        <v>2873.83</v>
      </c>
    </row>
    <row r="826" spans="1:2" x14ac:dyDescent="0.2">
      <c r="A826" s="16" t="s">
        <v>2833</v>
      </c>
      <c r="B826" s="17">
        <v>33.840000000000003</v>
      </c>
    </row>
    <row r="827" spans="1:2" x14ac:dyDescent="0.2">
      <c r="A827" s="16" t="s">
        <v>834</v>
      </c>
      <c r="B827" s="17">
        <v>10621</v>
      </c>
    </row>
    <row r="828" spans="1:2" x14ac:dyDescent="0.2">
      <c r="A828" s="16" t="s">
        <v>1767</v>
      </c>
      <c r="B828" s="17">
        <v>825.31999999999994</v>
      </c>
    </row>
    <row r="829" spans="1:2" x14ac:dyDescent="0.2">
      <c r="A829" s="16" t="s">
        <v>2274</v>
      </c>
      <c r="B829" s="17">
        <v>414.91</v>
      </c>
    </row>
    <row r="830" spans="1:2" x14ac:dyDescent="0.2">
      <c r="A830" s="16" t="s">
        <v>2911</v>
      </c>
      <c r="B830" s="17">
        <v>670.9</v>
      </c>
    </row>
    <row r="831" spans="1:2" x14ac:dyDescent="0.2">
      <c r="A831" s="16" t="s">
        <v>2137</v>
      </c>
      <c r="B831" s="17">
        <v>3034.61</v>
      </c>
    </row>
    <row r="832" spans="1:2" x14ac:dyDescent="0.2">
      <c r="A832" s="16" t="s">
        <v>1563</v>
      </c>
      <c r="B832" s="17">
        <v>122.11000000000001</v>
      </c>
    </row>
    <row r="833" spans="1:2" x14ac:dyDescent="0.2">
      <c r="A833" s="16" t="s">
        <v>1657</v>
      </c>
      <c r="B833" s="17">
        <v>961.29000000000008</v>
      </c>
    </row>
    <row r="834" spans="1:2" x14ac:dyDescent="0.2">
      <c r="A834" s="16" t="s">
        <v>1743</v>
      </c>
      <c r="B834" s="17">
        <v>48295.12</v>
      </c>
    </row>
    <row r="835" spans="1:2" x14ac:dyDescent="0.2">
      <c r="A835" s="16" t="s">
        <v>1503</v>
      </c>
      <c r="B835" s="17">
        <v>252.36</v>
      </c>
    </row>
    <row r="836" spans="1:2" x14ac:dyDescent="0.2">
      <c r="A836" s="16" t="s">
        <v>160</v>
      </c>
      <c r="B836" s="17">
        <v>6045.23</v>
      </c>
    </row>
    <row r="837" spans="1:2" x14ac:dyDescent="0.2">
      <c r="A837" s="16" t="s">
        <v>1850</v>
      </c>
      <c r="B837" s="17">
        <v>1059.3800000000001</v>
      </c>
    </row>
    <row r="838" spans="1:2" x14ac:dyDescent="0.2">
      <c r="A838" s="16" t="s">
        <v>2103</v>
      </c>
      <c r="B838" s="17">
        <v>5937.58</v>
      </c>
    </row>
    <row r="839" spans="1:2" x14ac:dyDescent="0.2">
      <c r="A839" s="16" t="s">
        <v>2996</v>
      </c>
      <c r="B839" s="17">
        <v>309.27</v>
      </c>
    </row>
    <row r="840" spans="1:2" x14ac:dyDescent="0.2">
      <c r="A840" s="16" t="s">
        <v>1757</v>
      </c>
      <c r="B840" s="17">
        <v>52.1</v>
      </c>
    </row>
    <row r="841" spans="1:2" x14ac:dyDescent="0.2">
      <c r="A841" s="16" t="s">
        <v>2022</v>
      </c>
      <c r="B841" s="17">
        <v>746.2</v>
      </c>
    </row>
    <row r="842" spans="1:2" x14ac:dyDescent="0.2">
      <c r="A842" s="16" t="s">
        <v>2034</v>
      </c>
      <c r="B842" s="17">
        <v>3371.03</v>
      </c>
    </row>
    <row r="843" spans="1:2" x14ac:dyDescent="0.2">
      <c r="A843" s="16" t="s">
        <v>844</v>
      </c>
      <c r="B843" s="17">
        <v>40.369999999999997</v>
      </c>
    </row>
    <row r="844" spans="1:2" x14ac:dyDescent="0.2">
      <c r="A844" s="16" t="s">
        <v>1182</v>
      </c>
      <c r="B844" s="17">
        <v>664.34</v>
      </c>
    </row>
    <row r="845" spans="1:2" x14ac:dyDescent="0.2">
      <c r="A845" s="16" t="s">
        <v>128</v>
      </c>
      <c r="B845" s="17">
        <v>529.24</v>
      </c>
    </row>
    <row r="846" spans="1:2" x14ac:dyDescent="0.2">
      <c r="A846" s="16" t="s">
        <v>1236</v>
      </c>
      <c r="B846" s="17">
        <v>12196.08</v>
      </c>
    </row>
    <row r="847" spans="1:2" x14ac:dyDescent="0.2">
      <c r="A847" s="16" t="s">
        <v>1471</v>
      </c>
      <c r="B847" s="17">
        <v>2629.48</v>
      </c>
    </row>
    <row r="848" spans="1:2" x14ac:dyDescent="0.2">
      <c r="A848" s="16" t="s">
        <v>2470</v>
      </c>
      <c r="B848" s="17">
        <v>493.08000000000004</v>
      </c>
    </row>
    <row r="849" spans="1:2" x14ac:dyDescent="0.2">
      <c r="A849" s="16" t="s">
        <v>2192</v>
      </c>
      <c r="B849" s="17">
        <v>1159.79</v>
      </c>
    </row>
    <row r="850" spans="1:2" x14ac:dyDescent="0.2">
      <c r="A850" s="16" t="s">
        <v>406</v>
      </c>
      <c r="B850" s="17">
        <v>940.40000000000009</v>
      </c>
    </row>
    <row r="851" spans="1:2" x14ac:dyDescent="0.2">
      <c r="A851" s="16" t="s">
        <v>1626</v>
      </c>
      <c r="B851" s="17">
        <v>824.21</v>
      </c>
    </row>
    <row r="852" spans="1:2" x14ac:dyDescent="0.2">
      <c r="A852" s="16" t="s">
        <v>1320</v>
      </c>
      <c r="B852" s="17">
        <v>55.68</v>
      </c>
    </row>
    <row r="853" spans="1:2" x14ac:dyDescent="0.2">
      <c r="A853" s="16" t="s">
        <v>2222</v>
      </c>
      <c r="B853" s="17">
        <v>167.12</v>
      </c>
    </row>
    <row r="854" spans="1:2" x14ac:dyDescent="0.2">
      <c r="A854" s="16" t="s">
        <v>467</v>
      </c>
      <c r="B854" s="17">
        <v>1967.98</v>
      </c>
    </row>
    <row r="855" spans="1:2" x14ac:dyDescent="0.2">
      <c r="A855" s="16" t="s">
        <v>1440</v>
      </c>
      <c r="B855" s="17">
        <v>25.45</v>
      </c>
    </row>
    <row r="856" spans="1:2" x14ac:dyDescent="0.2">
      <c r="A856" s="16" t="s">
        <v>2012</v>
      </c>
      <c r="B856" s="17">
        <v>1094.33</v>
      </c>
    </row>
    <row r="857" spans="1:2" x14ac:dyDescent="0.2">
      <c r="A857" s="16" t="s">
        <v>1515</v>
      </c>
      <c r="B857" s="17">
        <v>88.83</v>
      </c>
    </row>
    <row r="858" spans="1:2" x14ac:dyDescent="0.2">
      <c r="A858" s="16" t="s">
        <v>2974</v>
      </c>
      <c r="B858" s="17">
        <v>8549.0400000000009</v>
      </c>
    </row>
    <row r="859" spans="1:2" x14ac:dyDescent="0.2">
      <c r="A859" s="16" t="s">
        <v>2582</v>
      </c>
      <c r="B859" s="17">
        <v>159.72</v>
      </c>
    </row>
    <row r="860" spans="1:2" x14ac:dyDescent="0.2">
      <c r="A860" s="16" t="s">
        <v>1936</v>
      </c>
      <c r="B860" s="17">
        <v>925.19</v>
      </c>
    </row>
    <row r="861" spans="1:2" x14ac:dyDescent="0.2">
      <c r="A861" s="16" t="s">
        <v>400</v>
      </c>
      <c r="B861" s="17">
        <v>18.71</v>
      </c>
    </row>
    <row r="862" spans="1:2" x14ac:dyDescent="0.2">
      <c r="A862" s="16" t="s">
        <v>2355</v>
      </c>
      <c r="B862" s="17">
        <v>42.44</v>
      </c>
    </row>
    <row r="863" spans="1:2" x14ac:dyDescent="0.2">
      <c r="A863" s="16" t="s">
        <v>1376</v>
      </c>
      <c r="B863" s="17">
        <v>2829.19</v>
      </c>
    </row>
    <row r="864" spans="1:2" x14ac:dyDescent="0.2">
      <c r="A864" s="16" t="s">
        <v>2339</v>
      </c>
      <c r="B864" s="17">
        <v>782.66</v>
      </c>
    </row>
    <row r="865" spans="1:2" x14ac:dyDescent="0.2">
      <c r="A865" s="16" t="s">
        <v>658</v>
      </c>
      <c r="B865" s="17">
        <v>31.18</v>
      </c>
    </row>
    <row r="866" spans="1:2" x14ac:dyDescent="0.2">
      <c r="A866" s="16" t="s">
        <v>1226</v>
      </c>
      <c r="B866" s="17">
        <v>3248.17</v>
      </c>
    </row>
    <row r="867" spans="1:2" x14ac:dyDescent="0.2">
      <c r="A867" s="16" t="s">
        <v>866</v>
      </c>
      <c r="B867" s="17">
        <v>313.63</v>
      </c>
    </row>
    <row r="868" spans="1:2" x14ac:dyDescent="0.2">
      <c r="A868" s="16" t="s">
        <v>2425</v>
      </c>
      <c r="B868" s="17">
        <v>3705.14</v>
      </c>
    </row>
    <row r="869" spans="1:2" x14ac:dyDescent="0.2">
      <c r="A869" s="16" t="s">
        <v>2519</v>
      </c>
      <c r="B869" s="17">
        <v>924.8</v>
      </c>
    </row>
    <row r="870" spans="1:2" x14ac:dyDescent="0.2">
      <c r="A870" s="16" t="s">
        <v>2730</v>
      </c>
      <c r="B870" s="17">
        <v>364.03</v>
      </c>
    </row>
    <row r="871" spans="1:2" x14ac:dyDescent="0.2">
      <c r="A871" s="16" t="s">
        <v>1861</v>
      </c>
      <c r="B871" s="17">
        <v>3627.08</v>
      </c>
    </row>
    <row r="872" spans="1:2" x14ac:dyDescent="0.2">
      <c r="A872" s="16" t="s">
        <v>1960</v>
      </c>
      <c r="B872" s="17">
        <v>277.12</v>
      </c>
    </row>
    <row r="873" spans="1:2" x14ac:dyDescent="0.2">
      <c r="A873" s="16" t="s">
        <v>2914</v>
      </c>
      <c r="B873" s="17">
        <v>412.72</v>
      </c>
    </row>
    <row r="874" spans="1:2" x14ac:dyDescent="0.2">
      <c r="A874" s="16" t="s">
        <v>2771</v>
      </c>
      <c r="B874" s="17">
        <v>296.75</v>
      </c>
    </row>
    <row r="875" spans="1:2" x14ac:dyDescent="0.2">
      <c r="A875" s="16" t="s">
        <v>669</v>
      </c>
      <c r="B875" s="17">
        <v>3001.27</v>
      </c>
    </row>
    <row r="876" spans="1:2" x14ac:dyDescent="0.2">
      <c r="A876" s="16" t="s">
        <v>2042</v>
      </c>
      <c r="B876" s="17">
        <v>334.44</v>
      </c>
    </row>
    <row r="877" spans="1:2" x14ac:dyDescent="0.2">
      <c r="A877" s="16" t="s">
        <v>2971</v>
      </c>
      <c r="B877" s="17">
        <v>1434.51</v>
      </c>
    </row>
    <row r="878" spans="1:2" x14ac:dyDescent="0.2">
      <c r="A878" s="16" t="s">
        <v>1076</v>
      </c>
      <c r="B878" s="17">
        <v>3.51</v>
      </c>
    </row>
    <row r="879" spans="1:2" x14ac:dyDescent="0.2">
      <c r="A879" s="16" t="s">
        <v>277</v>
      </c>
      <c r="B879" s="17">
        <v>250.5</v>
      </c>
    </row>
    <row r="880" spans="1:2" x14ac:dyDescent="0.2">
      <c r="A880" s="16" t="s">
        <v>1097</v>
      </c>
      <c r="B880" s="17">
        <v>63.66</v>
      </c>
    </row>
    <row r="881" spans="1:2" x14ac:dyDescent="0.2">
      <c r="A881" s="16" t="s">
        <v>2672</v>
      </c>
      <c r="B881" s="17">
        <v>55.43</v>
      </c>
    </row>
    <row r="882" spans="1:2" x14ac:dyDescent="0.2">
      <c r="A882" s="16" t="s">
        <v>2442</v>
      </c>
      <c r="B882" s="17">
        <v>257.92</v>
      </c>
    </row>
    <row r="883" spans="1:2" x14ac:dyDescent="0.2">
      <c r="A883" s="16" t="s">
        <v>2719</v>
      </c>
      <c r="B883" s="17">
        <v>40.799999999999997</v>
      </c>
    </row>
    <row r="884" spans="1:2" x14ac:dyDescent="0.2">
      <c r="A884" s="16" t="s">
        <v>1917</v>
      </c>
      <c r="B884" s="17">
        <v>2212.84</v>
      </c>
    </row>
    <row r="885" spans="1:2" x14ac:dyDescent="0.2">
      <c r="A885" s="16" t="s">
        <v>1107</v>
      </c>
      <c r="B885" s="17">
        <v>25.37</v>
      </c>
    </row>
    <row r="886" spans="1:2" x14ac:dyDescent="0.2">
      <c r="A886" s="16" t="s">
        <v>2520</v>
      </c>
      <c r="B886" s="17">
        <v>1015.25</v>
      </c>
    </row>
    <row r="887" spans="1:2" x14ac:dyDescent="0.2">
      <c r="A887" s="16" t="s">
        <v>1022</v>
      </c>
      <c r="B887" s="17">
        <v>183.32999999999998</v>
      </c>
    </row>
    <row r="888" spans="1:2" x14ac:dyDescent="0.2">
      <c r="A888" s="16" t="s">
        <v>1776</v>
      </c>
      <c r="B888" s="17">
        <v>52.43</v>
      </c>
    </row>
    <row r="889" spans="1:2" x14ac:dyDescent="0.2">
      <c r="A889" s="16" t="s">
        <v>1548</v>
      </c>
      <c r="B889" s="17">
        <v>1030.51</v>
      </c>
    </row>
    <row r="890" spans="1:2" x14ac:dyDescent="0.2">
      <c r="A890" s="16" t="s">
        <v>124</v>
      </c>
      <c r="B890" s="17">
        <v>103.12</v>
      </c>
    </row>
    <row r="891" spans="1:2" x14ac:dyDescent="0.2">
      <c r="A891" s="16" t="s">
        <v>1228</v>
      </c>
      <c r="B891" s="17">
        <v>2653.02</v>
      </c>
    </row>
    <row r="892" spans="1:2" x14ac:dyDescent="0.2">
      <c r="A892" s="16" t="s">
        <v>1230</v>
      </c>
      <c r="B892" s="17">
        <v>157.32999999999998</v>
      </c>
    </row>
    <row r="893" spans="1:2" x14ac:dyDescent="0.2">
      <c r="A893" s="16" t="s">
        <v>1787</v>
      </c>
      <c r="B893" s="17">
        <v>334.85</v>
      </c>
    </row>
    <row r="894" spans="1:2" x14ac:dyDescent="0.2">
      <c r="A894" s="16" t="s">
        <v>2853</v>
      </c>
      <c r="B894" s="17">
        <v>4057.38</v>
      </c>
    </row>
    <row r="895" spans="1:2" x14ac:dyDescent="0.2">
      <c r="A895" s="16" t="s">
        <v>1475</v>
      </c>
      <c r="B895" s="17">
        <v>36.58</v>
      </c>
    </row>
    <row r="896" spans="1:2" x14ac:dyDescent="0.2">
      <c r="A896" s="16" t="s">
        <v>1717</v>
      </c>
      <c r="B896" s="17">
        <v>267.32</v>
      </c>
    </row>
    <row r="897" spans="1:2" x14ac:dyDescent="0.2">
      <c r="A897" s="16" t="s">
        <v>490</v>
      </c>
      <c r="B897" s="17">
        <v>318.47999999999996</v>
      </c>
    </row>
    <row r="898" spans="1:2" x14ac:dyDescent="0.2">
      <c r="A898" s="16" t="s">
        <v>1538</v>
      </c>
      <c r="B898" s="17">
        <v>2626.34</v>
      </c>
    </row>
    <row r="899" spans="1:2" x14ac:dyDescent="0.2">
      <c r="A899" s="16" t="s">
        <v>2999</v>
      </c>
      <c r="B899" s="17">
        <v>843.41000000000008</v>
      </c>
    </row>
    <row r="900" spans="1:2" x14ac:dyDescent="0.2">
      <c r="A900" s="16" t="s">
        <v>2328</v>
      </c>
      <c r="B900" s="17">
        <v>1010.11</v>
      </c>
    </row>
    <row r="901" spans="1:2" x14ac:dyDescent="0.2">
      <c r="A901" s="16" t="s">
        <v>232</v>
      </c>
      <c r="B901" s="17">
        <v>468.27</v>
      </c>
    </row>
    <row r="902" spans="1:2" x14ac:dyDescent="0.2">
      <c r="A902" s="16" t="s">
        <v>1696</v>
      </c>
      <c r="B902" s="17">
        <v>37.89</v>
      </c>
    </row>
    <row r="903" spans="1:2" x14ac:dyDescent="0.2">
      <c r="A903" s="16" t="s">
        <v>2323</v>
      </c>
      <c r="B903" s="17">
        <v>894.03000000000009</v>
      </c>
    </row>
    <row r="904" spans="1:2" x14ac:dyDescent="0.2">
      <c r="A904" s="16" t="s">
        <v>819</v>
      </c>
      <c r="B904" s="17">
        <v>15269.7</v>
      </c>
    </row>
    <row r="905" spans="1:2" x14ac:dyDescent="0.2">
      <c r="A905" s="16" t="s">
        <v>2989</v>
      </c>
      <c r="B905" s="17">
        <v>3877.69</v>
      </c>
    </row>
    <row r="906" spans="1:2" x14ac:dyDescent="0.2">
      <c r="A906" s="16" t="s">
        <v>2381</v>
      </c>
      <c r="B906" s="17">
        <v>202.98</v>
      </c>
    </row>
    <row r="907" spans="1:2" x14ac:dyDescent="0.2">
      <c r="A907" s="16" t="s">
        <v>2873</v>
      </c>
      <c r="B907" s="17">
        <v>8717.75</v>
      </c>
    </row>
    <row r="908" spans="1:2" x14ac:dyDescent="0.2">
      <c r="A908" s="16" t="s">
        <v>2372</v>
      </c>
      <c r="B908" s="17">
        <v>51.99</v>
      </c>
    </row>
    <row r="909" spans="1:2" x14ac:dyDescent="0.2">
      <c r="A909" s="16" t="s">
        <v>2932</v>
      </c>
      <c r="B909" s="17">
        <v>1862.3200000000002</v>
      </c>
    </row>
    <row r="910" spans="1:2" x14ac:dyDescent="0.2">
      <c r="A910" s="16" t="s">
        <v>2938</v>
      </c>
      <c r="B910" s="17">
        <v>300.57</v>
      </c>
    </row>
    <row r="911" spans="1:2" x14ac:dyDescent="0.2">
      <c r="A911" s="16" t="s">
        <v>108</v>
      </c>
      <c r="B911" s="17">
        <v>111.78</v>
      </c>
    </row>
    <row r="912" spans="1:2" x14ac:dyDescent="0.2">
      <c r="A912" s="16" t="s">
        <v>2325</v>
      </c>
      <c r="B912" s="17">
        <v>51.13</v>
      </c>
    </row>
    <row r="913" spans="1:2" x14ac:dyDescent="0.2">
      <c r="A913" s="16" t="s">
        <v>2495</v>
      </c>
      <c r="B913" s="17">
        <v>2598.65</v>
      </c>
    </row>
    <row r="914" spans="1:2" x14ac:dyDescent="0.2">
      <c r="A914" s="16" t="s">
        <v>1099</v>
      </c>
      <c r="B914" s="17">
        <v>127.22</v>
      </c>
    </row>
    <row r="915" spans="1:2" x14ac:dyDescent="0.2">
      <c r="A915" s="16" t="s">
        <v>1919</v>
      </c>
      <c r="B915" s="17">
        <v>145.41999999999999</v>
      </c>
    </row>
    <row r="916" spans="1:2" x14ac:dyDescent="0.2">
      <c r="A916" s="16" t="s">
        <v>725</v>
      </c>
      <c r="B916" s="17">
        <v>165.04</v>
      </c>
    </row>
    <row r="917" spans="1:2" x14ac:dyDescent="0.2">
      <c r="A917" s="16" t="s">
        <v>1779</v>
      </c>
      <c r="B917" s="17">
        <v>818.49</v>
      </c>
    </row>
    <row r="918" spans="1:2" x14ac:dyDescent="0.2">
      <c r="A918" s="16" t="s">
        <v>1837</v>
      </c>
      <c r="B918" s="17">
        <v>80.349999999999994</v>
      </c>
    </row>
    <row r="919" spans="1:2" x14ac:dyDescent="0.2">
      <c r="A919" s="16" t="s">
        <v>2615</v>
      </c>
      <c r="B919" s="17">
        <v>330.02</v>
      </c>
    </row>
    <row r="920" spans="1:2" x14ac:dyDescent="0.2">
      <c r="A920" s="16" t="s">
        <v>477</v>
      </c>
      <c r="B920" s="17">
        <v>51.82</v>
      </c>
    </row>
    <row r="921" spans="1:2" x14ac:dyDescent="0.2">
      <c r="A921" s="16" t="s">
        <v>758</v>
      </c>
      <c r="B921" s="17">
        <v>818.81</v>
      </c>
    </row>
    <row r="922" spans="1:2" x14ac:dyDescent="0.2">
      <c r="A922" s="16" t="s">
        <v>259</v>
      </c>
      <c r="B922" s="17">
        <v>761.18</v>
      </c>
    </row>
    <row r="923" spans="1:2" x14ac:dyDescent="0.2">
      <c r="A923" s="16" t="s">
        <v>2758</v>
      </c>
      <c r="B923" s="17">
        <v>1173.76</v>
      </c>
    </row>
    <row r="924" spans="1:2" x14ac:dyDescent="0.2">
      <c r="A924" s="16" t="s">
        <v>2890</v>
      </c>
      <c r="B924" s="17">
        <v>768.81</v>
      </c>
    </row>
    <row r="925" spans="1:2" x14ac:dyDescent="0.2">
      <c r="A925" s="16" t="s">
        <v>1049</v>
      </c>
      <c r="B925" s="17">
        <v>113.36</v>
      </c>
    </row>
    <row r="926" spans="1:2" x14ac:dyDescent="0.2">
      <c r="A926" s="16" t="s">
        <v>2444</v>
      </c>
      <c r="B926" s="17">
        <v>207.22</v>
      </c>
    </row>
    <row r="927" spans="1:2" x14ac:dyDescent="0.2">
      <c r="A927" s="16" t="s">
        <v>2655</v>
      </c>
      <c r="B927" s="17">
        <v>649.94000000000005</v>
      </c>
    </row>
    <row r="928" spans="1:2" x14ac:dyDescent="0.2">
      <c r="A928" s="16" t="s">
        <v>1480</v>
      </c>
      <c r="B928" s="17">
        <v>1229.2299999999998</v>
      </c>
    </row>
    <row r="929" spans="1:2" x14ac:dyDescent="0.2">
      <c r="A929" s="16" t="s">
        <v>1495</v>
      </c>
      <c r="B929" s="17">
        <v>3322.82</v>
      </c>
    </row>
    <row r="930" spans="1:2" x14ac:dyDescent="0.2">
      <c r="A930" s="16" t="s">
        <v>2557</v>
      </c>
      <c r="B930" s="17">
        <v>393.98</v>
      </c>
    </row>
    <row r="931" spans="1:2" x14ac:dyDescent="0.2">
      <c r="A931" s="16" t="s">
        <v>391</v>
      </c>
      <c r="B931" s="17">
        <v>61.52</v>
      </c>
    </row>
    <row r="932" spans="1:2" x14ac:dyDescent="0.2">
      <c r="A932" s="16" t="s">
        <v>764</v>
      </c>
      <c r="B932" s="17">
        <v>154.71</v>
      </c>
    </row>
    <row r="933" spans="1:2" x14ac:dyDescent="0.2">
      <c r="A933" s="16" t="s">
        <v>498</v>
      </c>
      <c r="B933" s="17">
        <v>211.48</v>
      </c>
    </row>
    <row r="934" spans="1:2" x14ac:dyDescent="0.2">
      <c r="A934" s="16" t="s">
        <v>201</v>
      </c>
      <c r="B934" s="17">
        <v>108.25</v>
      </c>
    </row>
    <row r="935" spans="1:2" x14ac:dyDescent="0.2">
      <c r="A935" s="16" t="s">
        <v>1598</v>
      </c>
      <c r="B935" s="17">
        <v>48.81</v>
      </c>
    </row>
    <row r="936" spans="1:2" x14ac:dyDescent="0.2">
      <c r="A936" s="16" t="s">
        <v>593</v>
      </c>
      <c r="B936" s="17">
        <v>25.7</v>
      </c>
    </row>
    <row r="937" spans="1:2" x14ac:dyDescent="0.2">
      <c r="A937" s="16" t="s">
        <v>1593</v>
      </c>
      <c r="B937" s="17">
        <v>14.53</v>
      </c>
    </row>
    <row r="938" spans="1:2" x14ac:dyDescent="0.2">
      <c r="A938" s="16" t="s">
        <v>38</v>
      </c>
      <c r="B938" s="17">
        <v>6362.85</v>
      </c>
    </row>
    <row r="939" spans="1:2" x14ac:dyDescent="0.2">
      <c r="A939" s="16" t="s">
        <v>1365</v>
      </c>
      <c r="B939" s="17">
        <v>466.04</v>
      </c>
    </row>
    <row r="940" spans="1:2" x14ac:dyDescent="0.2">
      <c r="A940" s="16" t="s">
        <v>451</v>
      </c>
      <c r="B940" s="17">
        <v>18.489999999999998</v>
      </c>
    </row>
    <row r="941" spans="1:2" x14ac:dyDescent="0.2">
      <c r="A941" s="16" t="s">
        <v>2405</v>
      </c>
      <c r="B941" s="17">
        <v>29916.01</v>
      </c>
    </row>
    <row r="942" spans="1:2" x14ac:dyDescent="0.2">
      <c r="A942" s="16" t="s">
        <v>1720</v>
      </c>
      <c r="B942" s="17">
        <v>284.39</v>
      </c>
    </row>
    <row r="943" spans="1:2" x14ac:dyDescent="0.2">
      <c r="A943" s="16" t="s">
        <v>371</v>
      </c>
      <c r="B943" s="17">
        <v>2115.9499999999998</v>
      </c>
    </row>
    <row r="944" spans="1:2" x14ac:dyDescent="0.2">
      <c r="A944" s="16" t="s">
        <v>578</v>
      </c>
      <c r="B944" s="17">
        <v>718.03</v>
      </c>
    </row>
    <row r="945" spans="1:2" x14ac:dyDescent="0.2">
      <c r="A945" s="16" t="s">
        <v>1659</v>
      </c>
      <c r="B945" s="17">
        <v>145.12</v>
      </c>
    </row>
    <row r="946" spans="1:2" x14ac:dyDescent="0.2">
      <c r="A946" s="16" t="s">
        <v>2723</v>
      </c>
      <c r="B946" s="17">
        <v>1503.05</v>
      </c>
    </row>
    <row r="947" spans="1:2" x14ac:dyDescent="0.2">
      <c r="A947" s="16" t="s">
        <v>419</v>
      </c>
      <c r="B947" s="17">
        <v>3206.94</v>
      </c>
    </row>
    <row r="948" spans="1:2" x14ac:dyDescent="0.2">
      <c r="A948" s="16" t="s">
        <v>1252</v>
      </c>
      <c r="B948" s="17">
        <v>2788.2200000000003</v>
      </c>
    </row>
    <row r="949" spans="1:2" x14ac:dyDescent="0.2">
      <c r="A949" s="16" t="s">
        <v>1725</v>
      </c>
      <c r="B949" s="17">
        <v>128.13</v>
      </c>
    </row>
    <row r="950" spans="1:2" x14ac:dyDescent="0.2">
      <c r="A950" s="16" t="s">
        <v>1043</v>
      </c>
      <c r="B950" s="17">
        <v>15.73</v>
      </c>
    </row>
    <row r="951" spans="1:2" x14ac:dyDescent="0.2">
      <c r="A951" s="16" t="s">
        <v>642</v>
      </c>
      <c r="B951" s="17">
        <v>9055.36</v>
      </c>
    </row>
    <row r="952" spans="1:2" x14ac:dyDescent="0.2">
      <c r="A952" s="16" t="s">
        <v>1354</v>
      </c>
      <c r="B952" s="17">
        <v>607.48</v>
      </c>
    </row>
    <row r="953" spans="1:2" x14ac:dyDescent="0.2">
      <c r="A953" s="16" t="s">
        <v>2182</v>
      </c>
      <c r="B953" s="17">
        <v>136.25</v>
      </c>
    </row>
    <row r="954" spans="1:2" x14ac:dyDescent="0.2">
      <c r="A954" s="16" t="s">
        <v>2493</v>
      </c>
      <c r="B954" s="17">
        <v>612.91999999999996</v>
      </c>
    </row>
    <row r="955" spans="1:2" x14ac:dyDescent="0.2">
      <c r="A955" s="16" t="s">
        <v>1074</v>
      </c>
      <c r="B955" s="17">
        <v>1214.03</v>
      </c>
    </row>
    <row r="956" spans="1:2" x14ac:dyDescent="0.2">
      <c r="A956" s="16" t="s">
        <v>2701</v>
      </c>
      <c r="B956" s="17">
        <v>5359.17</v>
      </c>
    </row>
    <row r="957" spans="1:2" x14ac:dyDescent="0.2">
      <c r="A957" s="16" t="s">
        <v>474</v>
      </c>
      <c r="B957" s="17">
        <v>266.39</v>
      </c>
    </row>
    <row r="958" spans="1:2" x14ac:dyDescent="0.2">
      <c r="A958" s="16" t="s">
        <v>385</v>
      </c>
      <c r="B958" s="17">
        <v>899.81</v>
      </c>
    </row>
    <row r="959" spans="1:2" x14ac:dyDescent="0.2">
      <c r="A959" s="16" t="s">
        <v>1652</v>
      </c>
      <c r="B959" s="17">
        <v>100.79</v>
      </c>
    </row>
    <row r="960" spans="1:2" x14ac:dyDescent="0.2">
      <c r="A960" s="16" t="s">
        <v>1220</v>
      </c>
      <c r="B960" s="17">
        <v>277.60000000000002</v>
      </c>
    </row>
    <row r="961" spans="1:2" x14ac:dyDescent="0.2">
      <c r="A961" s="16" t="s">
        <v>297</v>
      </c>
      <c r="B961" s="17">
        <v>3108.98</v>
      </c>
    </row>
    <row r="962" spans="1:2" x14ac:dyDescent="0.2">
      <c r="A962" s="16" t="s">
        <v>2179</v>
      </c>
      <c r="B962" s="17">
        <v>1125.75</v>
      </c>
    </row>
    <row r="963" spans="1:2" x14ac:dyDescent="0.2">
      <c r="A963" s="16" t="s">
        <v>1708</v>
      </c>
      <c r="B963" s="17">
        <v>58.85</v>
      </c>
    </row>
    <row r="964" spans="1:2" x14ac:dyDescent="0.2">
      <c r="A964" s="16" t="s">
        <v>2267</v>
      </c>
      <c r="B964" s="17">
        <v>1184.52</v>
      </c>
    </row>
    <row r="965" spans="1:2" x14ac:dyDescent="0.2">
      <c r="A965" s="16" t="s">
        <v>483</v>
      </c>
      <c r="B965" s="17">
        <v>2359.37</v>
      </c>
    </row>
    <row r="966" spans="1:2" x14ac:dyDescent="0.2">
      <c r="A966" s="16" t="s">
        <v>2785</v>
      </c>
      <c r="B966" s="17">
        <v>281.82</v>
      </c>
    </row>
    <row r="967" spans="1:2" x14ac:dyDescent="0.2">
      <c r="A967" s="16" t="s">
        <v>990</v>
      </c>
      <c r="B967" s="17">
        <v>233.82</v>
      </c>
    </row>
    <row r="968" spans="1:2" x14ac:dyDescent="0.2">
      <c r="A968" s="16" t="s">
        <v>1267</v>
      </c>
      <c r="B968" s="17">
        <v>6103.1900000000005</v>
      </c>
    </row>
    <row r="969" spans="1:2" x14ac:dyDescent="0.2">
      <c r="A969" s="16" t="s">
        <v>2362</v>
      </c>
      <c r="B969" s="17">
        <v>370.68</v>
      </c>
    </row>
    <row r="970" spans="1:2" x14ac:dyDescent="0.2">
      <c r="A970" s="16" t="s">
        <v>2984</v>
      </c>
      <c r="B970" s="17">
        <v>305.45999999999998</v>
      </c>
    </row>
    <row r="971" spans="1:2" x14ac:dyDescent="0.2">
      <c r="A971" s="16" t="s">
        <v>410</v>
      </c>
      <c r="B971" s="17">
        <v>102.54</v>
      </c>
    </row>
    <row r="972" spans="1:2" x14ac:dyDescent="0.2">
      <c r="A972" s="16" t="s">
        <v>912</v>
      </c>
      <c r="B972" s="17">
        <v>279.01</v>
      </c>
    </row>
    <row r="973" spans="1:2" x14ac:dyDescent="0.2">
      <c r="A973" s="16" t="s">
        <v>74</v>
      </c>
      <c r="B973" s="17">
        <v>964.79</v>
      </c>
    </row>
    <row r="974" spans="1:2" x14ac:dyDescent="0.2">
      <c r="A974" s="16" t="s">
        <v>144</v>
      </c>
      <c r="B974" s="17">
        <v>15943.480000000001</v>
      </c>
    </row>
    <row r="975" spans="1:2" x14ac:dyDescent="0.2">
      <c r="A975" s="16" t="s">
        <v>529</v>
      </c>
      <c r="B975" s="17">
        <v>919.09</v>
      </c>
    </row>
    <row r="976" spans="1:2" x14ac:dyDescent="0.2">
      <c r="A976" s="16" t="s">
        <v>740</v>
      </c>
      <c r="B976" s="17">
        <v>9580</v>
      </c>
    </row>
    <row r="977" spans="1:2" x14ac:dyDescent="0.2">
      <c r="A977" s="16" t="s">
        <v>1885</v>
      </c>
      <c r="B977" s="17">
        <v>561.65</v>
      </c>
    </row>
    <row r="978" spans="1:2" x14ac:dyDescent="0.2">
      <c r="A978" s="16" t="s">
        <v>1912</v>
      </c>
      <c r="B978" s="17">
        <v>883.63</v>
      </c>
    </row>
    <row r="979" spans="1:2" x14ac:dyDescent="0.2">
      <c r="A979" s="16" t="s">
        <v>2713</v>
      </c>
      <c r="B979" s="17">
        <v>141.59</v>
      </c>
    </row>
    <row r="980" spans="1:2" x14ac:dyDescent="0.2">
      <c r="A980" s="16" t="s">
        <v>2121</v>
      </c>
      <c r="B980" s="17">
        <v>1608.11</v>
      </c>
    </row>
    <row r="981" spans="1:2" x14ac:dyDescent="0.2">
      <c r="A981" s="16" t="s">
        <v>2342</v>
      </c>
      <c r="B981" s="17">
        <v>14645.449999999999</v>
      </c>
    </row>
    <row r="982" spans="1:2" x14ac:dyDescent="0.2">
      <c r="A982" s="16" t="s">
        <v>2883</v>
      </c>
      <c r="B982" s="17">
        <v>48.32</v>
      </c>
    </row>
    <row r="983" spans="1:2" x14ac:dyDescent="0.2">
      <c r="A983" s="16" t="s">
        <v>1865</v>
      </c>
      <c r="B983" s="17">
        <v>63.32</v>
      </c>
    </row>
    <row r="984" spans="1:2" x14ac:dyDescent="0.2">
      <c r="A984" s="16" t="s">
        <v>2415</v>
      </c>
      <c r="B984" s="17">
        <v>97.98</v>
      </c>
    </row>
    <row r="985" spans="1:2" x14ac:dyDescent="0.2">
      <c r="A985" s="16" t="s">
        <v>806</v>
      </c>
      <c r="B985" s="17">
        <v>69.959999999999994</v>
      </c>
    </row>
    <row r="986" spans="1:2" x14ac:dyDescent="0.2">
      <c r="A986" s="16" t="s">
        <v>2627</v>
      </c>
      <c r="B986" s="17">
        <v>107.51</v>
      </c>
    </row>
    <row r="987" spans="1:2" x14ac:dyDescent="0.2">
      <c r="A987" s="16" t="s">
        <v>984</v>
      </c>
      <c r="B987" s="17">
        <v>5019.91</v>
      </c>
    </row>
    <row r="988" spans="1:2" x14ac:dyDescent="0.2">
      <c r="A988" s="16" t="s">
        <v>2896</v>
      </c>
      <c r="B988" s="17">
        <v>378.82</v>
      </c>
    </row>
    <row r="989" spans="1:2" x14ac:dyDescent="0.2">
      <c r="A989" s="16" t="s">
        <v>1715</v>
      </c>
      <c r="B989" s="17">
        <v>22.48</v>
      </c>
    </row>
    <row r="990" spans="1:2" x14ac:dyDescent="0.2">
      <c r="A990" s="16" t="s">
        <v>2919</v>
      </c>
      <c r="B990" s="17">
        <v>6119.82</v>
      </c>
    </row>
    <row r="991" spans="1:2" x14ac:dyDescent="0.2">
      <c r="A991" s="16" t="s">
        <v>2108</v>
      </c>
      <c r="B991" s="17">
        <v>83.93</v>
      </c>
    </row>
    <row r="992" spans="1:2" x14ac:dyDescent="0.2">
      <c r="A992" s="16" t="s">
        <v>509</v>
      </c>
      <c r="B992" s="17">
        <v>31.44</v>
      </c>
    </row>
    <row r="993" spans="1:2" x14ac:dyDescent="0.2">
      <c r="A993" s="16" t="s">
        <v>335</v>
      </c>
      <c r="B993" s="17">
        <v>4775.1099999999997</v>
      </c>
    </row>
    <row r="994" spans="1:2" x14ac:dyDescent="0.2">
      <c r="A994" s="16" t="s">
        <v>2364</v>
      </c>
      <c r="B994" s="17">
        <v>2400.9499999999998</v>
      </c>
    </row>
    <row r="995" spans="1:2" x14ac:dyDescent="0.2">
      <c r="A995" s="16" t="s">
        <v>215</v>
      </c>
      <c r="B995" s="17">
        <v>94.97</v>
      </c>
    </row>
    <row r="996" spans="1:2" x14ac:dyDescent="0.2">
      <c r="A996" s="16" t="s">
        <v>1922</v>
      </c>
      <c r="B996" s="17">
        <v>1279.3800000000001</v>
      </c>
    </row>
    <row r="997" spans="1:2" x14ac:dyDescent="0.2">
      <c r="A997" s="16" t="s">
        <v>2521</v>
      </c>
      <c r="B997" s="17">
        <v>237.77</v>
      </c>
    </row>
    <row r="998" spans="1:2" x14ac:dyDescent="0.2">
      <c r="A998" s="16" t="s">
        <v>1386</v>
      </c>
      <c r="B998" s="17">
        <v>8.74</v>
      </c>
    </row>
    <row r="999" spans="1:2" x14ac:dyDescent="0.2">
      <c r="A999" s="16" t="s">
        <v>1765</v>
      </c>
      <c r="B999" s="17">
        <v>74.38</v>
      </c>
    </row>
    <row r="1000" spans="1:2" x14ac:dyDescent="0.2">
      <c r="A1000" s="16" t="s">
        <v>1590</v>
      </c>
      <c r="B1000" s="17">
        <v>391.4</v>
      </c>
    </row>
    <row r="1001" spans="1:2" x14ac:dyDescent="0.2">
      <c r="A1001" s="16" t="s">
        <v>954</v>
      </c>
      <c r="B1001" s="17">
        <v>21.93</v>
      </c>
    </row>
    <row r="1002" spans="1:2" x14ac:dyDescent="0.2">
      <c r="A1002" s="16" t="s">
        <v>2078</v>
      </c>
      <c r="B1002" s="17">
        <v>19.32</v>
      </c>
    </row>
    <row r="1003" spans="1:2" x14ac:dyDescent="0.2">
      <c r="A1003" s="16" t="s">
        <v>2673</v>
      </c>
      <c r="B1003" s="17">
        <v>20.46</v>
      </c>
    </row>
    <row r="1004" spans="1:2" x14ac:dyDescent="0.2">
      <c r="A1004" s="16" t="s">
        <v>1202</v>
      </c>
      <c r="B1004" s="17">
        <v>2291.39</v>
      </c>
    </row>
    <row r="1005" spans="1:2" x14ac:dyDescent="0.2">
      <c r="A1005" s="16" t="s">
        <v>1291</v>
      </c>
      <c r="B1005" s="17">
        <v>127.94</v>
      </c>
    </row>
    <row r="1006" spans="1:2" x14ac:dyDescent="0.2">
      <c r="A1006" s="16" t="s">
        <v>2867</v>
      </c>
      <c r="B1006" s="17">
        <v>199.48</v>
      </c>
    </row>
    <row r="1007" spans="1:2" x14ac:dyDescent="0.2">
      <c r="A1007" s="16" t="s">
        <v>1645</v>
      </c>
      <c r="B1007" s="17">
        <v>2226.2399999999998</v>
      </c>
    </row>
    <row r="1008" spans="1:2" x14ac:dyDescent="0.2">
      <c r="A1008" s="16" t="s">
        <v>2356</v>
      </c>
      <c r="B1008" s="17">
        <v>462.57</v>
      </c>
    </row>
    <row r="1009" spans="1:2" x14ac:dyDescent="0.2">
      <c r="A1009" s="16" t="s">
        <v>120</v>
      </c>
      <c r="B1009" s="17">
        <v>3377.7400000000002</v>
      </c>
    </row>
    <row r="1010" spans="1:2" x14ac:dyDescent="0.2">
      <c r="A1010" s="16" t="s">
        <v>1677</v>
      </c>
      <c r="B1010" s="17">
        <v>1868.83</v>
      </c>
    </row>
    <row r="1011" spans="1:2" x14ac:dyDescent="0.2">
      <c r="A1011" s="16" t="s">
        <v>869</v>
      </c>
      <c r="B1011" s="17">
        <v>397.17</v>
      </c>
    </row>
    <row r="1012" spans="1:2" x14ac:dyDescent="0.2">
      <c r="A1012" s="16" t="s">
        <v>1821</v>
      </c>
      <c r="B1012" s="17">
        <v>287.85000000000002</v>
      </c>
    </row>
    <row r="1013" spans="1:2" x14ac:dyDescent="0.2">
      <c r="A1013" s="16" t="s">
        <v>3002</v>
      </c>
      <c r="B1013" s="17">
        <v>29.99</v>
      </c>
    </row>
    <row r="1014" spans="1:2" x14ac:dyDescent="0.2">
      <c r="A1014" s="16" t="s">
        <v>2113</v>
      </c>
      <c r="B1014" s="17">
        <v>990.25</v>
      </c>
    </row>
    <row r="1015" spans="1:2" x14ac:dyDescent="0.2">
      <c r="A1015" s="16" t="s">
        <v>1484</v>
      </c>
      <c r="B1015" s="17">
        <v>1824.33</v>
      </c>
    </row>
    <row r="1016" spans="1:2" x14ac:dyDescent="0.2">
      <c r="A1016" s="16" t="s">
        <v>2504</v>
      </c>
      <c r="B1016" s="17">
        <v>1483.55</v>
      </c>
    </row>
    <row r="1017" spans="1:2" x14ac:dyDescent="0.2">
      <c r="A1017" s="16" t="s">
        <v>2204</v>
      </c>
      <c r="B1017" s="17">
        <v>799.05000000000007</v>
      </c>
    </row>
    <row r="1018" spans="1:2" x14ac:dyDescent="0.2">
      <c r="A1018" s="16" t="s">
        <v>1057</v>
      </c>
      <c r="B1018" s="17">
        <v>98.7</v>
      </c>
    </row>
    <row r="1019" spans="1:2" x14ac:dyDescent="0.2">
      <c r="A1019" s="16" t="s">
        <v>846</v>
      </c>
      <c r="B1019" s="17">
        <v>328.34000000000003</v>
      </c>
    </row>
    <row r="1020" spans="1:2" x14ac:dyDescent="0.2">
      <c r="A1020" s="16" t="s">
        <v>608</v>
      </c>
      <c r="B1020" s="17">
        <v>5062.49</v>
      </c>
    </row>
    <row r="1021" spans="1:2" x14ac:dyDescent="0.2">
      <c r="A1021" s="16" t="s">
        <v>761</v>
      </c>
      <c r="B1021" s="17">
        <v>34.11</v>
      </c>
    </row>
    <row r="1022" spans="1:2" x14ac:dyDescent="0.2">
      <c r="A1022" s="16" t="s">
        <v>1501</v>
      </c>
      <c r="B1022" s="17">
        <v>291.64</v>
      </c>
    </row>
    <row r="1023" spans="1:2" x14ac:dyDescent="0.2">
      <c r="A1023" s="16" t="s">
        <v>2923</v>
      </c>
      <c r="B1023" s="17">
        <v>1029.96</v>
      </c>
    </row>
    <row r="1024" spans="1:2" x14ac:dyDescent="0.2">
      <c r="A1024" s="16" t="s">
        <v>2637</v>
      </c>
      <c r="B1024" s="17">
        <v>2025.22</v>
      </c>
    </row>
    <row r="1025" spans="1:2" x14ac:dyDescent="0.2">
      <c r="A1025" s="16" t="s">
        <v>897</v>
      </c>
      <c r="B1025" s="17">
        <v>1362.2</v>
      </c>
    </row>
    <row r="1026" spans="1:2" x14ac:dyDescent="0.2">
      <c r="A1026" s="16" t="s">
        <v>2636</v>
      </c>
      <c r="B1026" s="17">
        <v>59.79</v>
      </c>
    </row>
    <row r="1027" spans="1:2" x14ac:dyDescent="0.2">
      <c r="A1027" s="16" t="s">
        <v>1088</v>
      </c>
      <c r="B1027" s="17">
        <v>2848.38</v>
      </c>
    </row>
    <row r="1028" spans="1:2" x14ac:dyDescent="0.2">
      <c r="A1028" s="16" t="s">
        <v>2629</v>
      </c>
      <c r="B1028" s="17">
        <v>421.08</v>
      </c>
    </row>
    <row r="1029" spans="1:2" x14ac:dyDescent="0.2">
      <c r="A1029" s="16" t="s">
        <v>1823</v>
      </c>
      <c r="B1029" s="17">
        <v>459.47</v>
      </c>
    </row>
    <row r="1030" spans="1:2" x14ac:dyDescent="0.2">
      <c r="A1030" s="16" t="s">
        <v>485</v>
      </c>
      <c r="B1030" s="17">
        <v>460.87</v>
      </c>
    </row>
    <row r="1031" spans="1:2" x14ac:dyDescent="0.2">
      <c r="A1031" s="16" t="s">
        <v>2214</v>
      </c>
      <c r="B1031" s="17">
        <v>6512.23</v>
      </c>
    </row>
    <row r="1032" spans="1:2" x14ac:dyDescent="0.2">
      <c r="A1032" s="16" t="s">
        <v>2930</v>
      </c>
      <c r="B1032" s="17">
        <v>5347.1</v>
      </c>
    </row>
    <row r="1033" spans="1:2" x14ac:dyDescent="0.2">
      <c r="A1033" s="16" t="s">
        <v>3026</v>
      </c>
      <c r="B1033" s="17">
        <v>506.5</v>
      </c>
    </row>
    <row r="1034" spans="1:2" x14ac:dyDescent="0.2">
      <c r="A1034" s="16" t="s">
        <v>293</v>
      </c>
      <c r="B1034" s="17">
        <v>99.75</v>
      </c>
    </row>
    <row r="1035" spans="1:2" x14ac:dyDescent="0.2">
      <c r="A1035" s="16" t="s">
        <v>2733</v>
      </c>
      <c r="B1035" s="17">
        <v>18642.71</v>
      </c>
    </row>
    <row r="1036" spans="1:2" x14ac:dyDescent="0.2">
      <c r="A1036" s="16" t="s">
        <v>2748</v>
      </c>
      <c r="B1036" s="17">
        <v>171.33</v>
      </c>
    </row>
    <row r="1037" spans="1:2" x14ac:dyDescent="0.2">
      <c r="A1037" s="16" t="s">
        <v>1574</v>
      </c>
      <c r="B1037" s="17">
        <v>87.53</v>
      </c>
    </row>
    <row r="1038" spans="1:2" x14ac:dyDescent="0.2">
      <c r="A1038" s="16" t="s">
        <v>1906</v>
      </c>
      <c r="B1038" s="17">
        <v>77.47</v>
      </c>
    </row>
    <row r="1039" spans="1:2" x14ac:dyDescent="0.2">
      <c r="A1039" s="16" t="s">
        <v>1194</v>
      </c>
      <c r="B1039" s="17">
        <v>686.40000000000009</v>
      </c>
    </row>
    <row r="1040" spans="1:2" x14ac:dyDescent="0.2">
      <c r="A1040" s="16" t="s">
        <v>2782</v>
      </c>
      <c r="B1040" s="17">
        <v>130.91</v>
      </c>
    </row>
    <row r="1041" spans="1:2" x14ac:dyDescent="0.2">
      <c r="A1041" s="16" t="s">
        <v>2456</v>
      </c>
      <c r="B1041" s="17">
        <v>222.53</v>
      </c>
    </row>
    <row r="1042" spans="1:2" x14ac:dyDescent="0.2">
      <c r="A1042" s="16" t="s">
        <v>1392</v>
      </c>
      <c r="B1042" s="17">
        <v>131.26</v>
      </c>
    </row>
    <row r="1043" spans="1:2" x14ac:dyDescent="0.2">
      <c r="A1043" s="16" t="s">
        <v>1897</v>
      </c>
      <c r="B1043" s="17">
        <v>1076.6699999999998</v>
      </c>
    </row>
    <row r="1044" spans="1:2" x14ac:dyDescent="0.2">
      <c r="A1044" s="16" t="s">
        <v>2727</v>
      </c>
      <c r="B1044" s="17">
        <v>1506.89</v>
      </c>
    </row>
    <row r="1045" spans="1:2" x14ac:dyDescent="0.2">
      <c r="A1045" s="16" t="s">
        <v>738</v>
      </c>
      <c r="B1045" s="17">
        <v>99.36</v>
      </c>
    </row>
    <row r="1046" spans="1:2" x14ac:dyDescent="0.2">
      <c r="A1046" s="16" t="s">
        <v>539</v>
      </c>
      <c r="B1046" s="17">
        <v>355.92</v>
      </c>
    </row>
    <row r="1047" spans="1:2" x14ac:dyDescent="0.2">
      <c r="A1047" s="16" t="s">
        <v>2681</v>
      </c>
      <c r="B1047" s="17">
        <v>70.03</v>
      </c>
    </row>
    <row r="1048" spans="1:2" x14ac:dyDescent="0.2">
      <c r="A1048" s="16" t="s">
        <v>113</v>
      </c>
      <c r="B1048" s="17">
        <v>647.07000000000005</v>
      </c>
    </row>
    <row r="1049" spans="1:2" x14ac:dyDescent="0.2">
      <c r="A1049" s="16" t="s">
        <v>2544</v>
      </c>
      <c r="B1049" s="17">
        <v>4146.28</v>
      </c>
    </row>
    <row r="1050" spans="1:2" x14ac:dyDescent="0.2">
      <c r="A1050" s="16" t="s">
        <v>1188</v>
      </c>
      <c r="B1050" s="17">
        <v>220.92</v>
      </c>
    </row>
    <row r="1051" spans="1:2" x14ac:dyDescent="0.2">
      <c r="A1051" s="16" t="s">
        <v>1113</v>
      </c>
      <c r="B1051" s="17">
        <v>658.44</v>
      </c>
    </row>
    <row r="1052" spans="1:2" x14ac:dyDescent="0.2">
      <c r="A1052" s="16" t="s">
        <v>413</v>
      </c>
      <c r="B1052" s="17">
        <v>1310.73</v>
      </c>
    </row>
    <row r="1053" spans="1:2" x14ac:dyDescent="0.2">
      <c r="A1053" s="16" t="s">
        <v>2728</v>
      </c>
      <c r="B1053" s="17">
        <v>174.58</v>
      </c>
    </row>
    <row r="1054" spans="1:2" x14ac:dyDescent="0.2">
      <c r="A1054" s="16" t="s">
        <v>2953</v>
      </c>
      <c r="B1054" s="17">
        <v>369.78</v>
      </c>
    </row>
    <row r="1055" spans="1:2" x14ac:dyDescent="0.2">
      <c r="A1055" s="16" t="s">
        <v>2767</v>
      </c>
      <c r="B1055" s="17">
        <v>2131.9900000000002</v>
      </c>
    </row>
    <row r="1056" spans="1:2" x14ac:dyDescent="0.2">
      <c r="A1056" s="16" t="s">
        <v>2592</v>
      </c>
      <c r="B1056" s="17">
        <v>1417.42</v>
      </c>
    </row>
    <row r="1057" spans="1:2" x14ac:dyDescent="0.2">
      <c r="A1057" s="16" t="s">
        <v>690</v>
      </c>
      <c r="B1057" s="17">
        <v>116.93</v>
      </c>
    </row>
    <row r="1058" spans="1:2" x14ac:dyDescent="0.2">
      <c r="A1058" s="16" t="s">
        <v>68</v>
      </c>
      <c r="B1058" s="17">
        <v>413</v>
      </c>
    </row>
    <row r="1059" spans="1:2" x14ac:dyDescent="0.2">
      <c r="A1059" s="16" t="s">
        <v>1204</v>
      </c>
      <c r="B1059" s="17">
        <v>9492.92</v>
      </c>
    </row>
    <row r="1060" spans="1:2" x14ac:dyDescent="0.2">
      <c r="A1060" s="16" t="s">
        <v>2741</v>
      </c>
      <c r="B1060" s="17">
        <v>128.54</v>
      </c>
    </row>
    <row r="1061" spans="1:2" x14ac:dyDescent="0.2">
      <c r="A1061" s="16" t="s">
        <v>2255</v>
      </c>
      <c r="B1061" s="17">
        <v>236.97</v>
      </c>
    </row>
    <row r="1062" spans="1:2" x14ac:dyDescent="0.2">
      <c r="A1062" s="16" t="s">
        <v>1983</v>
      </c>
      <c r="B1062" s="17">
        <v>291.39999999999998</v>
      </c>
    </row>
    <row r="1063" spans="1:2" x14ac:dyDescent="0.2">
      <c r="A1063" s="16" t="s">
        <v>2062</v>
      </c>
      <c r="B1063" s="17">
        <v>12584.99</v>
      </c>
    </row>
    <row r="1064" spans="1:2" x14ac:dyDescent="0.2">
      <c r="A1064" s="16" t="s">
        <v>199</v>
      </c>
      <c r="B1064" s="17">
        <v>11.13</v>
      </c>
    </row>
    <row r="1065" spans="1:2" x14ac:dyDescent="0.2">
      <c r="A1065" s="16" t="s">
        <v>1512</v>
      </c>
      <c r="B1065" s="17">
        <v>1174.4499999999998</v>
      </c>
    </row>
    <row r="1066" spans="1:2" x14ac:dyDescent="0.2">
      <c r="A1066" s="16" t="s">
        <v>813</v>
      </c>
      <c r="B1066" s="17">
        <v>17.420000000000002</v>
      </c>
    </row>
    <row r="1067" spans="1:2" x14ac:dyDescent="0.2">
      <c r="A1067" s="16" t="s">
        <v>2429</v>
      </c>
      <c r="B1067" s="17">
        <v>49.24</v>
      </c>
    </row>
    <row r="1068" spans="1:2" x14ac:dyDescent="0.2">
      <c r="A1068" s="16" t="s">
        <v>2349</v>
      </c>
      <c r="B1068" s="17">
        <v>161.26</v>
      </c>
    </row>
    <row r="1069" spans="1:2" x14ac:dyDescent="0.2">
      <c r="A1069" s="16" t="s">
        <v>598</v>
      </c>
      <c r="B1069" s="17">
        <v>32194.12</v>
      </c>
    </row>
    <row r="1070" spans="1:2" x14ac:dyDescent="0.2">
      <c r="A1070" s="16" t="s">
        <v>1070</v>
      </c>
      <c r="B1070" s="17">
        <v>58.84</v>
      </c>
    </row>
    <row r="1071" spans="1:2" x14ac:dyDescent="0.2">
      <c r="A1071" s="16" t="s">
        <v>575</v>
      </c>
      <c r="B1071" s="17">
        <v>60.24</v>
      </c>
    </row>
    <row r="1072" spans="1:2" x14ac:dyDescent="0.2">
      <c r="A1072" s="16" t="s">
        <v>89</v>
      </c>
      <c r="B1072" s="17">
        <v>3084.04</v>
      </c>
    </row>
    <row r="1073" spans="1:2" x14ac:dyDescent="0.2">
      <c r="A1073" s="16" t="s">
        <v>2300</v>
      </c>
      <c r="B1073" s="17">
        <v>4.21</v>
      </c>
    </row>
    <row r="1074" spans="1:2" x14ac:dyDescent="0.2">
      <c r="A1074" s="16" t="s">
        <v>1222</v>
      </c>
      <c r="B1074" s="17">
        <v>871.5</v>
      </c>
    </row>
    <row r="1075" spans="1:2" x14ac:dyDescent="0.2">
      <c r="A1075" s="16" t="s">
        <v>1870</v>
      </c>
      <c r="B1075" s="17">
        <v>342.56</v>
      </c>
    </row>
    <row r="1076" spans="1:2" x14ac:dyDescent="0.2">
      <c r="A1076" s="16" t="s">
        <v>2013</v>
      </c>
      <c r="B1076" s="17">
        <v>389.97</v>
      </c>
    </row>
    <row r="1077" spans="1:2" x14ac:dyDescent="0.2">
      <c r="A1077" s="16" t="s">
        <v>2756</v>
      </c>
      <c r="B1077" s="17">
        <v>2610.56</v>
      </c>
    </row>
    <row r="1078" spans="1:2" x14ac:dyDescent="0.2">
      <c r="A1078" s="16" t="s">
        <v>1036</v>
      </c>
      <c r="B1078" s="17">
        <v>47.95</v>
      </c>
    </row>
    <row r="1079" spans="1:2" x14ac:dyDescent="0.2">
      <c r="A1079" s="16" t="s">
        <v>2536</v>
      </c>
      <c r="B1079" s="17">
        <v>41.4</v>
      </c>
    </row>
    <row r="1080" spans="1:2" x14ac:dyDescent="0.2">
      <c r="A1080" s="16" t="s">
        <v>2311</v>
      </c>
      <c r="B1080" s="17">
        <v>58.3</v>
      </c>
    </row>
    <row r="1081" spans="1:2" x14ac:dyDescent="0.2">
      <c r="A1081" s="16" t="s">
        <v>2284</v>
      </c>
      <c r="B1081" s="17">
        <v>2238.15</v>
      </c>
    </row>
    <row r="1082" spans="1:2" x14ac:dyDescent="0.2">
      <c r="A1082" s="16" t="s">
        <v>471</v>
      </c>
      <c r="B1082" s="17">
        <v>394.1</v>
      </c>
    </row>
    <row r="1083" spans="1:2" x14ac:dyDescent="0.2">
      <c r="A1083" s="16" t="s">
        <v>545</v>
      </c>
      <c r="B1083" s="17">
        <v>1998.36</v>
      </c>
    </row>
    <row r="1084" spans="1:2" x14ac:dyDescent="0.2">
      <c r="A1084" s="16" t="s">
        <v>1795</v>
      </c>
      <c r="B1084" s="17">
        <v>1008.53</v>
      </c>
    </row>
    <row r="1085" spans="1:2" x14ac:dyDescent="0.2">
      <c r="A1085" s="16" t="s">
        <v>1812</v>
      </c>
      <c r="B1085" s="17">
        <v>4454.7299999999996</v>
      </c>
    </row>
    <row r="1086" spans="1:2" x14ac:dyDescent="0.2">
      <c r="A1086" s="16" t="s">
        <v>2600</v>
      </c>
      <c r="B1086" s="17">
        <v>393.94</v>
      </c>
    </row>
    <row r="1087" spans="1:2" x14ac:dyDescent="0.2">
      <c r="A1087" s="16" t="s">
        <v>676</v>
      </c>
      <c r="B1087" s="17">
        <v>411.40999999999997</v>
      </c>
    </row>
    <row r="1088" spans="1:2" x14ac:dyDescent="0.2">
      <c r="A1088" s="16" t="s">
        <v>2010</v>
      </c>
      <c r="B1088" s="17">
        <v>7840.04</v>
      </c>
    </row>
    <row r="1089" spans="1:2" x14ac:dyDescent="0.2">
      <c r="A1089" s="16" t="s">
        <v>1498</v>
      </c>
      <c r="B1089" s="17">
        <v>2366.5100000000002</v>
      </c>
    </row>
    <row r="1090" spans="1:2" x14ac:dyDescent="0.2">
      <c r="A1090" s="16" t="s">
        <v>1177</v>
      </c>
      <c r="B1090" s="17">
        <v>377.44</v>
      </c>
    </row>
    <row r="1091" spans="1:2" x14ac:dyDescent="0.2">
      <c r="A1091" s="16" t="s">
        <v>263</v>
      </c>
      <c r="B1091" s="17">
        <v>1839.91</v>
      </c>
    </row>
    <row r="1092" spans="1:2" x14ac:dyDescent="0.2">
      <c r="A1092" s="16" t="s">
        <v>2606</v>
      </c>
      <c r="B1092" s="17">
        <v>7410.3</v>
      </c>
    </row>
    <row r="1093" spans="1:2" x14ac:dyDescent="0.2">
      <c r="A1093" s="16" t="s">
        <v>1506</v>
      </c>
      <c r="B1093" s="17">
        <v>1379.9099999999999</v>
      </c>
    </row>
    <row r="1094" spans="1:2" x14ac:dyDescent="0.2">
      <c r="A1094" s="16" t="s">
        <v>397</v>
      </c>
      <c r="B1094" s="17">
        <v>416.95</v>
      </c>
    </row>
    <row r="1095" spans="1:2" x14ac:dyDescent="0.2">
      <c r="A1095" s="16" t="s">
        <v>1344</v>
      </c>
      <c r="B1095" s="17">
        <v>3655.92</v>
      </c>
    </row>
    <row r="1096" spans="1:2" x14ac:dyDescent="0.2">
      <c r="A1096" s="16" t="s">
        <v>1360</v>
      </c>
      <c r="B1096" s="17">
        <v>378.23</v>
      </c>
    </row>
    <row r="1097" spans="1:2" x14ac:dyDescent="0.2">
      <c r="A1097" s="16" t="s">
        <v>1907</v>
      </c>
      <c r="B1097" s="17">
        <v>204.34</v>
      </c>
    </row>
    <row r="1098" spans="1:2" x14ac:dyDescent="0.2">
      <c r="A1098" s="16" t="s">
        <v>713</v>
      </c>
      <c r="B1098" s="17">
        <v>32.39</v>
      </c>
    </row>
    <row r="1099" spans="1:2" x14ac:dyDescent="0.2">
      <c r="A1099" s="16" t="s">
        <v>1991</v>
      </c>
      <c r="B1099" s="17">
        <v>2512.3200000000002</v>
      </c>
    </row>
    <row r="1100" spans="1:2" x14ac:dyDescent="0.2">
      <c r="A1100" s="16" t="s">
        <v>169</v>
      </c>
      <c r="B1100" s="17">
        <v>393.46000000000004</v>
      </c>
    </row>
    <row r="1101" spans="1:2" x14ac:dyDescent="0.2">
      <c r="A1101" s="16" t="s">
        <v>2232</v>
      </c>
      <c r="B1101" s="17">
        <v>8.49</v>
      </c>
    </row>
    <row r="1102" spans="1:2" x14ac:dyDescent="0.2">
      <c r="A1102" s="16" t="s">
        <v>1818</v>
      </c>
      <c r="B1102" s="17">
        <v>653.29999999999995</v>
      </c>
    </row>
    <row r="1103" spans="1:2" x14ac:dyDescent="0.2">
      <c r="A1103" s="16" t="s">
        <v>402</v>
      </c>
      <c r="B1103" s="17">
        <v>1196.68</v>
      </c>
    </row>
    <row r="1104" spans="1:2" x14ac:dyDescent="0.2">
      <c r="A1104" s="16" t="s">
        <v>2392</v>
      </c>
      <c r="B1104" s="17">
        <v>19.32</v>
      </c>
    </row>
    <row r="1105" spans="1:2" x14ac:dyDescent="0.2">
      <c r="A1105" s="16" t="s">
        <v>1417</v>
      </c>
      <c r="B1105" s="17">
        <v>283.44</v>
      </c>
    </row>
    <row r="1106" spans="1:2" x14ac:dyDescent="0.2">
      <c r="A1106" s="16" t="s">
        <v>1408</v>
      </c>
      <c r="B1106" s="17">
        <v>51.86</v>
      </c>
    </row>
    <row r="1107" spans="1:2" x14ac:dyDescent="0.2">
      <c r="A1107" s="16" t="s">
        <v>2874</v>
      </c>
      <c r="B1107" s="17">
        <v>2230.12</v>
      </c>
    </row>
    <row r="1108" spans="1:2" x14ac:dyDescent="0.2">
      <c r="A1108" s="16" t="s">
        <v>164</v>
      </c>
      <c r="B1108" s="17">
        <v>3587.8700000000003</v>
      </c>
    </row>
    <row r="1109" spans="1:2" x14ac:dyDescent="0.2">
      <c r="A1109" s="16" t="s">
        <v>664</v>
      </c>
      <c r="B1109" s="17">
        <v>12122.79</v>
      </c>
    </row>
    <row r="1110" spans="1:2" x14ac:dyDescent="0.2">
      <c r="A1110" s="16" t="s">
        <v>2907</v>
      </c>
      <c r="B1110" s="17">
        <v>21.86</v>
      </c>
    </row>
    <row r="1111" spans="1:2" x14ac:dyDescent="0.2">
      <c r="A1111" s="16" t="s">
        <v>2384</v>
      </c>
      <c r="B1111" s="17">
        <v>10574.04</v>
      </c>
    </row>
    <row r="1112" spans="1:2" x14ac:dyDescent="0.2">
      <c r="A1112" s="16" t="s">
        <v>1947</v>
      </c>
      <c r="B1112" s="17">
        <v>40.29</v>
      </c>
    </row>
    <row r="1113" spans="1:2" x14ac:dyDescent="0.2">
      <c r="A1113" s="16" t="s">
        <v>2800</v>
      </c>
      <c r="B1113" s="17">
        <v>1146.77</v>
      </c>
    </row>
    <row r="1114" spans="1:2" x14ac:dyDescent="0.2">
      <c r="A1114" s="16" t="s">
        <v>1618</v>
      </c>
      <c r="B1114" s="17">
        <v>494.49</v>
      </c>
    </row>
    <row r="1115" spans="1:2" x14ac:dyDescent="0.2">
      <c r="A1115" s="16" t="s">
        <v>1524</v>
      </c>
      <c r="B1115" s="17">
        <v>4813.88</v>
      </c>
    </row>
    <row r="1116" spans="1:2" x14ac:dyDescent="0.2">
      <c r="A1116" s="16" t="s">
        <v>2411</v>
      </c>
      <c r="B1116" s="17">
        <v>1638.83</v>
      </c>
    </row>
    <row r="1117" spans="1:2" x14ac:dyDescent="0.2">
      <c r="A1117" s="16" t="s">
        <v>2270</v>
      </c>
      <c r="B1117" s="17">
        <v>100.87</v>
      </c>
    </row>
    <row r="1118" spans="1:2" x14ac:dyDescent="0.2">
      <c r="A1118" s="16" t="s">
        <v>1687</v>
      </c>
      <c r="B1118" s="17">
        <v>130.47</v>
      </c>
    </row>
    <row r="1119" spans="1:2" x14ac:dyDescent="0.2">
      <c r="A1119" s="16" t="s">
        <v>2065</v>
      </c>
      <c r="B1119" s="17">
        <v>727.2</v>
      </c>
    </row>
    <row r="1120" spans="1:2" x14ac:dyDescent="0.2">
      <c r="A1120" s="16" t="s">
        <v>1505</v>
      </c>
      <c r="B1120" s="17">
        <v>2356.73</v>
      </c>
    </row>
    <row r="1121" spans="1:2" x14ac:dyDescent="0.2">
      <c r="A1121" s="16" t="s">
        <v>1462</v>
      </c>
      <c r="B1121" s="17">
        <v>1868.73</v>
      </c>
    </row>
    <row r="1122" spans="1:2" x14ac:dyDescent="0.2">
      <c r="A1122" s="16" t="s">
        <v>274</v>
      </c>
      <c r="B1122" s="17">
        <v>1088.3999999999999</v>
      </c>
    </row>
    <row r="1123" spans="1:2" x14ac:dyDescent="0.2">
      <c r="A1123" s="16" t="s">
        <v>1883</v>
      </c>
      <c r="B1123" s="17">
        <v>34.76</v>
      </c>
    </row>
    <row r="1124" spans="1:2" x14ac:dyDescent="0.2">
      <c r="A1124" s="16" t="s">
        <v>693</v>
      </c>
      <c r="B1124" s="17">
        <v>170.45</v>
      </c>
    </row>
    <row r="1125" spans="1:2" x14ac:dyDescent="0.2">
      <c r="A1125" s="16" t="s">
        <v>2683</v>
      </c>
      <c r="B1125" s="17">
        <v>102.43</v>
      </c>
    </row>
    <row r="1126" spans="1:2" x14ac:dyDescent="0.2">
      <c r="A1126" s="16" t="s">
        <v>2934</v>
      </c>
      <c r="B1126" s="17">
        <v>2404.84</v>
      </c>
    </row>
    <row r="1127" spans="1:2" x14ac:dyDescent="0.2">
      <c r="A1127" s="16" t="s">
        <v>1173</v>
      </c>
      <c r="B1127" s="17">
        <v>1118.1199999999999</v>
      </c>
    </row>
    <row r="1128" spans="1:2" x14ac:dyDescent="0.2">
      <c r="A1128" s="16" t="s">
        <v>1079</v>
      </c>
      <c r="B1128" s="17">
        <v>7.01</v>
      </c>
    </row>
    <row r="1129" spans="1:2" x14ac:dyDescent="0.2">
      <c r="A1129" s="16" t="s">
        <v>2308</v>
      </c>
      <c r="B1129" s="17">
        <v>140.69999999999999</v>
      </c>
    </row>
    <row r="1130" spans="1:2" x14ac:dyDescent="0.2">
      <c r="A1130" s="16" t="s">
        <v>238</v>
      </c>
      <c r="B1130" s="17">
        <v>1123.1600000000001</v>
      </c>
    </row>
    <row r="1131" spans="1:2" x14ac:dyDescent="0.2">
      <c r="A1131" s="16" t="s">
        <v>2477</v>
      </c>
      <c r="B1131" s="17">
        <v>28779.129999999997</v>
      </c>
    </row>
    <row r="1132" spans="1:2" x14ac:dyDescent="0.2">
      <c r="A1132" s="16" t="s">
        <v>2401</v>
      </c>
      <c r="B1132" s="17">
        <v>7792.97</v>
      </c>
    </row>
    <row r="1133" spans="1:2" x14ac:dyDescent="0.2">
      <c r="A1133" s="16" t="s">
        <v>1585</v>
      </c>
      <c r="B1133" s="17">
        <v>1088.26</v>
      </c>
    </row>
    <row r="1134" spans="1:2" x14ac:dyDescent="0.2">
      <c r="A1134" s="16" t="s">
        <v>3044</v>
      </c>
      <c r="B1134" s="17">
        <v>1924337.8800000008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53"/>
  <sheetViews>
    <sheetView tabSelected="1" zoomScale="85" zoomScaleNormal="85" workbookViewId="0">
      <pane xSplit="1" ySplit="1" topLeftCell="B5" activePane="bottomRight" state="frozen"/>
      <selection pane="topRight" activeCell="B1" sqref="B1"/>
      <selection pane="bottomLeft" activeCell="A2" sqref="A2"/>
      <selection pane="bottomRight" activeCell="F5" sqref="F5"/>
    </sheetView>
  </sheetViews>
  <sheetFormatPr defaultColWidth="9" defaultRowHeight="12.75" x14ac:dyDescent="0.2"/>
  <cols>
    <col min="1" max="1" width="10.85546875" customWidth="1"/>
    <col min="2" max="2" width="16.5703125" customWidth="1"/>
    <col min="3" max="3" width="11.85546875" customWidth="1"/>
    <col min="4" max="4" width="12.85546875" customWidth="1"/>
    <col min="5" max="5" width="16.85546875" customWidth="1"/>
    <col min="6" max="7" width="15.140625" customWidth="1"/>
    <col min="8" max="8" width="26.42578125" bestFit="1" customWidth="1"/>
    <col min="9" max="9" width="13.85546875" customWidth="1"/>
    <col min="10" max="10" width="20.140625" customWidth="1"/>
    <col min="11" max="11" width="19.140625" customWidth="1"/>
    <col min="12" max="12" width="29.140625" bestFit="1" customWidth="1"/>
    <col min="13" max="13" width="20.140625" customWidth="1"/>
    <col min="14" max="14" width="92.140625" bestFit="1" customWidth="1"/>
    <col min="15" max="15" width="22.5703125" customWidth="1"/>
    <col min="16" max="16" width="16.140625" bestFit="1" customWidth="1"/>
    <col min="17" max="17" width="19.140625" customWidth="1"/>
    <col min="18" max="18" width="10.140625" customWidth="1"/>
    <col min="19" max="19" width="18.85546875" customWidth="1"/>
    <col min="20" max="20" width="19.5703125" bestFit="1" customWidth="1"/>
    <col min="21" max="21" width="14.42578125" customWidth="1"/>
    <col min="22" max="24" width="13.85546875" customWidth="1"/>
    <col min="25" max="25" width="12.85546875" customWidth="1"/>
    <col min="26" max="26" width="12.5703125" bestFit="1" customWidth="1"/>
    <col min="27" max="27" width="23.140625" customWidth="1"/>
    <col min="28" max="28" width="10" bestFit="1" customWidth="1"/>
    <col min="30" max="30" width="12.140625" customWidth="1"/>
    <col min="31" max="31" width="16.42578125" bestFit="1" customWidth="1"/>
  </cols>
  <sheetData>
    <row r="1" spans="1:30" ht="13.5" thickBot="1" x14ac:dyDescent="0.25">
      <c r="A1" s="2" t="s">
        <v>0</v>
      </c>
      <c r="B1" s="3" t="s">
        <v>1</v>
      </c>
      <c r="C1" s="3" t="s">
        <v>2</v>
      </c>
      <c r="D1" s="3" t="s">
        <v>3</v>
      </c>
      <c r="E1" s="3" t="s">
        <v>4</v>
      </c>
      <c r="F1" s="3" t="s">
        <v>5</v>
      </c>
      <c r="G1" s="3" t="s">
        <v>3035</v>
      </c>
      <c r="H1" s="3" t="s">
        <v>6</v>
      </c>
      <c r="I1" s="3" t="s">
        <v>7</v>
      </c>
      <c r="J1" s="3" t="s">
        <v>8</v>
      </c>
      <c r="K1" s="3" t="s">
        <v>9</v>
      </c>
      <c r="L1" s="3" t="s">
        <v>10</v>
      </c>
      <c r="M1" s="3" t="s">
        <v>11</v>
      </c>
      <c r="N1" s="3" t="s">
        <v>12</v>
      </c>
      <c r="O1" s="3" t="s">
        <v>13</v>
      </c>
      <c r="P1" s="3" t="s">
        <v>3034</v>
      </c>
      <c r="Q1" s="3" t="s">
        <v>14</v>
      </c>
      <c r="R1" s="3" t="s">
        <v>15</v>
      </c>
      <c r="S1" s="3" t="s">
        <v>16</v>
      </c>
      <c r="T1" s="3" t="s">
        <v>17</v>
      </c>
      <c r="U1" s="3" t="s">
        <v>18</v>
      </c>
      <c r="V1" s="3" t="s">
        <v>19</v>
      </c>
      <c r="W1" s="3" t="s">
        <v>3033</v>
      </c>
      <c r="X1" s="3" t="s">
        <v>3032</v>
      </c>
      <c r="Y1" s="3" t="s">
        <v>20</v>
      </c>
      <c r="Z1" s="3" t="s">
        <v>21</v>
      </c>
      <c r="AA1" s="3" t="s">
        <v>22</v>
      </c>
      <c r="AB1" s="3" t="s">
        <v>23</v>
      </c>
      <c r="AC1" s="4" t="s">
        <v>24</v>
      </c>
      <c r="AD1" s="3" t="s">
        <v>3031</v>
      </c>
    </row>
    <row r="2" spans="1:30" ht="12.75" customHeight="1" thickTop="1" thickBot="1" x14ac:dyDescent="0.25">
      <c r="A2" s="5">
        <v>20847</v>
      </c>
      <c r="B2" s="6" t="s">
        <v>25</v>
      </c>
      <c r="C2" s="6">
        <v>0.01</v>
      </c>
      <c r="D2" s="6">
        <v>2.84</v>
      </c>
      <c r="E2" s="6">
        <v>0.93</v>
      </c>
      <c r="F2" s="6">
        <v>3</v>
      </c>
      <c r="G2" s="6" t="str">
        <f>IF(COUNTIF(Table1[Customer ID],Table1[[#This Row],[Customer ID]])&gt;1,"Repeat Customer","One-Time Customer")</f>
        <v>One-Time Customer</v>
      </c>
      <c r="H2" s="6" t="s">
        <v>26</v>
      </c>
      <c r="I2" s="6" t="s">
        <v>27</v>
      </c>
      <c r="J2" s="6" t="s">
        <v>28</v>
      </c>
      <c r="K2" s="6" t="s">
        <v>29</v>
      </c>
      <c r="L2" s="6" t="s">
        <v>30</v>
      </c>
      <c r="M2" s="6" t="s">
        <v>31</v>
      </c>
      <c r="N2" s="6" t="s">
        <v>32</v>
      </c>
      <c r="O2" s="6">
        <v>0.54</v>
      </c>
      <c r="P2" s="6">
        <f>Table1[[#This Row],[Profit]]/Table1[[#This Row],[Sales]]</f>
        <v>0.35049961568024596</v>
      </c>
      <c r="Q2" s="6" t="s">
        <v>33</v>
      </c>
      <c r="R2" s="6" t="s">
        <v>34</v>
      </c>
      <c r="S2" s="6" t="s">
        <v>35</v>
      </c>
      <c r="T2" s="6" t="s">
        <v>36</v>
      </c>
      <c r="U2" s="6">
        <v>98221</v>
      </c>
      <c r="V2" s="7">
        <v>42011</v>
      </c>
      <c r="W2" s="13" t="str">
        <f>TEXT(Table1[[#This Row],[Order Date]],"mmmm")</f>
        <v>January</v>
      </c>
      <c r="X2" s="7" t="str">
        <f>TEXT(Table1[[#This Row],[Order Date]],"yyyy")</f>
        <v>2015</v>
      </c>
      <c r="Y2" s="7">
        <v>42012</v>
      </c>
      <c r="Z2" s="6">
        <v>4.5599999999999996</v>
      </c>
      <c r="AA2" s="6">
        <v>4</v>
      </c>
      <c r="AB2" s="6">
        <v>13.01</v>
      </c>
      <c r="AC2" s="6">
        <v>88522</v>
      </c>
      <c r="AD2" s="6" t="str">
        <f>IF(COUNTIF(Returns!$A$2:$A$1635,Orders!AC2)&gt;0,"Returned","Not Returned")</f>
        <v>Not Returned</v>
      </c>
    </row>
    <row r="3" spans="1:30" ht="12.75" customHeight="1" thickTop="1" thickBot="1" x14ac:dyDescent="0.25">
      <c r="A3" s="8">
        <v>20228</v>
      </c>
      <c r="B3" s="1" t="s">
        <v>37</v>
      </c>
      <c r="C3" s="1">
        <v>0.02</v>
      </c>
      <c r="D3" s="1">
        <v>500.98</v>
      </c>
      <c r="E3" s="1">
        <v>26</v>
      </c>
      <c r="F3" s="1">
        <v>5</v>
      </c>
      <c r="G3" s="6" t="str">
        <f>IF(COUNTIF(Table1[Customer ID],Table1[[#This Row],[Customer ID]])&gt;1,"Repeat Customer","One-Time Customer")</f>
        <v>One-Time Customer</v>
      </c>
      <c r="H3" s="1" t="s">
        <v>38</v>
      </c>
      <c r="I3" s="1" t="s">
        <v>39</v>
      </c>
      <c r="J3" s="1" t="s">
        <v>40</v>
      </c>
      <c r="K3" s="1" t="s">
        <v>41</v>
      </c>
      <c r="L3" s="1" t="s">
        <v>42</v>
      </c>
      <c r="M3" s="1" t="s">
        <v>43</v>
      </c>
      <c r="N3" s="1" t="s">
        <v>44</v>
      </c>
      <c r="O3" s="1">
        <v>0.6</v>
      </c>
      <c r="P3" s="6">
        <f>Table1[[#This Row],[Profit]]/Table1[[#This Row],[Sales]]</f>
        <v>0.69</v>
      </c>
      <c r="Q3" s="1" t="s">
        <v>33</v>
      </c>
      <c r="R3" s="1" t="s">
        <v>34</v>
      </c>
      <c r="S3" s="1" t="s">
        <v>45</v>
      </c>
      <c r="T3" s="1" t="s">
        <v>46</v>
      </c>
      <c r="U3" s="1">
        <v>91776</v>
      </c>
      <c r="V3" s="9">
        <v>42168</v>
      </c>
      <c r="W3" s="13" t="str">
        <f>TEXT(Table1[[#This Row],[Order Date]],"mmmm")</f>
        <v>June</v>
      </c>
      <c r="X3" s="7" t="str">
        <f>TEXT(Table1[[#This Row],[Order Date]],"yyyy")</f>
        <v>2015</v>
      </c>
      <c r="Y3" s="9">
        <v>42170</v>
      </c>
      <c r="Z3" s="1">
        <v>4390.3665000000001</v>
      </c>
      <c r="AA3" s="1">
        <v>12</v>
      </c>
      <c r="AB3" s="1">
        <v>6362.85</v>
      </c>
      <c r="AC3" s="1">
        <v>90193</v>
      </c>
      <c r="AD3" s="6" t="str">
        <f>IF(COUNTIF(Returns!$A$2:$A$1635,Orders!AC3)&gt;0,"Returned","Not Returned")</f>
        <v>Not Returned</v>
      </c>
    </row>
    <row r="4" spans="1:30" ht="12.75" customHeight="1" thickTop="1" thickBot="1" x14ac:dyDescent="0.25">
      <c r="A4" s="10">
        <v>21776</v>
      </c>
      <c r="B4" s="11" t="s">
        <v>47</v>
      </c>
      <c r="C4" s="11">
        <v>0.06</v>
      </c>
      <c r="D4" s="11">
        <v>9.48</v>
      </c>
      <c r="E4" s="11">
        <v>7.29</v>
      </c>
      <c r="F4" s="11">
        <v>11</v>
      </c>
      <c r="G4" s="6" t="str">
        <f>IF(COUNTIF(Table1[Customer ID],Table1[[#This Row],[Customer ID]])&gt;1,"Repeat Customer","One-Time Customer")</f>
        <v>One-Time Customer</v>
      </c>
      <c r="H4" s="11" t="s">
        <v>48</v>
      </c>
      <c r="I4" s="11" t="s">
        <v>49</v>
      </c>
      <c r="J4" s="11" t="s">
        <v>40</v>
      </c>
      <c r="K4" s="11" t="s">
        <v>41</v>
      </c>
      <c r="L4" s="11" t="s">
        <v>50</v>
      </c>
      <c r="M4" s="11" t="s">
        <v>51</v>
      </c>
      <c r="N4" s="11" t="s">
        <v>52</v>
      </c>
      <c r="O4" s="11">
        <v>0.45</v>
      </c>
      <c r="P4" s="6">
        <f>Table1[[#This Row],[Profit]]/Table1[[#This Row],[Sales]]</f>
        <v>-0.25484063461993844</v>
      </c>
      <c r="Q4" s="11" t="s">
        <v>33</v>
      </c>
      <c r="R4" s="11" t="s">
        <v>53</v>
      </c>
      <c r="S4" s="11" t="s">
        <v>54</v>
      </c>
      <c r="T4" s="11" t="s">
        <v>55</v>
      </c>
      <c r="U4" s="11">
        <v>7203</v>
      </c>
      <c r="V4" s="12">
        <v>42050</v>
      </c>
      <c r="W4" s="13" t="str">
        <f>TEXT(Table1[[#This Row],[Order Date]],"mmmm")</f>
        <v>February</v>
      </c>
      <c r="X4" s="7" t="str">
        <f>TEXT(Table1[[#This Row],[Order Date]],"yyyy")</f>
        <v>2015</v>
      </c>
      <c r="Y4" s="12">
        <v>42052</v>
      </c>
      <c r="Z4" s="11">
        <v>-53.809600000000003</v>
      </c>
      <c r="AA4" s="11">
        <v>22</v>
      </c>
      <c r="AB4" s="11">
        <v>211.15</v>
      </c>
      <c r="AC4" s="11">
        <v>90192</v>
      </c>
      <c r="AD4" s="6" t="str">
        <f>IF(COUNTIF(Returns!$A$2:$A$1635,Orders!AC4)&gt;0,"Returned","Not Returned")</f>
        <v>Not Returned</v>
      </c>
    </row>
    <row r="5" spans="1:30" ht="12.75" customHeight="1" thickTop="1" thickBot="1" x14ac:dyDescent="0.25">
      <c r="A5" s="8">
        <v>24844</v>
      </c>
      <c r="B5" s="1" t="s">
        <v>56</v>
      </c>
      <c r="C5" s="1">
        <v>0.09</v>
      </c>
      <c r="D5" s="1">
        <v>78.69</v>
      </c>
      <c r="E5" s="1">
        <v>19.989999999999998</v>
      </c>
      <c r="F5" s="1">
        <v>14</v>
      </c>
      <c r="G5" s="6" t="str">
        <f>IF(COUNTIF(Table1[Customer ID],Table1[[#This Row],[Customer ID]])&gt;1,"Repeat Customer","One-Time Customer")</f>
        <v>Repeat Customer</v>
      </c>
      <c r="H5" s="1" t="s">
        <v>57</v>
      </c>
      <c r="I5" s="1" t="s">
        <v>49</v>
      </c>
      <c r="J5" s="1" t="s">
        <v>58</v>
      </c>
      <c r="K5" s="1" t="s">
        <v>41</v>
      </c>
      <c r="L5" s="1" t="s">
        <v>50</v>
      </c>
      <c r="M5" s="1" t="s">
        <v>59</v>
      </c>
      <c r="N5" s="1" t="s">
        <v>60</v>
      </c>
      <c r="O5" s="1">
        <v>0.43</v>
      </c>
      <c r="P5" s="6">
        <f>Table1[[#This Row],[Profit]]/Table1[[#This Row],[Sales]]</f>
        <v>0.69</v>
      </c>
      <c r="Q5" s="1" t="s">
        <v>33</v>
      </c>
      <c r="R5" s="1" t="s">
        <v>61</v>
      </c>
      <c r="S5" s="1" t="s">
        <v>62</v>
      </c>
      <c r="T5" s="1" t="s">
        <v>63</v>
      </c>
      <c r="U5" s="1">
        <v>55372</v>
      </c>
      <c r="V5" s="9">
        <v>42136</v>
      </c>
      <c r="W5" s="13" t="str">
        <f>TEXT(Table1[[#This Row],[Order Date]],"mmmm")</f>
        <v>May</v>
      </c>
      <c r="X5" s="7" t="str">
        <f>TEXT(Table1[[#This Row],[Order Date]],"yyyy")</f>
        <v>2015</v>
      </c>
      <c r="Y5" s="9">
        <v>42138</v>
      </c>
      <c r="Z5" s="1">
        <v>803.47050000000002</v>
      </c>
      <c r="AA5" s="1">
        <v>16</v>
      </c>
      <c r="AB5" s="1">
        <v>1164.45</v>
      </c>
      <c r="AC5" s="1">
        <v>86838</v>
      </c>
      <c r="AD5" s="6" t="str">
        <f>IF(COUNTIF(Returns!$A$2:$A$1635,Orders!AC5)&gt;0,"Returned","Not Returned")</f>
        <v>Not Returned</v>
      </c>
    </row>
    <row r="6" spans="1:30" ht="12.75" customHeight="1" thickTop="1" thickBot="1" x14ac:dyDescent="0.25">
      <c r="A6" s="10">
        <v>24846</v>
      </c>
      <c r="B6" s="11" t="s">
        <v>56</v>
      </c>
      <c r="C6" s="11">
        <v>0.08</v>
      </c>
      <c r="D6" s="11">
        <v>3.28</v>
      </c>
      <c r="E6" s="11">
        <v>2.31</v>
      </c>
      <c r="F6" s="11">
        <v>14</v>
      </c>
      <c r="G6" s="6" t="str">
        <f>IF(COUNTIF(Table1[Customer ID],Table1[[#This Row],[Customer ID]])&gt;1,"Repeat Customer","One-Time Customer")</f>
        <v>Repeat Customer</v>
      </c>
      <c r="H6" s="11" t="s">
        <v>57</v>
      </c>
      <c r="I6" s="11" t="s">
        <v>49</v>
      </c>
      <c r="J6" s="11" t="s">
        <v>58</v>
      </c>
      <c r="K6" s="11" t="s">
        <v>29</v>
      </c>
      <c r="L6" s="11" t="s">
        <v>30</v>
      </c>
      <c r="M6" s="11" t="s">
        <v>31</v>
      </c>
      <c r="N6" s="11" t="s">
        <v>64</v>
      </c>
      <c r="O6" s="11">
        <v>0.56000000000000005</v>
      </c>
      <c r="P6" s="6">
        <f>Table1[[#This Row],[Profit]]/Table1[[#This Row],[Sales]]</f>
        <v>-1.0809716599190284</v>
      </c>
      <c r="Q6" s="11" t="s">
        <v>33</v>
      </c>
      <c r="R6" s="11" t="s">
        <v>61</v>
      </c>
      <c r="S6" s="11" t="s">
        <v>62</v>
      </c>
      <c r="T6" s="11" t="s">
        <v>63</v>
      </c>
      <c r="U6" s="11">
        <v>55372</v>
      </c>
      <c r="V6" s="12">
        <v>42136</v>
      </c>
      <c r="W6" s="13" t="str">
        <f>TEXT(Table1[[#This Row],[Order Date]],"mmmm")</f>
        <v>May</v>
      </c>
      <c r="X6" s="7" t="str">
        <f>TEXT(Table1[[#This Row],[Order Date]],"yyyy")</f>
        <v>2015</v>
      </c>
      <c r="Y6" s="12">
        <v>42137</v>
      </c>
      <c r="Z6" s="11">
        <v>-24.03</v>
      </c>
      <c r="AA6" s="11">
        <v>7</v>
      </c>
      <c r="AB6" s="11">
        <v>22.23</v>
      </c>
      <c r="AC6" s="11">
        <v>86838</v>
      </c>
      <c r="AD6" s="6" t="str">
        <f>IF(COUNTIF(Returns!$A$2:$A$1635,Orders!AC6)&gt;0,"Returned","Not Returned")</f>
        <v>Not Returned</v>
      </c>
    </row>
    <row r="7" spans="1:30" ht="12.75" customHeight="1" thickTop="1" thickBot="1" x14ac:dyDescent="0.25">
      <c r="A7" s="8">
        <v>24847</v>
      </c>
      <c r="B7" s="1" t="s">
        <v>56</v>
      </c>
      <c r="C7" s="1">
        <v>0.05</v>
      </c>
      <c r="D7" s="1">
        <v>3.28</v>
      </c>
      <c r="E7" s="1">
        <v>4.2</v>
      </c>
      <c r="F7" s="1">
        <v>14</v>
      </c>
      <c r="G7" s="6" t="str">
        <f>IF(COUNTIF(Table1[Customer ID],Table1[[#This Row],[Customer ID]])&gt;1,"Repeat Customer","One-Time Customer")</f>
        <v>Repeat Customer</v>
      </c>
      <c r="H7" s="1" t="s">
        <v>57</v>
      </c>
      <c r="I7" s="1" t="s">
        <v>49</v>
      </c>
      <c r="J7" s="1" t="s">
        <v>58</v>
      </c>
      <c r="K7" s="1" t="s">
        <v>29</v>
      </c>
      <c r="L7" s="1" t="s">
        <v>30</v>
      </c>
      <c r="M7" s="1" t="s">
        <v>31</v>
      </c>
      <c r="N7" s="1" t="s">
        <v>65</v>
      </c>
      <c r="O7" s="1">
        <v>0.56000000000000005</v>
      </c>
      <c r="P7" s="6">
        <f>Table1[[#This Row],[Profit]]/Table1[[#This Row],[Sales]]</f>
        <v>-2.6468906361686919</v>
      </c>
      <c r="Q7" s="1" t="s">
        <v>33</v>
      </c>
      <c r="R7" s="1" t="s">
        <v>61</v>
      </c>
      <c r="S7" s="1" t="s">
        <v>62</v>
      </c>
      <c r="T7" s="1" t="s">
        <v>63</v>
      </c>
      <c r="U7" s="1">
        <v>55372</v>
      </c>
      <c r="V7" s="9">
        <v>42136</v>
      </c>
      <c r="W7" s="13" t="str">
        <f>TEXT(Table1[[#This Row],[Order Date]],"mmmm")</f>
        <v>May</v>
      </c>
      <c r="X7" s="7" t="str">
        <f>TEXT(Table1[[#This Row],[Order Date]],"yyyy")</f>
        <v>2015</v>
      </c>
      <c r="Y7" s="9">
        <v>42137</v>
      </c>
      <c r="Z7" s="1">
        <v>-37.03</v>
      </c>
      <c r="AA7" s="1">
        <v>4</v>
      </c>
      <c r="AB7" s="1">
        <v>13.99</v>
      </c>
      <c r="AC7" s="1">
        <v>86838</v>
      </c>
      <c r="AD7" s="6" t="str">
        <f>IF(COUNTIF(Returns!$A$2:$A$1635,Orders!AC7)&gt;0,"Returned","Not Returned")</f>
        <v>Not Returned</v>
      </c>
    </row>
    <row r="8" spans="1:30" ht="12.75" customHeight="1" thickTop="1" thickBot="1" x14ac:dyDescent="0.25">
      <c r="A8" s="10">
        <v>24848</v>
      </c>
      <c r="B8" s="11" t="s">
        <v>56</v>
      </c>
      <c r="C8" s="11">
        <v>0.05</v>
      </c>
      <c r="D8" s="11">
        <v>3.58</v>
      </c>
      <c r="E8" s="11">
        <v>1.63</v>
      </c>
      <c r="F8" s="11">
        <v>14</v>
      </c>
      <c r="G8" s="6" t="str">
        <f>IF(COUNTIF(Table1[Customer ID],Table1[[#This Row],[Customer ID]])&gt;1,"Repeat Customer","One-Time Customer")</f>
        <v>Repeat Customer</v>
      </c>
      <c r="H8" s="11" t="s">
        <v>57</v>
      </c>
      <c r="I8" s="11" t="s">
        <v>49</v>
      </c>
      <c r="J8" s="11" t="s">
        <v>58</v>
      </c>
      <c r="K8" s="11" t="s">
        <v>29</v>
      </c>
      <c r="L8" s="11" t="s">
        <v>66</v>
      </c>
      <c r="M8" s="11" t="s">
        <v>31</v>
      </c>
      <c r="N8" s="11" t="s">
        <v>67</v>
      </c>
      <c r="O8" s="11">
        <v>0.36</v>
      </c>
      <c r="P8" s="6">
        <f>Table1[[#This Row],[Profit]]/Table1[[#This Row],[Sales]]</f>
        <v>-4.978962131837307E-2</v>
      </c>
      <c r="Q8" s="11" t="s">
        <v>33</v>
      </c>
      <c r="R8" s="11" t="s">
        <v>61</v>
      </c>
      <c r="S8" s="11" t="s">
        <v>62</v>
      </c>
      <c r="T8" s="11" t="s">
        <v>63</v>
      </c>
      <c r="U8" s="11">
        <v>55372</v>
      </c>
      <c r="V8" s="12">
        <v>42136</v>
      </c>
      <c r="W8" s="13" t="str">
        <f>TEXT(Table1[[#This Row],[Order Date]],"mmmm")</f>
        <v>May</v>
      </c>
      <c r="X8" s="7" t="str">
        <f>TEXT(Table1[[#This Row],[Order Date]],"yyyy")</f>
        <v>2015</v>
      </c>
      <c r="Y8" s="12">
        <v>42137</v>
      </c>
      <c r="Z8" s="11">
        <v>-0.71</v>
      </c>
      <c r="AA8" s="11">
        <v>4</v>
      </c>
      <c r="AB8" s="11">
        <v>14.26</v>
      </c>
      <c r="AC8" s="11">
        <v>86838</v>
      </c>
      <c r="AD8" s="6" t="str">
        <f>IF(COUNTIF(Returns!$A$2:$A$1635,Orders!AC8)&gt;0,"Returned","Not Returned")</f>
        <v>Not Returned</v>
      </c>
    </row>
    <row r="9" spans="1:30" ht="12.75" customHeight="1" thickTop="1" thickBot="1" x14ac:dyDescent="0.25">
      <c r="A9" s="8">
        <v>18181</v>
      </c>
      <c r="B9" s="1" t="s">
        <v>47</v>
      </c>
      <c r="C9" s="1">
        <v>0</v>
      </c>
      <c r="D9" s="1">
        <v>4.42</v>
      </c>
      <c r="E9" s="1">
        <v>4.99</v>
      </c>
      <c r="F9" s="1">
        <v>15</v>
      </c>
      <c r="G9" s="6" t="str">
        <f>IF(COUNTIF(Table1[Customer ID],Table1[[#This Row],[Customer ID]])&gt;1,"Repeat Customer","One-Time Customer")</f>
        <v>Repeat Customer</v>
      </c>
      <c r="H9" s="1" t="s">
        <v>68</v>
      </c>
      <c r="I9" s="1" t="s">
        <v>49</v>
      </c>
      <c r="J9" s="1" t="s">
        <v>58</v>
      </c>
      <c r="K9" s="1" t="s">
        <v>29</v>
      </c>
      <c r="L9" s="1" t="s">
        <v>69</v>
      </c>
      <c r="M9" s="1" t="s">
        <v>59</v>
      </c>
      <c r="N9" s="1" t="s">
        <v>70</v>
      </c>
      <c r="O9" s="1">
        <v>0.38</v>
      </c>
      <c r="P9" s="6">
        <f>Table1[[#This Row],[Profit]]/Table1[[#This Row],[Sales]]</f>
        <v>-1.7872721840454138</v>
      </c>
      <c r="Q9" s="1" t="s">
        <v>33</v>
      </c>
      <c r="R9" s="1" t="s">
        <v>53</v>
      </c>
      <c r="S9" s="1" t="s">
        <v>71</v>
      </c>
      <c r="T9" s="1" t="s">
        <v>72</v>
      </c>
      <c r="U9" s="1">
        <v>11787</v>
      </c>
      <c r="V9" s="9">
        <v>42102</v>
      </c>
      <c r="W9" s="13" t="str">
        <f>TEXT(Table1[[#This Row],[Order Date]],"mmmm")</f>
        <v>April</v>
      </c>
      <c r="X9" s="7" t="str">
        <f>TEXT(Table1[[#This Row],[Order Date]],"yyyy")</f>
        <v>2015</v>
      </c>
      <c r="Y9" s="9">
        <v>42103</v>
      </c>
      <c r="Z9" s="1">
        <v>-59.82</v>
      </c>
      <c r="AA9" s="1">
        <v>7</v>
      </c>
      <c r="AB9" s="1">
        <v>33.47</v>
      </c>
      <c r="AC9" s="1">
        <v>86837</v>
      </c>
      <c r="AD9" s="6" t="str">
        <f>IF(COUNTIF(Returns!$A$2:$A$1635,Orders!AC9)&gt;0,"Returned","Not Returned")</f>
        <v>Not Returned</v>
      </c>
    </row>
    <row r="10" spans="1:30" ht="12.75" customHeight="1" thickTop="1" thickBot="1" x14ac:dyDescent="0.25">
      <c r="A10" s="10">
        <v>20925</v>
      </c>
      <c r="B10" s="11" t="s">
        <v>56</v>
      </c>
      <c r="C10" s="11">
        <v>0.01</v>
      </c>
      <c r="D10" s="11">
        <v>35.94</v>
      </c>
      <c r="E10" s="11">
        <v>6.66</v>
      </c>
      <c r="F10" s="11">
        <v>15</v>
      </c>
      <c r="G10" s="6" t="str">
        <f>IF(COUNTIF(Table1[Customer ID],Table1[[#This Row],[Customer ID]])&gt;1,"Repeat Customer","One-Time Customer")</f>
        <v>Repeat Customer</v>
      </c>
      <c r="H10" s="11" t="s">
        <v>68</v>
      </c>
      <c r="I10" s="11" t="s">
        <v>49</v>
      </c>
      <c r="J10" s="11" t="s">
        <v>58</v>
      </c>
      <c r="K10" s="11" t="s">
        <v>29</v>
      </c>
      <c r="L10" s="11" t="s">
        <v>69</v>
      </c>
      <c r="M10" s="11" t="s">
        <v>59</v>
      </c>
      <c r="N10" s="11" t="s">
        <v>73</v>
      </c>
      <c r="O10" s="11">
        <v>0.4</v>
      </c>
      <c r="P10" s="6">
        <f>Table1[[#This Row],[Profit]]/Table1[[#This Row],[Sales]]</f>
        <v>0.68999999999999984</v>
      </c>
      <c r="Q10" s="11" t="s">
        <v>33</v>
      </c>
      <c r="R10" s="11" t="s">
        <v>53</v>
      </c>
      <c r="S10" s="11" t="s">
        <v>71</v>
      </c>
      <c r="T10" s="11" t="s">
        <v>72</v>
      </c>
      <c r="U10" s="11">
        <v>11787</v>
      </c>
      <c r="V10" s="12">
        <v>42152</v>
      </c>
      <c r="W10" s="13" t="str">
        <f>TEXT(Table1[[#This Row],[Order Date]],"mmmm")</f>
        <v>May</v>
      </c>
      <c r="X10" s="7" t="str">
        <f>TEXT(Table1[[#This Row],[Order Date]],"yyyy")</f>
        <v>2015</v>
      </c>
      <c r="Y10" s="12">
        <v>42152</v>
      </c>
      <c r="Z10" s="11">
        <v>261.87569999999994</v>
      </c>
      <c r="AA10" s="11">
        <v>10</v>
      </c>
      <c r="AB10" s="11">
        <v>379.53</v>
      </c>
      <c r="AC10" s="11">
        <v>86839</v>
      </c>
      <c r="AD10" s="6" t="str">
        <f>IF(COUNTIF(Returns!$A$2:$A$1635,Orders!AC10)&gt;0,"Returned","Not Returned")</f>
        <v>Not Returned</v>
      </c>
    </row>
    <row r="11" spans="1:30" ht="12.75" customHeight="1" thickTop="1" thickBot="1" x14ac:dyDescent="0.25">
      <c r="A11" s="8">
        <v>26267</v>
      </c>
      <c r="B11" s="1" t="s">
        <v>25</v>
      </c>
      <c r="C11" s="1">
        <v>0.04</v>
      </c>
      <c r="D11" s="1">
        <v>2.98</v>
      </c>
      <c r="E11" s="1">
        <v>1.58</v>
      </c>
      <c r="F11" s="1">
        <v>16</v>
      </c>
      <c r="G11" s="6" t="str">
        <f>IF(COUNTIF(Table1[Customer ID],Table1[[#This Row],[Customer ID]])&gt;1,"Repeat Customer","One-Time Customer")</f>
        <v>Repeat Customer</v>
      </c>
      <c r="H11" s="1" t="s">
        <v>74</v>
      </c>
      <c r="I11" s="1" t="s">
        <v>49</v>
      </c>
      <c r="J11" s="1" t="s">
        <v>58</v>
      </c>
      <c r="K11" s="1" t="s">
        <v>29</v>
      </c>
      <c r="L11" s="1" t="s">
        <v>66</v>
      </c>
      <c r="M11" s="1" t="s">
        <v>31</v>
      </c>
      <c r="N11" s="1" t="s">
        <v>75</v>
      </c>
      <c r="O11" s="1">
        <v>0.39</v>
      </c>
      <c r="P11" s="6">
        <f>Table1[[#This Row],[Profit]]/Table1[[#This Row],[Sales]]</f>
        <v>0.13989361702127659</v>
      </c>
      <c r="Q11" s="1" t="s">
        <v>33</v>
      </c>
      <c r="R11" s="1" t="s">
        <v>53</v>
      </c>
      <c r="S11" s="1" t="s">
        <v>71</v>
      </c>
      <c r="T11" s="1" t="s">
        <v>76</v>
      </c>
      <c r="U11" s="1">
        <v>13210</v>
      </c>
      <c r="V11" s="9">
        <v>42047</v>
      </c>
      <c r="W11" s="13" t="str">
        <f>TEXT(Table1[[#This Row],[Order Date]],"mmmm")</f>
        <v>February</v>
      </c>
      <c r="X11" s="7" t="str">
        <f>TEXT(Table1[[#This Row],[Order Date]],"yyyy")</f>
        <v>2015</v>
      </c>
      <c r="Y11" s="9">
        <v>42050</v>
      </c>
      <c r="Z11" s="1">
        <v>2.63</v>
      </c>
      <c r="AA11" s="1">
        <v>6</v>
      </c>
      <c r="AB11" s="1">
        <v>18.8</v>
      </c>
      <c r="AC11" s="1">
        <v>86836</v>
      </c>
      <c r="AD11" s="6" t="str">
        <f>IF(COUNTIF(Returns!$A$2:$A$1635,Orders!AC11)&gt;0,"Returned","Not Returned")</f>
        <v>Not Returned</v>
      </c>
    </row>
    <row r="12" spans="1:30" ht="12.75" customHeight="1" thickTop="1" thickBot="1" x14ac:dyDescent="0.25">
      <c r="A12" s="10">
        <v>26268</v>
      </c>
      <c r="B12" s="11" t="s">
        <v>25</v>
      </c>
      <c r="C12" s="11">
        <v>0.05</v>
      </c>
      <c r="D12" s="11">
        <v>115.99</v>
      </c>
      <c r="E12" s="11">
        <v>2.5</v>
      </c>
      <c r="F12" s="11">
        <v>16</v>
      </c>
      <c r="G12" s="6" t="str">
        <f>IF(COUNTIF(Table1[Customer ID],Table1[[#This Row],[Customer ID]])&gt;1,"Repeat Customer","One-Time Customer")</f>
        <v>Repeat Customer</v>
      </c>
      <c r="H12" s="11" t="s">
        <v>74</v>
      </c>
      <c r="I12" s="11" t="s">
        <v>49</v>
      </c>
      <c r="J12" s="11" t="s">
        <v>58</v>
      </c>
      <c r="K12" s="11" t="s">
        <v>77</v>
      </c>
      <c r="L12" s="11" t="s">
        <v>78</v>
      </c>
      <c r="M12" s="11" t="s">
        <v>59</v>
      </c>
      <c r="N12" s="11" t="s">
        <v>79</v>
      </c>
      <c r="O12" s="11">
        <v>0.55000000000000004</v>
      </c>
      <c r="P12" s="6">
        <f>Table1[[#This Row],[Profit]]/Table1[[#This Row],[Sales]]</f>
        <v>0.69</v>
      </c>
      <c r="Q12" s="11" t="s">
        <v>33</v>
      </c>
      <c r="R12" s="11" t="s">
        <v>53</v>
      </c>
      <c r="S12" s="11" t="s">
        <v>71</v>
      </c>
      <c r="T12" s="11" t="s">
        <v>76</v>
      </c>
      <c r="U12" s="11">
        <v>13210</v>
      </c>
      <c r="V12" s="12">
        <v>42047</v>
      </c>
      <c r="W12" s="13" t="str">
        <f>TEXT(Table1[[#This Row],[Order Date]],"mmmm")</f>
        <v>February</v>
      </c>
      <c r="X12" s="7" t="str">
        <f>TEXT(Table1[[#This Row],[Order Date]],"yyyy")</f>
        <v>2015</v>
      </c>
      <c r="Y12" s="12">
        <v>42049</v>
      </c>
      <c r="Z12" s="11">
        <v>652.73309999999992</v>
      </c>
      <c r="AA12" s="11">
        <v>10</v>
      </c>
      <c r="AB12" s="11">
        <v>945.99</v>
      </c>
      <c r="AC12" s="11">
        <v>86836</v>
      </c>
      <c r="AD12" s="6" t="str">
        <f>IF(COUNTIF(Returns!$A$2:$A$1635,Orders!AC12)&gt;0,"Returned","Not Returned")</f>
        <v>Not Returned</v>
      </c>
    </row>
    <row r="13" spans="1:30" ht="12.75" customHeight="1" thickTop="1" thickBot="1" x14ac:dyDescent="0.25">
      <c r="A13" s="8">
        <v>23890</v>
      </c>
      <c r="B13" s="1" t="s">
        <v>25</v>
      </c>
      <c r="C13" s="1">
        <v>0.05</v>
      </c>
      <c r="D13" s="1">
        <v>26.48</v>
      </c>
      <c r="E13" s="1">
        <v>6.93</v>
      </c>
      <c r="F13" s="1">
        <v>18</v>
      </c>
      <c r="G13" s="6" t="str">
        <f>IF(COUNTIF(Table1[Customer ID],Table1[[#This Row],[Customer ID]])&gt;1,"Repeat Customer","One-Time Customer")</f>
        <v>One-Time Customer</v>
      </c>
      <c r="H13" s="1" t="s">
        <v>80</v>
      </c>
      <c r="I13" s="1" t="s">
        <v>49</v>
      </c>
      <c r="J13" s="1" t="s">
        <v>58</v>
      </c>
      <c r="K13" s="1" t="s">
        <v>41</v>
      </c>
      <c r="L13" s="1" t="s">
        <v>50</v>
      </c>
      <c r="M13" s="1" t="s">
        <v>59</v>
      </c>
      <c r="N13" s="1" t="s">
        <v>81</v>
      </c>
      <c r="O13" s="1">
        <v>0.49</v>
      </c>
      <c r="P13" s="6">
        <f>Table1[[#This Row],[Profit]]/Table1[[#This Row],[Sales]]</f>
        <v>0.69</v>
      </c>
      <c r="Q13" s="1" t="s">
        <v>33</v>
      </c>
      <c r="R13" s="1" t="s">
        <v>34</v>
      </c>
      <c r="S13" s="1" t="s">
        <v>82</v>
      </c>
      <c r="T13" s="1" t="s">
        <v>83</v>
      </c>
      <c r="U13" s="1">
        <v>59601</v>
      </c>
      <c r="V13" s="9">
        <v>42139</v>
      </c>
      <c r="W13" s="13" t="str">
        <f>TEXT(Table1[[#This Row],[Order Date]],"mmmm")</f>
        <v>May</v>
      </c>
      <c r="X13" s="7" t="str">
        <f>TEXT(Table1[[#This Row],[Order Date]],"yyyy")</f>
        <v>2015</v>
      </c>
      <c r="Y13" s="9">
        <v>42140</v>
      </c>
      <c r="Z13" s="1">
        <v>314.48129999999998</v>
      </c>
      <c r="AA13" s="1">
        <v>17</v>
      </c>
      <c r="AB13" s="1">
        <v>455.77</v>
      </c>
      <c r="AC13" s="1">
        <v>90031</v>
      </c>
      <c r="AD13" s="6" t="str">
        <f>IF(COUNTIF(Returns!$A$2:$A$1635,Orders!AC13)&gt;0,"Returned","Not Returned")</f>
        <v>Not Returned</v>
      </c>
    </row>
    <row r="14" spans="1:30" ht="12.75" customHeight="1" thickTop="1" thickBot="1" x14ac:dyDescent="0.25">
      <c r="A14" s="10">
        <v>24063</v>
      </c>
      <c r="B14" s="11" t="s">
        <v>37</v>
      </c>
      <c r="C14" s="11">
        <v>7.0000000000000007E-2</v>
      </c>
      <c r="D14" s="11">
        <v>12.99</v>
      </c>
      <c r="E14" s="11">
        <v>9.44</v>
      </c>
      <c r="F14" s="11">
        <v>19</v>
      </c>
      <c r="G14" s="6" t="str">
        <f>IF(COUNTIF(Table1[Customer ID],Table1[[#This Row],[Customer ID]])&gt;1,"Repeat Customer","One-Time Customer")</f>
        <v>One-Time Customer</v>
      </c>
      <c r="H14" s="11" t="s">
        <v>84</v>
      </c>
      <c r="I14" s="11" t="s">
        <v>49</v>
      </c>
      <c r="J14" s="11" t="s">
        <v>58</v>
      </c>
      <c r="K14" s="11" t="s">
        <v>77</v>
      </c>
      <c r="L14" s="11" t="s">
        <v>85</v>
      </c>
      <c r="M14" s="11" t="s">
        <v>86</v>
      </c>
      <c r="N14" s="11" t="s">
        <v>87</v>
      </c>
      <c r="O14" s="11">
        <v>0.39</v>
      </c>
      <c r="P14" s="6">
        <f>Table1[[#This Row],[Profit]]/Table1[[#This Row],[Sales]]</f>
        <v>-0.4945851848656112</v>
      </c>
      <c r="Q14" s="11" t="s">
        <v>33</v>
      </c>
      <c r="R14" s="11" t="s">
        <v>34</v>
      </c>
      <c r="S14" s="11" t="s">
        <v>82</v>
      </c>
      <c r="T14" s="11" t="s">
        <v>88</v>
      </c>
      <c r="U14" s="11">
        <v>59801</v>
      </c>
      <c r="V14" s="12">
        <v>42145</v>
      </c>
      <c r="W14" s="13" t="str">
        <f>TEXT(Table1[[#This Row],[Order Date]],"mmmm")</f>
        <v>May</v>
      </c>
      <c r="X14" s="7" t="str">
        <f>TEXT(Table1[[#This Row],[Order Date]],"yyyy")</f>
        <v>2015</v>
      </c>
      <c r="Y14" s="12">
        <v>42147</v>
      </c>
      <c r="Z14" s="11">
        <v>-114.63990000000001</v>
      </c>
      <c r="AA14" s="11">
        <v>18</v>
      </c>
      <c r="AB14" s="11">
        <v>231.79</v>
      </c>
      <c r="AC14" s="11">
        <v>90032</v>
      </c>
      <c r="AD14" s="6" t="str">
        <f>IF(COUNTIF(Returns!$A$2:$A$1635,Orders!AC14)&gt;0,"Returned","Not Returned")</f>
        <v>Not Returned</v>
      </c>
    </row>
    <row r="15" spans="1:30" ht="12.75" customHeight="1" thickTop="1" thickBot="1" x14ac:dyDescent="0.25">
      <c r="A15" s="8">
        <v>5890</v>
      </c>
      <c r="B15" s="1" t="s">
        <v>25</v>
      </c>
      <c r="C15" s="1">
        <v>0.05</v>
      </c>
      <c r="D15" s="1">
        <v>26.48</v>
      </c>
      <c r="E15" s="1">
        <v>6.93</v>
      </c>
      <c r="F15" s="1">
        <v>21</v>
      </c>
      <c r="G15" s="6" t="str">
        <f>IF(COUNTIF(Table1[Customer ID],Table1[[#This Row],[Customer ID]])&gt;1,"Repeat Customer","One-Time Customer")</f>
        <v>Repeat Customer</v>
      </c>
      <c r="H15" s="1" t="s">
        <v>89</v>
      </c>
      <c r="I15" s="1" t="s">
        <v>49</v>
      </c>
      <c r="J15" s="1" t="s">
        <v>58</v>
      </c>
      <c r="K15" s="1" t="s">
        <v>41</v>
      </c>
      <c r="L15" s="1" t="s">
        <v>50</v>
      </c>
      <c r="M15" s="1" t="s">
        <v>59</v>
      </c>
      <c r="N15" s="1" t="s">
        <v>81</v>
      </c>
      <c r="O15" s="1">
        <v>0.49</v>
      </c>
      <c r="P15" s="6">
        <f>Table1[[#This Row],[Profit]]/Table1[[#This Row],[Sales]]</f>
        <v>0.20481805732433167</v>
      </c>
      <c r="Q15" s="1" t="s">
        <v>33</v>
      </c>
      <c r="R15" s="1" t="s">
        <v>53</v>
      </c>
      <c r="S15" s="1" t="s">
        <v>71</v>
      </c>
      <c r="T15" s="1" t="s">
        <v>90</v>
      </c>
      <c r="U15" s="1">
        <v>10012</v>
      </c>
      <c r="V15" s="9">
        <v>42139</v>
      </c>
      <c r="W15" s="13" t="str">
        <f>TEXT(Table1[[#This Row],[Order Date]],"mmmm")</f>
        <v>May</v>
      </c>
      <c r="X15" s="7" t="str">
        <f>TEXT(Table1[[#This Row],[Order Date]],"yyyy")</f>
        <v>2015</v>
      </c>
      <c r="Y15" s="9">
        <v>42140</v>
      </c>
      <c r="Z15" s="1">
        <v>384.38</v>
      </c>
      <c r="AA15" s="1">
        <v>70</v>
      </c>
      <c r="AB15" s="1">
        <v>1876.69</v>
      </c>
      <c r="AC15" s="1">
        <v>41793</v>
      </c>
      <c r="AD15" s="6" t="str">
        <f>IF(COUNTIF(Returns!$A$2:$A$1635,Orders!AC15)&gt;0,"Returned","Not Returned")</f>
        <v>Not Returned</v>
      </c>
    </row>
    <row r="16" spans="1:30" ht="12.75" customHeight="1" thickTop="1" thickBot="1" x14ac:dyDescent="0.25">
      <c r="A16" s="10">
        <v>6062</v>
      </c>
      <c r="B16" s="11" t="s">
        <v>37</v>
      </c>
      <c r="C16" s="11">
        <v>0.08</v>
      </c>
      <c r="D16" s="11">
        <v>5</v>
      </c>
      <c r="E16" s="11">
        <v>3.39</v>
      </c>
      <c r="F16" s="11">
        <v>21</v>
      </c>
      <c r="G16" s="6" t="str">
        <f>IF(COUNTIF(Table1[Customer ID],Table1[[#This Row],[Customer ID]])&gt;1,"Repeat Customer","One-Time Customer")</f>
        <v>Repeat Customer</v>
      </c>
      <c r="H16" s="11" t="s">
        <v>89</v>
      </c>
      <c r="I16" s="11" t="s">
        <v>49</v>
      </c>
      <c r="J16" s="11" t="s">
        <v>58</v>
      </c>
      <c r="K16" s="11" t="s">
        <v>29</v>
      </c>
      <c r="L16" s="11" t="s">
        <v>66</v>
      </c>
      <c r="M16" s="11" t="s">
        <v>31</v>
      </c>
      <c r="N16" s="11" t="s">
        <v>91</v>
      </c>
      <c r="O16" s="11">
        <v>0.37</v>
      </c>
      <c r="P16" s="6">
        <f>Table1[[#This Row],[Profit]]/Table1[[#This Row],[Sales]]</f>
        <v>-5.9680611478878043E-2</v>
      </c>
      <c r="Q16" s="11" t="s">
        <v>33</v>
      </c>
      <c r="R16" s="11" t="s">
        <v>53</v>
      </c>
      <c r="S16" s="11" t="s">
        <v>71</v>
      </c>
      <c r="T16" s="11" t="s">
        <v>90</v>
      </c>
      <c r="U16" s="11">
        <v>10012</v>
      </c>
      <c r="V16" s="12">
        <v>42145</v>
      </c>
      <c r="W16" s="13" t="str">
        <f>TEXT(Table1[[#This Row],[Order Date]],"mmmm")</f>
        <v>May</v>
      </c>
      <c r="X16" s="7" t="str">
        <f>TEXT(Table1[[#This Row],[Order Date]],"yyyy")</f>
        <v>2015</v>
      </c>
      <c r="Y16" s="12">
        <v>42146</v>
      </c>
      <c r="Z16" s="11">
        <v>-17.489999999999998</v>
      </c>
      <c r="AA16" s="11">
        <v>58</v>
      </c>
      <c r="AB16" s="11">
        <v>293.06</v>
      </c>
      <c r="AC16" s="11">
        <v>42949</v>
      </c>
      <c r="AD16" s="6" t="str">
        <f>IF(COUNTIF(Returns!$A$2:$A$1635,Orders!AC16)&gt;0,"Returned","Not Returned")</f>
        <v>Not Returned</v>
      </c>
    </row>
    <row r="17" spans="1:30" ht="12.75" customHeight="1" thickTop="1" thickBot="1" x14ac:dyDescent="0.25">
      <c r="A17" s="8">
        <v>6063</v>
      </c>
      <c r="B17" s="1" t="s">
        <v>37</v>
      </c>
      <c r="C17" s="1">
        <v>7.0000000000000007E-2</v>
      </c>
      <c r="D17" s="1">
        <v>12.99</v>
      </c>
      <c r="E17" s="1">
        <v>9.44</v>
      </c>
      <c r="F17" s="1">
        <v>21</v>
      </c>
      <c r="G17" s="6" t="str">
        <f>IF(COUNTIF(Table1[Customer ID],Table1[[#This Row],[Customer ID]])&gt;1,"Repeat Customer","One-Time Customer")</f>
        <v>Repeat Customer</v>
      </c>
      <c r="H17" s="1" t="s">
        <v>89</v>
      </c>
      <c r="I17" s="1" t="s">
        <v>49</v>
      </c>
      <c r="J17" s="1" t="s">
        <v>58</v>
      </c>
      <c r="K17" s="1" t="s">
        <v>77</v>
      </c>
      <c r="L17" s="1" t="s">
        <v>85</v>
      </c>
      <c r="M17" s="1" t="s">
        <v>86</v>
      </c>
      <c r="N17" s="1" t="s">
        <v>87</v>
      </c>
      <c r="O17" s="1">
        <v>0.39</v>
      </c>
      <c r="P17" s="6">
        <f>Table1[[#This Row],[Profit]]/Table1[[#This Row],[Sales]]</f>
        <v>-0.12538680287436155</v>
      </c>
      <c r="Q17" s="1" t="s">
        <v>33</v>
      </c>
      <c r="R17" s="1" t="s">
        <v>53</v>
      </c>
      <c r="S17" s="1" t="s">
        <v>71</v>
      </c>
      <c r="T17" s="1" t="s">
        <v>90</v>
      </c>
      <c r="U17" s="1">
        <v>10012</v>
      </c>
      <c r="V17" s="9">
        <v>42145</v>
      </c>
      <c r="W17" s="13" t="str">
        <f>TEXT(Table1[[#This Row],[Order Date]],"mmmm")</f>
        <v>May</v>
      </c>
      <c r="X17" s="7" t="str">
        <f>TEXT(Table1[[#This Row],[Order Date]],"yyyy")</f>
        <v>2015</v>
      </c>
      <c r="Y17" s="9">
        <v>42147</v>
      </c>
      <c r="Z17" s="1">
        <v>-114.63990000000001</v>
      </c>
      <c r="AA17" s="1">
        <v>71</v>
      </c>
      <c r="AB17" s="1">
        <v>914.29</v>
      </c>
      <c r="AC17" s="1">
        <v>42949</v>
      </c>
      <c r="AD17" s="6" t="str">
        <f>IF(COUNTIF(Returns!$A$2:$A$1635,Orders!AC17)&gt;0,"Returned","Not Returned")</f>
        <v>Not Returned</v>
      </c>
    </row>
    <row r="18" spans="1:30" ht="12.75" customHeight="1" thickTop="1" thickBot="1" x14ac:dyDescent="0.25">
      <c r="A18" s="10">
        <v>20631</v>
      </c>
      <c r="B18" s="11" t="s">
        <v>25</v>
      </c>
      <c r="C18" s="11">
        <v>0.06</v>
      </c>
      <c r="D18" s="11">
        <v>55.48</v>
      </c>
      <c r="E18" s="11">
        <v>14.3</v>
      </c>
      <c r="F18" s="11">
        <v>24</v>
      </c>
      <c r="G18" s="6" t="str">
        <f>IF(COUNTIF(Table1[Customer ID],Table1[[#This Row],[Customer ID]])&gt;1,"Repeat Customer","One-Time Customer")</f>
        <v>Repeat Customer</v>
      </c>
      <c r="H18" s="11" t="s">
        <v>92</v>
      </c>
      <c r="I18" s="11" t="s">
        <v>49</v>
      </c>
      <c r="J18" s="11" t="s">
        <v>28</v>
      </c>
      <c r="K18" s="11" t="s">
        <v>29</v>
      </c>
      <c r="L18" s="11" t="s">
        <v>93</v>
      </c>
      <c r="M18" s="11" t="s">
        <v>59</v>
      </c>
      <c r="N18" s="11" t="s">
        <v>94</v>
      </c>
      <c r="O18" s="11">
        <v>0.37</v>
      </c>
      <c r="P18" s="6">
        <f>Table1[[#This Row],[Profit]]/Table1[[#This Row],[Sales]]</f>
        <v>-0.41927396651355764</v>
      </c>
      <c r="Q18" s="11" t="s">
        <v>33</v>
      </c>
      <c r="R18" s="11" t="s">
        <v>34</v>
      </c>
      <c r="S18" s="11" t="s">
        <v>45</v>
      </c>
      <c r="T18" s="11" t="s">
        <v>95</v>
      </c>
      <c r="U18" s="11">
        <v>92677</v>
      </c>
      <c r="V18" s="12">
        <v>42032</v>
      </c>
      <c r="W18" s="13" t="str">
        <f>TEXT(Table1[[#This Row],[Order Date]],"mmmm")</f>
        <v>January</v>
      </c>
      <c r="X18" s="7" t="str">
        <f>TEXT(Table1[[#This Row],[Order Date]],"yyyy")</f>
        <v>2015</v>
      </c>
      <c r="Y18" s="12">
        <v>42033</v>
      </c>
      <c r="Z18" s="11">
        <v>-28.296800000000001</v>
      </c>
      <c r="AA18" s="11">
        <v>1</v>
      </c>
      <c r="AB18" s="11">
        <v>67.489999999999995</v>
      </c>
      <c r="AC18" s="11">
        <v>87651</v>
      </c>
      <c r="AD18" s="6" t="str">
        <f>IF(COUNTIF(Returns!$A$2:$A$1635,Orders!AC18)&gt;0,"Returned","Not Returned")</f>
        <v>Not Returned</v>
      </c>
    </row>
    <row r="19" spans="1:30" ht="12.75" customHeight="1" thickTop="1" thickBot="1" x14ac:dyDescent="0.25">
      <c r="A19" s="8">
        <v>20632</v>
      </c>
      <c r="B19" s="1" t="s">
        <v>25</v>
      </c>
      <c r="C19" s="1">
        <v>0.02</v>
      </c>
      <c r="D19" s="1">
        <v>1.68</v>
      </c>
      <c r="E19" s="1">
        <v>1.57</v>
      </c>
      <c r="F19" s="1">
        <v>24</v>
      </c>
      <c r="G19" s="6" t="str">
        <f>IF(COUNTIF(Table1[Customer ID],Table1[[#This Row],[Customer ID]])&gt;1,"Repeat Customer","One-Time Customer")</f>
        <v>Repeat Customer</v>
      </c>
      <c r="H19" s="1" t="s">
        <v>92</v>
      </c>
      <c r="I19" s="1" t="s">
        <v>49</v>
      </c>
      <c r="J19" s="1" t="s">
        <v>28</v>
      </c>
      <c r="K19" s="1" t="s">
        <v>29</v>
      </c>
      <c r="L19" s="1" t="s">
        <v>30</v>
      </c>
      <c r="M19" s="1" t="s">
        <v>31</v>
      </c>
      <c r="N19" s="1" t="s">
        <v>96</v>
      </c>
      <c r="O19" s="1">
        <v>0.59</v>
      </c>
      <c r="P19" s="6">
        <f>Table1[[#This Row],[Profit]]/Table1[[#This Row],[Sales]]</f>
        <v>-2.3587555555555557</v>
      </c>
      <c r="Q19" s="1" t="s">
        <v>33</v>
      </c>
      <c r="R19" s="1" t="s">
        <v>34</v>
      </c>
      <c r="S19" s="1" t="s">
        <v>45</v>
      </c>
      <c r="T19" s="1" t="s">
        <v>95</v>
      </c>
      <c r="U19" s="1">
        <v>92677</v>
      </c>
      <c r="V19" s="9">
        <v>42032</v>
      </c>
      <c r="W19" s="13" t="str">
        <f>TEXT(Table1[[#This Row],[Order Date]],"mmmm")</f>
        <v>January</v>
      </c>
      <c r="X19" s="7" t="str">
        <f>TEXT(Table1[[#This Row],[Order Date]],"yyyy")</f>
        <v>2015</v>
      </c>
      <c r="Y19" s="9">
        <v>42034</v>
      </c>
      <c r="Z19" s="1">
        <v>-5.3071999999999999</v>
      </c>
      <c r="AA19" s="1">
        <v>1</v>
      </c>
      <c r="AB19" s="1">
        <v>2.25</v>
      </c>
      <c r="AC19" s="1">
        <v>87651</v>
      </c>
      <c r="AD19" s="6" t="str">
        <f>IF(COUNTIF(Returns!$A$2:$A$1635,Orders!AC19)&gt;0,"Returned","Not Returned")</f>
        <v>Not Returned</v>
      </c>
    </row>
    <row r="20" spans="1:30" ht="12.75" customHeight="1" thickTop="1" thickBot="1" x14ac:dyDescent="0.25">
      <c r="A20" s="10">
        <v>23967</v>
      </c>
      <c r="B20" s="11" t="s">
        <v>37</v>
      </c>
      <c r="C20" s="11">
        <v>0.04</v>
      </c>
      <c r="D20" s="11">
        <v>4.1399999999999997</v>
      </c>
      <c r="E20" s="11">
        <v>6.6</v>
      </c>
      <c r="F20" s="11">
        <v>27</v>
      </c>
      <c r="G20" s="6" t="str">
        <f>IF(COUNTIF(Table1[Customer ID],Table1[[#This Row],[Customer ID]])&gt;1,"Repeat Customer","One-Time Customer")</f>
        <v>One-Time Customer</v>
      </c>
      <c r="H20" s="11" t="s">
        <v>97</v>
      </c>
      <c r="I20" s="11" t="s">
        <v>49</v>
      </c>
      <c r="J20" s="11" t="s">
        <v>28</v>
      </c>
      <c r="K20" s="11" t="s">
        <v>41</v>
      </c>
      <c r="L20" s="11" t="s">
        <v>50</v>
      </c>
      <c r="M20" s="11" t="s">
        <v>59</v>
      </c>
      <c r="N20" s="11" t="s">
        <v>98</v>
      </c>
      <c r="O20" s="11">
        <v>0.49</v>
      </c>
      <c r="P20" s="6">
        <f>Table1[[#This Row],[Profit]]/Table1[[#This Row],[Sales]]</f>
        <v>0.16235852500912751</v>
      </c>
      <c r="Q20" s="11" t="s">
        <v>33</v>
      </c>
      <c r="R20" s="11" t="s">
        <v>34</v>
      </c>
      <c r="S20" s="11" t="s">
        <v>45</v>
      </c>
      <c r="T20" s="11" t="s">
        <v>99</v>
      </c>
      <c r="U20" s="11">
        <v>90712</v>
      </c>
      <c r="V20" s="12">
        <v>42126</v>
      </c>
      <c r="W20" s="13" t="str">
        <f>TEXT(Table1[[#This Row],[Order Date]],"mmmm")</f>
        <v>May</v>
      </c>
      <c r="X20" s="7" t="str">
        <f>TEXT(Table1[[#This Row],[Order Date]],"yyyy")</f>
        <v>2015</v>
      </c>
      <c r="Y20" s="12">
        <v>42128</v>
      </c>
      <c r="Z20" s="11">
        <v>8.8940000000000055</v>
      </c>
      <c r="AA20" s="11">
        <v>12</v>
      </c>
      <c r="AB20" s="11">
        <v>54.78</v>
      </c>
      <c r="AC20" s="11">
        <v>87652</v>
      </c>
      <c r="AD20" s="6" t="str">
        <f>IF(COUNTIF(Returns!$A$2:$A$1635,Orders!AC20)&gt;0,"Returned","Not Returned")</f>
        <v>Not Returned</v>
      </c>
    </row>
    <row r="21" spans="1:30" ht="12.75" customHeight="1" thickTop="1" thickBot="1" x14ac:dyDescent="0.25">
      <c r="A21" s="8">
        <v>23509</v>
      </c>
      <c r="B21" s="1" t="s">
        <v>25</v>
      </c>
      <c r="C21" s="1">
        <v>0.08</v>
      </c>
      <c r="D21" s="1">
        <v>34.99</v>
      </c>
      <c r="E21" s="1">
        <v>7.73</v>
      </c>
      <c r="F21" s="1">
        <v>32</v>
      </c>
      <c r="G21" s="6" t="str">
        <f>IF(COUNTIF(Table1[Customer ID],Table1[[#This Row],[Customer ID]])&gt;1,"Repeat Customer","One-Time Customer")</f>
        <v>Repeat Customer</v>
      </c>
      <c r="H21" s="1" t="s">
        <v>100</v>
      </c>
      <c r="I21" s="1" t="s">
        <v>49</v>
      </c>
      <c r="J21" s="1" t="s">
        <v>28</v>
      </c>
      <c r="K21" s="1" t="s">
        <v>29</v>
      </c>
      <c r="L21" s="1" t="s">
        <v>30</v>
      </c>
      <c r="M21" s="1" t="s">
        <v>59</v>
      </c>
      <c r="N21" s="1" t="s">
        <v>101</v>
      </c>
      <c r="O21" s="1">
        <v>0.59</v>
      </c>
      <c r="P21" s="6">
        <f>Table1[[#This Row],[Profit]]/Table1[[#This Row],[Sales]]</f>
        <v>0.34070358858434585</v>
      </c>
      <c r="Q21" s="1" t="s">
        <v>33</v>
      </c>
      <c r="R21" s="1" t="s">
        <v>34</v>
      </c>
      <c r="S21" s="1" t="s">
        <v>102</v>
      </c>
      <c r="T21" s="1" t="s">
        <v>103</v>
      </c>
      <c r="U21" s="1">
        <v>97526</v>
      </c>
      <c r="V21" s="9">
        <v>42057</v>
      </c>
      <c r="W21" s="13" t="str">
        <f>TEXT(Table1[[#This Row],[Order Date]],"mmmm")</f>
        <v>February</v>
      </c>
      <c r="X21" s="7" t="str">
        <f>TEXT(Table1[[#This Row],[Order Date]],"yyyy")</f>
        <v>2015</v>
      </c>
      <c r="Y21" s="9">
        <v>42058</v>
      </c>
      <c r="Z21" s="1">
        <v>144.69</v>
      </c>
      <c r="AA21" s="1">
        <v>13</v>
      </c>
      <c r="AB21" s="1">
        <v>424.68</v>
      </c>
      <c r="AC21" s="1">
        <v>89199</v>
      </c>
      <c r="AD21" s="6" t="str">
        <f>IF(COUNTIF(Returns!$A$2:$A$1635,Orders!AC21)&gt;0,"Returned","Not Returned")</f>
        <v>Not Returned</v>
      </c>
    </row>
    <row r="22" spans="1:30" ht="12.75" customHeight="1" thickTop="1" thickBot="1" x14ac:dyDescent="0.25">
      <c r="A22" s="10">
        <v>23612</v>
      </c>
      <c r="B22" s="11" t="s">
        <v>25</v>
      </c>
      <c r="C22" s="11">
        <v>0.01</v>
      </c>
      <c r="D22" s="11">
        <v>17.98</v>
      </c>
      <c r="E22" s="11">
        <v>8.51</v>
      </c>
      <c r="F22" s="11">
        <v>32</v>
      </c>
      <c r="G22" s="6" t="str">
        <f>IF(COUNTIF(Table1[Customer ID],Table1[[#This Row],[Customer ID]])&gt;1,"Repeat Customer","One-Time Customer")</f>
        <v>Repeat Customer</v>
      </c>
      <c r="H22" s="11" t="s">
        <v>100</v>
      </c>
      <c r="I22" s="11" t="s">
        <v>49</v>
      </c>
      <c r="J22" s="11" t="s">
        <v>28</v>
      </c>
      <c r="K22" s="11" t="s">
        <v>77</v>
      </c>
      <c r="L22" s="11" t="s">
        <v>85</v>
      </c>
      <c r="M22" s="11" t="s">
        <v>86</v>
      </c>
      <c r="N22" s="11" t="s">
        <v>104</v>
      </c>
      <c r="O22" s="11">
        <v>0.4</v>
      </c>
      <c r="P22" s="6">
        <f>Table1[[#This Row],[Profit]]/Table1[[#This Row],[Sales]]</f>
        <v>-0.89317401045556377</v>
      </c>
      <c r="Q22" s="11" t="s">
        <v>33</v>
      </c>
      <c r="R22" s="11" t="s">
        <v>34</v>
      </c>
      <c r="S22" s="11" t="s">
        <v>102</v>
      </c>
      <c r="T22" s="11" t="s">
        <v>103</v>
      </c>
      <c r="U22" s="11">
        <v>97526</v>
      </c>
      <c r="V22" s="12">
        <v>42090</v>
      </c>
      <c r="W22" s="13" t="str">
        <f>TEXT(Table1[[#This Row],[Order Date]],"mmmm")</f>
        <v>March</v>
      </c>
      <c r="X22" s="7" t="str">
        <f>TEXT(Table1[[#This Row],[Order Date]],"yyyy")</f>
        <v>2015</v>
      </c>
      <c r="Y22" s="12">
        <v>42091</v>
      </c>
      <c r="Z22" s="11">
        <v>-35.878799999999998</v>
      </c>
      <c r="AA22" s="11">
        <v>2</v>
      </c>
      <c r="AB22" s="11">
        <v>40.17</v>
      </c>
      <c r="AC22" s="11">
        <v>89200</v>
      </c>
      <c r="AD22" s="6" t="str">
        <f>IF(COUNTIF(Returns!$A$2:$A$1635,Orders!AC22)&gt;0,"Returned","Not Returned")</f>
        <v>Not Returned</v>
      </c>
    </row>
    <row r="23" spans="1:30" ht="12.75" customHeight="1" thickTop="1" thickBot="1" x14ac:dyDescent="0.25">
      <c r="A23" s="8">
        <v>23278</v>
      </c>
      <c r="B23" s="1" t="s">
        <v>56</v>
      </c>
      <c r="C23" s="1">
        <v>0.09</v>
      </c>
      <c r="D23" s="1">
        <v>125.99</v>
      </c>
      <c r="E23" s="1">
        <v>7.69</v>
      </c>
      <c r="F23" s="1">
        <v>32</v>
      </c>
      <c r="G23" s="6" t="str">
        <f>IF(COUNTIF(Table1[Customer ID],Table1[[#This Row],[Customer ID]])&gt;1,"Repeat Customer","One-Time Customer")</f>
        <v>Repeat Customer</v>
      </c>
      <c r="H23" s="1" t="s">
        <v>100</v>
      </c>
      <c r="I23" s="1" t="s">
        <v>27</v>
      </c>
      <c r="J23" s="1" t="s">
        <v>28</v>
      </c>
      <c r="K23" s="1" t="s">
        <v>77</v>
      </c>
      <c r="L23" s="1" t="s">
        <v>78</v>
      </c>
      <c r="M23" s="1" t="s">
        <v>59</v>
      </c>
      <c r="N23" s="1" t="s">
        <v>105</v>
      </c>
      <c r="O23" s="1">
        <v>0.59</v>
      </c>
      <c r="P23" s="6">
        <f>Table1[[#This Row],[Profit]]/Table1[[#This Row],[Sales]]</f>
        <v>0.26800714695935168</v>
      </c>
      <c r="Q23" s="1" t="s">
        <v>33</v>
      </c>
      <c r="R23" s="1" t="s">
        <v>34</v>
      </c>
      <c r="S23" s="1" t="s">
        <v>102</v>
      </c>
      <c r="T23" s="1" t="s">
        <v>103</v>
      </c>
      <c r="U23" s="1">
        <v>97526</v>
      </c>
      <c r="V23" s="9">
        <v>42024</v>
      </c>
      <c r="W23" s="13" t="str">
        <f>TEXT(Table1[[#This Row],[Order Date]],"mmmm")</f>
        <v>January</v>
      </c>
      <c r="X23" s="7" t="str">
        <f>TEXT(Table1[[#This Row],[Order Date]],"yyyy")</f>
        <v>2015</v>
      </c>
      <c r="Y23" s="9">
        <v>42026</v>
      </c>
      <c r="Z23" s="1">
        <v>209.99700000000001</v>
      </c>
      <c r="AA23" s="1">
        <v>8</v>
      </c>
      <c r="AB23" s="1">
        <v>783.55</v>
      </c>
      <c r="AC23" s="1">
        <v>89202</v>
      </c>
      <c r="AD23" s="6" t="str">
        <f>IF(COUNTIF(Returns!$A$2:$A$1635,Orders!AC23)&gt;0,"Returned","Not Returned")</f>
        <v>Not Returned</v>
      </c>
    </row>
    <row r="24" spans="1:30" ht="12.75" customHeight="1" thickTop="1" thickBot="1" x14ac:dyDescent="0.25">
      <c r="A24" s="10">
        <v>19355</v>
      </c>
      <c r="B24" s="11" t="s">
        <v>106</v>
      </c>
      <c r="C24" s="11">
        <v>0.06</v>
      </c>
      <c r="D24" s="11">
        <v>205.99</v>
      </c>
      <c r="E24" s="11">
        <v>8.99</v>
      </c>
      <c r="F24" s="11">
        <v>32</v>
      </c>
      <c r="G24" s="6" t="str">
        <f>IF(COUNTIF(Table1[Customer ID],Table1[[#This Row],[Customer ID]])&gt;1,"Repeat Customer","One-Time Customer")</f>
        <v>Repeat Customer</v>
      </c>
      <c r="H24" s="11" t="s">
        <v>100</v>
      </c>
      <c r="I24" s="11" t="s">
        <v>49</v>
      </c>
      <c r="J24" s="11" t="s">
        <v>28</v>
      </c>
      <c r="K24" s="11" t="s">
        <v>77</v>
      </c>
      <c r="L24" s="11" t="s">
        <v>78</v>
      </c>
      <c r="M24" s="11" t="s">
        <v>59</v>
      </c>
      <c r="N24" s="11" t="s">
        <v>107</v>
      </c>
      <c r="O24" s="11">
        <v>0.56000000000000005</v>
      </c>
      <c r="P24" s="6">
        <f>Table1[[#This Row],[Profit]]/Table1[[#This Row],[Sales]]</f>
        <v>0.92964196199200655</v>
      </c>
      <c r="Q24" s="11" t="s">
        <v>33</v>
      </c>
      <c r="R24" s="11" t="s">
        <v>34</v>
      </c>
      <c r="S24" s="11" t="s">
        <v>102</v>
      </c>
      <c r="T24" s="11" t="s">
        <v>103</v>
      </c>
      <c r="U24" s="11">
        <v>97526</v>
      </c>
      <c r="V24" s="12">
        <v>42075</v>
      </c>
      <c r="W24" s="13" t="str">
        <f>TEXT(Table1[[#This Row],[Order Date]],"mmmm")</f>
        <v>March</v>
      </c>
      <c r="X24" s="7" t="str">
        <f>TEXT(Table1[[#This Row],[Order Date]],"yyyy")</f>
        <v>2015</v>
      </c>
      <c r="Y24" s="12">
        <v>42082</v>
      </c>
      <c r="Z24" s="11">
        <v>3568.096</v>
      </c>
      <c r="AA24" s="11">
        <v>22</v>
      </c>
      <c r="AB24" s="11">
        <v>3838.14</v>
      </c>
      <c r="AC24" s="11">
        <v>89203</v>
      </c>
      <c r="AD24" s="6" t="str">
        <f>IF(COUNTIF(Returns!$A$2:$A$1635,Orders!AC24)&gt;0,"Returned","Not Returned")</f>
        <v>Not Returned</v>
      </c>
    </row>
    <row r="25" spans="1:30" ht="12.75" customHeight="1" thickTop="1" thickBot="1" x14ac:dyDescent="0.25">
      <c r="A25" s="8">
        <v>23654</v>
      </c>
      <c r="B25" s="1" t="s">
        <v>37</v>
      </c>
      <c r="C25" s="1">
        <v>0.03</v>
      </c>
      <c r="D25" s="1">
        <v>4.24</v>
      </c>
      <c r="E25" s="1">
        <v>5.41</v>
      </c>
      <c r="F25" s="1">
        <v>33</v>
      </c>
      <c r="G25" s="6" t="str">
        <f>IF(COUNTIF(Table1[Customer ID],Table1[[#This Row],[Customer ID]])&gt;1,"Repeat Customer","One-Time Customer")</f>
        <v>Repeat Customer</v>
      </c>
      <c r="H25" s="1" t="s">
        <v>108</v>
      </c>
      <c r="I25" s="1" t="s">
        <v>49</v>
      </c>
      <c r="J25" s="1" t="s">
        <v>28</v>
      </c>
      <c r="K25" s="1" t="s">
        <v>29</v>
      </c>
      <c r="L25" s="1" t="s">
        <v>109</v>
      </c>
      <c r="M25" s="1" t="s">
        <v>59</v>
      </c>
      <c r="N25" s="1" t="s">
        <v>110</v>
      </c>
      <c r="O25" s="1">
        <v>0.35</v>
      </c>
      <c r="P25" s="6">
        <f>Table1[[#This Row],[Profit]]/Table1[[#This Row],[Sales]]</f>
        <v>-1.4389502385821404</v>
      </c>
      <c r="Q25" s="1" t="s">
        <v>33</v>
      </c>
      <c r="R25" s="1" t="s">
        <v>34</v>
      </c>
      <c r="S25" s="1" t="s">
        <v>102</v>
      </c>
      <c r="T25" s="1" t="s">
        <v>111</v>
      </c>
      <c r="U25" s="1">
        <v>97030</v>
      </c>
      <c r="V25" s="9">
        <v>42170</v>
      </c>
      <c r="W25" s="13" t="str">
        <f>TEXT(Table1[[#This Row],[Order Date]],"mmmm")</f>
        <v>June</v>
      </c>
      <c r="X25" s="7" t="str">
        <f>TEXT(Table1[[#This Row],[Order Date]],"yyyy")</f>
        <v>2015</v>
      </c>
      <c r="Y25" s="9">
        <v>42172</v>
      </c>
      <c r="Z25" s="1">
        <v>-84.437600000000003</v>
      </c>
      <c r="AA25" s="1">
        <v>13</v>
      </c>
      <c r="AB25" s="1">
        <v>58.68</v>
      </c>
      <c r="AC25" s="1">
        <v>89201</v>
      </c>
      <c r="AD25" s="6" t="str">
        <f>IF(COUNTIF(Returns!$A$2:$A$1635,Orders!AC25)&gt;0,"Returned","Not Returned")</f>
        <v>Not Returned</v>
      </c>
    </row>
    <row r="26" spans="1:30" ht="12.75" customHeight="1" thickTop="1" thickBot="1" x14ac:dyDescent="0.25">
      <c r="A26" s="10">
        <v>23655</v>
      </c>
      <c r="B26" s="11" t="s">
        <v>37</v>
      </c>
      <c r="C26" s="11">
        <v>0.04</v>
      </c>
      <c r="D26" s="11">
        <v>2.94</v>
      </c>
      <c r="E26" s="11">
        <v>0.7</v>
      </c>
      <c r="F26" s="11">
        <v>33</v>
      </c>
      <c r="G26" s="6" t="str">
        <f>IF(COUNTIF(Table1[Customer ID],Table1[[#This Row],[Customer ID]])&gt;1,"Repeat Customer","One-Time Customer")</f>
        <v>Repeat Customer</v>
      </c>
      <c r="H26" s="11" t="s">
        <v>108</v>
      </c>
      <c r="I26" s="11" t="s">
        <v>49</v>
      </c>
      <c r="J26" s="11" t="s">
        <v>28</v>
      </c>
      <c r="K26" s="11" t="s">
        <v>29</v>
      </c>
      <c r="L26" s="11" t="s">
        <v>30</v>
      </c>
      <c r="M26" s="11" t="s">
        <v>31</v>
      </c>
      <c r="N26" s="11" t="s">
        <v>112</v>
      </c>
      <c r="O26" s="11">
        <v>0.57999999999999996</v>
      </c>
      <c r="P26" s="6">
        <f>Table1[[#This Row],[Profit]]/Table1[[#This Row],[Sales]]</f>
        <v>0.4578531073446328</v>
      </c>
      <c r="Q26" s="11" t="s">
        <v>33</v>
      </c>
      <c r="R26" s="11" t="s">
        <v>34</v>
      </c>
      <c r="S26" s="11" t="s">
        <v>102</v>
      </c>
      <c r="T26" s="11" t="s">
        <v>111</v>
      </c>
      <c r="U26" s="11">
        <v>97030</v>
      </c>
      <c r="V26" s="12">
        <v>42170</v>
      </c>
      <c r="W26" s="13" t="str">
        <f>TEXT(Table1[[#This Row],[Order Date]],"mmmm")</f>
        <v>June</v>
      </c>
      <c r="X26" s="7" t="str">
        <f>TEXT(Table1[[#This Row],[Order Date]],"yyyy")</f>
        <v>2015</v>
      </c>
      <c r="Y26" s="12">
        <v>42171</v>
      </c>
      <c r="Z26" s="11">
        <v>24.312000000000001</v>
      </c>
      <c r="AA26" s="11">
        <v>18</v>
      </c>
      <c r="AB26" s="11">
        <v>53.1</v>
      </c>
      <c r="AC26" s="11">
        <v>89201</v>
      </c>
      <c r="AD26" s="6" t="str">
        <f>IF(COUNTIF(Returns!$A$2:$A$1635,Orders!AC26)&gt;0,"Returned","Not Returned")</f>
        <v>Not Returned</v>
      </c>
    </row>
    <row r="27" spans="1:30" ht="12.75" customHeight="1" thickTop="1" thickBot="1" x14ac:dyDescent="0.25">
      <c r="A27" s="8">
        <v>25933</v>
      </c>
      <c r="B27" s="1" t="s">
        <v>25</v>
      </c>
      <c r="C27" s="1">
        <v>0</v>
      </c>
      <c r="D27" s="1">
        <v>99.99</v>
      </c>
      <c r="E27" s="1">
        <v>19.989999999999998</v>
      </c>
      <c r="F27" s="1">
        <v>43</v>
      </c>
      <c r="G27" s="6" t="str">
        <f>IF(COUNTIF(Table1[Customer ID],Table1[[#This Row],[Customer ID]])&gt;1,"Repeat Customer","One-Time Customer")</f>
        <v>One-Time Customer</v>
      </c>
      <c r="H27" s="1" t="s">
        <v>113</v>
      </c>
      <c r="I27" s="1" t="s">
        <v>49</v>
      </c>
      <c r="J27" s="1" t="s">
        <v>114</v>
      </c>
      <c r="K27" s="1" t="s">
        <v>77</v>
      </c>
      <c r="L27" s="1" t="s">
        <v>85</v>
      </c>
      <c r="M27" s="1" t="s">
        <v>59</v>
      </c>
      <c r="N27" s="1" t="s">
        <v>115</v>
      </c>
      <c r="O27" s="1">
        <v>0.52</v>
      </c>
      <c r="P27" s="6">
        <f>Table1[[#This Row],[Profit]]/Table1[[#This Row],[Sales]]</f>
        <v>4.0047939171959777E-2</v>
      </c>
      <c r="Q27" s="1" t="s">
        <v>33</v>
      </c>
      <c r="R27" s="1" t="s">
        <v>34</v>
      </c>
      <c r="S27" s="1" t="s">
        <v>35</v>
      </c>
      <c r="T27" s="1" t="s">
        <v>116</v>
      </c>
      <c r="U27" s="1">
        <v>98052</v>
      </c>
      <c r="V27" s="9">
        <v>42134</v>
      </c>
      <c r="W27" s="13" t="str">
        <f>TEXT(Table1[[#This Row],[Order Date]],"mmmm")</f>
        <v>May</v>
      </c>
      <c r="X27" s="7" t="str">
        <f>TEXT(Table1[[#This Row],[Order Date]],"yyyy")</f>
        <v>2015</v>
      </c>
      <c r="Y27" s="9">
        <v>42135</v>
      </c>
      <c r="Z27" s="1">
        <v>25.913820000000015</v>
      </c>
      <c r="AA27" s="1">
        <v>6</v>
      </c>
      <c r="AB27" s="1">
        <v>647.07000000000005</v>
      </c>
      <c r="AC27" s="1">
        <v>91454</v>
      </c>
      <c r="AD27" s="6" t="str">
        <f>IF(COUNTIF(Returns!$A$2:$A$1635,Orders!AC27)&gt;0,"Returned","Not Returned")</f>
        <v>Not Returned</v>
      </c>
    </row>
    <row r="28" spans="1:30" ht="12.75" customHeight="1" thickTop="1" thickBot="1" x14ac:dyDescent="0.25">
      <c r="A28" s="10">
        <v>18551</v>
      </c>
      <c r="B28" s="11" t="s">
        <v>37</v>
      </c>
      <c r="C28" s="11">
        <v>0</v>
      </c>
      <c r="D28" s="11">
        <v>115.99</v>
      </c>
      <c r="E28" s="11">
        <v>2.5</v>
      </c>
      <c r="F28" s="11">
        <v>52</v>
      </c>
      <c r="G28" s="6" t="str">
        <f>IF(COUNTIF(Table1[Customer ID],Table1[[#This Row],[Customer ID]])&gt;1,"Repeat Customer","One-Time Customer")</f>
        <v>One-Time Customer</v>
      </c>
      <c r="H28" s="11" t="s">
        <v>117</v>
      </c>
      <c r="I28" s="11" t="s">
        <v>49</v>
      </c>
      <c r="J28" s="11" t="s">
        <v>28</v>
      </c>
      <c r="K28" s="11" t="s">
        <v>77</v>
      </c>
      <c r="L28" s="11" t="s">
        <v>78</v>
      </c>
      <c r="M28" s="11" t="s">
        <v>59</v>
      </c>
      <c r="N28" s="11" t="s">
        <v>118</v>
      </c>
      <c r="O28" s="11">
        <v>0.56999999999999995</v>
      </c>
      <c r="P28" s="6">
        <f>Table1[[#This Row],[Profit]]/Table1[[#This Row],[Sales]]</f>
        <v>0.25941885685123756</v>
      </c>
      <c r="Q28" s="11" t="s">
        <v>33</v>
      </c>
      <c r="R28" s="11" t="s">
        <v>34</v>
      </c>
      <c r="S28" s="11" t="s">
        <v>35</v>
      </c>
      <c r="T28" s="11" t="s">
        <v>119</v>
      </c>
      <c r="U28" s="11">
        <v>98373</v>
      </c>
      <c r="V28" s="12">
        <v>42073</v>
      </c>
      <c r="W28" s="13" t="str">
        <f>TEXT(Table1[[#This Row],[Order Date]],"mmmm")</f>
        <v>March</v>
      </c>
      <c r="X28" s="7" t="str">
        <f>TEXT(Table1[[#This Row],[Order Date]],"yyyy")</f>
        <v>2015</v>
      </c>
      <c r="Y28" s="12">
        <v>42073</v>
      </c>
      <c r="Z28" s="11">
        <v>162.666</v>
      </c>
      <c r="AA28" s="11">
        <v>6</v>
      </c>
      <c r="AB28" s="11">
        <v>627.04</v>
      </c>
      <c r="AC28" s="11">
        <v>88426</v>
      </c>
      <c r="AD28" s="6" t="str">
        <f>IF(COUNTIF(Returns!$A$2:$A$1635,Orders!AC28)&gt;0,"Returned","Not Returned")</f>
        <v>Not Returned</v>
      </c>
    </row>
    <row r="29" spans="1:30" ht="12.75" customHeight="1" thickTop="1" thickBot="1" x14ac:dyDescent="0.25">
      <c r="A29" s="8">
        <v>22117</v>
      </c>
      <c r="B29" s="1" t="s">
        <v>47</v>
      </c>
      <c r="C29" s="1">
        <v>7.0000000000000007E-2</v>
      </c>
      <c r="D29" s="1">
        <v>3502.14</v>
      </c>
      <c r="E29" s="1">
        <v>8.73</v>
      </c>
      <c r="F29" s="1">
        <v>53</v>
      </c>
      <c r="G29" s="6" t="str">
        <f>IF(COUNTIF(Table1[Customer ID],Table1[[#This Row],[Customer ID]])&gt;1,"Repeat Customer","One-Time Customer")</f>
        <v>Repeat Customer</v>
      </c>
      <c r="H29" s="1" t="s">
        <v>120</v>
      </c>
      <c r="I29" s="1" t="s">
        <v>39</v>
      </c>
      <c r="J29" s="1" t="s">
        <v>28</v>
      </c>
      <c r="K29" s="1" t="s">
        <v>77</v>
      </c>
      <c r="L29" s="1" t="s">
        <v>85</v>
      </c>
      <c r="M29" s="1" t="s">
        <v>121</v>
      </c>
      <c r="N29" s="1" t="s">
        <v>122</v>
      </c>
      <c r="O29" s="1">
        <v>0.56999999999999995</v>
      </c>
      <c r="P29" s="6">
        <f>Table1[[#This Row],[Profit]]/Table1[[#This Row],[Sales]]</f>
        <v>-2.1188961760340312</v>
      </c>
      <c r="Q29" s="1" t="s">
        <v>33</v>
      </c>
      <c r="R29" s="1" t="s">
        <v>34</v>
      </c>
      <c r="S29" s="1" t="s">
        <v>35</v>
      </c>
      <c r="T29" s="1" t="s">
        <v>116</v>
      </c>
      <c r="U29" s="1">
        <v>98052</v>
      </c>
      <c r="V29" s="9">
        <v>42032</v>
      </c>
      <c r="W29" s="13" t="str">
        <f>TEXT(Table1[[#This Row],[Order Date]],"mmmm")</f>
        <v>January</v>
      </c>
      <c r="X29" s="7" t="str">
        <f>TEXT(Table1[[#This Row],[Order Date]],"yyyy")</f>
        <v>2015</v>
      </c>
      <c r="Y29" s="9">
        <v>42034</v>
      </c>
      <c r="Z29" s="1">
        <v>-6923.5991999999997</v>
      </c>
      <c r="AA29" s="1">
        <v>1</v>
      </c>
      <c r="AB29" s="1">
        <v>3267.55</v>
      </c>
      <c r="AC29" s="1">
        <v>88425</v>
      </c>
      <c r="AD29" s="6" t="str">
        <f>IF(COUNTIF(Returns!$A$2:$A$1635,Orders!AC29)&gt;0,"Returned","Not Returned")</f>
        <v>Not Returned</v>
      </c>
    </row>
    <row r="30" spans="1:30" ht="12.75" customHeight="1" thickTop="1" thickBot="1" x14ac:dyDescent="0.25">
      <c r="A30" s="10">
        <v>18552</v>
      </c>
      <c r="B30" s="11" t="s">
        <v>37</v>
      </c>
      <c r="C30" s="11">
        <v>0.02</v>
      </c>
      <c r="D30" s="11">
        <v>5.98</v>
      </c>
      <c r="E30" s="11">
        <v>5.79</v>
      </c>
      <c r="F30" s="11">
        <v>53</v>
      </c>
      <c r="G30" s="6" t="str">
        <f>IF(COUNTIF(Table1[Customer ID],Table1[[#This Row],[Customer ID]])&gt;1,"Repeat Customer","One-Time Customer")</f>
        <v>Repeat Customer</v>
      </c>
      <c r="H30" s="11" t="s">
        <v>120</v>
      </c>
      <c r="I30" s="11" t="s">
        <v>49</v>
      </c>
      <c r="J30" s="11" t="s">
        <v>28</v>
      </c>
      <c r="K30" s="11" t="s">
        <v>29</v>
      </c>
      <c r="L30" s="11" t="s">
        <v>93</v>
      </c>
      <c r="M30" s="11" t="s">
        <v>59</v>
      </c>
      <c r="N30" s="11" t="s">
        <v>123</v>
      </c>
      <c r="O30" s="11">
        <v>0.36</v>
      </c>
      <c r="P30" s="6">
        <f>Table1[[#This Row],[Profit]]/Table1[[#This Row],[Sales]]</f>
        <v>-0.61248752155368003</v>
      </c>
      <c r="Q30" s="11" t="s">
        <v>33</v>
      </c>
      <c r="R30" s="11" t="s">
        <v>34</v>
      </c>
      <c r="S30" s="11" t="s">
        <v>35</v>
      </c>
      <c r="T30" s="11" t="s">
        <v>116</v>
      </c>
      <c r="U30" s="11">
        <v>98052</v>
      </c>
      <c r="V30" s="12">
        <v>42073</v>
      </c>
      <c r="W30" s="13" t="str">
        <f>TEXT(Table1[[#This Row],[Order Date]],"mmmm")</f>
        <v>March</v>
      </c>
      <c r="X30" s="7" t="str">
        <f>TEXT(Table1[[#This Row],[Order Date]],"yyyy")</f>
        <v>2015</v>
      </c>
      <c r="Y30" s="12">
        <v>42074</v>
      </c>
      <c r="Z30" s="11">
        <v>-67.489999999999995</v>
      </c>
      <c r="AA30" s="11">
        <v>17</v>
      </c>
      <c r="AB30" s="11">
        <v>110.19</v>
      </c>
      <c r="AC30" s="11">
        <v>88426</v>
      </c>
      <c r="AD30" s="6" t="str">
        <f>IF(COUNTIF(Returns!$A$2:$A$1635,Orders!AC30)&gt;0,"Returned","Not Returned")</f>
        <v>Not Returned</v>
      </c>
    </row>
    <row r="31" spans="1:30" ht="12.75" customHeight="1" thickTop="1" thickBot="1" x14ac:dyDescent="0.25">
      <c r="A31" s="8">
        <v>20697</v>
      </c>
      <c r="B31" s="1" t="s">
        <v>56</v>
      </c>
      <c r="C31" s="1">
        <v>0.06</v>
      </c>
      <c r="D31" s="1">
        <v>3.8</v>
      </c>
      <c r="E31" s="1">
        <v>1.49</v>
      </c>
      <c r="F31" s="1">
        <v>56</v>
      </c>
      <c r="G31" s="6" t="str">
        <f>IF(COUNTIF(Table1[Customer ID],Table1[[#This Row],[Customer ID]])&gt;1,"Repeat Customer","One-Time Customer")</f>
        <v>Repeat Customer</v>
      </c>
      <c r="H31" s="1" t="s">
        <v>124</v>
      </c>
      <c r="I31" s="1" t="s">
        <v>49</v>
      </c>
      <c r="J31" s="1" t="s">
        <v>114</v>
      </c>
      <c r="K31" s="1" t="s">
        <v>29</v>
      </c>
      <c r="L31" s="1" t="s">
        <v>109</v>
      </c>
      <c r="M31" s="1" t="s">
        <v>59</v>
      </c>
      <c r="N31" s="1" t="s">
        <v>125</v>
      </c>
      <c r="O31" s="1">
        <v>0.38</v>
      </c>
      <c r="P31" s="6">
        <f>Table1[[#This Row],[Profit]]/Table1[[#This Row],[Sales]]</f>
        <v>0.26686879673691366</v>
      </c>
      <c r="Q31" s="1" t="s">
        <v>33</v>
      </c>
      <c r="R31" s="1" t="s">
        <v>53</v>
      </c>
      <c r="S31" s="1" t="s">
        <v>71</v>
      </c>
      <c r="T31" s="1" t="s">
        <v>126</v>
      </c>
      <c r="U31" s="1">
        <v>14150</v>
      </c>
      <c r="V31" s="9">
        <v>42114</v>
      </c>
      <c r="W31" s="13" t="str">
        <f>TEXT(Table1[[#This Row],[Order Date]],"mmmm")</f>
        <v>April</v>
      </c>
      <c r="X31" s="7" t="str">
        <f>TEXT(Table1[[#This Row],[Order Date]],"yyyy")</f>
        <v>2015</v>
      </c>
      <c r="Y31" s="9">
        <v>42115</v>
      </c>
      <c r="Z31" s="1">
        <v>19.6282</v>
      </c>
      <c r="AA31" s="1">
        <v>20</v>
      </c>
      <c r="AB31" s="1">
        <v>73.55</v>
      </c>
      <c r="AC31" s="1">
        <v>88075</v>
      </c>
      <c r="AD31" s="6" t="str">
        <f>IF(COUNTIF(Returns!$A$2:$A$1635,Orders!AC31)&gt;0,"Returned","Not Returned")</f>
        <v>Not Returned</v>
      </c>
    </row>
    <row r="32" spans="1:30" ht="12.75" customHeight="1" thickTop="1" thickBot="1" x14ac:dyDescent="0.25">
      <c r="A32" s="10">
        <v>20698</v>
      </c>
      <c r="B32" s="11" t="s">
        <v>56</v>
      </c>
      <c r="C32" s="11">
        <v>0.06</v>
      </c>
      <c r="D32" s="11">
        <v>1.76</v>
      </c>
      <c r="E32" s="11">
        <v>0.7</v>
      </c>
      <c r="F32" s="11">
        <v>56</v>
      </c>
      <c r="G32" s="6" t="str">
        <f>IF(COUNTIF(Table1[Customer ID],Table1[[#This Row],[Customer ID]])&gt;1,"Repeat Customer","One-Time Customer")</f>
        <v>Repeat Customer</v>
      </c>
      <c r="H32" s="11" t="s">
        <v>124</v>
      </c>
      <c r="I32" s="11" t="s">
        <v>49</v>
      </c>
      <c r="J32" s="11" t="s">
        <v>114</v>
      </c>
      <c r="K32" s="11" t="s">
        <v>29</v>
      </c>
      <c r="L32" s="11" t="s">
        <v>30</v>
      </c>
      <c r="M32" s="11" t="s">
        <v>31</v>
      </c>
      <c r="N32" s="11" t="s">
        <v>127</v>
      </c>
      <c r="O32" s="11">
        <v>0.56000000000000005</v>
      </c>
      <c r="P32" s="6">
        <f>Table1[[#This Row],[Profit]]/Table1[[#This Row],[Sales]]</f>
        <v>-5.5880960432871156E-2</v>
      </c>
      <c r="Q32" s="11" t="s">
        <v>33</v>
      </c>
      <c r="R32" s="11" t="s">
        <v>53</v>
      </c>
      <c r="S32" s="11" t="s">
        <v>71</v>
      </c>
      <c r="T32" s="11" t="s">
        <v>126</v>
      </c>
      <c r="U32" s="11">
        <v>14150</v>
      </c>
      <c r="V32" s="12">
        <v>42114</v>
      </c>
      <c r="W32" s="13" t="str">
        <f>TEXT(Table1[[#This Row],[Order Date]],"mmmm")</f>
        <v>April</v>
      </c>
      <c r="X32" s="7" t="str">
        <f>TEXT(Table1[[#This Row],[Order Date]],"yyyy")</f>
        <v>2015</v>
      </c>
      <c r="Y32" s="12">
        <v>42115</v>
      </c>
      <c r="Z32" s="11">
        <v>-1.6524000000000001</v>
      </c>
      <c r="AA32" s="11">
        <v>17</v>
      </c>
      <c r="AB32" s="11">
        <v>29.57</v>
      </c>
      <c r="AC32" s="11">
        <v>88075</v>
      </c>
      <c r="AD32" s="6" t="str">
        <f>IF(COUNTIF(Returns!$A$2:$A$1635,Orders!AC32)&gt;0,"Returned","Not Returned")</f>
        <v>Not Returned</v>
      </c>
    </row>
    <row r="33" spans="1:30" ht="12.75" customHeight="1" thickTop="1" thickBot="1" x14ac:dyDescent="0.25">
      <c r="A33" s="8">
        <v>22890</v>
      </c>
      <c r="B33" s="1" t="s">
        <v>25</v>
      </c>
      <c r="C33" s="1">
        <v>0.02</v>
      </c>
      <c r="D33" s="1">
        <v>5.98</v>
      </c>
      <c r="E33" s="1">
        <v>5.15</v>
      </c>
      <c r="F33" s="1">
        <v>62</v>
      </c>
      <c r="G33" s="6" t="str">
        <f>IF(COUNTIF(Table1[Customer ID],Table1[[#This Row],[Customer ID]])&gt;1,"Repeat Customer","One-Time Customer")</f>
        <v>Repeat Customer</v>
      </c>
      <c r="H33" s="1" t="s">
        <v>128</v>
      </c>
      <c r="I33" s="1" t="s">
        <v>49</v>
      </c>
      <c r="J33" s="1" t="s">
        <v>28</v>
      </c>
      <c r="K33" s="1" t="s">
        <v>29</v>
      </c>
      <c r="L33" s="1" t="s">
        <v>93</v>
      </c>
      <c r="M33" s="1" t="s">
        <v>59</v>
      </c>
      <c r="N33" s="1" t="s">
        <v>129</v>
      </c>
      <c r="O33" s="1">
        <v>0.36</v>
      </c>
      <c r="P33" s="6">
        <f>Table1[[#This Row],[Profit]]/Table1[[#This Row],[Sales]]</f>
        <v>9.3654266958424603E-2</v>
      </c>
      <c r="Q33" s="1" t="s">
        <v>33</v>
      </c>
      <c r="R33" s="1" t="s">
        <v>61</v>
      </c>
      <c r="S33" s="1" t="s">
        <v>130</v>
      </c>
      <c r="T33" s="1" t="s">
        <v>131</v>
      </c>
      <c r="U33" s="1">
        <v>78664</v>
      </c>
      <c r="V33" s="9">
        <v>42133</v>
      </c>
      <c r="W33" s="13" t="str">
        <f>TEXT(Table1[[#This Row],[Order Date]],"mmmm")</f>
        <v>May</v>
      </c>
      <c r="X33" s="7" t="str">
        <f>TEXT(Table1[[#This Row],[Order Date]],"yyyy")</f>
        <v>2015</v>
      </c>
      <c r="Y33" s="9">
        <v>42135</v>
      </c>
      <c r="Z33" s="1">
        <v>2.1400000000000023</v>
      </c>
      <c r="AA33" s="1">
        <v>3</v>
      </c>
      <c r="AB33" s="1">
        <v>22.85</v>
      </c>
      <c r="AC33" s="1">
        <v>87407</v>
      </c>
      <c r="AD33" s="6" t="str">
        <f>IF(COUNTIF(Returns!$A$2:$A$1635,Orders!AC33)&gt;0,"Returned","Not Returned")</f>
        <v>Not Returned</v>
      </c>
    </row>
    <row r="34" spans="1:30" ht="12.75" customHeight="1" thickTop="1" thickBot="1" x14ac:dyDescent="0.25">
      <c r="A34" s="10">
        <v>25354</v>
      </c>
      <c r="B34" s="11" t="s">
        <v>25</v>
      </c>
      <c r="C34" s="11">
        <v>0.04</v>
      </c>
      <c r="D34" s="11">
        <v>29.14</v>
      </c>
      <c r="E34" s="11">
        <v>4.8600000000000003</v>
      </c>
      <c r="F34" s="11">
        <v>62</v>
      </c>
      <c r="G34" s="6" t="str">
        <f>IF(COUNTIF(Table1[Customer ID],Table1[[#This Row],[Customer ID]])&gt;1,"Repeat Customer","One-Time Customer")</f>
        <v>Repeat Customer</v>
      </c>
      <c r="H34" s="11" t="s">
        <v>128</v>
      </c>
      <c r="I34" s="11" t="s">
        <v>49</v>
      </c>
      <c r="J34" s="11" t="s">
        <v>28</v>
      </c>
      <c r="K34" s="11" t="s">
        <v>29</v>
      </c>
      <c r="L34" s="11" t="s">
        <v>93</v>
      </c>
      <c r="M34" s="11" t="s">
        <v>31</v>
      </c>
      <c r="N34" s="11" t="s">
        <v>132</v>
      </c>
      <c r="O34" s="11">
        <v>0.38</v>
      </c>
      <c r="P34" s="6">
        <f>Table1[[#This Row],[Profit]]/Table1[[#This Row],[Sales]]</f>
        <v>0.69</v>
      </c>
      <c r="Q34" s="11" t="s">
        <v>33</v>
      </c>
      <c r="R34" s="11" t="s">
        <v>61</v>
      </c>
      <c r="S34" s="11" t="s">
        <v>130</v>
      </c>
      <c r="T34" s="11" t="s">
        <v>131</v>
      </c>
      <c r="U34" s="11">
        <v>78664</v>
      </c>
      <c r="V34" s="12">
        <v>42167</v>
      </c>
      <c r="W34" s="13" t="str">
        <f>TEXT(Table1[[#This Row],[Order Date]],"mmmm")</f>
        <v>June</v>
      </c>
      <c r="X34" s="7" t="str">
        <f>TEXT(Table1[[#This Row],[Order Date]],"yyyy")</f>
        <v>2015</v>
      </c>
      <c r="Y34" s="12">
        <v>42169</v>
      </c>
      <c r="Z34" s="11">
        <v>349.40909999999997</v>
      </c>
      <c r="AA34" s="11">
        <v>17</v>
      </c>
      <c r="AB34" s="11">
        <v>506.39</v>
      </c>
      <c r="AC34" s="11">
        <v>87408</v>
      </c>
      <c r="AD34" s="6" t="str">
        <f>IF(COUNTIF(Returns!$A$2:$A$1635,Orders!AC34)&gt;0,"Returned","Not Returned")</f>
        <v>Not Returned</v>
      </c>
    </row>
    <row r="35" spans="1:30" ht="12.75" customHeight="1" thickTop="1" thickBot="1" x14ac:dyDescent="0.25">
      <c r="A35" s="8">
        <v>21017</v>
      </c>
      <c r="B35" s="1" t="s">
        <v>37</v>
      </c>
      <c r="C35" s="1">
        <v>0</v>
      </c>
      <c r="D35" s="1">
        <v>3.69</v>
      </c>
      <c r="E35" s="1">
        <v>0.5</v>
      </c>
      <c r="F35" s="1">
        <v>64</v>
      </c>
      <c r="G35" s="6" t="str">
        <f>IF(COUNTIF(Table1[Customer ID],Table1[[#This Row],[Customer ID]])&gt;1,"Repeat Customer","One-Time Customer")</f>
        <v>Repeat Customer</v>
      </c>
      <c r="H35" s="1" t="s">
        <v>133</v>
      </c>
      <c r="I35" s="1" t="s">
        <v>49</v>
      </c>
      <c r="J35" s="1" t="s">
        <v>58</v>
      </c>
      <c r="K35" s="1" t="s">
        <v>29</v>
      </c>
      <c r="L35" s="1" t="s">
        <v>134</v>
      </c>
      <c r="M35" s="1" t="s">
        <v>59</v>
      </c>
      <c r="N35" s="1" t="s">
        <v>135</v>
      </c>
      <c r="O35" s="1">
        <v>0.38</v>
      </c>
      <c r="P35" s="6">
        <f>Table1[[#This Row],[Profit]]/Table1[[#This Row],[Sales]]</f>
        <v>-9.3822749999999999</v>
      </c>
      <c r="Q35" s="1" t="s">
        <v>33</v>
      </c>
      <c r="R35" s="1" t="s">
        <v>136</v>
      </c>
      <c r="S35" s="1" t="s">
        <v>137</v>
      </c>
      <c r="T35" s="1" t="s">
        <v>138</v>
      </c>
      <c r="U35" s="1">
        <v>24153</v>
      </c>
      <c r="V35" s="9">
        <v>42065</v>
      </c>
      <c r="W35" s="13" t="str">
        <f>TEXT(Table1[[#This Row],[Order Date]],"mmmm")</f>
        <v>March</v>
      </c>
      <c r="X35" s="7" t="str">
        <f>TEXT(Table1[[#This Row],[Order Date]],"yyyy")</f>
        <v>2015</v>
      </c>
      <c r="Y35" s="9">
        <v>42067</v>
      </c>
      <c r="Z35" s="1">
        <v>-37.5291</v>
      </c>
      <c r="AA35" s="1">
        <v>1</v>
      </c>
      <c r="AB35" s="1">
        <v>4</v>
      </c>
      <c r="AC35" s="1">
        <v>87406</v>
      </c>
      <c r="AD35" s="6" t="str">
        <f>IF(COUNTIF(Returns!$A$2:$A$1635,Orders!AC35)&gt;0,"Returned","Not Returned")</f>
        <v>Not Returned</v>
      </c>
    </row>
    <row r="36" spans="1:30" ht="12.75" customHeight="1" thickTop="1" thickBot="1" x14ac:dyDescent="0.25">
      <c r="A36" s="10">
        <v>21019</v>
      </c>
      <c r="B36" s="11" t="s">
        <v>37</v>
      </c>
      <c r="C36" s="11">
        <v>0.02</v>
      </c>
      <c r="D36" s="11">
        <v>175.99</v>
      </c>
      <c r="E36" s="11">
        <v>4.99</v>
      </c>
      <c r="F36" s="11">
        <v>64</v>
      </c>
      <c r="G36" s="6" t="str">
        <f>IF(COUNTIF(Table1[Customer ID],Table1[[#This Row],[Customer ID]])&gt;1,"Repeat Customer","One-Time Customer")</f>
        <v>Repeat Customer</v>
      </c>
      <c r="H36" s="11" t="s">
        <v>133</v>
      </c>
      <c r="I36" s="11" t="s">
        <v>27</v>
      </c>
      <c r="J36" s="11" t="s">
        <v>58</v>
      </c>
      <c r="K36" s="11" t="s">
        <v>77</v>
      </c>
      <c r="L36" s="11" t="s">
        <v>78</v>
      </c>
      <c r="M36" s="11" t="s">
        <v>59</v>
      </c>
      <c r="N36" s="11" t="s">
        <v>139</v>
      </c>
      <c r="O36" s="11">
        <v>0.59</v>
      </c>
      <c r="P36" s="6">
        <f>Table1[[#This Row],[Profit]]/Table1[[#This Row],[Sales]]</f>
        <v>0.17207527975584944</v>
      </c>
      <c r="Q36" s="11" t="s">
        <v>33</v>
      </c>
      <c r="R36" s="11" t="s">
        <v>136</v>
      </c>
      <c r="S36" s="11" t="s">
        <v>137</v>
      </c>
      <c r="T36" s="11" t="s">
        <v>138</v>
      </c>
      <c r="U36" s="11">
        <v>24153</v>
      </c>
      <c r="V36" s="12">
        <v>42065</v>
      </c>
      <c r="W36" s="13" t="str">
        <f>TEXT(Table1[[#This Row],[Order Date]],"mmmm")</f>
        <v>March</v>
      </c>
      <c r="X36" s="7" t="str">
        <f>TEXT(Table1[[#This Row],[Order Date]],"yyyy")</f>
        <v>2015</v>
      </c>
      <c r="Y36" s="12">
        <v>42065</v>
      </c>
      <c r="Z36" s="11">
        <v>101.49</v>
      </c>
      <c r="AA36" s="11">
        <v>4</v>
      </c>
      <c r="AB36" s="11">
        <v>589.79999999999995</v>
      </c>
      <c r="AC36" s="11">
        <v>87406</v>
      </c>
      <c r="AD36" s="6" t="str">
        <f>IF(COUNTIF(Returns!$A$2:$A$1635,Orders!AC36)&gt;0,"Returned","Not Returned")</f>
        <v>Not Returned</v>
      </c>
    </row>
    <row r="37" spans="1:30" ht="12.75" customHeight="1" thickTop="1" thickBot="1" x14ac:dyDescent="0.25">
      <c r="A37" s="8">
        <v>23274</v>
      </c>
      <c r="B37" s="1" t="s">
        <v>106</v>
      </c>
      <c r="C37" s="1">
        <v>0.05</v>
      </c>
      <c r="D37" s="1">
        <v>155.06</v>
      </c>
      <c r="E37" s="1">
        <v>7.07</v>
      </c>
      <c r="F37" s="1">
        <v>67</v>
      </c>
      <c r="G37" s="6" t="str">
        <f>IF(COUNTIF(Table1[Customer ID],Table1[[#This Row],[Customer ID]])&gt;1,"Repeat Customer","One-Time Customer")</f>
        <v>One-Time Customer</v>
      </c>
      <c r="H37" s="1" t="s">
        <v>140</v>
      </c>
      <c r="I37" s="1" t="s">
        <v>49</v>
      </c>
      <c r="J37" s="1" t="s">
        <v>28</v>
      </c>
      <c r="K37" s="1" t="s">
        <v>29</v>
      </c>
      <c r="L37" s="1" t="s">
        <v>141</v>
      </c>
      <c r="M37" s="1" t="s">
        <v>59</v>
      </c>
      <c r="N37" s="1" t="s">
        <v>142</v>
      </c>
      <c r="O37" s="1">
        <v>0.59</v>
      </c>
      <c r="P37" s="6">
        <f>Table1[[#This Row],[Profit]]/Table1[[#This Row],[Sales]]</f>
        <v>0.69</v>
      </c>
      <c r="Q37" s="1" t="s">
        <v>33</v>
      </c>
      <c r="R37" s="1" t="s">
        <v>34</v>
      </c>
      <c r="S37" s="1" t="s">
        <v>45</v>
      </c>
      <c r="T37" s="1" t="s">
        <v>143</v>
      </c>
      <c r="U37" s="1">
        <v>94559</v>
      </c>
      <c r="V37" s="9">
        <v>42006</v>
      </c>
      <c r="W37" s="13" t="str">
        <f>TEXT(Table1[[#This Row],[Order Date]],"mmmm")</f>
        <v>January</v>
      </c>
      <c r="X37" s="7" t="str">
        <f>TEXT(Table1[[#This Row],[Order Date]],"yyyy")</f>
        <v>2015</v>
      </c>
      <c r="Y37" s="9">
        <v>42013</v>
      </c>
      <c r="Z37" s="1">
        <v>845.66399999999987</v>
      </c>
      <c r="AA37" s="1">
        <v>8</v>
      </c>
      <c r="AB37" s="1">
        <v>1225.5999999999999</v>
      </c>
      <c r="AC37" s="1">
        <v>87946</v>
      </c>
      <c r="AD37" s="6" t="str">
        <f>IF(COUNTIF(Returns!$A$2:$A$1635,Orders!AC37)&gt;0,"Returned","Not Returned")</f>
        <v>Not Returned</v>
      </c>
    </row>
    <row r="38" spans="1:30" ht="12.75" customHeight="1" thickTop="1" thickBot="1" x14ac:dyDescent="0.25">
      <c r="A38" s="10">
        <v>5272</v>
      </c>
      <c r="B38" s="11" t="s">
        <v>106</v>
      </c>
      <c r="C38" s="11">
        <v>0</v>
      </c>
      <c r="D38" s="11">
        <v>291.73</v>
      </c>
      <c r="E38" s="11">
        <v>48.8</v>
      </c>
      <c r="F38" s="11">
        <v>68</v>
      </c>
      <c r="G38" s="6" t="str">
        <f>IF(COUNTIF(Table1[Customer ID],Table1[[#This Row],[Customer ID]])&gt;1,"Repeat Customer","One-Time Customer")</f>
        <v>Repeat Customer</v>
      </c>
      <c r="H38" s="11" t="s">
        <v>144</v>
      </c>
      <c r="I38" s="11" t="s">
        <v>39</v>
      </c>
      <c r="J38" s="11" t="s">
        <v>28</v>
      </c>
      <c r="K38" s="11" t="s">
        <v>41</v>
      </c>
      <c r="L38" s="11" t="s">
        <v>42</v>
      </c>
      <c r="M38" s="11" t="s">
        <v>43</v>
      </c>
      <c r="N38" s="11" t="s">
        <v>145</v>
      </c>
      <c r="O38" s="11">
        <v>0.56000000000000005</v>
      </c>
      <c r="P38" s="6">
        <f>Table1[[#This Row],[Profit]]/Table1[[#This Row],[Sales]]</f>
        <v>-0.24932448791826062</v>
      </c>
      <c r="Q38" s="11" t="s">
        <v>33</v>
      </c>
      <c r="R38" s="11" t="s">
        <v>53</v>
      </c>
      <c r="S38" s="11" t="s">
        <v>71</v>
      </c>
      <c r="T38" s="11" t="s">
        <v>90</v>
      </c>
      <c r="U38" s="11">
        <v>10177</v>
      </c>
      <c r="V38" s="12">
        <v>42006</v>
      </c>
      <c r="W38" s="13" t="str">
        <f>TEXT(Table1[[#This Row],[Order Date]],"mmmm")</f>
        <v>January</v>
      </c>
      <c r="X38" s="7" t="str">
        <f>TEXT(Table1[[#This Row],[Order Date]],"yyyy")</f>
        <v>2015</v>
      </c>
      <c r="Y38" s="12">
        <v>42006</v>
      </c>
      <c r="Z38" s="11">
        <v>-308.928</v>
      </c>
      <c r="AA38" s="11">
        <v>4</v>
      </c>
      <c r="AB38" s="11">
        <v>1239.06</v>
      </c>
      <c r="AC38" s="11">
        <v>37537</v>
      </c>
      <c r="AD38" s="6" t="str">
        <f>IF(COUNTIF(Returns!$A$2:$A$1635,Orders!AC38)&gt;0,"Returned","Not Returned")</f>
        <v>Not Returned</v>
      </c>
    </row>
    <row r="39" spans="1:30" ht="12.75" customHeight="1" thickTop="1" thickBot="1" x14ac:dyDescent="0.25">
      <c r="A39" s="8">
        <v>5273</v>
      </c>
      <c r="B39" s="1" t="s">
        <v>106</v>
      </c>
      <c r="C39" s="1">
        <v>7.0000000000000007E-2</v>
      </c>
      <c r="D39" s="1">
        <v>100.98</v>
      </c>
      <c r="E39" s="1">
        <v>45</v>
      </c>
      <c r="F39" s="1">
        <v>68</v>
      </c>
      <c r="G39" s="6" t="str">
        <f>IF(COUNTIF(Table1[Customer ID],Table1[[#This Row],[Customer ID]])&gt;1,"Repeat Customer","One-Time Customer")</f>
        <v>Repeat Customer</v>
      </c>
      <c r="H39" s="1" t="s">
        <v>144</v>
      </c>
      <c r="I39" s="1" t="s">
        <v>39</v>
      </c>
      <c r="J39" s="1" t="s">
        <v>28</v>
      </c>
      <c r="K39" s="1" t="s">
        <v>41</v>
      </c>
      <c r="L39" s="1" t="s">
        <v>42</v>
      </c>
      <c r="M39" s="1" t="s">
        <v>43</v>
      </c>
      <c r="N39" s="1" t="s">
        <v>146</v>
      </c>
      <c r="O39" s="1">
        <v>0.69</v>
      </c>
      <c r="P39" s="6">
        <f>Table1[[#This Row],[Profit]]/Table1[[#This Row],[Sales]]</f>
        <v>-0.41138423634462262</v>
      </c>
      <c r="Q39" s="1" t="s">
        <v>33</v>
      </c>
      <c r="R39" s="1" t="s">
        <v>53</v>
      </c>
      <c r="S39" s="1" t="s">
        <v>71</v>
      </c>
      <c r="T39" s="1" t="s">
        <v>90</v>
      </c>
      <c r="U39" s="1">
        <v>10177</v>
      </c>
      <c r="V39" s="9">
        <v>42006</v>
      </c>
      <c r="W39" s="13" t="str">
        <f>TEXT(Table1[[#This Row],[Order Date]],"mmmm")</f>
        <v>January</v>
      </c>
      <c r="X39" s="7" t="str">
        <f>TEXT(Table1[[#This Row],[Order Date]],"yyyy")</f>
        <v>2015</v>
      </c>
      <c r="Y39" s="9">
        <v>42008</v>
      </c>
      <c r="Z39" s="1">
        <v>-1679.7599999999998</v>
      </c>
      <c r="AA39" s="1">
        <v>43</v>
      </c>
      <c r="AB39" s="1">
        <v>4083.19</v>
      </c>
      <c r="AC39" s="1">
        <v>37537</v>
      </c>
      <c r="AD39" s="6" t="str">
        <f>IF(COUNTIF(Returns!$A$2:$A$1635,Orders!AC39)&gt;0,"Returned","Not Returned")</f>
        <v>Not Returned</v>
      </c>
    </row>
    <row r="40" spans="1:30" ht="12.75" customHeight="1" thickTop="1" thickBot="1" x14ac:dyDescent="0.25">
      <c r="A40" s="10">
        <v>5274</v>
      </c>
      <c r="B40" s="11" t="s">
        <v>106</v>
      </c>
      <c r="C40" s="11">
        <v>0.05</v>
      </c>
      <c r="D40" s="11">
        <v>155.06</v>
      </c>
      <c r="E40" s="11">
        <v>7.07</v>
      </c>
      <c r="F40" s="11">
        <v>68</v>
      </c>
      <c r="G40" s="6" t="str">
        <f>IF(COUNTIF(Table1[Customer ID],Table1[[#This Row],[Customer ID]])&gt;1,"Repeat Customer","One-Time Customer")</f>
        <v>Repeat Customer</v>
      </c>
      <c r="H40" s="11" t="s">
        <v>144</v>
      </c>
      <c r="I40" s="11" t="s">
        <v>49</v>
      </c>
      <c r="J40" s="11" t="s">
        <v>28</v>
      </c>
      <c r="K40" s="11" t="s">
        <v>29</v>
      </c>
      <c r="L40" s="11" t="s">
        <v>141</v>
      </c>
      <c r="M40" s="11" t="s">
        <v>59</v>
      </c>
      <c r="N40" s="11" t="s">
        <v>142</v>
      </c>
      <c r="O40" s="11">
        <v>0.59</v>
      </c>
      <c r="P40" s="6">
        <f>Table1[[#This Row],[Profit]]/Table1[[#This Row],[Sales]]</f>
        <v>0.11737074645376329</v>
      </c>
      <c r="Q40" s="11" t="s">
        <v>33</v>
      </c>
      <c r="R40" s="11" t="s">
        <v>53</v>
      </c>
      <c r="S40" s="11" t="s">
        <v>71</v>
      </c>
      <c r="T40" s="11" t="s">
        <v>90</v>
      </c>
      <c r="U40" s="11">
        <v>10177</v>
      </c>
      <c r="V40" s="12">
        <v>42006</v>
      </c>
      <c r="W40" s="13" t="str">
        <f>TEXT(Table1[[#This Row],[Order Date]],"mmmm")</f>
        <v>January</v>
      </c>
      <c r="X40" s="7" t="str">
        <f>TEXT(Table1[[#This Row],[Order Date]],"yyyy")</f>
        <v>2015</v>
      </c>
      <c r="Y40" s="12">
        <v>42013</v>
      </c>
      <c r="Z40" s="11">
        <v>575.39600000000007</v>
      </c>
      <c r="AA40" s="11">
        <v>32</v>
      </c>
      <c r="AB40" s="11">
        <v>4902.38</v>
      </c>
      <c r="AC40" s="11">
        <v>37537</v>
      </c>
      <c r="AD40" s="6" t="str">
        <f>IF(COUNTIF(Returns!$A$2:$A$1635,Orders!AC40)&gt;0,"Returned","Not Returned")</f>
        <v>Not Returned</v>
      </c>
    </row>
    <row r="41" spans="1:30" ht="12.75" customHeight="1" thickTop="1" thickBot="1" x14ac:dyDescent="0.25">
      <c r="A41" s="8">
        <v>7786</v>
      </c>
      <c r="B41" s="1" t="s">
        <v>25</v>
      </c>
      <c r="C41" s="1">
        <v>0.09</v>
      </c>
      <c r="D41" s="1">
        <v>122.99</v>
      </c>
      <c r="E41" s="1">
        <v>70.2</v>
      </c>
      <c r="F41" s="1">
        <v>68</v>
      </c>
      <c r="G41" s="6" t="str">
        <f>IF(COUNTIF(Table1[Customer ID],Table1[[#This Row],[Customer ID]])&gt;1,"Repeat Customer","One-Time Customer")</f>
        <v>Repeat Customer</v>
      </c>
      <c r="H41" s="1" t="s">
        <v>144</v>
      </c>
      <c r="I41" s="1" t="s">
        <v>39</v>
      </c>
      <c r="J41" s="1" t="s">
        <v>28</v>
      </c>
      <c r="K41" s="1" t="s">
        <v>41</v>
      </c>
      <c r="L41" s="1" t="s">
        <v>42</v>
      </c>
      <c r="M41" s="1" t="s">
        <v>43</v>
      </c>
      <c r="N41" s="1" t="s">
        <v>147</v>
      </c>
      <c r="O41" s="1">
        <v>0.74</v>
      </c>
      <c r="P41" s="6">
        <f>Table1[[#This Row],[Profit]]/Table1[[#This Row],[Sales]]</f>
        <v>-0.42430733451655489</v>
      </c>
      <c r="Q41" s="1" t="s">
        <v>33</v>
      </c>
      <c r="R41" s="1" t="s">
        <v>53</v>
      </c>
      <c r="S41" s="1" t="s">
        <v>71</v>
      </c>
      <c r="T41" s="1" t="s">
        <v>90</v>
      </c>
      <c r="U41" s="1">
        <v>10177</v>
      </c>
      <c r="V41" s="9">
        <v>42037</v>
      </c>
      <c r="W41" s="13" t="str">
        <f>TEXT(Table1[[#This Row],[Order Date]],"mmmm")</f>
        <v>February</v>
      </c>
      <c r="X41" s="7" t="str">
        <f>TEXT(Table1[[#This Row],[Order Date]],"yyyy")</f>
        <v>2015</v>
      </c>
      <c r="Y41" s="9">
        <v>42039</v>
      </c>
      <c r="Z41" s="1">
        <v>-2426.5500000000002</v>
      </c>
      <c r="AA41" s="1">
        <v>49</v>
      </c>
      <c r="AB41" s="1">
        <v>5718.85</v>
      </c>
      <c r="AC41" s="1">
        <v>55713</v>
      </c>
      <c r="AD41" s="6" t="str">
        <f>IF(COUNTIF(Returns!$A$2:$A$1635,Orders!AC41)&gt;0,"Returned","Not Returned")</f>
        <v>Not Returned</v>
      </c>
    </row>
    <row r="42" spans="1:30" ht="12.75" customHeight="1" thickTop="1" thickBot="1" x14ac:dyDescent="0.25">
      <c r="A42" s="10">
        <v>25786</v>
      </c>
      <c r="B42" s="11" t="s">
        <v>25</v>
      </c>
      <c r="C42" s="11">
        <v>0.09</v>
      </c>
      <c r="D42" s="11">
        <v>122.99</v>
      </c>
      <c r="E42" s="11">
        <v>70.2</v>
      </c>
      <c r="F42" s="11">
        <v>70</v>
      </c>
      <c r="G42" s="6" t="str">
        <f>IF(COUNTIF(Table1[Customer ID],Table1[[#This Row],[Customer ID]])&gt;1,"Repeat Customer","One-Time Customer")</f>
        <v>One-Time Customer</v>
      </c>
      <c r="H42" s="11" t="s">
        <v>148</v>
      </c>
      <c r="I42" s="11" t="s">
        <v>39</v>
      </c>
      <c r="J42" s="11" t="s">
        <v>28</v>
      </c>
      <c r="K42" s="11" t="s">
        <v>41</v>
      </c>
      <c r="L42" s="11" t="s">
        <v>42</v>
      </c>
      <c r="M42" s="11" t="s">
        <v>43</v>
      </c>
      <c r="N42" s="11" t="s">
        <v>147</v>
      </c>
      <c r="O42" s="11">
        <v>0.74</v>
      </c>
      <c r="P42" s="6">
        <f>Table1[[#This Row],[Profit]]/Table1[[#This Row],[Sales]]</f>
        <v>-1.732594089380449</v>
      </c>
      <c r="Q42" s="11" t="s">
        <v>33</v>
      </c>
      <c r="R42" s="11" t="s">
        <v>53</v>
      </c>
      <c r="S42" s="11" t="s">
        <v>149</v>
      </c>
      <c r="T42" s="11" t="s">
        <v>150</v>
      </c>
      <c r="U42" s="11">
        <v>5401</v>
      </c>
      <c r="V42" s="12">
        <v>42037</v>
      </c>
      <c r="W42" s="13" t="str">
        <f>TEXT(Table1[[#This Row],[Order Date]],"mmmm")</f>
        <v>February</v>
      </c>
      <c r="X42" s="7" t="str">
        <f>TEXT(Table1[[#This Row],[Order Date]],"yyyy")</f>
        <v>2015</v>
      </c>
      <c r="Y42" s="12">
        <v>42039</v>
      </c>
      <c r="Z42" s="11">
        <v>-2426.5500000000002</v>
      </c>
      <c r="AA42" s="11">
        <v>12</v>
      </c>
      <c r="AB42" s="11">
        <v>1400.53</v>
      </c>
      <c r="AC42" s="11">
        <v>87947</v>
      </c>
      <c r="AD42" s="6" t="str">
        <f>IF(COUNTIF(Returns!$A$2:$A$1635,Orders!AC42)&gt;0,"Returned","Not Returned")</f>
        <v>Not Returned</v>
      </c>
    </row>
    <row r="43" spans="1:30" ht="12.75" customHeight="1" thickTop="1" thickBot="1" x14ac:dyDescent="0.25">
      <c r="A43" s="8">
        <v>18281</v>
      </c>
      <c r="B43" s="1" t="s">
        <v>25</v>
      </c>
      <c r="C43" s="1">
        <v>0.04</v>
      </c>
      <c r="D43" s="1">
        <v>296.18</v>
      </c>
      <c r="E43" s="1">
        <v>54.12</v>
      </c>
      <c r="F43" s="1">
        <v>83</v>
      </c>
      <c r="G43" s="6" t="str">
        <f>IF(COUNTIF(Table1[Customer ID],Table1[[#This Row],[Customer ID]])&gt;1,"Repeat Customer","One-Time Customer")</f>
        <v>One-Time Customer</v>
      </c>
      <c r="H43" s="1" t="s">
        <v>151</v>
      </c>
      <c r="I43" s="1" t="s">
        <v>39</v>
      </c>
      <c r="J43" s="1" t="s">
        <v>28</v>
      </c>
      <c r="K43" s="1" t="s">
        <v>41</v>
      </c>
      <c r="L43" s="1" t="s">
        <v>152</v>
      </c>
      <c r="M43" s="1" t="s">
        <v>121</v>
      </c>
      <c r="N43" s="1" t="s">
        <v>153</v>
      </c>
      <c r="O43" s="1">
        <v>0.76</v>
      </c>
      <c r="P43" s="6">
        <f>Table1[[#This Row],[Profit]]/Table1[[#This Row],[Sales]]</f>
        <v>-0.39287674118635058</v>
      </c>
      <c r="Q43" s="1" t="s">
        <v>33</v>
      </c>
      <c r="R43" s="1" t="s">
        <v>53</v>
      </c>
      <c r="S43" s="1" t="s">
        <v>154</v>
      </c>
      <c r="T43" s="1" t="s">
        <v>155</v>
      </c>
      <c r="U43" s="1">
        <v>44708</v>
      </c>
      <c r="V43" s="9">
        <v>42078</v>
      </c>
      <c r="W43" s="13" t="str">
        <f>TEXT(Table1[[#This Row],[Order Date]],"mmmm")</f>
        <v>March</v>
      </c>
      <c r="X43" s="7" t="str">
        <f>TEXT(Table1[[#This Row],[Order Date]],"yyyy")</f>
        <v>2015</v>
      </c>
      <c r="Y43" s="9">
        <v>42078</v>
      </c>
      <c r="Z43" s="1">
        <v>-715.7782060000003</v>
      </c>
      <c r="AA43" s="1">
        <v>6</v>
      </c>
      <c r="AB43" s="1">
        <v>1821.89</v>
      </c>
      <c r="AC43" s="1">
        <v>87365</v>
      </c>
      <c r="AD43" s="6" t="str">
        <f>IF(COUNTIF(Returns!$A$2:$A$1635,Orders!AC43)&gt;0,"Returned","Not Returned")</f>
        <v>Not Returned</v>
      </c>
    </row>
    <row r="44" spans="1:30" ht="12.75" customHeight="1" thickTop="1" thickBot="1" x14ac:dyDescent="0.25">
      <c r="A44" s="10">
        <v>23639</v>
      </c>
      <c r="B44" s="11" t="s">
        <v>37</v>
      </c>
      <c r="C44" s="11">
        <v>0</v>
      </c>
      <c r="D44" s="11">
        <v>8.09</v>
      </c>
      <c r="E44" s="11">
        <v>7.96</v>
      </c>
      <c r="F44" s="11">
        <v>84</v>
      </c>
      <c r="G44" s="6" t="str">
        <f>IF(COUNTIF(Table1[Customer ID],Table1[[#This Row],[Customer ID]])&gt;1,"Repeat Customer","One-Time Customer")</f>
        <v>Repeat Customer</v>
      </c>
      <c r="H44" s="11" t="s">
        <v>156</v>
      </c>
      <c r="I44" s="11" t="s">
        <v>49</v>
      </c>
      <c r="J44" s="11" t="s">
        <v>114</v>
      </c>
      <c r="K44" s="11" t="s">
        <v>41</v>
      </c>
      <c r="L44" s="11" t="s">
        <v>50</v>
      </c>
      <c r="M44" s="11" t="s">
        <v>59</v>
      </c>
      <c r="N44" s="11" t="s">
        <v>157</v>
      </c>
      <c r="O44" s="11">
        <v>0.49</v>
      </c>
      <c r="P44" s="6">
        <f>Table1[[#This Row],[Profit]]/Table1[[#This Row],[Sales]]</f>
        <v>-1.5889206418993185</v>
      </c>
      <c r="Q44" s="11" t="s">
        <v>33</v>
      </c>
      <c r="R44" s="11" t="s">
        <v>53</v>
      </c>
      <c r="S44" s="11" t="s">
        <v>154</v>
      </c>
      <c r="T44" s="11" t="s">
        <v>158</v>
      </c>
      <c r="U44" s="11">
        <v>45231</v>
      </c>
      <c r="V44" s="12">
        <v>42037</v>
      </c>
      <c r="W44" s="13" t="str">
        <f>TEXT(Table1[[#This Row],[Order Date]],"mmmm")</f>
        <v>February</v>
      </c>
      <c r="X44" s="7" t="str">
        <f>TEXT(Table1[[#This Row],[Order Date]],"yyyy")</f>
        <v>2015</v>
      </c>
      <c r="Y44" s="12">
        <v>42038</v>
      </c>
      <c r="Z44" s="11">
        <v>-144.56</v>
      </c>
      <c r="AA44" s="11">
        <v>11</v>
      </c>
      <c r="AB44" s="11">
        <v>90.98</v>
      </c>
      <c r="AC44" s="11">
        <v>87364</v>
      </c>
      <c r="AD44" s="6" t="str">
        <f>IF(COUNTIF(Returns!$A$2:$A$1635,Orders!AC44)&gt;0,"Returned","Not Returned")</f>
        <v>Not Returned</v>
      </c>
    </row>
    <row r="45" spans="1:30" ht="12.75" customHeight="1" thickTop="1" thickBot="1" x14ac:dyDescent="0.25">
      <c r="A45" s="8">
        <v>23880</v>
      </c>
      <c r="B45" s="1" t="s">
        <v>25</v>
      </c>
      <c r="C45" s="1">
        <v>0.08</v>
      </c>
      <c r="D45" s="1">
        <v>896.99</v>
      </c>
      <c r="E45" s="1">
        <v>19.989999999999998</v>
      </c>
      <c r="F45" s="1">
        <v>84</v>
      </c>
      <c r="G45" s="6" t="str">
        <f>IF(COUNTIF(Table1[Customer ID],Table1[[#This Row],[Customer ID]])&gt;1,"Repeat Customer","One-Time Customer")</f>
        <v>Repeat Customer</v>
      </c>
      <c r="H45" s="1" t="s">
        <v>156</v>
      </c>
      <c r="I45" s="1" t="s">
        <v>49</v>
      </c>
      <c r="J45" s="1" t="s">
        <v>28</v>
      </c>
      <c r="K45" s="1" t="s">
        <v>29</v>
      </c>
      <c r="L45" s="1" t="s">
        <v>109</v>
      </c>
      <c r="M45" s="1" t="s">
        <v>59</v>
      </c>
      <c r="N45" s="1" t="s">
        <v>159</v>
      </c>
      <c r="O45" s="1">
        <v>0.38</v>
      </c>
      <c r="P45" s="6">
        <f>Table1[[#This Row],[Profit]]/Table1[[#This Row],[Sales]]</f>
        <v>0.69</v>
      </c>
      <c r="Q45" s="1" t="s">
        <v>33</v>
      </c>
      <c r="R45" s="1" t="s">
        <v>53</v>
      </c>
      <c r="S45" s="1" t="s">
        <v>154</v>
      </c>
      <c r="T45" s="1" t="s">
        <v>158</v>
      </c>
      <c r="U45" s="1">
        <v>45231</v>
      </c>
      <c r="V45" s="9">
        <v>42093</v>
      </c>
      <c r="W45" s="13" t="str">
        <f>TEXT(Table1[[#This Row],[Order Date]],"mmmm")</f>
        <v>March</v>
      </c>
      <c r="X45" s="7" t="str">
        <f>TEXT(Table1[[#This Row],[Order Date]],"yyyy")</f>
        <v>2015</v>
      </c>
      <c r="Y45" s="9">
        <v>42096</v>
      </c>
      <c r="Z45" s="1">
        <v>7402.32</v>
      </c>
      <c r="AA45" s="1">
        <v>13</v>
      </c>
      <c r="AB45" s="1">
        <v>10728</v>
      </c>
      <c r="AC45" s="1">
        <v>87366</v>
      </c>
      <c r="AD45" s="6" t="str">
        <f>IF(COUNTIF(Returns!$A$2:$A$1635,Orders!AC45)&gt;0,"Returned","Not Returned")</f>
        <v>Not Returned</v>
      </c>
    </row>
    <row r="46" spans="1:30" ht="12.75" customHeight="1" thickTop="1" thickBot="1" x14ac:dyDescent="0.25">
      <c r="A46" s="10">
        <v>24663</v>
      </c>
      <c r="B46" s="11" t="s">
        <v>106</v>
      </c>
      <c r="C46" s="11">
        <v>0.05</v>
      </c>
      <c r="D46" s="11">
        <v>161.55000000000001</v>
      </c>
      <c r="E46" s="11">
        <v>19.989999999999998</v>
      </c>
      <c r="F46" s="11">
        <v>87</v>
      </c>
      <c r="G46" s="6" t="str">
        <f>IF(COUNTIF(Table1[Customer ID],Table1[[#This Row],[Customer ID]])&gt;1,"Repeat Customer","One-Time Customer")</f>
        <v>Repeat Customer</v>
      </c>
      <c r="H46" s="11" t="s">
        <v>160</v>
      </c>
      <c r="I46" s="11" t="s">
        <v>49</v>
      </c>
      <c r="J46" s="11" t="s">
        <v>28</v>
      </c>
      <c r="K46" s="11" t="s">
        <v>29</v>
      </c>
      <c r="L46" s="11" t="s">
        <v>141</v>
      </c>
      <c r="M46" s="11" t="s">
        <v>59</v>
      </c>
      <c r="N46" s="11" t="s">
        <v>161</v>
      </c>
      <c r="O46" s="11">
        <v>0.66</v>
      </c>
      <c r="P46" s="6">
        <f>Table1[[#This Row],[Profit]]/Table1[[#This Row],[Sales]]</f>
        <v>0.60505484878616489</v>
      </c>
      <c r="Q46" s="11" t="s">
        <v>33</v>
      </c>
      <c r="R46" s="11" t="s">
        <v>34</v>
      </c>
      <c r="S46" s="11" t="s">
        <v>45</v>
      </c>
      <c r="T46" s="11" t="s">
        <v>162</v>
      </c>
      <c r="U46" s="11">
        <v>95687</v>
      </c>
      <c r="V46" s="12">
        <v>42158</v>
      </c>
      <c r="W46" s="13" t="str">
        <f>TEXT(Table1[[#This Row],[Order Date]],"mmmm")</f>
        <v>June</v>
      </c>
      <c r="X46" s="7" t="str">
        <f>TEXT(Table1[[#This Row],[Order Date]],"yyyy")</f>
        <v>2015</v>
      </c>
      <c r="Y46" s="12">
        <v>42163</v>
      </c>
      <c r="Z46" s="11">
        <v>1892.424</v>
      </c>
      <c r="AA46" s="11">
        <v>19</v>
      </c>
      <c r="AB46" s="11">
        <v>3127.69</v>
      </c>
      <c r="AC46" s="11">
        <v>90596</v>
      </c>
      <c r="AD46" s="6" t="str">
        <f>IF(COUNTIF(Returns!$A$2:$A$1635,Orders!AC46)&gt;0,"Returned","Not Returned")</f>
        <v>Not Returned</v>
      </c>
    </row>
    <row r="47" spans="1:30" ht="12.75" customHeight="1" thickTop="1" thickBot="1" x14ac:dyDescent="0.25">
      <c r="A47" s="8">
        <v>23841</v>
      </c>
      <c r="B47" s="1" t="s">
        <v>25</v>
      </c>
      <c r="C47" s="1">
        <v>0.09</v>
      </c>
      <c r="D47" s="1">
        <v>4.91</v>
      </c>
      <c r="E47" s="1">
        <v>0.5</v>
      </c>
      <c r="F47" s="1">
        <v>87</v>
      </c>
      <c r="G47" s="6" t="str">
        <f>IF(COUNTIF(Table1[Customer ID],Table1[[#This Row],[Customer ID]])&gt;1,"Repeat Customer","One-Time Customer")</f>
        <v>Repeat Customer</v>
      </c>
      <c r="H47" s="1" t="s">
        <v>160</v>
      </c>
      <c r="I47" s="1" t="s">
        <v>49</v>
      </c>
      <c r="J47" s="1" t="s">
        <v>28</v>
      </c>
      <c r="K47" s="1" t="s">
        <v>29</v>
      </c>
      <c r="L47" s="1" t="s">
        <v>134</v>
      </c>
      <c r="M47" s="1" t="s">
        <v>59</v>
      </c>
      <c r="N47" s="1" t="s">
        <v>163</v>
      </c>
      <c r="O47" s="1">
        <v>0.36</v>
      </c>
      <c r="P47" s="6">
        <f>Table1[[#This Row],[Profit]]/Table1[[#This Row],[Sales]]</f>
        <v>0.69</v>
      </c>
      <c r="Q47" s="1" t="s">
        <v>33</v>
      </c>
      <c r="R47" s="1" t="s">
        <v>34</v>
      </c>
      <c r="S47" s="1" t="s">
        <v>45</v>
      </c>
      <c r="T47" s="1" t="s">
        <v>162</v>
      </c>
      <c r="U47" s="1">
        <v>95687</v>
      </c>
      <c r="V47" s="9">
        <v>42085</v>
      </c>
      <c r="W47" s="13" t="str">
        <f>TEXT(Table1[[#This Row],[Order Date]],"mmmm")</f>
        <v>March</v>
      </c>
      <c r="X47" s="7" t="str">
        <f>TEXT(Table1[[#This Row],[Order Date]],"yyyy")</f>
        <v>2015</v>
      </c>
      <c r="Y47" s="9">
        <v>42086</v>
      </c>
      <c r="Z47" s="1">
        <v>28.855799999999999</v>
      </c>
      <c r="AA47" s="1">
        <v>9</v>
      </c>
      <c r="AB47" s="1">
        <v>41.82</v>
      </c>
      <c r="AC47" s="1">
        <v>90597</v>
      </c>
      <c r="AD47" s="6" t="str">
        <f>IF(COUNTIF(Returns!$A$2:$A$1635,Orders!AC47)&gt;0,"Returned","Not Returned")</f>
        <v>Not Returned</v>
      </c>
    </row>
    <row r="48" spans="1:30" ht="12.75" customHeight="1" thickTop="1" thickBot="1" x14ac:dyDescent="0.25">
      <c r="A48" s="10">
        <v>23842</v>
      </c>
      <c r="B48" s="11" t="s">
        <v>25</v>
      </c>
      <c r="C48" s="11">
        <v>0.01</v>
      </c>
      <c r="D48" s="11">
        <v>296.18</v>
      </c>
      <c r="E48" s="11">
        <v>54.12</v>
      </c>
      <c r="F48" s="11">
        <v>87</v>
      </c>
      <c r="G48" s="6" t="str">
        <f>IF(COUNTIF(Table1[Customer ID],Table1[[#This Row],[Customer ID]])&gt;1,"Repeat Customer","One-Time Customer")</f>
        <v>Repeat Customer</v>
      </c>
      <c r="H48" s="11" t="s">
        <v>160</v>
      </c>
      <c r="I48" s="11" t="s">
        <v>39</v>
      </c>
      <c r="J48" s="11" t="s">
        <v>28</v>
      </c>
      <c r="K48" s="11" t="s">
        <v>41</v>
      </c>
      <c r="L48" s="11" t="s">
        <v>152</v>
      </c>
      <c r="M48" s="11" t="s">
        <v>121</v>
      </c>
      <c r="N48" s="11" t="s">
        <v>153</v>
      </c>
      <c r="O48" s="11">
        <v>0.76</v>
      </c>
      <c r="P48" s="6">
        <f>Table1[[#This Row],[Profit]]/Table1[[#This Row],[Sales]]</f>
        <v>6.0325761896151228E-2</v>
      </c>
      <c r="Q48" s="11" t="s">
        <v>33</v>
      </c>
      <c r="R48" s="11" t="s">
        <v>34</v>
      </c>
      <c r="S48" s="11" t="s">
        <v>45</v>
      </c>
      <c r="T48" s="11" t="s">
        <v>162</v>
      </c>
      <c r="U48" s="11">
        <v>95687</v>
      </c>
      <c r="V48" s="12">
        <v>42085</v>
      </c>
      <c r="W48" s="13" t="str">
        <f>TEXT(Table1[[#This Row],[Order Date]],"mmmm")</f>
        <v>March</v>
      </c>
      <c r="X48" s="7" t="str">
        <f>TEXT(Table1[[#This Row],[Order Date]],"yyyy")</f>
        <v>2015</v>
      </c>
      <c r="Y48" s="12">
        <v>42088</v>
      </c>
      <c r="Z48" s="11">
        <v>173.48</v>
      </c>
      <c r="AA48" s="11">
        <v>9</v>
      </c>
      <c r="AB48" s="11">
        <v>2875.72</v>
      </c>
      <c r="AC48" s="11">
        <v>90597</v>
      </c>
      <c r="AD48" s="6" t="str">
        <f>IF(COUNTIF(Returns!$A$2:$A$1635,Orders!AC48)&gt;0,"Returned","Not Returned")</f>
        <v>Not Returned</v>
      </c>
    </row>
    <row r="49" spans="1:30" ht="12.75" customHeight="1" thickTop="1" thickBot="1" x14ac:dyDescent="0.25">
      <c r="A49" s="8">
        <v>23071</v>
      </c>
      <c r="B49" s="1" t="s">
        <v>25</v>
      </c>
      <c r="C49" s="1">
        <v>7.0000000000000007E-2</v>
      </c>
      <c r="D49" s="1">
        <v>19.84</v>
      </c>
      <c r="E49" s="1">
        <v>4.0999999999999996</v>
      </c>
      <c r="F49" s="1">
        <v>91</v>
      </c>
      <c r="G49" s="6" t="str">
        <f>IF(COUNTIF(Table1[Customer ID],Table1[[#This Row],[Customer ID]])&gt;1,"Repeat Customer","One-Time Customer")</f>
        <v>Repeat Customer</v>
      </c>
      <c r="H49" s="1" t="s">
        <v>164</v>
      </c>
      <c r="I49" s="1" t="s">
        <v>49</v>
      </c>
      <c r="J49" s="1" t="s">
        <v>40</v>
      </c>
      <c r="K49" s="1" t="s">
        <v>29</v>
      </c>
      <c r="L49" s="1" t="s">
        <v>30</v>
      </c>
      <c r="M49" s="1" t="s">
        <v>31</v>
      </c>
      <c r="N49" s="1" t="s">
        <v>165</v>
      </c>
      <c r="O49" s="1">
        <v>0.44</v>
      </c>
      <c r="P49" s="6">
        <f>Table1[[#This Row],[Profit]]/Table1[[#This Row],[Sales]]</f>
        <v>0.69</v>
      </c>
      <c r="Q49" s="1" t="s">
        <v>33</v>
      </c>
      <c r="R49" s="1" t="s">
        <v>34</v>
      </c>
      <c r="S49" s="1" t="s">
        <v>45</v>
      </c>
      <c r="T49" s="1" t="s">
        <v>166</v>
      </c>
      <c r="U49" s="1">
        <v>94591</v>
      </c>
      <c r="V49" s="9">
        <v>42141</v>
      </c>
      <c r="W49" s="13" t="str">
        <f>TEXT(Table1[[#This Row],[Order Date]],"mmmm")</f>
        <v>May</v>
      </c>
      <c r="X49" s="7" t="str">
        <f>TEXT(Table1[[#This Row],[Order Date]],"yyyy")</f>
        <v>2015</v>
      </c>
      <c r="Y49" s="9">
        <v>42142</v>
      </c>
      <c r="Z49" s="1">
        <v>117.852</v>
      </c>
      <c r="AA49" s="1">
        <v>9</v>
      </c>
      <c r="AB49" s="1">
        <v>170.8</v>
      </c>
      <c r="AC49" s="1">
        <v>87175</v>
      </c>
      <c r="AD49" s="6" t="str">
        <f>IF(COUNTIF(Returns!$A$2:$A$1635,Orders!AC49)&gt;0,"Returned","Not Returned")</f>
        <v>Not Returned</v>
      </c>
    </row>
    <row r="50" spans="1:30" ht="12.75" customHeight="1" thickTop="1" thickBot="1" x14ac:dyDescent="0.25">
      <c r="A50" s="10">
        <v>19877</v>
      </c>
      <c r="B50" s="11" t="s">
        <v>56</v>
      </c>
      <c r="C50" s="11">
        <v>0.05</v>
      </c>
      <c r="D50" s="11">
        <v>5.18</v>
      </c>
      <c r="E50" s="11">
        <v>2.04</v>
      </c>
      <c r="F50" s="11">
        <v>91</v>
      </c>
      <c r="G50" s="6" t="str">
        <f>IF(COUNTIF(Table1[Customer ID],Table1[[#This Row],[Customer ID]])&gt;1,"Repeat Customer","One-Time Customer")</f>
        <v>Repeat Customer</v>
      </c>
      <c r="H50" s="11" t="s">
        <v>164</v>
      </c>
      <c r="I50" s="11" t="s">
        <v>49</v>
      </c>
      <c r="J50" s="11" t="s">
        <v>40</v>
      </c>
      <c r="K50" s="11" t="s">
        <v>29</v>
      </c>
      <c r="L50" s="11" t="s">
        <v>93</v>
      </c>
      <c r="M50" s="11" t="s">
        <v>31</v>
      </c>
      <c r="N50" s="11" t="s">
        <v>167</v>
      </c>
      <c r="O50" s="11">
        <v>0.36</v>
      </c>
      <c r="P50" s="6">
        <f>Table1[[#This Row],[Profit]]/Table1[[#This Row],[Sales]]</f>
        <v>0.6352334703025776</v>
      </c>
      <c r="Q50" s="11" t="s">
        <v>33</v>
      </c>
      <c r="R50" s="11" t="s">
        <v>34</v>
      </c>
      <c r="S50" s="11" t="s">
        <v>45</v>
      </c>
      <c r="T50" s="11" t="s">
        <v>166</v>
      </c>
      <c r="U50" s="11">
        <v>94591</v>
      </c>
      <c r="V50" s="12">
        <v>42053</v>
      </c>
      <c r="W50" s="13" t="str">
        <f>TEXT(Table1[[#This Row],[Order Date]],"mmmm")</f>
        <v>February</v>
      </c>
      <c r="X50" s="7" t="str">
        <f>TEXT(Table1[[#This Row],[Order Date]],"yyyy")</f>
        <v>2015</v>
      </c>
      <c r="Y50" s="12">
        <v>42055</v>
      </c>
      <c r="Z50" s="11">
        <v>34.010400000000004</v>
      </c>
      <c r="AA50" s="11">
        <v>10</v>
      </c>
      <c r="AB50" s="11">
        <v>53.54</v>
      </c>
      <c r="AC50" s="11">
        <v>87176</v>
      </c>
      <c r="AD50" s="6" t="str">
        <f>IF(COUNTIF(Returns!$A$2:$A$1635,Orders!AC50)&gt;0,"Returned","Not Returned")</f>
        <v>Not Returned</v>
      </c>
    </row>
    <row r="51" spans="1:30" ht="12.75" customHeight="1" thickTop="1" thickBot="1" x14ac:dyDescent="0.25">
      <c r="A51" s="8">
        <v>19611</v>
      </c>
      <c r="B51" s="1" t="s">
        <v>56</v>
      </c>
      <c r="C51" s="1">
        <v>0.06</v>
      </c>
      <c r="D51" s="1">
        <v>175.99</v>
      </c>
      <c r="E51" s="1">
        <v>8.99</v>
      </c>
      <c r="F51" s="1">
        <v>91</v>
      </c>
      <c r="G51" s="6" t="str">
        <f>IF(COUNTIF(Table1[Customer ID],Table1[[#This Row],[Customer ID]])&gt;1,"Repeat Customer","One-Time Customer")</f>
        <v>Repeat Customer</v>
      </c>
      <c r="H51" s="1" t="s">
        <v>164</v>
      </c>
      <c r="I51" s="1" t="s">
        <v>49</v>
      </c>
      <c r="J51" s="1" t="s">
        <v>28</v>
      </c>
      <c r="K51" s="1" t="s">
        <v>77</v>
      </c>
      <c r="L51" s="1" t="s">
        <v>78</v>
      </c>
      <c r="M51" s="1" t="s">
        <v>59</v>
      </c>
      <c r="N51" s="1" t="s">
        <v>168</v>
      </c>
      <c r="O51" s="1">
        <v>0.56999999999999995</v>
      </c>
      <c r="P51" s="6">
        <f>Table1[[#This Row],[Profit]]/Table1[[#This Row],[Sales]]</f>
        <v>0.60398063938778601</v>
      </c>
      <c r="Q51" s="1" t="s">
        <v>33</v>
      </c>
      <c r="R51" s="1" t="s">
        <v>34</v>
      </c>
      <c r="S51" s="1" t="s">
        <v>45</v>
      </c>
      <c r="T51" s="1" t="s">
        <v>166</v>
      </c>
      <c r="U51" s="1">
        <v>94591</v>
      </c>
      <c r="V51" s="9">
        <v>42067</v>
      </c>
      <c r="W51" s="13" t="str">
        <f>TEXT(Table1[[#This Row],[Order Date]],"mmmm")</f>
        <v>March</v>
      </c>
      <c r="X51" s="7" t="str">
        <f>TEXT(Table1[[#This Row],[Order Date]],"yyyy")</f>
        <v>2015</v>
      </c>
      <c r="Y51" s="9">
        <v>42069</v>
      </c>
      <c r="Z51" s="1">
        <v>2031.5070000000001</v>
      </c>
      <c r="AA51" s="1">
        <v>23</v>
      </c>
      <c r="AB51" s="1">
        <v>3363.53</v>
      </c>
      <c r="AC51" s="1">
        <v>87177</v>
      </c>
      <c r="AD51" s="6" t="str">
        <f>IF(COUNTIF(Returns!$A$2:$A$1635,Orders!AC51)&gt;0,"Returned","Not Returned")</f>
        <v>Not Returned</v>
      </c>
    </row>
    <row r="52" spans="1:30" ht="12.75" customHeight="1" thickTop="1" thickBot="1" x14ac:dyDescent="0.25">
      <c r="A52" s="10">
        <v>23069</v>
      </c>
      <c r="B52" s="11" t="s">
        <v>25</v>
      </c>
      <c r="C52" s="11">
        <v>7.0000000000000007E-2</v>
      </c>
      <c r="D52" s="11">
        <v>8.34</v>
      </c>
      <c r="E52" s="11">
        <v>1.43</v>
      </c>
      <c r="F52" s="11">
        <v>92</v>
      </c>
      <c r="G52" s="6" t="str">
        <f>IF(COUNTIF(Table1[Customer ID],Table1[[#This Row],[Customer ID]])&gt;1,"Repeat Customer","One-Time Customer")</f>
        <v>Repeat Customer</v>
      </c>
      <c r="H52" s="11" t="s">
        <v>169</v>
      </c>
      <c r="I52" s="11" t="s">
        <v>49</v>
      </c>
      <c r="J52" s="11" t="s">
        <v>40</v>
      </c>
      <c r="K52" s="11" t="s">
        <v>29</v>
      </c>
      <c r="L52" s="11" t="s">
        <v>93</v>
      </c>
      <c r="M52" s="11" t="s">
        <v>31</v>
      </c>
      <c r="N52" s="11" t="s">
        <v>170</v>
      </c>
      <c r="O52" s="11">
        <v>0.35</v>
      </c>
      <c r="P52" s="6">
        <f>Table1[[#This Row],[Profit]]/Table1[[#This Row],[Sales]]</f>
        <v>-1.4436705027256205</v>
      </c>
      <c r="Q52" s="11" t="s">
        <v>33</v>
      </c>
      <c r="R52" s="11" t="s">
        <v>136</v>
      </c>
      <c r="S52" s="11" t="s">
        <v>171</v>
      </c>
      <c r="T52" s="11" t="s">
        <v>172</v>
      </c>
      <c r="U52" s="11">
        <v>70056</v>
      </c>
      <c r="V52" s="12">
        <v>42141</v>
      </c>
      <c r="W52" s="13" t="str">
        <f>TEXT(Table1[[#This Row],[Order Date]],"mmmm")</f>
        <v>May</v>
      </c>
      <c r="X52" s="7" t="str">
        <f>TEXT(Table1[[#This Row],[Order Date]],"yyyy")</f>
        <v>2015</v>
      </c>
      <c r="Y52" s="12">
        <v>42143</v>
      </c>
      <c r="Z52" s="11">
        <v>-190.67999999999998</v>
      </c>
      <c r="AA52" s="11">
        <v>16</v>
      </c>
      <c r="AB52" s="11">
        <v>132.08000000000001</v>
      </c>
      <c r="AC52" s="11">
        <v>87175</v>
      </c>
      <c r="AD52" s="6" t="str">
        <f>IF(COUNTIF(Returns!$A$2:$A$1635,Orders!AC52)&gt;0,"Returned","Not Returned")</f>
        <v>Not Returned</v>
      </c>
    </row>
    <row r="53" spans="1:30" ht="12.75" customHeight="1" thickTop="1" thickBot="1" x14ac:dyDescent="0.25">
      <c r="A53" s="8">
        <v>23070</v>
      </c>
      <c r="B53" s="1" t="s">
        <v>25</v>
      </c>
      <c r="C53" s="1">
        <v>0.09</v>
      </c>
      <c r="D53" s="1">
        <v>4.9800000000000004</v>
      </c>
      <c r="E53" s="1">
        <v>6.07</v>
      </c>
      <c r="F53" s="1">
        <v>92</v>
      </c>
      <c r="G53" s="6" t="str">
        <f>IF(COUNTIF(Table1[Customer ID],Table1[[#This Row],[Customer ID]])&gt;1,"Repeat Customer","One-Time Customer")</f>
        <v>Repeat Customer</v>
      </c>
      <c r="H53" s="1" t="s">
        <v>169</v>
      </c>
      <c r="I53" s="1" t="s">
        <v>49</v>
      </c>
      <c r="J53" s="1" t="s">
        <v>40</v>
      </c>
      <c r="K53" s="1" t="s">
        <v>29</v>
      </c>
      <c r="L53" s="1" t="s">
        <v>93</v>
      </c>
      <c r="M53" s="1" t="s">
        <v>59</v>
      </c>
      <c r="N53" s="1" t="s">
        <v>173</v>
      </c>
      <c r="O53" s="1">
        <v>0.36</v>
      </c>
      <c r="P53" s="6">
        <f>Table1[[#This Row],[Profit]]/Table1[[#This Row],[Sales]]</f>
        <v>7.176841640935157</v>
      </c>
      <c r="Q53" s="1" t="s">
        <v>33</v>
      </c>
      <c r="R53" s="1" t="s">
        <v>136</v>
      </c>
      <c r="S53" s="1" t="s">
        <v>171</v>
      </c>
      <c r="T53" s="1" t="s">
        <v>172</v>
      </c>
      <c r="U53" s="1">
        <v>70056</v>
      </c>
      <c r="V53" s="9">
        <v>42141</v>
      </c>
      <c r="W53" s="13" t="str">
        <f>TEXT(Table1[[#This Row],[Order Date]],"mmmm")</f>
        <v>May</v>
      </c>
      <c r="X53" s="7" t="str">
        <f>TEXT(Table1[[#This Row],[Order Date]],"yyyy")</f>
        <v>2015</v>
      </c>
      <c r="Y53" s="9">
        <v>42142</v>
      </c>
      <c r="Z53" s="1">
        <v>325.39800000000002</v>
      </c>
      <c r="AA53" s="1">
        <v>9</v>
      </c>
      <c r="AB53" s="1">
        <v>45.34</v>
      </c>
      <c r="AC53" s="1">
        <v>87175</v>
      </c>
      <c r="AD53" s="6" t="str">
        <f>IF(COUNTIF(Returns!$A$2:$A$1635,Orders!AC53)&gt;0,"Returned","Not Returned")</f>
        <v>Not Returned</v>
      </c>
    </row>
    <row r="54" spans="1:30" ht="12.75" customHeight="1" thickTop="1" thickBot="1" x14ac:dyDescent="0.25">
      <c r="A54" s="10">
        <v>23203</v>
      </c>
      <c r="B54" s="11" t="s">
        <v>56</v>
      </c>
      <c r="C54" s="11">
        <v>0.04</v>
      </c>
      <c r="D54" s="11">
        <v>12.98</v>
      </c>
      <c r="E54" s="11">
        <v>3.14</v>
      </c>
      <c r="F54" s="11">
        <v>92</v>
      </c>
      <c r="G54" s="6" t="str">
        <f>IF(COUNTIF(Table1[Customer ID],Table1[[#This Row],[Customer ID]])&gt;1,"Repeat Customer","One-Time Customer")</f>
        <v>Repeat Customer</v>
      </c>
      <c r="H54" s="11" t="s">
        <v>169</v>
      </c>
      <c r="I54" s="11" t="s">
        <v>27</v>
      </c>
      <c r="J54" s="11" t="s">
        <v>28</v>
      </c>
      <c r="K54" s="11" t="s">
        <v>29</v>
      </c>
      <c r="L54" s="11" t="s">
        <v>174</v>
      </c>
      <c r="M54" s="11" t="s">
        <v>51</v>
      </c>
      <c r="N54" s="11" t="s">
        <v>175</v>
      </c>
      <c r="O54" s="11">
        <v>0.6</v>
      </c>
      <c r="P54" s="6">
        <f>Table1[[#This Row],[Profit]]/Table1[[#This Row],[Sales]]</f>
        <v>0.1056193297537493</v>
      </c>
      <c r="Q54" s="11" t="s">
        <v>33</v>
      </c>
      <c r="R54" s="11" t="s">
        <v>136</v>
      </c>
      <c r="S54" s="11" t="s">
        <v>171</v>
      </c>
      <c r="T54" s="11" t="s">
        <v>172</v>
      </c>
      <c r="U54" s="11">
        <v>70056</v>
      </c>
      <c r="V54" s="12">
        <v>42162</v>
      </c>
      <c r="W54" s="13" t="str">
        <f>TEXT(Table1[[#This Row],[Order Date]],"mmmm")</f>
        <v>June</v>
      </c>
      <c r="X54" s="7" t="str">
        <f>TEXT(Table1[[#This Row],[Order Date]],"yyyy")</f>
        <v>2015</v>
      </c>
      <c r="Y54" s="12">
        <v>42164</v>
      </c>
      <c r="Z54" s="11">
        <v>22.817999999999998</v>
      </c>
      <c r="AA54" s="11">
        <v>16</v>
      </c>
      <c r="AB54" s="11">
        <v>216.04</v>
      </c>
      <c r="AC54" s="11">
        <v>87178</v>
      </c>
      <c r="AD54" s="6" t="str">
        <f>IF(COUNTIF(Returns!$A$2:$A$1635,Orders!AC54)&gt;0,"Returned","Not Returned")</f>
        <v>Not Returned</v>
      </c>
    </row>
    <row r="55" spans="1:30" ht="12.75" customHeight="1" thickTop="1" thickBot="1" x14ac:dyDescent="0.25">
      <c r="A55" s="8">
        <v>6243</v>
      </c>
      <c r="B55" s="1" t="s">
        <v>37</v>
      </c>
      <c r="C55" s="1">
        <v>0.04</v>
      </c>
      <c r="D55" s="1">
        <v>160.97999999999999</v>
      </c>
      <c r="E55" s="1">
        <v>30</v>
      </c>
      <c r="F55" s="1">
        <v>94</v>
      </c>
      <c r="G55" s="6" t="str">
        <f>IF(COUNTIF(Table1[Customer ID],Table1[[#This Row],[Customer ID]])&gt;1,"Repeat Customer","One-Time Customer")</f>
        <v>Repeat Customer</v>
      </c>
      <c r="H55" s="1" t="s">
        <v>176</v>
      </c>
      <c r="I55" s="1" t="s">
        <v>39</v>
      </c>
      <c r="J55" s="1" t="s">
        <v>40</v>
      </c>
      <c r="K55" s="1" t="s">
        <v>41</v>
      </c>
      <c r="L55" s="1" t="s">
        <v>42</v>
      </c>
      <c r="M55" s="1" t="s">
        <v>43</v>
      </c>
      <c r="N55" s="1" t="s">
        <v>177</v>
      </c>
      <c r="O55" s="1">
        <v>0.62</v>
      </c>
      <c r="P55" s="6">
        <f>Table1[[#This Row],[Profit]]/Table1[[#This Row],[Sales]]</f>
        <v>1.8498041852417171E-2</v>
      </c>
      <c r="Q55" s="1" t="s">
        <v>33</v>
      </c>
      <c r="R55" s="1" t="s">
        <v>61</v>
      </c>
      <c r="S55" s="1" t="s">
        <v>178</v>
      </c>
      <c r="T55" s="1" t="s">
        <v>179</v>
      </c>
      <c r="U55" s="1">
        <v>60601</v>
      </c>
      <c r="V55" s="9">
        <v>42127</v>
      </c>
      <c r="W55" s="13" t="str">
        <f>TEXT(Table1[[#This Row],[Order Date]],"mmmm")</f>
        <v>May</v>
      </c>
      <c r="X55" s="7" t="str">
        <f>TEXT(Table1[[#This Row],[Order Date]],"yyyy")</f>
        <v>2015</v>
      </c>
      <c r="Y55" s="9">
        <v>42129</v>
      </c>
      <c r="Z55" s="1">
        <v>116.1</v>
      </c>
      <c r="AA55" s="1">
        <v>37</v>
      </c>
      <c r="AB55" s="1">
        <v>6276.34</v>
      </c>
      <c r="AC55" s="1">
        <v>44231</v>
      </c>
      <c r="AD55" s="6" t="str">
        <f>IF(COUNTIF(Returns!$A$2:$A$1635,Orders!AC55)&gt;0,"Returned","Not Returned")</f>
        <v>Not Returned</v>
      </c>
    </row>
    <row r="56" spans="1:30" ht="12.75" customHeight="1" thickTop="1" thickBot="1" x14ac:dyDescent="0.25">
      <c r="A56" s="10">
        <v>6244</v>
      </c>
      <c r="B56" s="11" t="s">
        <v>37</v>
      </c>
      <c r="C56" s="11">
        <v>0.01</v>
      </c>
      <c r="D56" s="11">
        <v>17.98</v>
      </c>
      <c r="E56" s="11">
        <v>4</v>
      </c>
      <c r="F56" s="11">
        <v>94</v>
      </c>
      <c r="G56" s="6" t="str">
        <f>IF(COUNTIF(Table1[Customer ID],Table1[[#This Row],[Customer ID]])&gt;1,"Repeat Customer","One-Time Customer")</f>
        <v>Repeat Customer</v>
      </c>
      <c r="H56" s="11" t="s">
        <v>176</v>
      </c>
      <c r="I56" s="11" t="s">
        <v>49</v>
      </c>
      <c r="J56" s="11" t="s">
        <v>40</v>
      </c>
      <c r="K56" s="11" t="s">
        <v>77</v>
      </c>
      <c r="L56" s="11" t="s">
        <v>180</v>
      </c>
      <c r="M56" s="11" t="s">
        <v>59</v>
      </c>
      <c r="N56" s="11" t="s">
        <v>181</v>
      </c>
      <c r="O56" s="11">
        <v>0.79</v>
      </c>
      <c r="P56" s="6">
        <f>Table1[[#This Row],[Profit]]/Table1[[#This Row],[Sales]]</f>
        <v>-3.3013061101936643E-2</v>
      </c>
      <c r="Q56" s="11" t="s">
        <v>33</v>
      </c>
      <c r="R56" s="11" t="s">
        <v>61</v>
      </c>
      <c r="S56" s="11" t="s">
        <v>178</v>
      </c>
      <c r="T56" s="11" t="s">
        <v>179</v>
      </c>
      <c r="U56" s="11">
        <v>60601</v>
      </c>
      <c r="V56" s="12">
        <v>42127</v>
      </c>
      <c r="W56" s="13" t="str">
        <f>TEXT(Table1[[#This Row],[Order Date]],"mmmm")</f>
        <v>May</v>
      </c>
      <c r="X56" s="7" t="str">
        <f>TEXT(Table1[[#This Row],[Order Date]],"yyyy")</f>
        <v>2015</v>
      </c>
      <c r="Y56" s="12">
        <v>42129</v>
      </c>
      <c r="Z56" s="11">
        <v>-87.96</v>
      </c>
      <c r="AA56" s="11">
        <v>146</v>
      </c>
      <c r="AB56" s="11">
        <v>2664.4</v>
      </c>
      <c r="AC56" s="11">
        <v>44231</v>
      </c>
      <c r="AD56" s="6" t="str">
        <f>IF(COUNTIF(Returns!$A$2:$A$1635,Orders!AC56)&gt;0,"Returned","Not Returned")</f>
        <v>Not Returned</v>
      </c>
    </row>
    <row r="57" spans="1:30" ht="12.75" customHeight="1" thickTop="1" thickBot="1" x14ac:dyDescent="0.25">
      <c r="A57" s="8">
        <v>24243</v>
      </c>
      <c r="B57" s="1" t="s">
        <v>37</v>
      </c>
      <c r="C57" s="1">
        <v>0.04</v>
      </c>
      <c r="D57" s="1">
        <v>160.97999999999999</v>
      </c>
      <c r="E57" s="1">
        <v>30</v>
      </c>
      <c r="F57" s="1">
        <v>97</v>
      </c>
      <c r="G57" s="6" t="str">
        <f>IF(COUNTIF(Table1[Customer ID],Table1[[#This Row],[Customer ID]])&gt;1,"Repeat Customer","One-Time Customer")</f>
        <v>Repeat Customer</v>
      </c>
      <c r="H57" s="1" t="s">
        <v>182</v>
      </c>
      <c r="I57" s="1" t="s">
        <v>39</v>
      </c>
      <c r="J57" s="1" t="s">
        <v>40</v>
      </c>
      <c r="K57" s="1" t="s">
        <v>41</v>
      </c>
      <c r="L57" s="1" t="s">
        <v>42</v>
      </c>
      <c r="M57" s="1" t="s">
        <v>43</v>
      </c>
      <c r="N57" s="1" t="s">
        <v>177</v>
      </c>
      <c r="O57" s="1">
        <v>0.62</v>
      </c>
      <c r="P57" s="6">
        <f>Table1[[#This Row],[Profit]]/Table1[[#This Row],[Sales]]</f>
        <v>0.16730421568370582</v>
      </c>
      <c r="Q57" s="1" t="s">
        <v>33</v>
      </c>
      <c r="R57" s="1" t="s">
        <v>61</v>
      </c>
      <c r="S57" s="1" t="s">
        <v>183</v>
      </c>
      <c r="T57" s="1" t="s">
        <v>184</v>
      </c>
      <c r="U57" s="1">
        <v>66502</v>
      </c>
      <c r="V57" s="9">
        <v>42127</v>
      </c>
      <c r="W57" s="13" t="str">
        <f>TEXT(Table1[[#This Row],[Order Date]],"mmmm")</f>
        <v>May</v>
      </c>
      <c r="X57" s="7" t="str">
        <f>TEXT(Table1[[#This Row],[Order Date]],"yyyy")</f>
        <v>2015</v>
      </c>
      <c r="Y57" s="9">
        <v>42129</v>
      </c>
      <c r="Z57" s="1">
        <v>255.42000000000002</v>
      </c>
      <c r="AA57" s="1">
        <v>9</v>
      </c>
      <c r="AB57" s="1">
        <v>1526.68</v>
      </c>
      <c r="AC57" s="1">
        <v>87306</v>
      </c>
      <c r="AD57" s="6" t="str">
        <f>IF(COUNTIF(Returns!$A$2:$A$1635,Orders!AC57)&gt;0,"Returned","Not Returned")</f>
        <v>Not Returned</v>
      </c>
    </row>
    <row r="58" spans="1:30" ht="12.75" customHeight="1" thickTop="1" thickBot="1" x14ac:dyDescent="0.25">
      <c r="A58" s="10">
        <v>24245</v>
      </c>
      <c r="B58" s="11" t="s">
        <v>37</v>
      </c>
      <c r="C58" s="11">
        <v>0.06</v>
      </c>
      <c r="D58" s="11">
        <v>115.99</v>
      </c>
      <c r="E58" s="11">
        <v>8.99</v>
      </c>
      <c r="F58" s="11">
        <v>97</v>
      </c>
      <c r="G58" s="6" t="str">
        <f>IF(COUNTIF(Table1[Customer ID],Table1[[#This Row],[Customer ID]])&gt;1,"Repeat Customer","One-Time Customer")</f>
        <v>Repeat Customer</v>
      </c>
      <c r="H58" s="11" t="s">
        <v>182</v>
      </c>
      <c r="I58" s="11" t="s">
        <v>49</v>
      </c>
      <c r="J58" s="11" t="s">
        <v>40</v>
      </c>
      <c r="K58" s="11" t="s">
        <v>77</v>
      </c>
      <c r="L58" s="11" t="s">
        <v>78</v>
      </c>
      <c r="M58" s="11" t="s">
        <v>59</v>
      </c>
      <c r="N58" s="11" t="s">
        <v>185</v>
      </c>
      <c r="O58" s="11">
        <v>0.57999999999999996</v>
      </c>
      <c r="P58" s="6">
        <f>Table1[[#This Row],[Profit]]/Table1[[#This Row],[Sales]]</f>
        <v>0.35113625189494818</v>
      </c>
      <c r="Q58" s="11" t="s">
        <v>33</v>
      </c>
      <c r="R58" s="11" t="s">
        <v>61</v>
      </c>
      <c r="S58" s="11" t="s">
        <v>183</v>
      </c>
      <c r="T58" s="11" t="s">
        <v>184</v>
      </c>
      <c r="U58" s="11">
        <v>66502</v>
      </c>
      <c r="V58" s="12">
        <v>42127</v>
      </c>
      <c r="W58" s="13" t="str">
        <f>TEXT(Table1[[#This Row],[Order Date]],"mmmm")</f>
        <v>May</v>
      </c>
      <c r="X58" s="7" t="str">
        <f>TEXT(Table1[[#This Row],[Order Date]],"yyyy")</f>
        <v>2015</v>
      </c>
      <c r="Y58" s="12">
        <v>42128</v>
      </c>
      <c r="Z58" s="11">
        <v>685.6146</v>
      </c>
      <c r="AA58" s="11">
        <v>20</v>
      </c>
      <c r="AB58" s="11">
        <v>1952.56</v>
      </c>
      <c r="AC58" s="11">
        <v>87306</v>
      </c>
      <c r="AD58" s="6" t="str">
        <f>IF(COUNTIF(Returns!$A$2:$A$1635,Orders!AC58)&gt;0,"Returned","Not Returned")</f>
        <v>Not Returned</v>
      </c>
    </row>
    <row r="59" spans="1:30" ht="12.75" customHeight="1" thickTop="1" thickBot="1" x14ac:dyDescent="0.25">
      <c r="A59" s="8">
        <v>18494</v>
      </c>
      <c r="B59" s="1" t="s">
        <v>56</v>
      </c>
      <c r="C59" s="1">
        <v>0.1</v>
      </c>
      <c r="D59" s="1">
        <v>19.98</v>
      </c>
      <c r="E59" s="1">
        <v>4</v>
      </c>
      <c r="F59" s="1">
        <v>101</v>
      </c>
      <c r="G59" s="6" t="str">
        <f>IF(COUNTIF(Table1[Customer ID],Table1[[#This Row],[Customer ID]])&gt;1,"Repeat Customer","One-Time Customer")</f>
        <v>One-Time Customer</v>
      </c>
      <c r="H59" s="1" t="s">
        <v>186</v>
      </c>
      <c r="I59" s="1" t="s">
        <v>49</v>
      </c>
      <c r="J59" s="1" t="s">
        <v>114</v>
      </c>
      <c r="K59" s="1" t="s">
        <v>77</v>
      </c>
      <c r="L59" s="1" t="s">
        <v>180</v>
      </c>
      <c r="M59" s="1" t="s">
        <v>59</v>
      </c>
      <c r="N59" s="1" t="s">
        <v>187</v>
      </c>
      <c r="O59" s="1">
        <v>0.68</v>
      </c>
      <c r="P59" s="6">
        <f>Table1[[#This Row],[Profit]]/Table1[[#This Row],[Sales]]</f>
        <v>-5.3361441417701508E-2</v>
      </c>
      <c r="Q59" s="1" t="s">
        <v>33</v>
      </c>
      <c r="R59" s="1" t="s">
        <v>53</v>
      </c>
      <c r="S59" s="1" t="s">
        <v>188</v>
      </c>
      <c r="T59" s="1" t="s">
        <v>189</v>
      </c>
      <c r="U59" s="1">
        <v>4005</v>
      </c>
      <c r="V59" s="9">
        <v>42177</v>
      </c>
      <c r="W59" s="13" t="str">
        <f>TEXT(Table1[[#This Row],[Order Date]],"mmmm")</f>
        <v>June</v>
      </c>
      <c r="X59" s="7" t="str">
        <f>TEXT(Table1[[#This Row],[Order Date]],"yyyy")</f>
        <v>2015</v>
      </c>
      <c r="Y59" s="9">
        <v>42179</v>
      </c>
      <c r="Z59" s="1">
        <v>-16.2</v>
      </c>
      <c r="AA59" s="1">
        <v>16</v>
      </c>
      <c r="AB59" s="1">
        <v>303.58999999999997</v>
      </c>
      <c r="AC59" s="1">
        <v>88205</v>
      </c>
      <c r="AD59" s="6" t="str">
        <f>IF(COUNTIF(Returns!$A$2:$A$1635,Orders!AC59)&gt;0,"Returned","Not Returned")</f>
        <v>Not Returned</v>
      </c>
    </row>
    <row r="60" spans="1:30" ht="12.75" customHeight="1" thickTop="1" thickBot="1" x14ac:dyDescent="0.25">
      <c r="A60" s="10">
        <v>6014</v>
      </c>
      <c r="B60" s="11" t="s">
        <v>56</v>
      </c>
      <c r="C60" s="11">
        <v>0.04</v>
      </c>
      <c r="D60" s="11">
        <v>300.98</v>
      </c>
      <c r="E60" s="11">
        <v>54.92</v>
      </c>
      <c r="F60" s="11">
        <v>102</v>
      </c>
      <c r="G60" s="6" t="str">
        <f>IF(COUNTIF(Table1[Customer ID],Table1[[#This Row],[Customer ID]])&gt;1,"Repeat Customer","One-Time Customer")</f>
        <v>Repeat Customer</v>
      </c>
      <c r="H60" s="11" t="s">
        <v>190</v>
      </c>
      <c r="I60" s="11" t="s">
        <v>39</v>
      </c>
      <c r="J60" s="11" t="s">
        <v>114</v>
      </c>
      <c r="K60" s="11" t="s">
        <v>41</v>
      </c>
      <c r="L60" s="11" t="s">
        <v>191</v>
      </c>
      <c r="M60" s="11" t="s">
        <v>121</v>
      </c>
      <c r="N60" s="11" t="s">
        <v>192</v>
      </c>
      <c r="O60" s="11">
        <v>0.55000000000000004</v>
      </c>
      <c r="P60" s="6">
        <f>Table1[[#This Row],[Profit]]/Table1[[#This Row],[Sales]]</f>
        <v>0.21392841815064365</v>
      </c>
      <c r="Q60" s="11" t="s">
        <v>33</v>
      </c>
      <c r="R60" s="11" t="s">
        <v>53</v>
      </c>
      <c r="S60" s="11" t="s">
        <v>193</v>
      </c>
      <c r="T60" s="11" t="s">
        <v>194</v>
      </c>
      <c r="U60" s="11">
        <v>2129</v>
      </c>
      <c r="V60" s="12">
        <v>42100</v>
      </c>
      <c r="W60" s="13" t="str">
        <f>TEXT(Table1[[#This Row],[Order Date]],"mmmm")</f>
        <v>April</v>
      </c>
      <c r="X60" s="7" t="str">
        <f>TEXT(Table1[[#This Row],[Order Date]],"yyyy")</f>
        <v>2015</v>
      </c>
      <c r="Y60" s="12">
        <v>42101</v>
      </c>
      <c r="Z60" s="11">
        <v>2023.75</v>
      </c>
      <c r="AA60" s="11">
        <v>31</v>
      </c>
      <c r="AB60" s="11">
        <v>9459.94</v>
      </c>
      <c r="AC60" s="11">
        <v>42599</v>
      </c>
      <c r="AD60" s="6" t="str">
        <f>IF(COUNTIF(Returns!$A$2:$A$1635,Orders!AC60)&gt;0,"Returned","Not Returned")</f>
        <v>Not Returned</v>
      </c>
    </row>
    <row r="61" spans="1:30" ht="12.75" customHeight="1" thickTop="1" thickBot="1" x14ac:dyDescent="0.25">
      <c r="A61" s="8">
        <v>494</v>
      </c>
      <c r="B61" s="1" t="s">
        <v>56</v>
      </c>
      <c r="C61" s="1">
        <v>0.1</v>
      </c>
      <c r="D61" s="1">
        <v>19.98</v>
      </c>
      <c r="E61" s="1">
        <v>4</v>
      </c>
      <c r="F61" s="1">
        <v>102</v>
      </c>
      <c r="G61" s="6" t="str">
        <f>IF(COUNTIF(Table1[Customer ID],Table1[[#This Row],[Customer ID]])&gt;1,"Repeat Customer","One-Time Customer")</f>
        <v>Repeat Customer</v>
      </c>
      <c r="H61" s="1" t="s">
        <v>190</v>
      </c>
      <c r="I61" s="1" t="s">
        <v>49</v>
      </c>
      <c r="J61" s="1" t="s">
        <v>114</v>
      </c>
      <c r="K61" s="1" t="s">
        <v>77</v>
      </c>
      <c r="L61" s="1" t="s">
        <v>180</v>
      </c>
      <c r="M61" s="1" t="s">
        <v>59</v>
      </c>
      <c r="N61" s="1" t="s">
        <v>187</v>
      </c>
      <c r="O61" s="1">
        <v>0.68</v>
      </c>
      <c r="P61" s="6">
        <f>Table1[[#This Row],[Profit]]/Table1[[#This Row],[Sales]]</f>
        <v>-1.641909642266403E-2</v>
      </c>
      <c r="Q61" s="1" t="s">
        <v>33</v>
      </c>
      <c r="R61" s="1" t="s">
        <v>53</v>
      </c>
      <c r="S61" s="1" t="s">
        <v>193</v>
      </c>
      <c r="T61" s="1" t="s">
        <v>194</v>
      </c>
      <c r="U61" s="1">
        <v>2129</v>
      </c>
      <c r="V61" s="9">
        <v>42177</v>
      </c>
      <c r="W61" s="13" t="str">
        <f>TEXT(Table1[[#This Row],[Order Date]],"mmmm")</f>
        <v>June</v>
      </c>
      <c r="X61" s="7" t="str">
        <f>TEXT(Table1[[#This Row],[Order Date]],"yyyy")</f>
        <v>2015</v>
      </c>
      <c r="Y61" s="9">
        <v>42179</v>
      </c>
      <c r="Z61" s="1">
        <v>-20.25</v>
      </c>
      <c r="AA61" s="1">
        <v>65</v>
      </c>
      <c r="AB61" s="1">
        <v>1233.32</v>
      </c>
      <c r="AC61" s="1">
        <v>3397</v>
      </c>
      <c r="AD61" s="6" t="str">
        <f>IF(COUNTIF(Returns!$A$2:$A$1635,Orders!AC61)&gt;0,"Returned","Not Returned")</f>
        <v>Not Returned</v>
      </c>
    </row>
    <row r="62" spans="1:30" ht="12.75" customHeight="1" thickTop="1" thickBot="1" x14ac:dyDescent="0.25">
      <c r="A62" s="10">
        <v>495</v>
      </c>
      <c r="B62" s="11" t="s">
        <v>56</v>
      </c>
      <c r="C62" s="11">
        <v>0.09</v>
      </c>
      <c r="D62" s="11">
        <v>2.88</v>
      </c>
      <c r="E62" s="11">
        <v>1.49</v>
      </c>
      <c r="F62" s="11">
        <v>102</v>
      </c>
      <c r="G62" s="6" t="str">
        <f>IF(COUNTIF(Table1[Customer ID],Table1[[#This Row],[Customer ID]])&gt;1,"Repeat Customer","One-Time Customer")</f>
        <v>Repeat Customer</v>
      </c>
      <c r="H62" s="11" t="s">
        <v>190</v>
      </c>
      <c r="I62" s="11" t="s">
        <v>49</v>
      </c>
      <c r="J62" s="11" t="s">
        <v>114</v>
      </c>
      <c r="K62" s="11" t="s">
        <v>29</v>
      </c>
      <c r="L62" s="11" t="s">
        <v>109</v>
      </c>
      <c r="M62" s="11" t="s">
        <v>59</v>
      </c>
      <c r="N62" s="11" t="s">
        <v>195</v>
      </c>
      <c r="O62" s="11">
        <v>0.36</v>
      </c>
      <c r="P62" s="6">
        <f>Table1[[#This Row],[Profit]]/Table1[[#This Row],[Sales]]</f>
        <v>-7.1464806594800243E-2</v>
      </c>
      <c r="Q62" s="11" t="s">
        <v>33</v>
      </c>
      <c r="R62" s="11" t="s">
        <v>53</v>
      </c>
      <c r="S62" s="11" t="s">
        <v>193</v>
      </c>
      <c r="T62" s="11" t="s">
        <v>194</v>
      </c>
      <c r="U62" s="11">
        <v>2129</v>
      </c>
      <c r="V62" s="12">
        <v>42177</v>
      </c>
      <c r="W62" s="13" t="str">
        <f>TEXT(Table1[[#This Row],[Order Date]],"mmmm")</f>
        <v>June</v>
      </c>
      <c r="X62" s="7" t="str">
        <f>TEXT(Table1[[#This Row],[Order Date]],"yyyy")</f>
        <v>2015</v>
      </c>
      <c r="Y62" s="12">
        <v>42178</v>
      </c>
      <c r="Z62" s="11">
        <v>-3.3809999999999998</v>
      </c>
      <c r="AA62" s="11">
        <v>17</v>
      </c>
      <c r="AB62" s="11">
        <v>47.31</v>
      </c>
      <c r="AC62" s="11">
        <v>3397</v>
      </c>
      <c r="AD62" s="6" t="str">
        <f>IF(COUNTIF(Returns!$A$2:$A$1635,Orders!AC62)&gt;0,"Returned","Not Returned")</f>
        <v>Not Returned</v>
      </c>
    </row>
    <row r="63" spans="1:30" ht="12.75" customHeight="1" thickTop="1" thickBot="1" x14ac:dyDescent="0.25">
      <c r="A63" s="8">
        <v>24014</v>
      </c>
      <c r="B63" s="1" t="s">
        <v>56</v>
      </c>
      <c r="C63" s="1">
        <v>0.04</v>
      </c>
      <c r="D63" s="1">
        <v>300.98</v>
      </c>
      <c r="E63" s="1">
        <v>54.92</v>
      </c>
      <c r="F63" s="1">
        <v>107</v>
      </c>
      <c r="G63" s="6" t="str">
        <f>IF(COUNTIF(Table1[Customer ID],Table1[[#This Row],[Customer ID]])&gt;1,"Repeat Customer","One-Time Customer")</f>
        <v>One-Time Customer</v>
      </c>
      <c r="H63" s="1" t="s">
        <v>196</v>
      </c>
      <c r="I63" s="1" t="s">
        <v>39</v>
      </c>
      <c r="J63" s="1" t="s">
        <v>114</v>
      </c>
      <c r="K63" s="1" t="s">
        <v>41</v>
      </c>
      <c r="L63" s="1" t="s">
        <v>191</v>
      </c>
      <c r="M63" s="1" t="s">
        <v>121</v>
      </c>
      <c r="N63" s="1" t="s">
        <v>192</v>
      </c>
      <c r="O63" s="1">
        <v>0.55000000000000004</v>
      </c>
      <c r="P63" s="6">
        <f>Table1[[#This Row],[Profit]]/Table1[[#This Row],[Sales]]</f>
        <v>0.69</v>
      </c>
      <c r="Q63" s="1" t="s">
        <v>33</v>
      </c>
      <c r="R63" s="1" t="s">
        <v>53</v>
      </c>
      <c r="S63" s="1" t="s">
        <v>197</v>
      </c>
      <c r="T63" s="1" t="s">
        <v>198</v>
      </c>
      <c r="U63" s="1">
        <v>3820</v>
      </c>
      <c r="V63" s="9">
        <v>42100</v>
      </c>
      <c r="W63" s="13" t="str">
        <f>TEXT(Table1[[#This Row],[Order Date]],"mmmm")</f>
        <v>April</v>
      </c>
      <c r="X63" s="7" t="str">
        <f>TEXT(Table1[[#This Row],[Order Date]],"yyyy")</f>
        <v>2015</v>
      </c>
      <c r="Y63" s="9">
        <v>42101</v>
      </c>
      <c r="Z63" s="1">
        <v>1684.4762999999998</v>
      </c>
      <c r="AA63" s="1">
        <v>8</v>
      </c>
      <c r="AB63" s="1">
        <v>2441.27</v>
      </c>
      <c r="AC63" s="1">
        <v>88204</v>
      </c>
      <c r="AD63" s="6" t="str">
        <f>IF(COUNTIF(Returns!$A$2:$A$1635,Orders!AC63)&gt;0,"Returned","Not Returned")</f>
        <v>Not Returned</v>
      </c>
    </row>
    <row r="64" spans="1:30" ht="12.75" customHeight="1" thickTop="1" thickBot="1" x14ac:dyDescent="0.25">
      <c r="A64" s="10">
        <v>18495</v>
      </c>
      <c r="B64" s="11" t="s">
        <v>56</v>
      </c>
      <c r="C64" s="11">
        <v>0.09</v>
      </c>
      <c r="D64" s="11">
        <v>2.88</v>
      </c>
      <c r="E64" s="11">
        <v>1.49</v>
      </c>
      <c r="F64" s="11">
        <v>109</v>
      </c>
      <c r="G64" s="6" t="str">
        <f>IF(COUNTIF(Table1[Customer ID],Table1[[#This Row],[Customer ID]])&gt;1,"Repeat Customer","One-Time Customer")</f>
        <v>One-Time Customer</v>
      </c>
      <c r="H64" s="11" t="s">
        <v>199</v>
      </c>
      <c r="I64" s="11" t="s">
        <v>49</v>
      </c>
      <c r="J64" s="11" t="s">
        <v>114</v>
      </c>
      <c r="K64" s="11" t="s">
        <v>29</v>
      </c>
      <c r="L64" s="11" t="s">
        <v>109</v>
      </c>
      <c r="M64" s="11" t="s">
        <v>59</v>
      </c>
      <c r="N64" s="11" t="s">
        <v>195</v>
      </c>
      <c r="O64" s="11">
        <v>0.36</v>
      </c>
      <c r="P64" s="6">
        <f>Table1[[#This Row],[Profit]]/Table1[[#This Row],[Sales]]</f>
        <v>-0.24301886792452826</v>
      </c>
      <c r="Q64" s="11" t="s">
        <v>33</v>
      </c>
      <c r="R64" s="11" t="s">
        <v>53</v>
      </c>
      <c r="S64" s="11" t="s">
        <v>54</v>
      </c>
      <c r="T64" s="11" t="s">
        <v>200</v>
      </c>
      <c r="U64" s="11">
        <v>7644</v>
      </c>
      <c r="V64" s="12">
        <v>42177</v>
      </c>
      <c r="W64" s="13" t="str">
        <f>TEXT(Table1[[#This Row],[Order Date]],"mmmm")</f>
        <v>June</v>
      </c>
      <c r="X64" s="7" t="str">
        <f>TEXT(Table1[[#This Row],[Order Date]],"yyyy")</f>
        <v>2015</v>
      </c>
      <c r="Y64" s="12">
        <v>42178</v>
      </c>
      <c r="Z64" s="11">
        <v>-2.7047999999999996</v>
      </c>
      <c r="AA64" s="11">
        <v>4</v>
      </c>
      <c r="AB64" s="11">
        <v>11.13</v>
      </c>
      <c r="AC64" s="11">
        <v>88205</v>
      </c>
      <c r="AD64" s="6" t="str">
        <f>IF(COUNTIF(Returns!$A$2:$A$1635,Orders!AC64)&gt;0,"Returned","Not Returned")</f>
        <v>Not Returned</v>
      </c>
    </row>
    <row r="65" spans="1:30" ht="12.75" customHeight="1" thickTop="1" thickBot="1" x14ac:dyDescent="0.25">
      <c r="A65" s="8">
        <v>19074</v>
      </c>
      <c r="B65" s="1" t="s">
        <v>25</v>
      </c>
      <c r="C65" s="1">
        <v>0.03</v>
      </c>
      <c r="D65" s="1">
        <v>4.26</v>
      </c>
      <c r="E65" s="1">
        <v>1.2</v>
      </c>
      <c r="F65" s="1">
        <v>114</v>
      </c>
      <c r="G65" s="6" t="str">
        <f>IF(COUNTIF(Table1[Customer ID],Table1[[#This Row],[Customer ID]])&gt;1,"Repeat Customer","One-Time Customer")</f>
        <v>Repeat Customer</v>
      </c>
      <c r="H65" s="1" t="s">
        <v>201</v>
      </c>
      <c r="I65" s="1" t="s">
        <v>49</v>
      </c>
      <c r="J65" s="1" t="s">
        <v>40</v>
      </c>
      <c r="K65" s="1" t="s">
        <v>29</v>
      </c>
      <c r="L65" s="1" t="s">
        <v>30</v>
      </c>
      <c r="M65" s="1" t="s">
        <v>31</v>
      </c>
      <c r="N65" s="1" t="s">
        <v>202</v>
      </c>
      <c r="O65" s="1">
        <v>0.44</v>
      </c>
      <c r="P65" s="6">
        <f>Table1[[#This Row],[Profit]]/Table1[[#This Row],[Sales]]</f>
        <v>0.63247457627118653</v>
      </c>
      <c r="Q65" s="1" t="s">
        <v>33</v>
      </c>
      <c r="R65" s="1" t="s">
        <v>34</v>
      </c>
      <c r="S65" s="1" t="s">
        <v>102</v>
      </c>
      <c r="T65" s="1" t="s">
        <v>203</v>
      </c>
      <c r="U65" s="1">
        <v>97035</v>
      </c>
      <c r="V65" s="9">
        <v>42007</v>
      </c>
      <c r="W65" s="13" t="str">
        <f>TEXT(Table1[[#This Row],[Order Date]],"mmmm")</f>
        <v>January</v>
      </c>
      <c r="X65" s="7" t="str">
        <f>TEXT(Table1[[#This Row],[Order Date]],"yyyy")</f>
        <v>2015</v>
      </c>
      <c r="Y65" s="9">
        <v>42008</v>
      </c>
      <c r="Z65" s="1">
        <v>18.658000000000001</v>
      </c>
      <c r="AA65" s="1">
        <v>7</v>
      </c>
      <c r="AB65" s="1">
        <v>29.5</v>
      </c>
      <c r="AC65" s="1">
        <v>89583</v>
      </c>
      <c r="AD65" s="6" t="str">
        <f>IF(COUNTIF(Returns!$A$2:$A$1635,Orders!AC65)&gt;0,"Returned","Not Returned")</f>
        <v>Not Returned</v>
      </c>
    </row>
    <row r="66" spans="1:30" ht="12.75" customHeight="1" thickTop="1" thickBot="1" x14ac:dyDescent="0.25">
      <c r="A66" s="10">
        <v>19950</v>
      </c>
      <c r="B66" s="11" t="s">
        <v>56</v>
      </c>
      <c r="C66" s="11">
        <v>0.01</v>
      </c>
      <c r="D66" s="11">
        <v>4.91</v>
      </c>
      <c r="E66" s="11">
        <v>0.5</v>
      </c>
      <c r="F66" s="11">
        <v>114</v>
      </c>
      <c r="G66" s="6" t="str">
        <f>IF(COUNTIF(Table1[Customer ID],Table1[[#This Row],[Customer ID]])&gt;1,"Repeat Customer","One-Time Customer")</f>
        <v>Repeat Customer</v>
      </c>
      <c r="H66" s="11" t="s">
        <v>201</v>
      </c>
      <c r="I66" s="11" t="s">
        <v>49</v>
      </c>
      <c r="J66" s="11" t="s">
        <v>40</v>
      </c>
      <c r="K66" s="11" t="s">
        <v>29</v>
      </c>
      <c r="L66" s="11" t="s">
        <v>134</v>
      </c>
      <c r="M66" s="11" t="s">
        <v>59</v>
      </c>
      <c r="N66" s="11" t="s">
        <v>163</v>
      </c>
      <c r="O66" s="11">
        <v>0.36</v>
      </c>
      <c r="P66" s="6">
        <f>Table1[[#This Row],[Profit]]/Table1[[#This Row],[Sales]]</f>
        <v>0.69</v>
      </c>
      <c r="Q66" s="11" t="s">
        <v>33</v>
      </c>
      <c r="R66" s="11" t="s">
        <v>34</v>
      </c>
      <c r="S66" s="11" t="s">
        <v>102</v>
      </c>
      <c r="T66" s="11" t="s">
        <v>203</v>
      </c>
      <c r="U66" s="11">
        <v>97035</v>
      </c>
      <c r="V66" s="12">
        <v>42098</v>
      </c>
      <c r="W66" s="13" t="str">
        <f>TEXT(Table1[[#This Row],[Order Date]],"mmmm")</f>
        <v>April</v>
      </c>
      <c r="X66" s="7" t="str">
        <f>TEXT(Table1[[#This Row],[Order Date]],"yyyy")</f>
        <v>2015</v>
      </c>
      <c r="Y66" s="12">
        <v>42100</v>
      </c>
      <c r="Z66" s="11">
        <v>40.247699999999995</v>
      </c>
      <c r="AA66" s="11">
        <v>12</v>
      </c>
      <c r="AB66" s="11">
        <v>58.33</v>
      </c>
      <c r="AC66" s="11">
        <v>89584</v>
      </c>
      <c r="AD66" s="6" t="str">
        <f>IF(COUNTIF(Returns!$A$2:$A$1635,Orders!AC66)&gt;0,"Returned","Not Returned")</f>
        <v>Not Returned</v>
      </c>
    </row>
    <row r="67" spans="1:30" ht="12.75" customHeight="1" thickTop="1" thickBot="1" x14ac:dyDescent="0.25">
      <c r="A67" s="8">
        <v>19951</v>
      </c>
      <c r="B67" s="1" t="s">
        <v>56</v>
      </c>
      <c r="C67" s="1">
        <v>0.09</v>
      </c>
      <c r="D67" s="1">
        <v>4</v>
      </c>
      <c r="E67" s="1">
        <v>1.3</v>
      </c>
      <c r="F67" s="1">
        <v>114</v>
      </c>
      <c r="G67" s="6" t="str">
        <f>IF(COUNTIF(Table1[Customer ID],Table1[[#This Row],[Customer ID]])&gt;1,"Repeat Customer","One-Time Customer")</f>
        <v>Repeat Customer</v>
      </c>
      <c r="H67" s="1" t="s">
        <v>201</v>
      </c>
      <c r="I67" s="1" t="s">
        <v>27</v>
      </c>
      <c r="J67" s="1" t="s">
        <v>40</v>
      </c>
      <c r="K67" s="1" t="s">
        <v>29</v>
      </c>
      <c r="L67" s="1" t="s">
        <v>93</v>
      </c>
      <c r="M67" s="1" t="s">
        <v>31</v>
      </c>
      <c r="N67" s="1" t="s">
        <v>204</v>
      </c>
      <c r="O67" s="1">
        <v>0.37</v>
      </c>
      <c r="P67" s="6">
        <f>Table1[[#This Row],[Profit]]/Table1[[#This Row],[Sales]]</f>
        <v>0.69</v>
      </c>
      <c r="Q67" s="1" t="s">
        <v>33</v>
      </c>
      <c r="R67" s="1" t="s">
        <v>34</v>
      </c>
      <c r="S67" s="1" t="s">
        <v>102</v>
      </c>
      <c r="T67" s="1" t="s">
        <v>203</v>
      </c>
      <c r="U67" s="1">
        <v>97035</v>
      </c>
      <c r="V67" s="9">
        <v>42098</v>
      </c>
      <c r="W67" s="13" t="str">
        <f>TEXT(Table1[[#This Row],[Order Date]],"mmmm")</f>
        <v>April</v>
      </c>
      <c r="X67" s="7" t="str">
        <f>TEXT(Table1[[#This Row],[Order Date]],"yyyy")</f>
        <v>2015</v>
      </c>
      <c r="Y67" s="9">
        <v>42100</v>
      </c>
      <c r="Z67" s="1">
        <v>14.0898</v>
      </c>
      <c r="AA67" s="1">
        <v>5</v>
      </c>
      <c r="AB67" s="1">
        <v>20.420000000000002</v>
      </c>
      <c r="AC67" s="1">
        <v>89584</v>
      </c>
      <c r="AD67" s="6" t="str">
        <f>IF(COUNTIF(Returns!$A$2:$A$1635,Orders!AC67)&gt;0,"Returned","Not Returned")</f>
        <v>Not Returned</v>
      </c>
    </row>
    <row r="68" spans="1:30" ht="12.75" customHeight="1" thickTop="1" thickBot="1" x14ac:dyDescent="0.25">
      <c r="A68" s="10">
        <v>26241</v>
      </c>
      <c r="B68" s="11" t="s">
        <v>106</v>
      </c>
      <c r="C68" s="11">
        <v>7.0000000000000007E-2</v>
      </c>
      <c r="D68" s="11">
        <v>2.12</v>
      </c>
      <c r="E68" s="11">
        <v>1.99</v>
      </c>
      <c r="F68" s="11">
        <v>115</v>
      </c>
      <c r="G68" s="6" t="str">
        <f>IF(COUNTIF(Table1[Customer ID],Table1[[#This Row],[Customer ID]])&gt;1,"Repeat Customer","One-Time Customer")</f>
        <v>One-Time Customer</v>
      </c>
      <c r="H68" s="11" t="s">
        <v>205</v>
      </c>
      <c r="I68" s="11" t="s">
        <v>49</v>
      </c>
      <c r="J68" s="11" t="s">
        <v>40</v>
      </c>
      <c r="K68" s="11" t="s">
        <v>77</v>
      </c>
      <c r="L68" s="11" t="s">
        <v>180</v>
      </c>
      <c r="M68" s="11" t="s">
        <v>51</v>
      </c>
      <c r="N68" s="11" t="s">
        <v>206</v>
      </c>
      <c r="O68" s="11">
        <v>0.55000000000000004</v>
      </c>
      <c r="P68" s="6">
        <f>Table1[[#This Row],[Profit]]/Table1[[#This Row],[Sales]]</f>
        <v>-2.1419255849635599</v>
      </c>
      <c r="Q68" s="11" t="s">
        <v>33</v>
      </c>
      <c r="R68" s="11" t="s">
        <v>34</v>
      </c>
      <c r="S68" s="11" t="s">
        <v>102</v>
      </c>
      <c r="T68" s="11" t="s">
        <v>207</v>
      </c>
      <c r="U68" s="11">
        <v>97128</v>
      </c>
      <c r="V68" s="12">
        <v>42103</v>
      </c>
      <c r="W68" s="13" t="str">
        <f>TEXT(Table1[[#This Row],[Order Date]],"mmmm")</f>
        <v>April</v>
      </c>
      <c r="X68" s="7" t="str">
        <f>TEXT(Table1[[#This Row],[Order Date]],"yyyy")</f>
        <v>2015</v>
      </c>
      <c r="Y68" s="12">
        <v>42105</v>
      </c>
      <c r="Z68" s="11">
        <v>-55.84</v>
      </c>
      <c r="AA68" s="11">
        <v>12</v>
      </c>
      <c r="AB68" s="11">
        <v>26.07</v>
      </c>
      <c r="AC68" s="11">
        <v>89585</v>
      </c>
      <c r="AD68" s="6" t="str">
        <f>IF(COUNTIF(Returns!$A$2:$A$1635,Orders!AC68)&gt;0,"Returned","Not Returned")</f>
        <v>Not Returned</v>
      </c>
    </row>
    <row r="69" spans="1:30" ht="12.75" customHeight="1" thickTop="1" thickBot="1" x14ac:dyDescent="0.25">
      <c r="A69" s="8">
        <v>1074</v>
      </c>
      <c r="B69" s="1" t="s">
        <v>25</v>
      </c>
      <c r="C69" s="1">
        <v>0.03</v>
      </c>
      <c r="D69" s="1">
        <v>4.26</v>
      </c>
      <c r="E69" s="1">
        <v>1.2</v>
      </c>
      <c r="F69" s="1">
        <v>117</v>
      </c>
      <c r="G69" s="6" t="str">
        <f>IF(COUNTIF(Table1[Customer ID],Table1[[#This Row],[Customer ID]])&gt;1,"Repeat Customer","One-Time Customer")</f>
        <v>Repeat Customer</v>
      </c>
      <c r="H69" s="1" t="s">
        <v>208</v>
      </c>
      <c r="I69" s="1" t="s">
        <v>49</v>
      </c>
      <c r="J69" s="1" t="s">
        <v>40</v>
      </c>
      <c r="K69" s="1" t="s">
        <v>29</v>
      </c>
      <c r="L69" s="1" t="s">
        <v>30</v>
      </c>
      <c r="M69" s="1" t="s">
        <v>31</v>
      </c>
      <c r="N69" s="1" t="s">
        <v>202</v>
      </c>
      <c r="O69" s="1">
        <v>0.44</v>
      </c>
      <c r="P69" s="6">
        <f>Table1[[#This Row],[Profit]]/Table1[[#This Row],[Sales]]</f>
        <v>8.034034197823775E-2</v>
      </c>
      <c r="Q69" s="1" t="s">
        <v>33</v>
      </c>
      <c r="R69" s="1" t="s">
        <v>34</v>
      </c>
      <c r="S69" s="1" t="s">
        <v>35</v>
      </c>
      <c r="T69" s="1" t="s">
        <v>209</v>
      </c>
      <c r="U69" s="1">
        <v>98103</v>
      </c>
      <c r="V69" s="9">
        <v>42007</v>
      </c>
      <c r="W69" s="13" t="str">
        <f>TEXT(Table1[[#This Row],[Order Date]],"mmmm")</f>
        <v>January</v>
      </c>
      <c r="X69" s="7" t="str">
        <f>TEXT(Table1[[#This Row],[Order Date]],"yyyy")</f>
        <v>2015</v>
      </c>
      <c r="Y69" s="9">
        <v>42008</v>
      </c>
      <c r="Z69" s="1">
        <v>9.82</v>
      </c>
      <c r="AA69" s="1">
        <v>29</v>
      </c>
      <c r="AB69" s="1">
        <v>122.23</v>
      </c>
      <c r="AC69" s="1">
        <v>7909</v>
      </c>
      <c r="AD69" s="6" t="str">
        <f>IF(COUNTIF(Returns!$A$2:$A$1635,Orders!AC69)&gt;0,"Returned","Not Returned")</f>
        <v>Not Returned</v>
      </c>
    </row>
    <row r="70" spans="1:30" ht="12.75" customHeight="1" thickTop="1" thickBot="1" x14ac:dyDescent="0.25">
      <c r="A70" s="10">
        <v>1950</v>
      </c>
      <c r="B70" s="11" t="s">
        <v>56</v>
      </c>
      <c r="C70" s="11">
        <v>0.01</v>
      </c>
      <c r="D70" s="11">
        <v>4.91</v>
      </c>
      <c r="E70" s="11">
        <v>0.5</v>
      </c>
      <c r="F70" s="11">
        <v>117</v>
      </c>
      <c r="G70" s="6" t="str">
        <f>IF(COUNTIF(Table1[Customer ID],Table1[[#This Row],[Customer ID]])&gt;1,"Repeat Customer","One-Time Customer")</f>
        <v>Repeat Customer</v>
      </c>
      <c r="H70" s="11" t="s">
        <v>208</v>
      </c>
      <c r="I70" s="11" t="s">
        <v>49</v>
      </c>
      <c r="J70" s="11" t="s">
        <v>40</v>
      </c>
      <c r="K70" s="11" t="s">
        <v>29</v>
      </c>
      <c r="L70" s="11" t="s">
        <v>134</v>
      </c>
      <c r="M70" s="11" t="s">
        <v>59</v>
      </c>
      <c r="N70" s="11" t="s">
        <v>163</v>
      </c>
      <c r="O70" s="11">
        <v>0.36</v>
      </c>
      <c r="P70" s="6">
        <f>Table1[[#This Row],[Profit]]/Table1[[#This Row],[Sales]]</f>
        <v>0.49050161953952554</v>
      </c>
      <c r="Q70" s="11" t="s">
        <v>33</v>
      </c>
      <c r="R70" s="11" t="s">
        <v>34</v>
      </c>
      <c r="S70" s="11" t="s">
        <v>35</v>
      </c>
      <c r="T70" s="11" t="s">
        <v>209</v>
      </c>
      <c r="U70" s="11">
        <v>98103</v>
      </c>
      <c r="V70" s="12">
        <v>42098</v>
      </c>
      <c r="W70" s="13" t="str">
        <f>TEXT(Table1[[#This Row],[Order Date]],"mmmm")</f>
        <v>April</v>
      </c>
      <c r="X70" s="7" t="str">
        <f>TEXT(Table1[[#This Row],[Order Date]],"yyyy")</f>
        <v>2015</v>
      </c>
      <c r="Y70" s="12">
        <v>42100</v>
      </c>
      <c r="Z70" s="11">
        <v>112.06</v>
      </c>
      <c r="AA70" s="11">
        <v>47</v>
      </c>
      <c r="AB70" s="11">
        <v>228.46</v>
      </c>
      <c r="AC70" s="11">
        <v>13959</v>
      </c>
      <c r="AD70" s="6" t="str">
        <f>IF(COUNTIF(Returns!$A$2:$A$1635,Orders!AC70)&gt;0,"Returned","Not Returned")</f>
        <v>Returned</v>
      </c>
    </row>
    <row r="71" spans="1:30" ht="12.75" customHeight="1" thickTop="1" thickBot="1" x14ac:dyDescent="0.25">
      <c r="A71" s="8">
        <v>1951</v>
      </c>
      <c r="B71" s="1" t="s">
        <v>56</v>
      </c>
      <c r="C71" s="1">
        <v>0.09</v>
      </c>
      <c r="D71" s="1">
        <v>4</v>
      </c>
      <c r="E71" s="1">
        <v>1.3</v>
      </c>
      <c r="F71" s="1">
        <v>117</v>
      </c>
      <c r="G71" s="6" t="str">
        <f>IF(COUNTIF(Table1[Customer ID],Table1[[#This Row],[Customer ID]])&gt;1,"Repeat Customer","One-Time Customer")</f>
        <v>Repeat Customer</v>
      </c>
      <c r="H71" s="1" t="s">
        <v>208</v>
      </c>
      <c r="I71" s="1" t="s">
        <v>27</v>
      </c>
      <c r="J71" s="1" t="s">
        <v>40</v>
      </c>
      <c r="K71" s="1" t="s">
        <v>29</v>
      </c>
      <c r="L71" s="1" t="s">
        <v>93</v>
      </c>
      <c r="M71" s="1" t="s">
        <v>31</v>
      </c>
      <c r="N71" s="1" t="s">
        <v>204</v>
      </c>
      <c r="O71" s="1">
        <v>0.37</v>
      </c>
      <c r="P71" s="6">
        <f>Table1[[#This Row],[Profit]]/Table1[[#This Row],[Sales]]</f>
        <v>0.21633810076021132</v>
      </c>
      <c r="Q71" s="1" t="s">
        <v>33</v>
      </c>
      <c r="R71" s="1" t="s">
        <v>34</v>
      </c>
      <c r="S71" s="1" t="s">
        <v>35</v>
      </c>
      <c r="T71" s="1" t="s">
        <v>209</v>
      </c>
      <c r="U71" s="1">
        <v>98103</v>
      </c>
      <c r="V71" s="9">
        <v>42098</v>
      </c>
      <c r="W71" s="13" t="str">
        <f>TEXT(Table1[[#This Row],[Order Date]],"mmmm")</f>
        <v>April</v>
      </c>
      <c r="X71" s="7" t="str">
        <f>TEXT(Table1[[#This Row],[Order Date]],"yyyy")</f>
        <v>2015</v>
      </c>
      <c r="Y71" s="9">
        <v>42100</v>
      </c>
      <c r="Z71" s="1">
        <v>16.79</v>
      </c>
      <c r="AA71" s="1">
        <v>19</v>
      </c>
      <c r="AB71" s="1">
        <v>77.61</v>
      </c>
      <c r="AC71" s="1">
        <v>13959</v>
      </c>
      <c r="AD71" s="6" t="str">
        <f>IF(COUNTIF(Returns!$A$2:$A$1635,Orders!AC71)&gt;0,"Returned","Not Returned")</f>
        <v>Returned</v>
      </c>
    </row>
    <row r="72" spans="1:30" ht="12.75" customHeight="1" thickTop="1" thickBot="1" x14ac:dyDescent="0.25">
      <c r="A72" s="10">
        <v>8241</v>
      </c>
      <c r="B72" s="11" t="s">
        <v>106</v>
      </c>
      <c r="C72" s="11">
        <v>7.0000000000000007E-2</v>
      </c>
      <c r="D72" s="11">
        <v>2.12</v>
      </c>
      <c r="E72" s="11">
        <v>1.99</v>
      </c>
      <c r="F72" s="11">
        <v>117</v>
      </c>
      <c r="G72" s="6" t="str">
        <f>IF(COUNTIF(Table1[Customer ID],Table1[[#This Row],[Customer ID]])&gt;1,"Repeat Customer","One-Time Customer")</f>
        <v>Repeat Customer</v>
      </c>
      <c r="H72" s="11" t="s">
        <v>208</v>
      </c>
      <c r="I72" s="11" t="s">
        <v>49</v>
      </c>
      <c r="J72" s="11" t="s">
        <v>40</v>
      </c>
      <c r="K72" s="11" t="s">
        <v>77</v>
      </c>
      <c r="L72" s="11" t="s">
        <v>180</v>
      </c>
      <c r="M72" s="11" t="s">
        <v>51</v>
      </c>
      <c r="N72" s="11" t="s">
        <v>206</v>
      </c>
      <c r="O72" s="11">
        <v>0.55000000000000004</v>
      </c>
      <c r="P72" s="6">
        <f>Table1[[#This Row],[Profit]]/Table1[[#This Row],[Sales]]</f>
        <v>-0.55873524114468687</v>
      </c>
      <c r="Q72" s="11" t="s">
        <v>33</v>
      </c>
      <c r="R72" s="11" t="s">
        <v>34</v>
      </c>
      <c r="S72" s="11" t="s">
        <v>35</v>
      </c>
      <c r="T72" s="11" t="s">
        <v>209</v>
      </c>
      <c r="U72" s="11">
        <v>98103</v>
      </c>
      <c r="V72" s="12">
        <v>42103</v>
      </c>
      <c r="W72" s="13" t="str">
        <f>TEXT(Table1[[#This Row],[Order Date]],"mmmm")</f>
        <v>April</v>
      </c>
      <c r="X72" s="7" t="str">
        <f>TEXT(Table1[[#This Row],[Order Date]],"yyyy")</f>
        <v>2015</v>
      </c>
      <c r="Y72" s="12">
        <v>42105</v>
      </c>
      <c r="Z72" s="11">
        <v>-55.84</v>
      </c>
      <c r="AA72" s="11">
        <v>46</v>
      </c>
      <c r="AB72" s="11">
        <v>99.94</v>
      </c>
      <c r="AC72" s="11">
        <v>58914</v>
      </c>
      <c r="AD72" s="6" t="str">
        <f>IF(COUNTIF(Returns!$A$2:$A$1635,Orders!AC72)&gt;0,"Returned","Not Returned")</f>
        <v>Not Returned</v>
      </c>
    </row>
    <row r="73" spans="1:30" ht="12.75" customHeight="1" thickTop="1" thickBot="1" x14ac:dyDescent="0.25">
      <c r="A73" s="8">
        <v>20688</v>
      </c>
      <c r="B73" s="1" t="s">
        <v>25</v>
      </c>
      <c r="C73" s="1">
        <v>0.05</v>
      </c>
      <c r="D73" s="1">
        <v>6.3</v>
      </c>
      <c r="E73" s="1">
        <v>0.5</v>
      </c>
      <c r="F73" s="1">
        <v>120</v>
      </c>
      <c r="G73" s="6" t="str">
        <f>IF(COUNTIF(Table1[Customer ID],Table1[[#This Row],[Customer ID]])&gt;1,"Repeat Customer","One-Time Customer")</f>
        <v>Repeat Customer</v>
      </c>
      <c r="H73" s="1" t="s">
        <v>210</v>
      </c>
      <c r="I73" s="1" t="s">
        <v>49</v>
      </c>
      <c r="J73" s="1" t="s">
        <v>28</v>
      </c>
      <c r="K73" s="1" t="s">
        <v>29</v>
      </c>
      <c r="L73" s="1" t="s">
        <v>134</v>
      </c>
      <c r="M73" s="1" t="s">
        <v>59</v>
      </c>
      <c r="N73" s="1" t="s">
        <v>211</v>
      </c>
      <c r="O73" s="1">
        <v>0.39</v>
      </c>
      <c r="P73" s="6">
        <f>Table1[[#This Row],[Profit]]/Table1[[#This Row],[Sales]]</f>
        <v>0.69</v>
      </c>
      <c r="Q73" s="1" t="s">
        <v>33</v>
      </c>
      <c r="R73" s="1" t="s">
        <v>34</v>
      </c>
      <c r="S73" s="1" t="s">
        <v>212</v>
      </c>
      <c r="T73" s="1" t="s">
        <v>213</v>
      </c>
      <c r="U73" s="1">
        <v>84041</v>
      </c>
      <c r="V73" s="9">
        <v>42016</v>
      </c>
      <c r="W73" s="13" t="str">
        <f>TEXT(Table1[[#This Row],[Order Date]],"mmmm")</f>
        <v>January</v>
      </c>
      <c r="X73" s="7" t="str">
        <f>TEXT(Table1[[#This Row],[Order Date]],"yyyy")</f>
        <v>2015</v>
      </c>
      <c r="Y73" s="9">
        <v>42017</v>
      </c>
      <c r="Z73" s="1">
        <v>41.296499999999995</v>
      </c>
      <c r="AA73" s="1">
        <v>10</v>
      </c>
      <c r="AB73" s="1">
        <v>59.85</v>
      </c>
      <c r="AC73" s="1">
        <v>86520</v>
      </c>
      <c r="AD73" s="6" t="str">
        <f>IF(COUNTIF(Returns!$A$2:$A$1635,Orders!AC73)&gt;0,"Returned","Not Returned")</f>
        <v>Not Returned</v>
      </c>
    </row>
    <row r="74" spans="1:30" ht="12.75" customHeight="1" thickTop="1" thickBot="1" x14ac:dyDescent="0.25">
      <c r="A74" s="10">
        <v>20689</v>
      </c>
      <c r="B74" s="11" t="s">
        <v>25</v>
      </c>
      <c r="C74" s="11">
        <v>0.09</v>
      </c>
      <c r="D74" s="11">
        <v>205.99</v>
      </c>
      <c r="E74" s="11">
        <v>3</v>
      </c>
      <c r="F74" s="11">
        <v>120</v>
      </c>
      <c r="G74" s="6" t="str">
        <f>IF(COUNTIF(Table1[Customer ID],Table1[[#This Row],[Customer ID]])&gt;1,"Repeat Customer","One-Time Customer")</f>
        <v>Repeat Customer</v>
      </c>
      <c r="H74" s="11" t="s">
        <v>210</v>
      </c>
      <c r="I74" s="11" t="s">
        <v>27</v>
      </c>
      <c r="J74" s="11" t="s">
        <v>28</v>
      </c>
      <c r="K74" s="11" t="s">
        <v>77</v>
      </c>
      <c r="L74" s="11" t="s">
        <v>78</v>
      </c>
      <c r="M74" s="11" t="s">
        <v>59</v>
      </c>
      <c r="N74" s="11" t="s">
        <v>214</v>
      </c>
      <c r="O74" s="11">
        <v>0.57999999999999996</v>
      </c>
      <c r="P74" s="6">
        <f>Table1[[#This Row],[Profit]]/Table1[[#This Row],[Sales]]</f>
        <v>0.69</v>
      </c>
      <c r="Q74" s="11" t="s">
        <v>33</v>
      </c>
      <c r="R74" s="11" t="s">
        <v>34</v>
      </c>
      <c r="S74" s="11" t="s">
        <v>212</v>
      </c>
      <c r="T74" s="11" t="s">
        <v>213</v>
      </c>
      <c r="U74" s="11">
        <v>84041</v>
      </c>
      <c r="V74" s="12">
        <v>42016</v>
      </c>
      <c r="W74" s="13" t="str">
        <f>TEXT(Table1[[#This Row],[Order Date]],"mmmm")</f>
        <v>January</v>
      </c>
      <c r="X74" s="7" t="str">
        <f>TEXT(Table1[[#This Row],[Order Date]],"yyyy")</f>
        <v>2015</v>
      </c>
      <c r="Y74" s="12">
        <v>42018</v>
      </c>
      <c r="Z74" s="11">
        <v>1179.0237</v>
      </c>
      <c r="AA74" s="11">
        <v>10</v>
      </c>
      <c r="AB74" s="11">
        <v>1708.73</v>
      </c>
      <c r="AC74" s="11">
        <v>86520</v>
      </c>
      <c r="AD74" s="6" t="str">
        <f>IF(COUNTIF(Returns!$A$2:$A$1635,Orders!AC74)&gt;0,"Returned","Not Returned")</f>
        <v>Not Returned</v>
      </c>
    </row>
    <row r="75" spans="1:30" ht="12.75" customHeight="1" thickTop="1" thickBot="1" x14ac:dyDescent="0.25">
      <c r="A75" s="8">
        <v>19942</v>
      </c>
      <c r="B75" s="1" t="s">
        <v>47</v>
      </c>
      <c r="C75" s="1">
        <v>0.06</v>
      </c>
      <c r="D75" s="1">
        <v>8.57</v>
      </c>
      <c r="E75" s="1">
        <v>6.14</v>
      </c>
      <c r="F75" s="1">
        <v>123</v>
      </c>
      <c r="G75" s="6" t="str">
        <f>IF(COUNTIF(Table1[Customer ID],Table1[[#This Row],[Customer ID]])&gt;1,"Repeat Customer","One-Time Customer")</f>
        <v>One-Time Customer</v>
      </c>
      <c r="H75" s="1" t="s">
        <v>215</v>
      </c>
      <c r="I75" s="1" t="s">
        <v>49</v>
      </c>
      <c r="J75" s="1" t="s">
        <v>40</v>
      </c>
      <c r="K75" s="1" t="s">
        <v>29</v>
      </c>
      <c r="L75" s="1" t="s">
        <v>174</v>
      </c>
      <c r="M75" s="1" t="s">
        <v>51</v>
      </c>
      <c r="N75" s="1" t="s">
        <v>216</v>
      </c>
      <c r="O75" s="1">
        <v>0.59</v>
      </c>
      <c r="P75" s="6">
        <f>Table1[[#This Row],[Profit]]/Table1[[#This Row],[Sales]]</f>
        <v>1.1127513951774244</v>
      </c>
      <c r="Q75" s="1" t="s">
        <v>33</v>
      </c>
      <c r="R75" s="1" t="s">
        <v>136</v>
      </c>
      <c r="S75" s="1" t="s">
        <v>137</v>
      </c>
      <c r="T75" s="1" t="s">
        <v>217</v>
      </c>
      <c r="U75" s="1">
        <v>22102</v>
      </c>
      <c r="V75" s="9">
        <v>42103</v>
      </c>
      <c r="W75" s="13" t="str">
        <f>TEXT(Table1[[#This Row],[Order Date]],"mmmm")</f>
        <v>April</v>
      </c>
      <c r="X75" s="7" t="str">
        <f>TEXT(Table1[[#This Row],[Order Date]],"yyyy")</f>
        <v>2015</v>
      </c>
      <c r="Y75" s="9">
        <v>42104</v>
      </c>
      <c r="Z75" s="1">
        <v>105.678</v>
      </c>
      <c r="AA75" s="1">
        <v>11</v>
      </c>
      <c r="AB75" s="1">
        <v>94.97</v>
      </c>
      <c r="AC75" s="1">
        <v>90669</v>
      </c>
      <c r="AD75" s="6" t="str">
        <f>IF(COUNTIF(Returns!$A$2:$A$1635,Orders!AC75)&gt;0,"Returned","Not Returned")</f>
        <v>Not Returned</v>
      </c>
    </row>
    <row r="76" spans="1:30" ht="12.75" customHeight="1" thickTop="1" thickBot="1" x14ac:dyDescent="0.25">
      <c r="A76" s="10">
        <v>24319</v>
      </c>
      <c r="B76" s="11" t="s">
        <v>37</v>
      </c>
      <c r="C76" s="11">
        <v>0.02</v>
      </c>
      <c r="D76" s="11">
        <v>1.74</v>
      </c>
      <c r="E76" s="11">
        <v>4.08</v>
      </c>
      <c r="F76" s="11">
        <v>129</v>
      </c>
      <c r="G76" s="6" t="str">
        <f>IF(COUNTIF(Table1[Customer ID],Table1[[#This Row],[Customer ID]])&gt;1,"Repeat Customer","One-Time Customer")</f>
        <v>Repeat Customer</v>
      </c>
      <c r="H76" s="11" t="s">
        <v>218</v>
      </c>
      <c r="I76" s="11" t="s">
        <v>49</v>
      </c>
      <c r="J76" s="11" t="s">
        <v>58</v>
      </c>
      <c r="K76" s="11" t="s">
        <v>41</v>
      </c>
      <c r="L76" s="11" t="s">
        <v>50</v>
      </c>
      <c r="M76" s="11" t="s">
        <v>51</v>
      </c>
      <c r="N76" s="11" t="s">
        <v>219</v>
      </c>
      <c r="O76" s="11">
        <v>0.53</v>
      </c>
      <c r="P76" s="6">
        <f>Table1[[#This Row],[Profit]]/Table1[[#This Row],[Sales]]</f>
        <v>-3.6549364613880742</v>
      </c>
      <c r="Q76" s="11" t="s">
        <v>33</v>
      </c>
      <c r="R76" s="11" t="s">
        <v>61</v>
      </c>
      <c r="S76" s="11" t="s">
        <v>178</v>
      </c>
      <c r="T76" s="11" t="s">
        <v>220</v>
      </c>
      <c r="U76" s="11">
        <v>62002</v>
      </c>
      <c r="V76" s="12">
        <v>42031</v>
      </c>
      <c r="W76" s="13" t="str">
        <f>TEXT(Table1[[#This Row],[Order Date]],"mmmm")</f>
        <v>January</v>
      </c>
      <c r="X76" s="7" t="str">
        <f>TEXT(Table1[[#This Row],[Order Date]],"yyyy")</f>
        <v>2015</v>
      </c>
      <c r="Y76" s="12">
        <v>42032</v>
      </c>
      <c r="Z76" s="11">
        <v>-37.39</v>
      </c>
      <c r="AA76" s="11">
        <v>5</v>
      </c>
      <c r="AB76" s="11">
        <v>10.23</v>
      </c>
      <c r="AC76" s="11">
        <v>86693</v>
      </c>
      <c r="AD76" s="6" t="str">
        <f>IF(COUNTIF(Returns!$A$2:$A$1635,Orders!AC76)&gt;0,"Returned","Not Returned")</f>
        <v>Not Returned</v>
      </c>
    </row>
    <row r="77" spans="1:30" ht="12.75" customHeight="1" thickTop="1" thickBot="1" x14ac:dyDescent="0.25">
      <c r="A77" s="8">
        <v>18161</v>
      </c>
      <c r="B77" s="1" t="s">
        <v>37</v>
      </c>
      <c r="C77" s="1">
        <v>7.0000000000000007E-2</v>
      </c>
      <c r="D77" s="1">
        <v>15.74</v>
      </c>
      <c r="E77" s="1">
        <v>1.39</v>
      </c>
      <c r="F77" s="1">
        <v>129</v>
      </c>
      <c r="G77" s="6" t="str">
        <f>IF(COUNTIF(Table1[Customer ID],Table1[[#This Row],[Customer ID]])&gt;1,"Repeat Customer","One-Time Customer")</f>
        <v>Repeat Customer</v>
      </c>
      <c r="H77" s="1" t="s">
        <v>218</v>
      </c>
      <c r="I77" s="1" t="s">
        <v>49</v>
      </c>
      <c r="J77" s="1" t="s">
        <v>58</v>
      </c>
      <c r="K77" s="1" t="s">
        <v>29</v>
      </c>
      <c r="L77" s="1" t="s">
        <v>69</v>
      </c>
      <c r="M77" s="1" t="s">
        <v>59</v>
      </c>
      <c r="N77" s="1" t="s">
        <v>221</v>
      </c>
      <c r="O77" s="1">
        <v>0.4</v>
      </c>
      <c r="P77" s="6">
        <f>Table1[[#This Row],[Profit]]/Table1[[#This Row],[Sales]]</f>
        <v>0.69</v>
      </c>
      <c r="Q77" s="1" t="s">
        <v>33</v>
      </c>
      <c r="R77" s="1" t="s">
        <v>61</v>
      </c>
      <c r="S77" s="1" t="s">
        <v>178</v>
      </c>
      <c r="T77" s="1" t="s">
        <v>220</v>
      </c>
      <c r="U77" s="1">
        <v>62002</v>
      </c>
      <c r="V77" s="9">
        <v>42149</v>
      </c>
      <c r="W77" s="13" t="str">
        <f>TEXT(Table1[[#This Row],[Order Date]],"mmmm")</f>
        <v>May</v>
      </c>
      <c r="X77" s="7" t="str">
        <f>TEXT(Table1[[#This Row],[Order Date]],"yyyy")</f>
        <v>2015</v>
      </c>
      <c r="Y77" s="9">
        <v>42150</v>
      </c>
      <c r="Z77" s="1">
        <v>149.88869999999997</v>
      </c>
      <c r="AA77" s="1">
        <v>14</v>
      </c>
      <c r="AB77" s="1">
        <v>217.23</v>
      </c>
      <c r="AC77" s="1">
        <v>86694</v>
      </c>
      <c r="AD77" s="6" t="str">
        <f>IF(COUNTIF(Returns!$A$2:$A$1635,Orders!AC77)&gt;0,"Returned","Not Returned")</f>
        <v>Not Returned</v>
      </c>
    </row>
    <row r="78" spans="1:30" ht="12.75" customHeight="1" thickTop="1" thickBot="1" x14ac:dyDescent="0.25">
      <c r="A78" s="10">
        <v>25762</v>
      </c>
      <c r="B78" s="11" t="s">
        <v>47</v>
      </c>
      <c r="C78" s="11">
        <v>0.04</v>
      </c>
      <c r="D78" s="11">
        <v>18.97</v>
      </c>
      <c r="E78" s="11">
        <v>9.5399999999999991</v>
      </c>
      <c r="F78" s="11">
        <v>136</v>
      </c>
      <c r="G78" s="6" t="str">
        <f>IF(COUNTIF(Table1[Customer ID],Table1[[#This Row],[Customer ID]])&gt;1,"Repeat Customer","One-Time Customer")</f>
        <v>Repeat Customer</v>
      </c>
      <c r="H78" s="11" t="s">
        <v>222</v>
      </c>
      <c r="I78" s="11" t="s">
        <v>49</v>
      </c>
      <c r="J78" s="11" t="s">
        <v>58</v>
      </c>
      <c r="K78" s="11" t="s">
        <v>29</v>
      </c>
      <c r="L78" s="11" t="s">
        <v>93</v>
      </c>
      <c r="M78" s="11" t="s">
        <v>59</v>
      </c>
      <c r="N78" s="11" t="s">
        <v>223</v>
      </c>
      <c r="O78" s="11">
        <v>0.37</v>
      </c>
      <c r="P78" s="6">
        <f>Table1[[#This Row],[Profit]]/Table1[[#This Row],[Sales]]</f>
        <v>2.9880086494987249E-2</v>
      </c>
      <c r="Q78" s="11" t="s">
        <v>33</v>
      </c>
      <c r="R78" s="11" t="s">
        <v>34</v>
      </c>
      <c r="S78" s="11" t="s">
        <v>45</v>
      </c>
      <c r="T78" s="11" t="s">
        <v>224</v>
      </c>
      <c r="U78" s="11">
        <v>94952</v>
      </c>
      <c r="V78" s="12">
        <v>42140</v>
      </c>
      <c r="W78" s="13" t="str">
        <f>TEXT(Table1[[#This Row],[Order Date]],"mmmm")</f>
        <v>May</v>
      </c>
      <c r="X78" s="7" t="str">
        <f>TEXT(Table1[[#This Row],[Order Date]],"yyyy")</f>
        <v>2015</v>
      </c>
      <c r="Y78" s="12">
        <v>42141</v>
      </c>
      <c r="Z78" s="11">
        <v>3.0400000000000027</v>
      </c>
      <c r="AA78" s="11">
        <v>5</v>
      </c>
      <c r="AB78" s="11">
        <v>101.74</v>
      </c>
      <c r="AC78" s="11">
        <v>88534</v>
      </c>
      <c r="AD78" s="6" t="str">
        <f>IF(COUNTIF(Returns!$A$2:$A$1635,Orders!AC78)&gt;0,"Returned","Not Returned")</f>
        <v>Not Returned</v>
      </c>
    </row>
    <row r="79" spans="1:30" ht="12.75" customHeight="1" thickTop="1" thickBot="1" x14ac:dyDescent="0.25">
      <c r="A79" s="8">
        <v>25764</v>
      </c>
      <c r="B79" s="1" t="s">
        <v>47</v>
      </c>
      <c r="C79" s="1">
        <v>0.09</v>
      </c>
      <c r="D79" s="1">
        <v>10.98</v>
      </c>
      <c r="E79" s="1">
        <v>3.37</v>
      </c>
      <c r="F79" s="1">
        <v>136</v>
      </c>
      <c r="G79" s="6" t="str">
        <f>IF(COUNTIF(Table1[Customer ID],Table1[[#This Row],[Customer ID]])&gt;1,"Repeat Customer","One-Time Customer")</f>
        <v>Repeat Customer</v>
      </c>
      <c r="H79" s="1" t="s">
        <v>222</v>
      </c>
      <c r="I79" s="1" t="s">
        <v>49</v>
      </c>
      <c r="J79" s="1" t="s">
        <v>58</v>
      </c>
      <c r="K79" s="1" t="s">
        <v>29</v>
      </c>
      <c r="L79" s="1" t="s">
        <v>174</v>
      </c>
      <c r="M79" s="1" t="s">
        <v>51</v>
      </c>
      <c r="N79" s="1" t="s">
        <v>225</v>
      </c>
      <c r="O79" s="1">
        <v>0.56999999999999995</v>
      </c>
      <c r="P79" s="6">
        <f>Table1[[#This Row],[Profit]]/Table1[[#This Row],[Sales]]</f>
        <v>3.2016090866067222E-2</v>
      </c>
      <c r="Q79" s="1" t="s">
        <v>33</v>
      </c>
      <c r="R79" s="1" t="s">
        <v>34</v>
      </c>
      <c r="S79" s="1" t="s">
        <v>45</v>
      </c>
      <c r="T79" s="1" t="s">
        <v>224</v>
      </c>
      <c r="U79" s="1">
        <v>94952</v>
      </c>
      <c r="V79" s="9">
        <v>42140</v>
      </c>
      <c r="W79" s="13" t="str">
        <f>TEXT(Table1[[#This Row],[Order Date]],"mmmm")</f>
        <v>May</v>
      </c>
      <c r="X79" s="7" t="str">
        <f>TEXT(Table1[[#This Row],[Order Date]],"yyyy")</f>
        <v>2015</v>
      </c>
      <c r="Y79" s="9">
        <v>42141</v>
      </c>
      <c r="Z79" s="1">
        <v>2.7060000000000013</v>
      </c>
      <c r="AA79" s="1">
        <v>8</v>
      </c>
      <c r="AB79" s="1">
        <v>84.52</v>
      </c>
      <c r="AC79" s="1">
        <v>88534</v>
      </c>
      <c r="AD79" s="6" t="str">
        <f>IF(COUNTIF(Returns!$A$2:$A$1635,Orders!AC79)&gt;0,"Returned","Not Returned")</f>
        <v>Not Returned</v>
      </c>
    </row>
    <row r="80" spans="1:30" ht="12.75" customHeight="1" thickTop="1" thickBot="1" x14ac:dyDescent="0.25">
      <c r="A80" s="10">
        <v>24803</v>
      </c>
      <c r="B80" s="11" t="s">
        <v>47</v>
      </c>
      <c r="C80" s="11">
        <v>0.03</v>
      </c>
      <c r="D80" s="11">
        <v>22.84</v>
      </c>
      <c r="E80" s="11">
        <v>11.54</v>
      </c>
      <c r="F80" s="11">
        <v>142</v>
      </c>
      <c r="G80" s="6" t="str">
        <f>IF(COUNTIF(Table1[Customer ID],Table1[[#This Row],[Customer ID]])&gt;1,"Repeat Customer","One-Time Customer")</f>
        <v>One-Time Customer</v>
      </c>
      <c r="H80" s="11" t="s">
        <v>226</v>
      </c>
      <c r="I80" s="11" t="s">
        <v>49</v>
      </c>
      <c r="J80" s="11" t="s">
        <v>58</v>
      </c>
      <c r="K80" s="11" t="s">
        <v>29</v>
      </c>
      <c r="L80" s="11" t="s">
        <v>93</v>
      </c>
      <c r="M80" s="11" t="s">
        <v>59</v>
      </c>
      <c r="N80" s="11" t="s">
        <v>227</v>
      </c>
      <c r="O80" s="11">
        <v>0.39</v>
      </c>
      <c r="P80" s="6">
        <f>Table1[[#This Row],[Profit]]/Table1[[#This Row],[Sales]]</f>
        <v>0.29417447775040789</v>
      </c>
      <c r="Q80" s="11" t="s">
        <v>33</v>
      </c>
      <c r="R80" s="11" t="s">
        <v>53</v>
      </c>
      <c r="S80" s="11" t="s">
        <v>228</v>
      </c>
      <c r="T80" s="11" t="s">
        <v>229</v>
      </c>
      <c r="U80" s="11">
        <v>6401</v>
      </c>
      <c r="V80" s="12">
        <v>42157</v>
      </c>
      <c r="W80" s="13" t="str">
        <f>TEXT(Table1[[#This Row],[Order Date]],"mmmm")</f>
        <v>June</v>
      </c>
      <c r="X80" s="7" t="str">
        <f>TEXT(Table1[[#This Row],[Order Date]],"yyyy")</f>
        <v>2015</v>
      </c>
      <c r="Y80" s="12">
        <v>42158</v>
      </c>
      <c r="Z80" s="11">
        <v>91.955999999999989</v>
      </c>
      <c r="AA80" s="11">
        <v>13</v>
      </c>
      <c r="AB80" s="11">
        <v>312.58999999999997</v>
      </c>
      <c r="AC80" s="11">
        <v>91087</v>
      </c>
      <c r="AD80" s="6" t="str">
        <f>IF(COUNTIF(Returns!$A$2:$A$1635,Orders!AC80)&gt;0,"Returned","Not Returned")</f>
        <v>Not Returned</v>
      </c>
    </row>
    <row r="81" spans="1:30" ht="12.75" customHeight="1" thickTop="1" thickBot="1" x14ac:dyDescent="0.25">
      <c r="A81" s="8">
        <v>24805</v>
      </c>
      <c r="B81" s="1" t="s">
        <v>47</v>
      </c>
      <c r="C81" s="1">
        <v>0.05</v>
      </c>
      <c r="D81" s="1">
        <v>10.98</v>
      </c>
      <c r="E81" s="1">
        <v>3.37</v>
      </c>
      <c r="F81" s="1">
        <v>144</v>
      </c>
      <c r="G81" s="6" t="str">
        <f>IF(COUNTIF(Table1[Customer ID],Table1[[#This Row],[Customer ID]])&gt;1,"Repeat Customer","One-Time Customer")</f>
        <v>One-Time Customer</v>
      </c>
      <c r="H81" s="1" t="s">
        <v>230</v>
      </c>
      <c r="I81" s="1" t="s">
        <v>49</v>
      </c>
      <c r="J81" s="1" t="s">
        <v>58</v>
      </c>
      <c r="K81" s="1" t="s">
        <v>29</v>
      </c>
      <c r="L81" s="1" t="s">
        <v>174</v>
      </c>
      <c r="M81" s="1" t="s">
        <v>51</v>
      </c>
      <c r="N81" s="1" t="s">
        <v>225</v>
      </c>
      <c r="O81" s="1">
        <v>0.56999999999999995</v>
      </c>
      <c r="P81" s="6">
        <f>Table1[[#This Row],[Profit]]/Table1[[#This Row],[Sales]]</f>
        <v>-3.9503105590062107E-2</v>
      </c>
      <c r="Q81" s="1" t="s">
        <v>33</v>
      </c>
      <c r="R81" s="1" t="s">
        <v>53</v>
      </c>
      <c r="S81" s="1" t="s">
        <v>193</v>
      </c>
      <c r="T81" s="1" t="s">
        <v>231</v>
      </c>
      <c r="U81" s="1">
        <v>2664</v>
      </c>
      <c r="V81" s="9">
        <v>42157</v>
      </c>
      <c r="W81" s="13" t="str">
        <f>TEXT(Table1[[#This Row],[Order Date]],"mmmm")</f>
        <v>June</v>
      </c>
      <c r="X81" s="7" t="str">
        <f>TEXT(Table1[[#This Row],[Order Date]],"yyyy")</f>
        <v>2015</v>
      </c>
      <c r="Y81" s="9">
        <v>42158</v>
      </c>
      <c r="Z81" s="1">
        <v>-2.544</v>
      </c>
      <c r="AA81" s="1">
        <v>6</v>
      </c>
      <c r="AB81" s="1">
        <v>64.400000000000006</v>
      </c>
      <c r="AC81" s="1">
        <v>91087</v>
      </c>
      <c r="AD81" s="6" t="str">
        <f>IF(COUNTIF(Returns!$A$2:$A$1635,Orders!AC81)&gt;0,"Returned","Not Returned")</f>
        <v>Not Returned</v>
      </c>
    </row>
    <row r="82" spans="1:30" ht="12.75" customHeight="1" thickTop="1" thickBot="1" x14ac:dyDescent="0.25">
      <c r="A82" s="10">
        <v>24849</v>
      </c>
      <c r="B82" s="11" t="s">
        <v>56</v>
      </c>
      <c r="C82" s="11">
        <v>0.06</v>
      </c>
      <c r="D82" s="11">
        <v>7.04</v>
      </c>
      <c r="E82" s="11">
        <v>2.17</v>
      </c>
      <c r="F82" s="11">
        <v>145</v>
      </c>
      <c r="G82" s="6" t="str">
        <f>IF(COUNTIF(Table1[Customer ID],Table1[[#This Row],[Customer ID]])&gt;1,"Repeat Customer","One-Time Customer")</f>
        <v>Repeat Customer</v>
      </c>
      <c r="H82" s="11" t="s">
        <v>232</v>
      </c>
      <c r="I82" s="11" t="s">
        <v>49</v>
      </c>
      <c r="J82" s="11" t="s">
        <v>58</v>
      </c>
      <c r="K82" s="11" t="s">
        <v>29</v>
      </c>
      <c r="L82" s="11" t="s">
        <v>93</v>
      </c>
      <c r="M82" s="11" t="s">
        <v>31</v>
      </c>
      <c r="N82" s="11" t="s">
        <v>233</v>
      </c>
      <c r="O82" s="11">
        <v>0.38</v>
      </c>
      <c r="P82" s="6">
        <f>Table1[[#This Row],[Profit]]/Table1[[#This Row],[Sales]]</f>
        <v>0.16963822525597269</v>
      </c>
      <c r="Q82" s="11" t="s">
        <v>33</v>
      </c>
      <c r="R82" s="11" t="s">
        <v>53</v>
      </c>
      <c r="S82" s="11" t="s">
        <v>234</v>
      </c>
      <c r="T82" s="11" t="s">
        <v>235</v>
      </c>
      <c r="U82" s="11">
        <v>15122</v>
      </c>
      <c r="V82" s="12">
        <v>42019</v>
      </c>
      <c r="W82" s="13" t="str">
        <f>TEXT(Table1[[#This Row],[Order Date]],"mmmm")</f>
        <v>January</v>
      </c>
      <c r="X82" s="7" t="str">
        <f>TEXT(Table1[[#This Row],[Order Date]],"yyyy")</f>
        <v>2015</v>
      </c>
      <c r="Y82" s="12">
        <v>42021</v>
      </c>
      <c r="Z82" s="11">
        <v>2.4851999999999999</v>
      </c>
      <c r="AA82" s="11">
        <v>2</v>
      </c>
      <c r="AB82" s="11">
        <v>14.65</v>
      </c>
      <c r="AC82" s="11">
        <v>91086</v>
      </c>
      <c r="AD82" s="6" t="str">
        <f>IF(COUNTIF(Returns!$A$2:$A$1635,Orders!AC82)&gt;0,"Returned","Not Returned")</f>
        <v>Not Returned</v>
      </c>
    </row>
    <row r="83" spans="1:30" ht="12.75" customHeight="1" thickTop="1" thickBot="1" x14ac:dyDescent="0.25">
      <c r="A83" s="8">
        <v>25582</v>
      </c>
      <c r="B83" s="1" t="s">
        <v>106</v>
      </c>
      <c r="C83" s="1">
        <v>7.0000000000000007E-2</v>
      </c>
      <c r="D83" s="1">
        <v>154.13</v>
      </c>
      <c r="E83" s="1">
        <v>69</v>
      </c>
      <c r="F83" s="1">
        <v>145</v>
      </c>
      <c r="G83" s="6" t="str">
        <f>IF(COUNTIF(Table1[Customer ID],Table1[[#This Row],[Customer ID]])&gt;1,"Repeat Customer","One-Time Customer")</f>
        <v>Repeat Customer</v>
      </c>
      <c r="H83" s="1" t="s">
        <v>232</v>
      </c>
      <c r="I83" s="1" t="s">
        <v>27</v>
      </c>
      <c r="J83" s="1" t="s">
        <v>40</v>
      </c>
      <c r="K83" s="1" t="s">
        <v>41</v>
      </c>
      <c r="L83" s="1" t="s">
        <v>152</v>
      </c>
      <c r="M83" s="1" t="s">
        <v>236</v>
      </c>
      <c r="N83" s="1" t="s">
        <v>237</v>
      </c>
      <c r="O83" s="1">
        <v>0.68</v>
      </c>
      <c r="P83" s="6">
        <f>Table1[[#This Row],[Profit]]/Table1[[#This Row],[Sales]]</f>
        <v>-1.3992639213438565</v>
      </c>
      <c r="Q83" s="1" t="s">
        <v>33</v>
      </c>
      <c r="R83" s="1" t="s">
        <v>53</v>
      </c>
      <c r="S83" s="1" t="s">
        <v>234</v>
      </c>
      <c r="T83" s="1" t="s">
        <v>235</v>
      </c>
      <c r="U83" s="1">
        <v>15122</v>
      </c>
      <c r="V83" s="9">
        <v>42079</v>
      </c>
      <c r="W83" s="13" t="str">
        <f>TEXT(Table1[[#This Row],[Order Date]],"mmmm")</f>
        <v>March</v>
      </c>
      <c r="X83" s="7" t="str">
        <f>TEXT(Table1[[#This Row],[Order Date]],"yyyy")</f>
        <v>2015</v>
      </c>
      <c r="Y83" s="9">
        <v>42079</v>
      </c>
      <c r="Z83" s="1">
        <v>-634.73410000000013</v>
      </c>
      <c r="AA83" s="1">
        <v>3</v>
      </c>
      <c r="AB83" s="1">
        <v>453.62</v>
      </c>
      <c r="AC83" s="1">
        <v>91089</v>
      </c>
      <c r="AD83" s="6" t="str">
        <f>IF(COUNTIF(Returns!$A$2:$A$1635,Orders!AC83)&gt;0,"Returned","Not Returned")</f>
        <v>Not Returned</v>
      </c>
    </row>
    <row r="84" spans="1:30" ht="12.75" customHeight="1" thickTop="1" thickBot="1" x14ac:dyDescent="0.25">
      <c r="A84" s="10">
        <v>23365</v>
      </c>
      <c r="B84" s="11" t="s">
        <v>37</v>
      </c>
      <c r="C84" s="11">
        <v>0.01</v>
      </c>
      <c r="D84" s="11">
        <v>45.98</v>
      </c>
      <c r="E84" s="11">
        <v>4.8</v>
      </c>
      <c r="F84" s="11">
        <v>146</v>
      </c>
      <c r="G84" s="6" t="str">
        <f>IF(COUNTIF(Table1[Customer ID],Table1[[#This Row],[Customer ID]])&gt;1,"Repeat Customer","One-Time Customer")</f>
        <v>Repeat Customer</v>
      </c>
      <c r="H84" s="11" t="s">
        <v>238</v>
      </c>
      <c r="I84" s="11" t="s">
        <v>49</v>
      </c>
      <c r="J84" s="11" t="s">
        <v>58</v>
      </c>
      <c r="K84" s="11" t="s">
        <v>41</v>
      </c>
      <c r="L84" s="11" t="s">
        <v>50</v>
      </c>
      <c r="M84" s="11" t="s">
        <v>31</v>
      </c>
      <c r="N84" s="11" t="s">
        <v>239</v>
      </c>
      <c r="O84" s="11">
        <v>0.68</v>
      </c>
      <c r="P84" s="6">
        <f>Table1[[#This Row],[Profit]]/Table1[[#This Row],[Sales]]</f>
        <v>0.69</v>
      </c>
      <c r="Q84" s="11" t="s">
        <v>33</v>
      </c>
      <c r="R84" s="11" t="s">
        <v>61</v>
      </c>
      <c r="S84" s="11" t="s">
        <v>130</v>
      </c>
      <c r="T84" s="11" t="s">
        <v>240</v>
      </c>
      <c r="U84" s="11">
        <v>76148</v>
      </c>
      <c r="V84" s="12">
        <v>42075</v>
      </c>
      <c r="W84" s="13" t="str">
        <f>TEXT(Table1[[#This Row],[Order Date]],"mmmm")</f>
        <v>March</v>
      </c>
      <c r="X84" s="7" t="str">
        <f>TEXT(Table1[[#This Row],[Order Date]],"yyyy")</f>
        <v>2015</v>
      </c>
      <c r="Y84" s="12">
        <v>42076</v>
      </c>
      <c r="Z84" s="11">
        <v>133.5771</v>
      </c>
      <c r="AA84" s="11">
        <v>4</v>
      </c>
      <c r="AB84" s="11">
        <v>193.59</v>
      </c>
      <c r="AC84" s="11">
        <v>91088</v>
      </c>
      <c r="AD84" s="6" t="str">
        <f>IF(COUNTIF(Returns!$A$2:$A$1635,Orders!AC84)&gt;0,"Returned","Not Returned")</f>
        <v>Not Returned</v>
      </c>
    </row>
    <row r="85" spans="1:30" ht="12.75" customHeight="1" thickTop="1" thickBot="1" x14ac:dyDescent="0.25">
      <c r="A85" s="8">
        <v>22907</v>
      </c>
      <c r="B85" s="1" t="s">
        <v>56</v>
      </c>
      <c r="C85" s="1">
        <v>0.06</v>
      </c>
      <c r="D85" s="1">
        <v>180.98</v>
      </c>
      <c r="E85" s="1">
        <v>26.2</v>
      </c>
      <c r="F85" s="1">
        <v>146</v>
      </c>
      <c r="G85" s="6" t="str">
        <f>IF(COUNTIF(Table1[Customer ID],Table1[[#This Row],[Customer ID]])&gt;1,"Repeat Customer","One-Time Customer")</f>
        <v>Repeat Customer</v>
      </c>
      <c r="H85" s="1" t="s">
        <v>238</v>
      </c>
      <c r="I85" s="1" t="s">
        <v>39</v>
      </c>
      <c r="J85" s="1" t="s">
        <v>28</v>
      </c>
      <c r="K85" s="1" t="s">
        <v>41</v>
      </c>
      <c r="L85" s="1" t="s">
        <v>42</v>
      </c>
      <c r="M85" s="1" t="s">
        <v>43</v>
      </c>
      <c r="N85" s="1" t="s">
        <v>241</v>
      </c>
      <c r="O85" s="1">
        <v>0.59</v>
      </c>
      <c r="P85" s="6">
        <f>Table1[[#This Row],[Profit]]/Table1[[#This Row],[Sales]]</f>
        <v>0.27045666275804936</v>
      </c>
      <c r="Q85" s="1" t="s">
        <v>33</v>
      </c>
      <c r="R85" s="1" t="s">
        <v>61</v>
      </c>
      <c r="S85" s="1" t="s">
        <v>130</v>
      </c>
      <c r="T85" s="1" t="s">
        <v>240</v>
      </c>
      <c r="U85" s="1">
        <v>76148</v>
      </c>
      <c r="V85" s="9">
        <v>42117</v>
      </c>
      <c r="W85" s="13" t="str">
        <f>TEXT(Table1[[#This Row],[Order Date]],"mmmm")</f>
        <v>April</v>
      </c>
      <c r="X85" s="7" t="str">
        <f>TEXT(Table1[[#This Row],[Order Date]],"yyyy")</f>
        <v>2015</v>
      </c>
      <c r="Y85" s="9">
        <v>42118</v>
      </c>
      <c r="Z85" s="1">
        <v>251.40839999999997</v>
      </c>
      <c r="AA85" s="1">
        <v>5</v>
      </c>
      <c r="AB85" s="1">
        <v>929.57</v>
      </c>
      <c r="AC85" s="1">
        <v>91090</v>
      </c>
      <c r="AD85" s="6" t="str">
        <f>IF(COUNTIF(Returns!$A$2:$A$1635,Orders!AC85)&gt;0,"Returned","Not Returned")</f>
        <v>Not Returned</v>
      </c>
    </row>
    <row r="86" spans="1:30" ht="12.75" customHeight="1" thickTop="1" thickBot="1" x14ac:dyDescent="0.25">
      <c r="A86" s="10">
        <v>19058</v>
      </c>
      <c r="B86" s="11" t="s">
        <v>47</v>
      </c>
      <c r="C86" s="11">
        <v>0.09</v>
      </c>
      <c r="D86" s="11">
        <v>32.979999999999997</v>
      </c>
      <c r="E86" s="11">
        <v>5.5</v>
      </c>
      <c r="F86" s="11">
        <v>151</v>
      </c>
      <c r="G86" s="6" t="str">
        <f>IF(COUNTIF(Table1[Customer ID],Table1[[#This Row],[Customer ID]])&gt;1,"Repeat Customer","One-Time Customer")</f>
        <v>Repeat Customer</v>
      </c>
      <c r="H86" s="11" t="s">
        <v>242</v>
      </c>
      <c r="I86" s="11" t="s">
        <v>49</v>
      </c>
      <c r="J86" s="11" t="s">
        <v>40</v>
      </c>
      <c r="K86" s="11" t="s">
        <v>77</v>
      </c>
      <c r="L86" s="11" t="s">
        <v>180</v>
      </c>
      <c r="M86" s="11" t="s">
        <v>59</v>
      </c>
      <c r="N86" s="11" t="s">
        <v>243</v>
      </c>
      <c r="O86" s="11">
        <v>0.75</v>
      </c>
      <c r="P86" s="6">
        <f>Table1[[#This Row],[Profit]]/Table1[[#This Row],[Sales]]</f>
        <v>-0.32433557476785146</v>
      </c>
      <c r="Q86" s="11" t="s">
        <v>33</v>
      </c>
      <c r="R86" s="11" t="s">
        <v>136</v>
      </c>
      <c r="S86" s="11" t="s">
        <v>244</v>
      </c>
      <c r="T86" s="11" t="s">
        <v>245</v>
      </c>
      <c r="U86" s="11">
        <v>37664</v>
      </c>
      <c r="V86" s="12">
        <v>42026</v>
      </c>
      <c r="W86" s="13" t="str">
        <f>TEXT(Table1[[#This Row],[Order Date]],"mmmm")</f>
        <v>January</v>
      </c>
      <c r="X86" s="7" t="str">
        <f>TEXT(Table1[[#This Row],[Order Date]],"yyyy")</f>
        <v>2015</v>
      </c>
      <c r="Y86" s="12">
        <v>42027</v>
      </c>
      <c r="Z86" s="11">
        <v>-20.258000000000003</v>
      </c>
      <c r="AA86" s="11">
        <v>2</v>
      </c>
      <c r="AB86" s="11">
        <v>62.46</v>
      </c>
      <c r="AC86" s="11">
        <v>89521</v>
      </c>
      <c r="AD86" s="6" t="str">
        <f>IF(COUNTIF(Returns!$A$2:$A$1635,Orders!AC86)&gt;0,"Returned","Not Returned")</f>
        <v>Not Returned</v>
      </c>
    </row>
    <row r="87" spans="1:30" ht="12.75" customHeight="1" thickTop="1" thickBot="1" x14ac:dyDescent="0.25">
      <c r="A87" s="8">
        <v>20679</v>
      </c>
      <c r="B87" s="1" t="s">
        <v>25</v>
      </c>
      <c r="C87" s="1">
        <v>0.09</v>
      </c>
      <c r="D87" s="1">
        <v>5.98</v>
      </c>
      <c r="E87" s="1">
        <v>2.5</v>
      </c>
      <c r="F87" s="1">
        <v>151</v>
      </c>
      <c r="G87" s="6" t="str">
        <f>IF(COUNTIF(Table1[Customer ID],Table1[[#This Row],[Customer ID]])&gt;1,"Repeat Customer","One-Time Customer")</f>
        <v>Repeat Customer</v>
      </c>
      <c r="H87" s="1" t="s">
        <v>242</v>
      </c>
      <c r="I87" s="1" t="s">
        <v>49</v>
      </c>
      <c r="J87" s="1" t="s">
        <v>40</v>
      </c>
      <c r="K87" s="1" t="s">
        <v>29</v>
      </c>
      <c r="L87" s="1" t="s">
        <v>69</v>
      </c>
      <c r="M87" s="1" t="s">
        <v>59</v>
      </c>
      <c r="N87" s="1" t="s">
        <v>246</v>
      </c>
      <c r="O87" s="1">
        <v>0.36</v>
      </c>
      <c r="P87" s="6">
        <f>Table1[[#This Row],[Profit]]/Table1[[#This Row],[Sales]]</f>
        <v>0.49434364994663821</v>
      </c>
      <c r="Q87" s="1" t="s">
        <v>33</v>
      </c>
      <c r="R87" s="1" t="s">
        <v>136</v>
      </c>
      <c r="S87" s="1" t="s">
        <v>244</v>
      </c>
      <c r="T87" s="1" t="s">
        <v>245</v>
      </c>
      <c r="U87" s="1">
        <v>37664</v>
      </c>
      <c r="V87" s="9">
        <v>42114</v>
      </c>
      <c r="W87" s="13" t="str">
        <f>TEXT(Table1[[#This Row],[Order Date]],"mmmm")</f>
        <v>April</v>
      </c>
      <c r="X87" s="7" t="str">
        <f>TEXT(Table1[[#This Row],[Order Date]],"yyyy")</f>
        <v>2015</v>
      </c>
      <c r="Y87" s="9">
        <v>42116</v>
      </c>
      <c r="Z87" s="1">
        <v>13.895999999999999</v>
      </c>
      <c r="AA87" s="1">
        <v>5</v>
      </c>
      <c r="AB87" s="1">
        <v>28.11</v>
      </c>
      <c r="AC87" s="1">
        <v>89523</v>
      </c>
      <c r="AD87" s="6" t="str">
        <f>IF(COUNTIF(Returns!$A$2:$A$1635,Orders!AC87)&gt;0,"Returned","Not Returned")</f>
        <v>Not Returned</v>
      </c>
    </row>
    <row r="88" spans="1:30" ht="12.75" customHeight="1" thickTop="1" thickBot="1" x14ac:dyDescent="0.25">
      <c r="A88" s="10">
        <v>21103</v>
      </c>
      <c r="B88" s="11" t="s">
        <v>47</v>
      </c>
      <c r="C88" s="11">
        <v>0.09</v>
      </c>
      <c r="D88" s="11">
        <v>2.88</v>
      </c>
      <c r="E88" s="11">
        <v>0.7</v>
      </c>
      <c r="F88" s="11">
        <v>152</v>
      </c>
      <c r="G88" s="6" t="str">
        <f>IF(COUNTIF(Table1[Customer ID],Table1[[#This Row],[Customer ID]])&gt;1,"Repeat Customer","One-Time Customer")</f>
        <v>Repeat Customer</v>
      </c>
      <c r="H88" s="11" t="s">
        <v>247</v>
      </c>
      <c r="I88" s="11" t="s">
        <v>49</v>
      </c>
      <c r="J88" s="11" t="s">
        <v>114</v>
      </c>
      <c r="K88" s="11" t="s">
        <v>29</v>
      </c>
      <c r="L88" s="11" t="s">
        <v>30</v>
      </c>
      <c r="M88" s="11" t="s">
        <v>31</v>
      </c>
      <c r="N88" s="11" t="s">
        <v>248</v>
      </c>
      <c r="O88" s="11">
        <v>0.56000000000000005</v>
      </c>
      <c r="P88" s="6">
        <f>Table1[[#This Row],[Profit]]/Table1[[#This Row],[Sales]]</f>
        <v>-31.403272727272732</v>
      </c>
      <c r="Q88" s="11" t="s">
        <v>33</v>
      </c>
      <c r="R88" s="11" t="s">
        <v>136</v>
      </c>
      <c r="S88" s="11" t="s">
        <v>244</v>
      </c>
      <c r="T88" s="11" t="s">
        <v>249</v>
      </c>
      <c r="U88" s="11">
        <v>37918</v>
      </c>
      <c r="V88" s="12">
        <v>42019</v>
      </c>
      <c r="W88" s="13" t="str">
        <f>TEXT(Table1[[#This Row],[Order Date]],"mmmm")</f>
        <v>January</v>
      </c>
      <c r="X88" s="7" t="str">
        <f>TEXT(Table1[[#This Row],[Order Date]],"yyyy")</f>
        <v>2015</v>
      </c>
      <c r="Y88" s="12">
        <v>42020</v>
      </c>
      <c r="Z88" s="11">
        <v>-172.71800000000002</v>
      </c>
      <c r="AA88" s="11">
        <v>2</v>
      </c>
      <c r="AB88" s="11">
        <v>5.5</v>
      </c>
      <c r="AC88" s="11">
        <v>89520</v>
      </c>
      <c r="AD88" s="6" t="str">
        <f>IF(COUNTIF(Returns!$A$2:$A$1635,Orders!AC88)&gt;0,"Returned","Not Returned")</f>
        <v>Not Returned</v>
      </c>
    </row>
    <row r="89" spans="1:30" ht="12.75" customHeight="1" thickTop="1" thickBot="1" x14ac:dyDescent="0.25">
      <c r="A89" s="8">
        <v>22243</v>
      </c>
      <c r="B89" s="1" t="s">
        <v>106</v>
      </c>
      <c r="C89" s="1">
        <v>0.01</v>
      </c>
      <c r="D89" s="1">
        <v>79.52</v>
      </c>
      <c r="E89" s="1">
        <v>48.2</v>
      </c>
      <c r="F89" s="1">
        <v>152</v>
      </c>
      <c r="G89" s="6" t="str">
        <f>IF(COUNTIF(Table1[Customer ID],Table1[[#This Row],[Customer ID]])&gt;1,"Repeat Customer","One-Time Customer")</f>
        <v>Repeat Customer</v>
      </c>
      <c r="H89" s="1" t="s">
        <v>247</v>
      </c>
      <c r="I89" s="1" t="s">
        <v>49</v>
      </c>
      <c r="J89" s="1" t="s">
        <v>40</v>
      </c>
      <c r="K89" s="1" t="s">
        <v>41</v>
      </c>
      <c r="L89" s="1" t="s">
        <v>50</v>
      </c>
      <c r="M89" s="1" t="s">
        <v>86</v>
      </c>
      <c r="N89" s="1" t="s">
        <v>250</v>
      </c>
      <c r="O89" s="1">
        <v>0.74</v>
      </c>
      <c r="P89" s="6">
        <f>Table1[[#This Row],[Profit]]/Table1[[#This Row],[Sales]]</f>
        <v>-6.0918782942022034E-2</v>
      </c>
      <c r="Q89" s="1" t="s">
        <v>33</v>
      </c>
      <c r="R89" s="1" t="s">
        <v>136</v>
      </c>
      <c r="S89" s="1" t="s">
        <v>244</v>
      </c>
      <c r="T89" s="1" t="s">
        <v>249</v>
      </c>
      <c r="U89" s="1">
        <v>37918</v>
      </c>
      <c r="V89" s="9">
        <v>42113</v>
      </c>
      <c r="W89" s="13" t="str">
        <f>TEXT(Table1[[#This Row],[Order Date]],"mmmm")</f>
        <v>April</v>
      </c>
      <c r="X89" s="7" t="str">
        <f>TEXT(Table1[[#This Row],[Order Date]],"yyyy")</f>
        <v>2015</v>
      </c>
      <c r="Y89" s="9">
        <v>42120</v>
      </c>
      <c r="Z89" s="1">
        <v>-40.683999999999997</v>
      </c>
      <c r="AA89" s="1">
        <v>8</v>
      </c>
      <c r="AB89" s="1">
        <v>667.84</v>
      </c>
      <c r="AC89" s="1">
        <v>89522</v>
      </c>
      <c r="AD89" s="6" t="str">
        <f>IF(COUNTIF(Returns!$A$2:$A$1635,Orders!AC89)&gt;0,"Returned","Not Returned")</f>
        <v>Not Returned</v>
      </c>
    </row>
    <row r="90" spans="1:30" ht="12.75" customHeight="1" thickTop="1" thickBot="1" x14ac:dyDescent="0.25">
      <c r="A90" s="10">
        <v>21767</v>
      </c>
      <c r="B90" s="11" t="s">
        <v>25</v>
      </c>
      <c r="C90" s="11">
        <v>0.01</v>
      </c>
      <c r="D90" s="11">
        <v>65.989999999999995</v>
      </c>
      <c r="E90" s="11">
        <v>8.99</v>
      </c>
      <c r="F90" s="11">
        <v>152</v>
      </c>
      <c r="G90" s="6" t="str">
        <f>IF(COUNTIF(Table1[Customer ID],Table1[[#This Row],[Customer ID]])&gt;1,"Repeat Customer","One-Time Customer")</f>
        <v>Repeat Customer</v>
      </c>
      <c r="H90" s="11" t="s">
        <v>247</v>
      </c>
      <c r="I90" s="11" t="s">
        <v>49</v>
      </c>
      <c r="J90" s="11" t="s">
        <v>114</v>
      </c>
      <c r="K90" s="11" t="s">
        <v>77</v>
      </c>
      <c r="L90" s="11" t="s">
        <v>78</v>
      </c>
      <c r="M90" s="11" t="s">
        <v>59</v>
      </c>
      <c r="N90" s="11" t="s">
        <v>251</v>
      </c>
      <c r="O90" s="11">
        <v>0.6</v>
      </c>
      <c r="P90" s="6">
        <f>Table1[[#This Row],[Profit]]/Table1[[#This Row],[Sales]]</f>
        <v>0.33487321630222766</v>
      </c>
      <c r="Q90" s="11" t="s">
        <v>33</v>
      </c>
      <c r="R90" s="11" t="s">
        <v>136</v>
      </c>
      <c r="S90" s="11" t="s">
        <v>244</v>
      </c>
      <c r="T90" s="11" t="s">
        <v>249</v>
      </c>
      <c r="U90" s="11">
        <v>37918</v>
      </c>
      <c r="V90" s="12">
        <v>42092</v>
      </c>
      <c r="W90" s="13" t="str">
        <f>TEXT(Table1[[#This Row],[Order Date]],"mmmm")</f>
        <v>March</v>
      </c>
      <c r="X90" s="7" t="str">
        <f>TEXT(Table1[[#This Row],[Order Date]],"yyyy")</f>
        <v>2015</v>
      </c>
      <c r="Y90" s="12">
        <v>42095</v>
      </c>
      <c r="Z90" s="11">
        <v>97.86</v>
      </c>
      <c r="AA90" s="11">
        <v>5</v>
      </c>
      <c r="AB90" s="11">
        <v>292.23</v>
      </c>
      <c r="AC90" s="11">
        <v>89524</v>
      </c>
      <c r="AD90" s="6" t="str">
        <f>IF(COUNTIF(Returns!$A$2:$A$1635,Orders!AC90)&gt;0,"Returned","Not Returned")</f>
        <v>Not Returned</v>
      </c>
    </row>
    <row r="91" spans="1:30" ht="12.75" customHeight="1" thickTop="1" thickBot="1" x14ac:dyDescent="0.25">
      <c r="A91" s="8">
        <v>22470</v>
      </c>
      <c r="B91" s="1" t="s">
        <v>106</v>
      </c>
      <c r="C91" s="1">
        <v>0.1</v>
      </c>
      <c r="D91" s="1">
        <v>39.979999999999997</v>
      </c>
      <c r="E91" s="1">
        <v>4</v>
      </c>
      <c r="F91" s="1">
        <v>152</v>
      </c>
      <c r="G91" s="6" t="str">
        <f>IF(COUNTIF(Table1[Customer ID],Table1[[#This Row],[Customer ID]])&gt;1,"Repeat Customer","One-Time Customer")</f>
        <v>Repeat Customer</v>
      </c>
      <c r="H91" s="1" t="s">
        <v>247</v>
      </c>
      <c r="I91" s="1" t="s">
        <v>49</v>
      </c>
      <c r="J91" s="1" t="s">
        <v>58</v>
      </c>
      <c r="K91" s="1" t="s">
        <v>77</v>
      </c>
      <c r="L91" s="1" t="s">
        <v>180</v>
      </c>
      <c r="M91" s="1" t="s">
        <v>59</v>
      </c>
      <c r="N91" s="1" t="s">
        <v>252</v>
      </c>
      <c r="O91" s="1">
        <v>0.7</v>
      </c>
      <c r="P91" s="6">
        <f>Table1[[#This Row],[Profit]]/Table1[[#This Row],[Sales]]</f>
        <v>0.46629388008698358</v>
      </c>
      <c r="Q91" s="1" t="s">
        <v>33</v>
      </c>
      <c r="R91" s="1" t="s">
        <v>136</v>
      </c>
      <c r="S91" s="1" t="s">
        <v>244</v>
      </c>
      <c r="T91" s="1" t="s">
        <v>249</v>
      </c>
      <c r="U91" s="1">
        <v>37918</v>
      </c>
      <c r="V91" s="9">
        <v>42173</v>
      </c>
      <c r="W91" s="13" t="str">
        <f>TEXT(Table1[[#This Row],[Order Date]],"mmmm")</f>
        <v>June</v>
      </c>
      <c r="X91" s="7" t="str">
        <f>TEXT(Table1[[#This Row],[Order Date]],"yyyy")</f>
        <v>2015</v>
      </c>
      <c r="Y91" s="9">
        <v>42177</v>
      </c>
      <c r="Z91" s="1">
        <v>360.24</v>
      </c>
      <c r="AA91" s="1">
        <v>21</v>
      </c>
      <c r="AB91" s="1">
        <v>772.56</v>
      </c>
      <c r="AC91" s="1">
        <v>89525</v>
      </c>
      <c r="AD91" s="6" t="str">
        <f>IF(COUNTIF(Returns!$A$2:$A$1635,Orders!AC91)&gt;0,"Returned","Not Returned")</f>
        <v>Not Returned</v>
      </c>
    </row>
    <row r="92" spans="1:30" ht="12.75" customHeight="1" thickTop="1" thickBot="1" x14ac:dyDescent="0.25">
      <c r="A92" s="10">
        <v>22329</v>
      </c>
      <c r="B92" s="11" t="s">
        <v>47</v>
      </c>
      <c r="C92" s="11">
        <v>0.01</v>
      </c>
      <c r="D92" s="11">
        <v>95.99</v>
      </c>
      <c r="E92" s="11">
        <v>4.9000000000000004</v>
      </c>
      <c r="F92" s="11">
        <v>156</v>
      </c>
      <c r="G92" s="6" t="str">
        <f>IF(COUNTIF(Table1[Customer ID],Table1[[#This Row],[Customer ID]])&gt;1,"Repeat Customer","One-Time Customer")</f>
        <v>Repeat Customer</v>
      </c>
      <c r="H92" s="11" t="s">
        <v>253</v>
      </c>
      <c r="I92" s="11" t="s">
        <v>49</v>
      </c>
      <c r="J92" s="11" t="s">
        <v>28</v>
      </c>
      <c r="K92" s="11" t="s">
        <v>77</v>
      </c>
      <c r="L92" s="11" t="s">
        <v>78</v>
      </c>
      <c r="M92" s="11" t="s">
        <v>59</v>
      </c>
      <c r="N92" s="11" t="s">
        <v>254</v>
      </c>
      <c r="O92" s="11">
        <v>0.56000000000000005</v>
      </c>
      <c r="P92" s="6">
        <f>Table1[[#This Row],[Profit]]/Table1[[#This Row],[Sales]]</f>
        <v>0.679833917415816</v>
      </c>
      <c r="Q92" s="11" t="s">
        <v>33</v>
      </c>
      <c r="R92" s="11" t="s">
        <v>34</v>
      </c>
      <c r="S92" s="11" t="s">
        <v>255</v>
      </c>
      <c r="T92" s="11" t="s">
        <v>256</v>
      </c>
      <c r="U92" s="11">
        <v>80525</v>
      </c>
      <c r="V92" s="12">
        <v>42138</v>
      </c>
      <c r="W92" s="13" t="str">
        <f>TEXT(Table1[[#This Row],[Order Date]],"mmmm")</f>
        <v>May</v>
      </c>
      <c r="X92" s="7" t="str">
        <f>TEXT(Table1[[#This Row],[Order Date]],"yyyy")</f>
        <v>2015</v>
      </c>
      <c r="Y92" s="12">
        <v>42139</v>
      </c>
      <c r="Z92" s="11">
        <v>713.88</v>
      </c>
      <c r="AA92" s="11">
        <v>13</v>
      </c>
      <c r="AB92" s="11">
        <v>1050.08</v>
      </c>
      <c r="AC92" s="11">
        <v>87671</v>
      </c>
      <c r="AD92" s="6" t="str">
        <f>IF(COUNTIF(Returns!$A$2:$A$1635,Orders!AC92)&gt;0,"Returned","Not Returned")</f>
        <v>Not Returned</v>
      </c>
    </row>
    <row r="93" spans="1:30" ht="12.75" customHeight="1" thickTop="1" thickBot="1" x14ac:dyDescent="0.25">
      <c r="A93" s="8">
        <v>20324</v>
      </c>
      <c r="B93" s="1" t="s">
        <v>25</v>
      </c>
      <c r="C93" s="1">
        <v>0.03</v>
      </c>
      <c r="D93" s="1">
        <v>10.89</v>
      </c>
      <c r="E93" s="1">
        <v>4.5</v>
      </c>
      <c r="F93" s="1">
        <v>156</v>
      </c>
      <c r="G93" s="6" t="str">
        <f>IF(COUNTIF(Table1[Customer ID],Table1[[#This Row],[Customer ID]])&gt;1,"Repeat Customer","One-Time Customer")</f>
        <v>Repeat Customer</v>
      </c>
      <c r="H93" s="1" t="s">
        <v>253</v>
      </c>
      <c r="I93" s="1" t="s">
        <v>49</v>
      </c>
      <c r="J93" s="1" t="s">
        <v>28</v>
      </c>
      <c r="K93" s="1" t="s">
        <v>29</v>
      </c>
      <c r="L93" s="1" t="s">
        <v>257</v>
      </c>
      <c r="M93" s="1" t="s">
        <v>59</v>
      </c>
      <c r="N93" s="1" t="s">
        <v>258</v>
      </c>
      <c r="O93" s="1">
        <v>0.59</v>
      </c>
      <c r="P93" s="6">
        <f>Table1[[#This Row],[Profit]]/Table1[[#This Row],[Sales]]</f>
        <v>-0.55115316380839741</v>
      </c>
      <c r="Q93" s="1" t="s">
        <v>33</v>
      </c>
      <c r="R93" s="1" t="s">
        <v>34</v>
      </c>
      <c r="S93" s="1" t="s">
        <v>255</v>
      </c>
      <c r="T93" s="1" t="s">
        <v>256</v>
      </c>
      <c r="U93" s="1">
        <v>80525</v>
      </c>
      <c r="V93" s="9">
        <v>42029</v>
      </c>
      <c r="W93" s="13" t="str">
        <f>TEXT(Table1[[#This Row],[Order Date]],"mmmm")</f>
        <v>January</v>
      </c>
      <c r="X93" s="7" t="str">
        <f>TEXT(Table1[[#This Row],[Order Date]],"yyyy")</f>
        <v>2015</v>
      </c>
      <c r="Y93" s="9">
        <v>42030</v>
      </c>
      <c r="Z93" s="1">
        <v>-18.64</v>
      </c>
      <c r="AA93" s="1">
        <v>3</v>
      </c>
      <c r="AB93" s="1">
        <v>33.82</v>
      </c>
      <c r="AC93" s="1">
        <v>87672</v>
      </c>
      <c r="AD93" s="6" t="str">
        <f>IF(COUNTIF(Returns!$A$2:$A$1635,Orders!AC93)&gt;0,"Returned","Not Returned")</f>
        <v>Not Returned</v>
      </c>
    </row>
    <row r="94" spans="1:30" ht="12.75" customHeight="1" thickTop="1" thickBot="1" x14ac:dyDescent="0.25">
      <c r="A94" s="10">
        <v>26102</v>
      </c>
      <c r="B94" s="11" t="s">
        <v>56</v>
      </c>
      <c r="C94" s="11">
        <v>0.05</v>
      </c>
      <c r="D94" s="11">
        <v>100.98</v>
      </c>
      <c r="E94" s="11">
        <v>35.840000000000003</v>
      </c>
      <c r="F94" s="11">
        <v>164</v>
      </c>
      <c r="G94" s="6" t="str">
        <f>IF(COUNTIF(Table1[Customer ID],Table1[[#This Row],[Customer ID]])&gt;1,"Repeat Customer","One-Time Customer")</f>
        <v>Repeat Customer</v>
      </c>
      <c r="H94" s="11" t="s">
        <v>259</v>
      </c>
      <c r="I94" s="11" t="s">
        <v>39</v>
      </c>
      <c r="J94" s="11" t="s">
        <v>40</v>
      </c>
      <c r="K94" s="11" t="s">
        <v>41</v>
      </c>
      <c r="L94" s="11" t="s">
        <v>191</v>
      </c>
      <c r="M94" s="11" t="s">
        <v>121</v>
      </c>
      <c r="N94" s="11" t="s">
        <v>260</v>
      </c>
      <c r="O94" s="11">
        <v>0.62</v>
      </c>
      <c r="P94" s="6">
        <f>Table1[[#This Row],[Profit]]/Table1[[#This Row],[Sales]]</f>
        <v>-0.15568443854377753</v>
      </c>
      <c r="Q94" s="11" t="s">
        <v>33</v>
      </c>
      <c r="R94" s="11" t="s">
        <v>34</v>
      </c>
      <c r="S94" s="11" t="s">
        <v>35</v>
      </c>
      <c r="T94" s="11" t="s">
        <v>261</v>
      </c>
      <c r="U94" s="11">
        <v>99352</v>
      </c>
      <c r="V94" s="12">
        <v>42006</v>
      </c>
      <c r="W94" s="13" t="str">
        <f>TEXT(Table1[[#This Row],[Order Date]],"mmmm")</f>
        <v>January</v>
      </c>
      <c r="X94" s="7" t="str">
        <f>TEXT(Table1[[#This Row],[Order Date]],"yyyy")</f>
        <v>2015</v>
      </c>
      <c r="Y94" s="12">
        <v>42008</v>
      </c>
      <c r="Z94" s="11">
        <v>-111.4</v>
      </c>
      <c r="AA94" s="11">
        <v>7</v>
      </c>
      <c r="AB94" s="11">
        <v>715.55</v>
      </c>
      <c r="AC94" s="11">
        <v>89961</v>
      </c>
      <c r="AD94" s="6" t="str">
        <f>IF(COUNTIF(Returns!$A$2:$A$1635,Orders!AC94)&gt;0,"Returned","Not Returned")</f>
        <v>Not Returned</v>
      </c>
    </row>
    <row r="95" spans="1:30" ht="12.75" customHeight="1" thickTop="1" thickBot="1" x14ac:dyDescent="0.25">
      <c r="A95" s="8">
        <v>26103</v>
      </c>
      <c r="B95" s="1" t="s">
        <v>56</v>
      </c>
      <c r="C95" s="1">
        <v>0.02</v>
      </c>
      <c r="D95" s="1">
        <v>4.9800000000000004</v>
      </c>
      <c r="E95" s="1">
        <v>5.49</v>
      </c>
      <c r="F95" s="1">
        <v>164</v>
      </c>
      <c r="G95" s="6" t="str">
        <f>IF(COUNTIF(Table1[Customer ID],Table1[[#This Row],[Customer ID]])&gt;1,"Repeat Customer","One-Time Customer")</f>
        <v>Repeat Customer</v>
      </c>
      <c r="H95" s="1" t="s">
        <v>259</v>
      </c>
      <c r="I95" s="1" t="s">
        <v>49</v>
      </c>
      <c r="J95" s="1" t="s">
        <v>40</v>
      </c>
      <c r="K95" s="1" t="s">
        <v>29</v>
      </c>
      <c r="L95" s="1" t="s">
        <v>93</v>
      </c>
      <c r="M95" s="1" t="s">
        <v>59</v>
      </c>
      <c r="N95" s="1" t="s">
        <v>262</v>
      </c>
      <c r="O95" s="1">
        <v>0.38</v>
      </c>
      <c r="P95" s="6">
        <f>Table1[[#This Row],[Profit]]/Table1[[#This Row],[Sales]]</f>
        <v>-1.6881437650668418</v>
      </c>
      <c r="Q95" s="1" t="s">
        <v>33</v>
      </c>
      <c r="R95" s="1" t="s">
        <v>34</v>
      </c>
      <c r="S95" s="1" t="s">
        <v>35</v>
      </c>
      <c r="T95" s="1" t="s">
        <v>261</v>
      </c>
      <c r="U95" s="1">
        <v>99352</v>
      </c>
      <c r="V95" s="9">
        <v>42006</v>
      </c>
      <c r="W95" s="13" t="str">
        <f>TEXT(Table1[[#This Row],[Order Date]],"mmmm")</f>
        <v>January</v>
      </c>
      <c r="X95" s="7" t="str">
        <f>TEXT(Table1[[#This Row],[Order Date]],"yyyy")</f>
        <v>2015</v>
      </c>
      <c r="Y95" s="9">
        <v>42007</v>
      </c>
      <c r="Z95" s="1">
        <v>-77.03</v>
      </c>
      <c r="AA95" s="1">
        <v>9</v>
      </c>
      <c r="AB95" s="1">
        <v>45.63</v>
      </c>
      <c r="AC95" s="1">
        <v>89961</v>
      </c>
      <c r="AD95" s="6" t="str">
        <f>IF(COUNTIF(Returns!$A$2:$A$1635,Orders!AC95)&gt;0,"Returned","Not Returned")</f>
        <v>Not Returned</v>
      </c>
    </row>
    <row r="96" spans="1:30" ht="12.75" customHeight="1" thickTop="1" thickBot="1" x14ac:dyDescent="0.25">
      <c r="A96" s="10">
        <v>21040</v>
      </c>
      <c r="B96" s="11" t="s">
        <v>106</v>
      </c>
      <c r="C96" s="11">
        <v>0.08</v>
      </c>
      <c r="D96" s="11">
        <v>399.98</v>
      </c>
      <c r="E96" s="11">
        <v>12.06</v>
      </c>
      <c r="F96" s="11">
        <v>166</v>
      </c>
      <c r="G96" s="6" t="str">
        <f>IF(COUNTIF(Table1[Customer ID],Table1[[#This Row],[Customer ID]])&gt;1,"Repeat Customer","One-Time Customer")</f>
        <v>One-Time Customer</v>
      </c>
      <c r="H96" s="11" t="s">
        <v>263</v>
      </c>
      <c r="I96" s="11" t="s">
        <v>39</v>
      </c>
      <c r="J96" s="11" t="s">
        <v>114</v>
      </c>
      <c r="K96" s="11" t="s">
        <v>77</v>
      </c>
      <c r="L96" s="11" t="s">
        <v>85</v>
      </c>
      <c r="M96" s="11" t="s">
        <v>121</v>
      </c>
      <c r="N96" s="11" t="s">
        <v>264</v>
      </c>
      <c r="O96" s="11">
        <v>0.56000000000000005</v>
      </c>
      <c r="P96" s="6">
        <f>Table1[[#This Row],[Profit]]/Table1[[#This Row],[Sales]]</f>
        <v>1.5497551510671717E-2</v>
      </c>
      <c r="Q96" s="11" t="s">
        <v>33</v>
      </c>
      <c r="R96" s="11" t="s">
        <v>136</v>
      </c>
      <c r="S96" s="11" t="s">
        <v>244</v>
      </c>
      <c r="T96" s="11" t="s">
        <v>265</v>
      </c>
      <c r="U96" s="11">
        <v>37087</v>
      </c>
      <c r="V96" s="12">
        <v>42015</v>
      </c>
      <c r="W96" s="13" t="str">
        <f>TEXT(Table1[[#This Row],[Order Date]],"mmmm")</f>
        <v>January</v>
      </c>
      <c r="X96" s="7" t="str">
        <f>TEXT(Table1[[#This Row],[Order Date]],"yyyy")</f>
        <v>2015</v>
      </c>
      <c r="Y96" s="12">
        <v>42022</v>
      </c>
      <c r="Z96" s="11">
        <v>28.514099999999999</v>
      </c>
      <c r="AA96" s="11">
        <v>5</v>
      </c>
      <c r="AB96" s="11">
        <v>1839.91</v>
      </c>
      <c r="AC96" s="11">
        <v>89426</v>
      </c>
      <c r="AD96" s="6" t="str">
        <f>IF(COUNTIF(Returns!$A$2:$A$1635,Orders!AC96)&gt;0,"Returned","Not Returned")</f>
        <v>Not Returned</v>
      </c>
    </row>
    <row r="97" spans="1:30" ht="12.75" customHeight="1" thickTop="1" thickBot="1" x14ac:dyDescent="0.25">
      <c r="A97" s="8">
        <v>19315</v>
      </c>
      <c r="B97" s="1" t="s">
        <v>106</v>
      </c>
      <c r="C97" s="1">
        <v>0.08</v>
      </c>
      <c r="D97" s="1">
        <v>43.22</v>
      </c>
      <c r="E97" s="1">
        <v>16.71</v>
      </c>
      <c r="F97" s="1">
        <v>169</v>
      </c>
      <c r="G97" s="6" t="str">
        <f>IF(COUNTIF(Table1[Customer ID],Table1[[#This Row],[Customer ID]])&gt;1,"Repeat Customer","One-Time Customer")</f>
        <v>Repeat Customer</v>
      </c>
      <c r="H97" s="1" t="s">
        <v>266</v>
      </c>
      <c r="I97" s="1" t="s">
        <v>49</v>
      </c>
      <c r="J97" s="1" t="s">
        <v>28</v>
      </c>
      <c r="K97" s="1" t="s">
        <v>77</v>
      </c>
      <c r="L97" s="1" t="s">
        <v>180</v>
      </c>
      <c r="M97" s="1" t="s">
        <v>59</v>
      </c>
      <c r="N97" s="1" t="s">
        <v>267</v>
      </c>
      <c r="O97" s="1">
        <v>0.66</v>
      </c>
      <c r="P97" s="6">
        <f>Table1[[#This Row],[Profit]]/Table1[[#This Row],[Sales]]</f>
        <v>2.1457248507119888</v>
      </c>
      <c r="Q97" s="1" t="s">
        <v>33</v>
      </c>
      <c r="R97" s="1" t="s">
        <v>136</v>
      </c>
      <c r="S97" s="1" t="s">
        <v>171</v>
      </c>
      <c r="T97" s="1" t="s">
        <v>268</v>
      </c>
      <c r="U97" s="1">
        <v>70802</v>
      </c>
      <c r="V97" s="9">
        <v>42007</v>
      </c>
      <c r="W97" s="13" t="str">
        <f>TEXT(Table1[[#This Row],[Order Date]],"mmmm")</f>
        <v>January</v>
      </c>
      <c r="X97" s="7" t="str">
        <f>TEXT(Table1[[#This Row],[Order Date]],"yyyy")</f>
        <v>2015</v>
      </c>
      <c r="Y97" s="9">
        <v>42009</v>
      </c>
      <c r="Z97" s="1">
        <v>280.27458000000001</v>
      </c>
      <c r="AA97" s="1">
        <v>3</v>
      </c>
      <c r="AB97" s="1">
        <v>130.62</v>
      </c>
      <c r="AC97" s="1">
        <v>87463</v>
      </c>
      <c r="AD97" s="6" t="str">
        <f>IF(COUNTIF(Returns!$A$2:$A$1635,Orders!AC97)&gt;0,"Returned","Not Returned")</f>
        <v>Not Returned</v>
      </c>
    </row>
    <row r="98" spans="1:30" ht="12.75" customHeight="1" thickTop="1" thickBot="1" x14ac:dyDescent="0.25">
      <c r="A98" s="10">
        <v>19316</v>
      </c>
      <c r="B98" s="11" t="s">
        <v>106</v>
      </c>
      <c r="C98" s="11">
        <v>0.05</v>
      </c>
      <c r="D98" s="11">
        <v>574.74</v>
      </c>
      <c r="E98" s="11">
        <v>24.49</v>
      </c>
      <c r="F98" s="11">
        <v>169</v>
      </c>
      <c r="G98" s="6" t="str">
        <f>IF(COUNTIF(Table1[Customer ID],Table1[[#This Row],[Customer ID]])&gt;1,"Repeat Customer","One-Time Customer")</f>
        <v>Repeat Customer</v>
      </c>
      <c r="H98" s="11" t="s">
        <v>266</v>
      </c>
      <c r="I98" s="11" t="s">
        <v>49</v>
      </c>
      <c r="J98" s="11" t="s">
        <v>28</v>
      </c>
      <c r="K98" s="11" t="s">
        <v>77</v>
      </c>
      <c r="L98" s="11" t="s">
        <v>85</v>
      </c>
      <c r="M98" s="11" t="s">
        <v>236</v>
      </c>
      <c r="N98" s="11" t="s">
        <v>269</v>
      </c>
      <c r="O98" s="11">
        <v>0.37</v>
      </c>
      <c r="P98" s="6">
        <f>Table1[[#This Row],[Profit]]/Table1[[#This Row],[Sales]]</f>
        <v>-1.6187719217411838E-2</v>
      </c>
      <c r="Q98" s="11" t="s">
        <v>33</v>
      </c>
      <c r="R98" s="11" t="s">
        <v>136</v>
      </c>
      <c r="S98" s="11" t="s">
        <v>171</v>
      </c>
      <c r="T98" s="11" t="s">
        <v>268</v>
      </c>
      <c r="U98" s="11">
        <v>70802</v>
      </c>
      <c r="V98" s="12">
        <v>42007</v>
      </c>
      <c r="W98" s="13" t="str">
        <f>TEXT(Table1[[#This Row],[Order Date]],"mmmm")</f>
        <v>January</v>
      </c>
      <c r="X98" s="7" t="str">
        <f>TEXT(Table1[[#This Row],[Order Date]],"yyyy")</f>
        <v>2015</v>
      </c>
      <c r="Y98" s="12">
        <v>42014</v>
      </c>
      <c r="Z98" s="11">
        <v>-112.4263</v>
      </c>
      <c r="AA98" s="11">
        <v>12</v>
      </c>
      <c r="AB98" s="11">
        <v>6945.16</v>
      </c>
      <c r="AC98" s="11">
        <v>87463</v>
      </c>
      <c r="AD98" s="6" t="str">
        <f>IF(COUNTIF(Returns!$A$2:$A$1635,Orders!AC98)&gt;0,"Returned","Not Returned")</f>
        <v>Not Returned</v>
      </c>
    </row>
    <row r="99" spans="1:30" ht="12.75" customHeight="1" thickTop="1" thickBot="1" x14ac:dyDescent="0.25">
      <c r="A99" s="8">
        <v>19317</v>
      </c>
      <c r="B99" s="1" t="s">
        <v>106</v>
      </c>
      <c r="C99" s="1">
        <v>0.04</v>
      </c>
      <c r="D99" s="1">
        <v>10.14</v>
      </c>
      <c r="E99" s="1">
        <v>2.27</v>
      </c>
      <c r="F99" s="1">
        <v>169</v>
      </c>
      <c r="G99" s="6" t="str">
        <f>IF(COUNTIF(Table1[Customer ID],Table1[[#This Row],[Customer ID]])&gt;1,"Repeat Customer","One-Time Customer")</f>
        <v>Repeat Customer</v>
      </c>
      <c r="H99" s="1" t="s">
        <v>266</v>
      </c>
      <c r="I99" s="1" t="s">
        <v>49</v>
      </c>
      <c r="J99" s="1" t="s">
        <v>28</v>
      </c>
      <c r="K99" s="1" t="s">
        <v>29</v>
      </c>
      <c r="L99" s="1" t="s">
        <v>93</v>
      </c>
      <c r="M99" s="1" t="s">
        <v>31</v>
      </c>
      <c r="N99" s="1" t="s">
        <v>270</v>
      </c>
      <c r="O99" s="1">
        <v>0.36</v>
      </c>
      <c r="P99" s="6">
        <f>Table1[[#This Row],[Profit]]/Table1[[#This Row],[Sales]]</f>
        <v>0.80555914673561724</v>
      </c>
      <c r="Q99" s="1" t="s">
        <v>33</v>
      </c>
      <c r="R99" s="1" t="s">
        <v>136</v>
      </c>
      <c r="S99" s="1" t="s">
        <v>171</v>
      </c>
      <c r="T99" s="1" t="s">
        <v>268</v>
      </c>
      <c r="U99" s="1">
        <v>70802</v>
      </c>
      <c r="V99" s="9">
        <v>42007</v>
      </c>
      <c r="W99" s="13" t="str">
        <f>TEXT(Table1[[#This Row],[Order Date]],"mmmm")</f>
        <v>January</v>
      </c>
      <c r="X99" s="7" t="str">
        <f>TEXT(Table1[[#This Row],[Order Date]],"yyyy")</f>
        <v>2015</v>
      </c>
      <c r="Y99" s="9">
        <v>42011</v>
      </c>
      <c r="Z99" s="1">
        <v>24.923999999999999</v>
      </c>
      <c r="AA99" s="1">
        <v>3</v>
      </c>
      <c r="AB99" s="1">
        <v>30.94</v>
      </c>
      <c r="AC99" s="1">
        <v>87463</v>
      </c>
      <c r="AD99" s="6" t="str">
        <f>IF(COUNTIF(Returns!$A$2:$A$1635,Orders!AC99)&gt;0,"Returned","Not Returned")</f>
        <v>Not Returned</v>
      </c>
    </row>
    <row r="100" spans="1:30" ht="12.75" customHeight="1" thickTop="1" thickBot="1" x14ac:dyDescent="0.25">
      <c r="A100" s="10">
        <v>19314</v>
      </c>
      <c r="B100" s="11" t="s">
        <v>47</v>
      </c>
      <c r="C100" s="11">
        <v>0.05</v>
      </c>
      <c r="D100" s="11">
        <v>1.88</v>
      </c>
      <c r="E100" s="11">
        <v>1.49</v>
      </c>
      <c r="F100" s="11">
        <v>171</v>
      </c>
      <c r="G100" s="6" t="str">
        <f>IF(COUNTIF(Table1[Customer ID],Table1[[#This Row],[Customer ID]])&gt;1,"Repeat Customer","One-Time Customer")</f>
        <v>One-Time Customer</v>
      </c>
      <c r="H100" s="11" t="s">
        <v>271</v>
      </c>
      <c r="I100" s="11" t="s">
        <v>49</v>
      </c>
      <c r="J100" s="11" t="s">
        <v>28</v>
      </c>
      <c r="K100" s="11" t="s">
        <v>29</v>
      </c>
      <c r="L100" s="11" t="s">
        <v>109</v>
      </c>
      <c r="M100" s="11" t="s">
        <v>59</v>
      </c>
      <c r="N100" s="11" t="s">
        <v>272</v>
      </c>
      <c r="O100" s="11">
        <v>0.37</v>
      </c>
      <c r="P100" s="6">
        <f>Table1[[#This Row],[Profit]]/Table1[[#This Row],[Sales]]</f>
        <v>-0.85073099415204667</v>
      </c>
      <c r="Q100" s="11" t="s">
        <v>33</v>
      </c>
      <c r="R100" s="11" t="s">
        <v>53</v>
      </c>
      <c r="S100" s="11" t="s">
        <v>54</v>
      </c>
      <c r="T100" s="11" t="s">
        <v>273</v>
      </c>
      <c r="U100" s="11">
        <v>7024</v>
      </c>
      <c r="V100" s="12">
        <v>42107</v>
      </c>
      <c r="W100" s="13" t="str">
        <f>TEXT(Table1[[#This Row],[Order Date]],"mmmm")</f>
        <v>April</v>
      </c>
      <c r="X100" s="7" t="str">
        <f>TEXT(Table1[[#This Row],[Order Date]],"yyyy")</f>
        <v>2015</v>
      </c>
      <c r="Y100" s="12">
        <v>42109</v>
      </c>
      <c r="Z100" s="11">
        <v>-2.9094999999999995</v>
      </c>
      <c r="AA100" s="11">
        <v>1</v>
      </c>
      <c r="AB100" s="11">
        <v>3.42</v>
      </c>
      <c r="AC100" s="11">
        <v>87464</v>
      </c>
      <c r="AD100" s="6" t="str">
        <f>IF(COUNTIF(Returns!$A$2:$A$1635,Orders!AC100)&gt;0,"Returned","Not Returned")</f>
        <v>Not Returned</v>
      </c>
    </row>
    <row r="101" spans="1:30" ht="12.75" customHeight="1" thickTop="1" thickBot="1" x14ac:dyDescent="0.25">
      <c r="A101" s="8">
        <v>5361</v>
      </c>
      <c r="B101" s="1" t="s">
        <v>47</v>
      </c>
      <c r="C101" s="1">
        <v>0.02</v>
      </c>
      <c r="D101" s="1">
        <v>49.99</v>
      </c>
      <c r="E101" s="1">
        <v>19.989999999999998</v>
      </c>
      <c r="F101" s="1">
        <v>181</v>
      </c>
      <c r="G101" s="6" t="str">
        <f>IF(COUNTIF(Table1[Customer ID],Table1[[#This Row],[Customer ID]])&gt;1,"Repeat Customer","One-Time Customer")</f>
        <v>Repeat Customer</v>
      </c>
      <c r="H101" s="1" t="s">
        <v>274</v>
      </c>
      <c r="I101" s="1" t="s">
        <v>49</v>
      </c>
      <c r="J101" s="1" t="s">
        <v>58</v>
      </c>
      <c r="K101" s="1" t="s">
        <v>77</v>
      </c>
      <c r="L101" s="1" t="s">
        <v>180</v>
      </c>
      <c r="M101" s="1" t="s">
        <v>59</v>
      </c>
      <c r="N101" s="1" t="s">
        <v>275</v>
      </c>
      <c r="O101" s="1">
        <v>0.41</v>
      </c>
      <c r="P101" s="6">
        <f>Table1[[#This Row],[Profit]]/Table1[[#This Row],[Sales]]</f>
        <v>-8.526186225479869E-2</v>
      </c>
      <c r="Q101" s="1" t="s">
        <v>33</v>
      </c>
      <c r="R101" s="1" t="s">
        <v>34</v>
      </c>
      <c r="S101" s="1" t="s">
        <v>45</v>
      </c>
      <c r="T101" s="1" t="s">
        <v>276</v>
      </c>
      <c r="U101" s="1">
        <v>94122</v>
      </c>
      <c r="V101" s="9">
        <v>42056</v>
      </c>
      <c r="W101" s="13" t="str">
        <f>TEXT(Table1[[#This Row],[Order Date]],"mmmm")</f>
        <v>February</v>
      </c>
      <c r="X101" s="7" t="str">
        <f>TEXT(Table1[[#This Row],[Order Date]],"yyyy")</f>
        <v>2015</v>
      </c>
      <c r="Y101" s="9">
        <v>42056</v>
      </c>
      <c r="Z101" s="1">
        <v>-76.89</v>
      </c>
      <c r="AA101" s="1">
        <v>18</v>
      </c>
      <c r="AB101" s="1">
        <v>901.81</v>
      </c>
      <c r="AC101" s="1">
        <v>38087</v>
      </c>
      <c r="AD101" s="6" t="str">
        <f>IF(COUNTIF(Returns!$A$2:$A$1635,Orders!AC101)&gt;0,"Returned","Not Returned")</f>
        <v>Not Returned</v>
      </c>
    </row>
    <row r="102" spans="1:30" ht="12.75" customHeight="1" thickTop="1" thickBot="1" x14ac:dyDescent="0.25">
      <c r="A102" s="10">
        <v>522</v>
      </c>
      <c r="B102" s="11" t="s">
        <v>25</v>
      </c>
      <c r="C102" s="11">
        <v>7.0000000000000007E-2</v>
      </c>
      <c r="D102" s="11">
        <v>1.68</v>
      </c>
      <c r="E102" s="11">
        <v>1.57</v>
      </c>
      <c r="F102" s="11">
        <v>181</v>
      </c>
      <c r="G102" s="6" t="str">
        <f>IF(COUNTIF(Table1[Customer ID],Table1[[#This Row],[Customer ID]])&gt;1,"Repeat Customer","One-Time Customer")</f>
        <v>Repeat Customer</v>
      </c>
      <c r="H102" s="11" t="s">
        <v>274</v>
      </c>
      <c r="I102" s="11" t="s">
        <v>49</v>
      </c>
      <c r="J102" s="11" t="s">
        <v>28</v>
      </c>
      <c r="K102" s="11" t="s">
        <v>29</v>
      </c>
      <c r="L102" s="11" t="s">
        <v>30</v>
      </c>
      <c r="M102" s="11" t="s">
        <v>31</v>
      </c>
      <c r="N102" s="11" t="s">
        <v>96</v>
      </c>
      <c r="O102" s="11">
        <v>0.59</v>
      </c>
      <c r="P102" s="6">
        <f>Table1[[#This Row],[Profit]]/Table1[[#This Row],[Sales]]</f>
        <v>-0.19159654858245351</v>
      </c>
      <c r="Q102" s="11" t="s">
        <v>33</v>
      </c>
      <c r="R102" s="11" t="s">
        <v>34</v>
      </c>
      <c r="S102" s="11" t="s">
        <v>45</v>
      </c>
      <c r="T102" s="11" t="s">
        <v>276</v>
      </c>
      <c r="U102" s="11">
        <v>94122</v>
      </c>
      <c r="V102" s="12">
        <v>42146</v>
      </c>
      <c r="W102" s="13" t="str">
        <f>TEXT(Table1[[#This Row],[Order Date]],"mmmm")</f>
        <v>May</v>
      </c>
      <c r="X102" s="7" t="str">
        <f>TEXT(Table1[[#This Row],[Order Date]],"yyyy")</f>
        <v>2015</v>
      </c>
      <c r="Y102" s="12">
        <v>42147</v>
      </c>
      <c r="Z102" s="11">
        <v>-35.75</v>
      </c>
      <c r="AA102" s="11">
        <v>116</v>
      </c>
      <c r="AB102" s="11">
        <v>186.59</v>
      </c>
      <c r="AC102" s="11">
        <v>3585</v>
      </c>
      <c r="AD102" s="6" t="str">
        <f>IF(COUNTIF(Returns!$A$2:$A$1635,Orders!AC102)&gt;0,"Returned","Not Returned")</f>
        <v>Not Returned</v>
      </c>
    </row>
    <row r="103" spans="1:30" ht="12.75" customHeight="1" thickTop="1" thickBot="1" x14ac:dyDescent="0.25">
      <c r="A103" s="8">
        <v>23361</v>
      </c>
      <c r="B103" s="1" t="s">
        <v>47</v>
      </c>
      <c r="C103" s="1">
        <v>0.02</v>
      </c>
      <c r="D103" s="1">
        <v>49.99</v>
      </c>
      <c r="E103" s="1">
        <v>19.989999999999998</v>
      </c>
      <c r="F103" s="1">
        <v>184</v>
      </c>
      <c r="G103" s="6" t="str">
        <f>IF(COUNTIF(Table1[Customer ID],Table1[[#This Row],[Customer ID]])&gt;1,"Repeat Customer","One-Time Customer")</f>
        <v>One-Time Customer</v>
      </c>
      <c r="H103" s="1" t="s">
        <v>277</v>
      </c>
      <c r="I103" s="1" t="s">
        <v>49</v>
      </c>
      <c r="J103" s="1" t="s">
        <v>58</v>
      </c>
      <c r="K103" s="1" t="s">
        <v>77</v>
      </c>
      <c r="L103" s="1" t="s">
        <v>180</v>
      </c>
      <c r="M103" s="1" t="s">
        <v>59</v>
      </c>
      <c r="N103" s="1" t="s">
        <v>275</v>
      </c>
      <c r="O103" s="1">
        <v>0.41</v>
      </c>
      <c r="P103" s="6">
        <f>Table1[[#This Row],[Profit]]/Table1[[#This Row],[Sales]]</f>
        <v>-0.30694610778443115</v>
      </c>
      <c r="Q103" s="1" t="s">
        <v>33</v>
      </c>
      <c r="R103" s="1" t="s">
        <v>53</v>
      </c>
      <c r="S103" s="1" t="s">
        <v>193</v>
      </c>
      <c r="T103" s="1" t="s">
        <v>278</v>
      </c>
      <c r="U103" s="1">
        <v>2474</v>
      </c>
      <c r="V103" s="9">
        <v>42056</v>
      </c>
      <c r="W103" s="13" t="str">
        <f>TEXT(Table1[[#This Row],[Order Date]],"mmmm")</f>
        <v>February</v>
      </c>
      <c r="X103" s="7" t="str">
        <f>TEXT(Table1[[#This Row],[Order Date]],"yyyy")</f>
        <v>2015</v>
      </c>
      <c r="Y103" s="9">
        <v>42056</v>
      </c>
      <c r="Z103" s="1">
        <v>-76.89</v>
      </c>
      <c r="AA103" s="1">
        <v>5</v>
      </c>
      <c r="AB103" s="1">
        <v>250.5</v>
      </c>
      <c r="AC103" s="1">
        <v>88360</v>
      </c>
      <c r="AD103" s="6" t="str">
        <f>IF(COUNTIF(Returns!$A$2:$A$1635,Orders!AC103)&gt;0,"Returned","Not Returned")</f>
        <v>Not Returned</v>
      </c>
    </row>
    <row r="104" spans="1:30" ht="12.75" customHeight="1" thickTop="1" thickBot="1" x14ac:dyDescent="0.25">
      <c r="A104" s="10">
        <v>18521</v>
      </c>
      <c r="B104" s="11" t="s">
        <v>25</v>
      </c>
      <c r="C104" s="11">
        <v>7.0000000000000007E-2</v>
      </c>
      <c r="D104" s="11">
        <v>10.06</v>
      </c>
      <c r="E104" s="11">
        <v>2.06</v>
      </c>
      <c r="F104" s="11">
        <v>188</v>
      </c>
      <c r="G104" s="6" t="str">
        <f>IF(COUNTIF(Table1[Customer ID],Table1[[#This Row],[Customer ID]])&gt;1,"Repeat Customer","One-Time Customer")</f>
        <v>Repeat Customer</v>
      </c>
      <c r="H104" s="11" t="s">
        <v>279</v>
      </c>
      <c r="I104" s="11" t="s">
        <v>49</v>
      </c>
      <c r="J104" s="11" t="s">
        <v>28</v>
      </c>
      <c r="K104" s="11" t="s">
        <v>29</v>
      </c>
      <c r="L104" s="11" t="s">
        <v>93</v>
      </c>
      <c r="M104" s="11" t="s">
        <v>31</v>
      </c>
      <c r="N104" s="11" t="s">
        <v>280</v>
      </c>
      <c r="O104" s="11">
        <v>0.39</v>
      </c>
      <c r="P104" s="6">
        <f>Table1[[#This Row],[Profit]]/Table1[[#This Row],[Sales]]</f>
        <v>0.69</v>
      </c>
      <c r="Q104" s="11" t="s">
        <v>33</v>
      </c>
      <c r="R104" s="11" t="s">
        <v>61</v>
      </c>
      <c r="S104" s="11" t="s">
        <v>130</v>
      </c>
      <c r="T104" s="11" t="s">
        <v>281</v>
      </c>
      <c r="U104" s="11">
        <v>76240</v>
      </c>
      <c r="V104" s="12">
        <v>42146</v>
      </c>
      <c r="W104" s="13" t="str">
        <f>TEXT(Table1[[#This Row],[Order Date]],"mmmm")</f>
        <v>May</v>
      </c>
      <c r="X104" s="7" t="str">
        <f>TEXT(Table1[[#This Row],[Order Date]],"yyyy")</f>
        <v>2015</v>
      </c>
      <c r="Y104" s="12">
        <v>42146</v>
      </c>
      <c r="Z104" s="11">
        <v>152.65559999999999</v>
      </c>
      <c r="AA104" s="11">
        <v>23</v>
      </c>
      <c r="AB104" s="11">
        <v>221.24</v>
      </c>
      <c r="AC104" s="11">
        <v>88361</v>
      </c>
      <c r="AD104" s="6" t="str">
        <f>IF(COUNTIF(Returns!$A$2:$A$1635,Orders!AC104)&gt;0,"Returned","Not Returned")</f>
        <v>Not Returned</v>
      </c>
    </row>
    <row r="105" spans="1:30" ht="12.75" customHeight="1" thickTop="1" thickBot="1" x14ac:dyDescent="0.25">
      <c r="A105" s="8">
        <v>18522</v>
      </c>
      <c r="B105" s="1" t="s">
        <v>25</v>
      </c>
      <c r="C105" s="1">
        <v>7.0000000000000007E-2</v>
      </c>
      <c r="D105" s="1">
        <v>1.68</v>
      </c>
      <c r="E105" s="1">
        <v>1.57</v>
      </c>
      <c r="F105" s="1">
        <v>188</v>
      </c>
      <c r="G105" s="6" t="str">
        <f>IF(COUNTIF(Table1[Customer ID],Table1[[#This Row],[Customer ID]])&gt;1,"Repeat Customer","One-Time Customer")</f>
        <v>Repeat Customer</v>
      </c>
      <c r="H105" s="1" t="s">
        <v>279</v>
      </c>
      <c r="I105" s="1" t="s">
        <v>49</v>
      </c>
      <c r="J105" s="1" t="s">
        <v>28</v>
      </c>
      <c r="K105" s="1" t="s">
        <v>29</v>
      </c>
      <c r="L105" s="1" t="s">
        <v>30</v>
      </c>
      <c r="M105" s="1" t="s">
        <v>31</v>
      </c>
      <c r="N105" s="1" t="s">
        <v>96</v>
      </c>
      <c r="O105" s="1">
        <v>0.59</v>
      </c>
      <c r="P105" s="6">
        <f>Table1[[#This Row],[Profit]]/Table1[[#This Row],[Sales]]</f>
        <v>0.15326902465166142</v>
      </c>
      <c r="Q105" s="1" t="s">
        <v>33</v>
      </c>
      <c r="R105" s="1" t="s">
        <v>61</v>
      </c>
      <c r="S105" s="1" t="s">
        <v>130</v>
      </c>
      <c r="T105" s="1" t="s">
        <v>281</v>
      </c>
      <c r="U105" s="1">
        <v>76240</v>
      </c>
      <c r="V105" s="9">
        <v>42146</v>
      </c>
      <c r="W105" s="13" t="str">
        <f>TEXT(Table1[[#This Row],[Order Date]],"mmmm")</f>
        <v>May</v>
      </c>
      <c r="X105" s="7" t="str">
        <f>TEXT(Table1[[#This Row],[Order Date]],"yyyy")</f>
        <v>2015</v>
      </c>
      <c r="Y105" s="9">
        <v>42147</v>
      </c>
      <c r="Z105" s="1">
        <v>7.1500000000000057</v>
      </c>
      <c r="AA105" s="1">
        <v>29</v>
      </c>
      <c r="AB105" s="1">
        <v>46.65</v>
      </c>
      <c r="AC105" s="1">
        <v>88361</v>
      </c>
      <c r="AD105" s="6" t="str">
        <f>IF(COUNTIF(Returns!$A$2:$A$1635,Orders!AC105)&gt;0,"Returned","Not Returned")</f>
        <v>Not Returned</v>
      </c>
    </row>
    <row r="106" spans="1:30" ht="12.75" customHeight="1" thickTop="1" thickBot="1" x14ac:dyDescent="0.25">
      <c r="A106" s="10">
        <v>18817</v>
      </c>
      <c r="B106" s="11" t="s">
        <v>25</v>
      </c>
      <c r="C106" s="11">
        <v>0.1</v>
      </c>
      <c r="D106" s="11">
        <v>58.1</v>
      </c>
      <c r="E106" s="11">
        <v>1.49</v>
      </c>
      <c r="F106" s="11">
        <v>190</v>
      </c>
      <c r="G106" s="6" t="str">
        <f>IF(COUNTIF(Table1[Customer ID],Table1[[#This Row],[Customer ID]])&gt;1,"Repeat Customer","One-Time Customer")</f>
        <v>One-Time Customer</v>
      </c>
      <c r="H106" s="11" t="s">
        <v>282</v>
      </c>
      <c r="I106" s="11" t="s">
        <v>49</v>
      </c>
      <c r="J106" s="11" t="s">
        <v>28</v>
      </c>
      <c r="K106" s="11" t="s">
        <v>29</v>
      </c>
      <c r="L106" s="11" t="s">
        <v>109</v>
      </c>
      <c r="M106" s="11" t="s">
        <v>59</v>
      </c>
      <c r="N106" s="11" t="s">
        <v>283</v>
      </c>
      <c r="O106" s="11">
        <v>0.38</v>
      </c>
      <c r="P106" s="6">
        <f>Table1[[#This Row],[Profit]]/Table1[[#This Row],[Sales]]</f>
        <v>0.69</v>
      </c>
      <c r="Q106" s="11" t="s">
        <v>33</v>
      </c>
      <c r="R106" s="11" t="s">
        <v>61</v>
      </c>
      <c r="S106" s="11" t="s">
        <v>178</v>
      </c>
      <c r="T106" s="11" t="s">
        <v>284</v>
      </c>
      <c r="U106" s="11">
        <v>60004</v>
      </c>
      <c r="V106" s="12">
        <v>42047</v>
      </c>
      <c r="W106" s="13" t="str">
        <f>TEXT(Table1[[#This Row],[Order Date]],"mmmm")</f>
        <v>February</v>
      </c>
      <c r="X106" s="7" t="str">
        <f>TEXT(Table1[[#This Row],[Order Date]],"yyyy")</f>
        <v>2015</v>
      </c>
      <c r="Y106" s="12">
        <v>42048</v>
      </c>
      <c r="Z106" s="11">
        <v>113.6499</v>
      </c>
      <c r="AA106" s="11">
        <v>3</v>
      </c>
      <c r="AB106" s="11">
        <v>164.71</v>
      </c>
      <c r="AC106" s="11">
        <v>89092</v>
      </c>
      <c r="AD106" s="6" t="str">
        <f>IF(COUNTIF(Returns!$A$2:$A$1635,Orders!AC106)&gt;0,"Returned","Not Returned")</f>
        <v>Not Returned</v>
      </c>
    </row>
    <row r="107" spans="1:30" ht="12.75" customHeight="1" thickTop="1" thickBot="1" x14ac:dyDescent="0.25">
      <c r="A107" s="8">
        <v>18818</v>
      </c>
      <c r="B107" s="1" t="s">
        <v>25</v>
      </c>
      <c r="C107" s="1">
        <v>0.01</v>
      </c>
      <c r="D107" s="1">
        <v>80.48</v>
      </c>
      <c r="E107" s="1">
        <v>4.5</v>
      </c>
      <c r="F107" s="1">
        <v>191</v>
      </c>
      <c r="G107" s="6" t="str">
        <f>IF(COUNTIF(Table1[Customer ID],Table1[[#This Row],[Customer ID]])&gt;1,"Repeat Customer","One-Time Customer")</f>
        <v>Repeat Customer</v>
      </c>
      <c r="H107" s="1" t="s">
        <v>285</v>
      </c>
      <c r="I107" s="1" t="s">
        <v>49</v>
      </c>
      <c r="J107" s="1" t="s">
        <v>28</v>
      </c>
      <c r="K107" s="1" t="s">
        <v>29</v>
      </c>
      <c r="L107" s="1" t="s">
        <v>257</v>
      </c>
      <c r="M107" s="1" t="s">
        <v>59</v>
      </c>
      <c r="N107" s="1" t="s">
        <v>286</v>
      </c>
      <c r="O107" s="1">
        <v>0.55000000000000004</v>
      </c>
      <c r="P107" s="6">
        <f>Table1[[#This Row],[Profit]]/Table1[[#This Row],[Sales]]</f>
        <v>-0.44521084337349398</v>
      </c>
      <c r="Q107" s="1" t="s">
        <v>33</v>
      </c>
      <c r="R107" s="1" t="s">
        <v>61</v>
      </c>
      <c r="S107" s="1" t="s">
        <v>178</v>
      </c>
      <c r="T107" s="1" t="s">
        <v>287</v>
      </c>
      <c r="U107" s="1">
        <v>60505</v>
      </c>
      <c r="V107" s="9">
        <v>42047</v>
      </c>
      <c r="W107" s="13" t="str">
        <f>TEXT(Table1[[#This Row],[Order Date]],"mmmm")</f>
        <v>February</v>
      </c>
      <c r="X107" s="7" t="str">
        <f>TEXT(Table1[[#This Row],[Order Date]],"yyyy")</f>
        <v>2015</v>
      </c>
      <c r="Y107" s="9">
        <v>42050</v>
      </c>
      <c r="Z107" s="1">
        <v>-35.474400000000003</v>
      </c>
      <c r="AA107" s="1">
        <v>1</v>
      </c>
      <c r="AB107" s="1">
        <v>79.680000000000007</v>
      </c>
      <c r="AC107" s="1">
        <v>89092</v>
      </c>
      <c r="AD107" s="6" t="str">
        <f>IF(COUNTIF(Returns!$A$2:$A$1635,Orders!AC107)&gt;0,"Returned","Not Returned")</f>
        <v>Not Returned</v>
      </c>
    </row>
    <row r="108" spans="1:30" ht="12.75" customHeight="1" thickTop="1" thickBot="1" x14ac:dyDescent="0.25">
      <c r="A108" s="10">
        <v>20520</v>
      </c>
      <c r="B108" s="11" t="s">
        <v>37</v>
      </c>
      <c r="C108" s="11">
        <v>0.05</v>
      </c>
      <c r="D108" s="11">
        <v>3.8</v>
      </c>
      <c r="E108" s="11">
        <v>1.49</v>
      </c>
      <c r="F108" s="11">
        <v>191</v>
      </c>
      <c r="G108" s="6" t="str">
        <f>IF(COUNTIF(Table1[Customer ID],Table1[[#This Row],[Customer ID]])&gt;1,"Repeat Customer","One-Time Customer")</f>
        <v>Repeat Customer</v>
      </c>
      <c r="H108" s="11" t="s">
        <v>285</v>
      </c>
      <c r="I108" s="11" t="s">
        <v>49</v>
      </c>
      <c r="J108" s="11" t="s">
        <v>28</v>
      </c>
      <c r="K108" s="11" t="s">
        <v>29</v>
      </c>
      <c r="L108" s="11" t="s">
        <v>109</v>
      </c>
      <c r="M108" s="11" t="s">
        <v>59</v>
      </c>
      <c r="N108" s="11" t="s">
        <v>125</v>
      </c>
      <c r="O108" s="11">
        <v>0.38</v>
      </c>
      <c r="P108" s="6">
        <f>Table1[[#This Row],[Profit]]/Table1[[#This Row],[Sales]]</f>
        <v>0.27162974089372888</v>
      </c>
      <c r="Q108" s="11" t="s">
        <v>33</v>
      </c>
      <c r="R108" s="11" t="s">
        <v>61</v>
      </c>
      <c r="S108" s="11" t="s">
        <v>178</v>
      </c>
      <c r="T108" s="11" t="s">
        <v>287</v>
      </c>
      <c r="U108" s="11">
        <v>60505</v>
      </c>
      <c r="V108" s="12">
        <v>42103</v>
      </c>
      <c r="W108" s="13" t="str">
        <f>TEXT(Table1[[#This Row],[Order Date]],"mmmm")</f>
        <v>April</v>
      </c>
      <c r="X108" s="7" t="str">
        <f>TEXT(Table1[[#This Row],[Order Date]],"yyyy")</f>
        <v>2015</v>
      </c>
      <c r="Y108" s="12">
        <v>42105</v>
      </c>
      <c r="Z108" s="11">
        <v>14.466999999999999</v>
      </c>
      <c r="AA108" s="11">
        <v>14</v>
      </c>
      <c r="AB108" s="11">
        <v>53.26</v>
      </c>
      <c r="AC108" s="11">
        <v>89093</v>
      </c>
      <c r="AD108" s="6" t="str">
        <f>IF(COUNTIF(Returns!$A$2:$A$1635,Orders!AC108)&gt;0,"Returned","Not Returned")</f>
        <v>Not Returned</v>
      </c>
    </row>
    <row r="109" spans="1:30" ht="12.75" customHeight="1" thickTop="1" thickBot="1" x14ac:dyDescent="0.25">
      <c r="A109" s="8">
        <v>20521</v>
      </c>
      <c r="B109" s="1" t="s">
        <v>37</v>
      </c>
      <c r="C109" s="1">
        <v>0.09</v>
      </c>
      <c r="D109" s="1">
        <v>30.73</v>
      </c>
      <c r="E109" s="1">
        <v>4</v>
      </c>
      <c r="F109" s="1">
        <v>191</v>
      </c>
      <c r="G109" s="6" t="str">
        <f>IF(COUNTIF(Table1[Customer ID],Table1[[#This Row],[Customer ID]])&gt;1,"Repeat Customer","One-Time Customer")</f>
        <v>Repeat Customer</v>
      </c>
      <c r="H109" s="1" t="s">
        <v>285</v>
      </c>
      <c r="I109" s="1" t="s">
        <v>49</v>
      </c>
      <c r="J109" s="1" t="s">
        <v>28</v>
      </c>
      <c r="K109" s="1" t="s">
        <v>77</v>
      </c>
      <c r="L109" s="1" t="s">
        <v>180</v>
      </c>
      <c r="M109" s="1" t="s">
        <v>59</v>
      </c>
      <c r="N109" s="1" t="s">
        <v>288</v>
      </c>
      <c r="O109" s="1">
        <v>0.75</v>
      </c>
      <c r="P109" s="6">
        <f>Table1[[#This Row],[Profit]]/Table1[[#This Row],[Sales]]</f>
        <v>-0.49135780628040687</v>
      </c>
      <c r="Q109" s="1" t="s">
        <v>33</v>
      </c>
      <c r="R109" s="1" t="s">
        <v>61</v>
      </c>
      <c r="S109" s="1" t="s">
        <v>178</v>
      </c>
      <c r="T109" s="1" t="s">
        <v>287</v>
      </c>
      <c r="U109" s="1">
        <v>60505</v>
      </c>
      <c r="V109" s="9">
        <v>42103</v>
      </c>
      <c r="W109" s="13" t="str">
        <f>TEXT(Table1[[#This Row],[Order Date]],"mmmm")</f>
        <v>April</v>
      </c>
      <c r="X109" s="7" t="str">
        <f>TEXT(Table1[[#This Row],[Order Date]],"yyyy")</f>
        <v>2015</v>
      </c>
      <c r="Y109" s="9">
        <v>42103</v>
      </c>
      <c r="Z109" s="1">
        <v>-99.986400000000003</v>
      </c>
      <c r="AA109" s="1">
        <v>7</v>
      </c>
      <c r="AB109" s="1">
        <v>203.49</v>
      </c>
      <c r="AC109" s="1">
        <v>89093</v>
      </c>
      <c r="AD109" s="6" t="str">
        <f>IF(COUNTIF(Returns!$A$2:$A$1635,Orders!AC109)&gt;0,"Returned","Not Returned")</f>
        <v>Not Returned</v>
      </c>
    </row>
    <row r="110" spans="1:30" ht="12.75" customHeight="1" thickTop="1" thickBot="1" x14ac:dyDescent="0.25">
      <c r="A110" s="10">
        <v>20522</v>
      </c>
      <c r="B110" s="11" t="s">
        <v>37</v>
      </c>
      <c r="C110" s="11">
        <v>0</v>
      </c>
      <c r="D110" s="11">
        <v>125.99</v>
      </c>
      <c r="E110" s="11">
        <v>8.08</v>
      </c>
      <c r="F110" s="11">
        <v>191</v>
      </c>
      <c r="G110" s="6" t="str">
        <f>IF(COUNTIF(Table1[Customer ID],Table1[[#This Row],[Customer ID]])&gt;1,"Repeat Customer","One-Time Customer")</f>
        <v>Repeat Customer</v>
      </c>
      <c r="H110" s="11" t="s">
        <v>285</v>
      </c>
      <c r="I110" s="11" t="s">
        <v>49</v>
      </c>
      <c r="J110" s="11" t="s">
        <v>28</v>
      </c>
      <c r="K110" s="11" t="s">
        <v>77</v>
      </c>
      <c r="L110" s="11" t="s">
        <v>78</v>
      </c>
      <c r="M110" s="11" t="s">
        <v>59</v>
      </c>
      <c r="N110" s="11" t="s">
        <v>289</v>
      </c>
      <c r="O110" s="11">
        <v>0.56999999999999995</v>
      </c>
      <c r="P110" s="6">
        <f>Table1[[#This Row],[Profit]]/Table1[[#This Row],[Sales]]</f>
        <v>0.57240704411271592</v>
      </c>
      <c r="Q110" s="11" t="s">
        <v>33</v>
      </c>
      <c r="R110" s="11" t="s">
        <v>61</v>
      </c>
      <c r="S110" s="11" t="s">
        <v>178</v>
      </c>
      <c r="T110" s="11" t="s">
        <v>287</v>
      </c>
      <c r="U110" s="11">
        <v>60505</v>
      </c>
      <c r="V110" s="12">
        <v>42103</v>
      </c>
      <c r="W110" s="13" t="str">
        <f>TEXT(Table1[[#This Row],[Order Date]],"mmmm")</f>
        <v>April</v>
      </c>
      <c r="X110" s="7" t="str">
        <f>TEXT(Table1[[#This Row],[Order Date]],"yyyy")</f>
        <v>2015</v>
      </c>
      <c r="Y110" s="12">
        <v>42104</v>
      </c>
      <c r="Z110" s="11">
        <v>1348.59672</v>
      </c>
      <c r="AA110" s="11">
        <v>22</v>
      </c>
      <c r="AB110" s="11">
        <v>2356.0100000000002</v>
      </c>
      <c r="AC110" s="11">
        <v>89093</v>
      </c>
      <c r="AD110" s="6" t="str">
        <f>IF(COUNTIF(Returns!$A$2:$A$1635,Orders!AC110)&gt;0,"Returned","Not Returned")</f>
        <v>Not Returned</v>
      </c>
    </row>
    <row r="111" spans="1:30" ht="12.75" customHeight="1" thickTop="1" thickBot="1" x14ac:dyDescent="0.25">
      <c r="A111" s="8">
        <v>19663</v>
      </c>
      <c r="B111" s="1" t="s">
        <v>37</v>
      </c>
      <c r="C111" s="1">
        <v>0</v>
      </c>
      <c r="D111" s="1">
        <v>213.45</v>
      </c>
      <c r="E111" s="1">
        <v>14.7</v>
      </c>
      <c r="F111" s="1">
        <v>193</v>
      </c>
      <c r="G111" s="6" t="str">
        <f>IF(COUNTIF(Table1[Customer ID],Table1[[#This Row],[Customer ID]])&gt;1,"Repeat Customer","One-Time Customer")</f>
        <v>Repeat Customer</v>
      </c>
      <c r="H111" s="1" t="s">
        <v>290</v>
      </c>
      <c r="I111" s="1" t="s">
        <v>39</v>
      </c>
      <c r="J111" s="1" t="s">
        <v>28</v>
      </c>
      <c r="K111" s="1" t="s">
        <v>77</v>
      </c>
      <c r="L111" s="1" t="s">
        <v>85</v>
      </c>
      <c r="M111" s="1" t="s">
        <v>43</v>
      </c>
      <c r="N111" s="1" t="s">
        <v>291</v>
      </c>
      <c r="O111" s="1">
        <v>0.59</v>
      </c>
      <c r="P111" s="6">
        <f>Table1[[#This Row],[Profit]]/Table1[[#This Row],[Sales]]</f>
        <v>-2.5022942173835445</v>
      </c>
      <c r="Q111" s="1" t="s">
        <v>33</v>
      </c>
      <c r="R111" s="1" t="s">
        <v>34</v>
      </c>
      <c r="S111" s="1" t="s">
        <v>212</v>
      </c>
      <c r="T111" s="1" t="s">
        <v>213</v>
      </c>
      <c r="U111" s="1">
        <v>84041</v>
      </c>
      <c r="V111" s="9">
        <v>42007</v>
      </c>
      <c r="W111" s="13" t="str">
        <f>TEXT(Table1[[#This Row],[Order Date]],"mmmm")</f>
        <v>January</v>
      </c>
      <c r="X111" s="7" t="str">
        <f>TEXT(Table1[[#This Row],[Order Date]],"yyyy")</f>
        <v>2015</v>
      </c>
      <c r="Y111" s="9">
        <v>42009</v>
      </c>
      <c r="Z111" s="1">
        <v>-560.81417999999996</v>
      </c>
      <c r="AA111" s="1">
        <v>1</v>
      </c>
      <c r="AB111" s="1">
        <v>224.12</v>
      </c>
      <c r="AC111" s="1">
        <v>90430</v>
      </c>
      <c r="AD111" s="6" t="str">
        <f>IF(COUNTIF(Returns!$A$2:$A$1635,Orders!AC111)&gt;0,"Returned","Not Returned")</f>
        <v>Not Returned</v>
      </c>
    </row>
    <row r="112" spans="1:30" ht="12.75" customHeight="1" thickTop="1" thickBot="1" x14ac:dyDescent="0.25">
      <c r="A112" s="10">
        <v>20645</v>
      </c>
      <c r="B112" s="11" t="s">
        <v>56</v>
      </c>
      <c r="C112" s="11">
        <v>7.0000000000000007E-2</v>
      </c>
      <c r="D112" s="11">
        <v>6.54</v>
      </c>
      <c r="E112" s="11">
        <v>5.27</v>
      </c>
      <c r="F112" s="11">
        <v>193</v>
      </c>
      <c r="G112" s="6" t="str">
        <f>IF(COUNTIF(Table1[Customer ID],Table1[[#This Row],[Customer ID]])&gt;1,"Repeat Customer","One-Time Customer")</f>
        <v>Repeat Customer</v>
      </c>
      <c r="H112" s="11" t="s">
        <v>290</v>
      </c>
      <c r="I112" s="11" t="s">
        <v>49</v>
      </c>
      <c r="J112" s="11" t="s">
        <v>28</v>
      </c>
      <c r="K112" s="11" t="s">
        <v>29</v>
      </c>
      <c r="L112" s="11" t="s">
        <v>109</v>
      </c>
      <c r="M112" s="11" t="s">
        <v>59</v>
      </c>
      <c r="N112" s="11" t="s">
        <v>292</v>
      </c>
      <c r="O112" s="11">
        <v>0.36</v>
      </c>
      <c r="P112" s="6">
        <f>Table1[[#This Row],[Profit]]/Table1[[#This Row],[Sales]]</f>
        <v>-0.47073770491803274</v>
      </c>
      <c r="Q112" s="11" t="s">
        <v>33</v>
      </c>
      <c r="R112" s="11" t="s">
        <v>34</v>
      </c>
      <c r="S112" s="11" t="s">
        <v>212</v>
      </c>
      <c r="T112" s="11" t="s">
        <v>213</v>
      </c>
      <c r="U112" s="11">
        <v>84041</v>
      </c>
      <c r="V112" s="12">
        <v>42093</v>
      </c>
      <c r="W112" s="13" t="str">
        <f>TEXT(Table1[[#This Row],[Order Date]],"mmmm")</f>
        <v>March</v>
      </c>
      <c r="X112" s="7" t="str">
        <f>TEXT(Table1[[#This Row],[Order Date]],"yyyy")</f>
        <v>2015</v>
      </c>
      <c r="Y112" s="12">
        <v>42095</v>
      </c>
      <c r="Z112" s="11">
        <v>-66.044499999999999</v>
      </c>
      <c r="AA112" s="11">
        <v>21</v>
      </c>
      <c r="AB112" s="11">
        <v>140.30000000000001</v>
      </c>
      <c r="AC112" s="11">
        <v>90432</v>
      </c>
      <c r="AD112" s="6" t="str">
        <f>IF(COUNTIF(Returns!$A$2:$A$1635,Orders!AC112)&gt;0,"Returned","Not Returned")</f>
        <v>Not Returned</v>
      </c>
    </row>
    <row r="113" spans="1:30" ht="12.75" customHeight="1" thickTop="1" thickBot="1" x14ac:dyDescent="0.25">
      <c r="A113" s="8">
        <v>24273</v>
      </c>
      <c r="B113" s="1" t="s">
        <v>37</v>
      </c>
      <c r="C113" s="1">
        <v>0.02</v>
      </c>
      <c r="D113" s="1">
        <v>6.48</v>
      </c>
      <c r="E113" s="1">
        <v>9.17</v>
      </c>
      <c r="F113" s="1">
        <v>194</v>
      </c>
      <c r="G113" s="6" t="str">
        <f>IF(COUNTIF(Table1[Customer ID],Table1[[#This Row],[Customer ID]])&gt;1,"Repeat Customer","One-Time Customer")</f>
        <v>Repeat Customer</v>
      </c>
      <c r="H113" s="1" t="s">
        <v>293</v>
      </c>
      <c r="I113" s="1" t="s">
        <v>49</v>
      </c>
      <c r="J113" s="1" t="s">
        <v>28</v>
      </c>
      <c r="K113" s="1" t="s">
        <v>29</v>
      </c>
      <c r="L113" s="1" t="s">
        <v>93</v>
      </c>
      <c r="M113" s="1" t="s">
        <v>59</v>
      </c>
      <c r="N113" s="1" t="s">
        <v>294</v>
      </c>
      <c r="O113" s="1">
        <v>0.37</v>
      </c>
      <c r="P113" s="6">
        <f>Table1[[#This Row],[Profit]]/Table1[[#This Row],[Sales]]</f>
        <v>-3.7477021276595748</v>
      </c>
      <c r="Q113" s="1" t="s">
        <v>33</v>
      </c>
      <c r="R113" s="1" t="s">
        <v>34</v>
      </c>
      <c r="S113" s="1" t="s">
        <v>212</v>
      </c>
      <c r="T113" s="1" t="s">
        <v>295</v>
      </c>
      <c r="U113" s="1">
        <v>84043</v>
      </c>
      <c r="V113" s="9">
        <v>42014</v>
      </c>
      <c r="W113" s="13" t="str">
        <f>TEXT(Table1[[#This Row],[Order Date]],"mmmm")</f>
        <v>January</v>
      </c>
      <c r="X113" s="7" t="str">
        <f>TEXT(Table1[[#This Row],[Order Date]],"yyyy")</f>
        <v>2015</v>
      </c>
      <c r="Y113" s="9">
        <v>42015</v>
      </c>
      <c r="Z113" s="1">
        <v>-105.68520000000001</v>
      </c>
      <c r="AA113" s="1">
        <v>4</v>
      </c>
      <c r="AB113" s="1">
        <v>28.2</v>
      </c>
      <c r="AC113" s="1">
        <v>90431</v>
      </c>
      <c r="AD113" s="6" t="str">
        <f>IF(COUNTIF(Returns!$A$2:$A$1635,Orders!AC113)&gt;0,"Returned","Not Returned")</f>
        <v>Not Returned</v>
      </c>
    </row>
    <row r="114" spans="1:30" ht="12.75" customHeight="1" thickTop="1" thickBot="1" x14ac:dyDescent="0.25">
      <c r="A114" s="10">
        <v>20646</v>
      </c>
      <c r="B114" s="11" t="s">
        <v>56</v>
      </c>
      <c r="C114" s="11">
        <v>0.09</v>
      </c>
      <c r="D114" s="11">
        <v>3.29</v>
      </c>
      <c r="E114" s="11">
        <v>1.35</v>
      </c>
      <c r="F114" s="11">
        <v>194</v>
      </c>
      <c r="G114" s="6" t="str">
        <f>IF(COUNTIF(Table1[Customer ID],Table1[[#This Row],[Customer ID]])&gt;1,"Repeat Customer","One-Time Customer")</f>
        <v>Repeat Customer</v>
      </c>
      <c r="H114" s="11" t="s">
        <v>293</v>
      </c>
      <c r="I114" s="11" t="s">
        <v>49</v>
      </c>
      <c r="J114" s="11" t="s">
        <v>28</v>
      </c>
      <c r="K114" s="11" t="s">
        <v>29</v>
      </c>
      <c r="L114" s="11" t="s">
        <v>66</v>
      </c>
      <c r="M114" s="11" t="s">
        <v>31</v>
      </c>
      <c r="N114" s="11" t="s">
        <v>296</v>
      </c>
      <c r="O114" s="11">
        <v>0.4</v>
      </c>
      <c r="P114" s="6">
        <f>Table1[[#This Row],[Profit]]/Table1[[#This Row],[Sales]]</f>
        <v>0.21886792452830189</v>
      </c>
      <c r="Q114" s="11" t="s">
        <v>33</v>
      </c>
      <c r="R114" s="11" t="s">
        <v>34</v>
      </c>
      <c r="S114" s="11" t="s">
        <v>212</v>
      </c>
      <c r="T114" s="11" t="s">
        <v>295</v>
      </c>
      <c r="U114" s="11">
        <v>84043</v>
      </c>
      <c r="V114" s="12">
        <v>42093</v>
      </c>
      <c r="W114" s="13" t="str">
        <f>TEXT(Table1[[#This Row],[Order Date]],"mmmm")</f>
        <v>March</v>
      </c>
      <c r="X114" s="7" t="str">
        <f>TEXT(Table1[[#This Row],[Order Date]],"yyyy")</f>
        <v>2015</v>
      </c>
      <c r="Y114" s="12">
        <v>42095</v>
      </c>
      <c r="Z114" s="11">
        <v>15.66</v>
      </c>
      <c r="AA114" s="11">
        <v>23</v>
      </c>
      <c r="AB114" s="11">
        <v>71.55</v>
      </c>
      <c r="AC114" s="11">
        <v>90432</v>
      </c>
      <c r="AD114" s="6" t="str">
        <f>IF(COUNTIF(Returns!$A$2:$A$1635,Orders!AC114)&gt;0,"Returned","Not Returned")</f>
        <v>Not Returned</v>
      </c>
    </row>
    <row r="115" spans="1:30" ht="12.75" customHeight="1" thickTop="1" thickBot="1" x14ac:dyDescent="0.25">
      <c r="A115" s="8">
        <v>25158</v>
      </c>
      <c r="B115" s="1" t="s">
        <v>47</v>
      </c>
      <c r="C115" s="1">
        <v>0</v>
      </c>
      <c r="D115" s="1">
        <v>161.55000000000001</v>
      </c>
      <c r="E115" s="1">
        <v>19.989999999999998</v>
      </c>
      <c r="F115" s="1">
        <v>197</v>
      </c>
      <c r="G115" s="6" t="str">
        <f>IF(COUNTIF(Table1[Customer ID],Table1[[#This Row],[Customer ID]])&gt;1,"Repeat Customer","One-Time Customer")</f>
        <v>One-Time Customer</v>
      </c>
      <c r="H115" s="1" t="s">
        <v>297</v>
      </c>
      <c r="I115" s="1" t="s">
        <v>49</v>
      </c>
      <c r="J115" s="1" t="s">
        <v>58</v>
      </c>
      <c r="K115" s="1" t="s">
        <v>29</v>
      </c>
      <c r="L115" s="1" t="s">
        <v>141</v>
      </c>
      <c r="M115" s="1" t="s">
        <v>59</v>
      </c>
      <c r="N115" s="1" t="s">
        <v>161</v>
      </c>
      <c r="O115" s="1">
        <v>0.66</v>
      </c>
      <c r="P115" s="6">
        <f>Table1[[#This Row],[Profit]]/Table1[[#This Row],[Sales]]</f>
        <v>0.37541508790664468</v>
      </c>
      <c r="Q115" s="1" t="s">
        <v>33</v>
      </c>
      <c r="R115" s="1" t="s">
        <v>61</v>
      </c>
      <c r="S115" s="1" t="s">
        <v>183</v>
      </c>
      <c r="T115" s="1" t="s">
        <v>298</v>
      </c>
      <c r="U115" s="1">
        <v>66212</v>
      </c>
      <c r="V115" s="9">
        <v>42096</v>
      </c>
      <c r="W115" s="13" t="str">
        <f>TEXT(Table1[[#This Row],[Order Date]],"mmmm")</f>
        <v>April</v>
      </c>
      <c r="X115" s="7" t="str">
        <f>TEXT(Table1[[#This Row],[Order Date]],"yyyy")</f>
        <v>2015</v>
      </c>
      <c r="Y115" s="9">
        <v>42098</v>
      </c>
      <c r="Z115" s="1">
        <v>1167.1580000000001</v>
      </c>
      <c r="AA115" s="1">
        <v>19</v>
      </c>
      <c r="AB115" s="1">
        <v>3108.98</v>
      </c>
      <c r="AC115" s="1">
        <v>88921</v>
      </c>
      <c r="AD115" s="6" t="str">
        <f>IF(COUNTIF(Returns!$A$2:$A$1635,Orders!AC115)&gt;0,"Returned","Not Returned")</f>
        <v>Not Returned</v>
      </c>
    </row>
    <row r="116" spans="1:30" ht="12.75" customHeight="1" thickTop="1" thickBot="1" x14ac:dyDescent="0.25">
      <c r="A116" s="10">
        <v>7158</v>
      </c>
      <c r="B116" s="11" t="s">
        <v>47</v>
      </c>
      <c r="C116" s="11">
        <v>0</v>
      </c>
      <c r="D116" s="11">
        <v>161.55000000000001</v>
      </c>
      <c r="E116" s="11">
        <v>19.989999999999998</v>
      </c>
      <c r="F116" s="11">
        <v>198</v>
      </c>
      <c r="G116" s="6" t="str">
        <f>IF(COUNTIF(Table1[Customer ID],Table1[[#This Row],[Customer ID]])&gt;1,"Repeat Customer","One-Time Customer")</f>
        <v>One-Time Customer</v>
      </c>
      <c r="H116" s="11" t="s">
        <v>299</v>
      </c>
      <c r="I116" s="11" t="s">
        <v>49</v>
      </c>
      <c r="J116" s="11" t="s">
        <v>58</v>
      </c>
      <c r="K116" s="11" t="s">
        <v>29</v>
      </c>
      <c r="L116" s="11" t="s">
        <v>141</v>
      </c>
      <c r="M116" s="11" t="s">
        <v>59</v>
      </c>
      <c r="N116" s="11" t="s">
        <v>161</v>
      </c>
      <c r="O116" s="11">
        <v>0.66</v>
      </c>
      <c r="P116" s="6">
        <f>Table1[[#This Row],[Profit]]/Table1[[#This Row],[Sales]]</f>
        <v>8.0552083209320974E-2</v>
      </c>
      <c r="Q116" s="11" t="s">
        <v>33</v>
      </c>
      <c r="R116" s="11" t="s">
        <v>61</v>
      </c>
      <c r="S116" s="11" t="s">
        <v>300</v>
      </c>
      <c r="T116" s="11" t="s">
        <v>301</v>
      </c>
      <c r="U116" s="11">
        <v>48138</v>
      </c>
      <c r="V116" s="12">
        <v>42096</v>
      </c>
      <c r="W116" s="13" t="str">
        <f>TEXT(Table1[[#This Row],[Order Date]],"mmmm")</f>
        <v>April</v>
      </c>
      <c r="X116" s="7" t="str">
        <f>TEXT(Table1[[#This Row],[Order Date]],"yyyy")</f>
        <v>2015</v>
      </c>
      <c r="Y116" s="12">
        <v>42098</v>
      </c>
      <c r="Z116" s="11">
        <v>1014.9200000000001</v>
      </c>
      <c r="AA116" s="11">
        <v>77</v>
      </c>
      <c r="AB116" s="11">
        <v>12599.55</v>
      </c>
      <c r="AC116" s="11">
        <v>51072</v>
      </c>
      <c r="AD116" s="6" t="str">
        <f>IF(COUNTIF(Returns!$A$2:$A$1635,Orders!AC116)&gt;0,"Returned","Not Returned")</f>
        <v>Not Returned</v>
      </c>
    </row>
    <row r="117" spans="1:30" ht="12.75" customHeight="1" thickTop="1" thickBot="1" x14ac:dyDescent="0.25">
      <c r="A117" s="8">
        <v>22136</v>
      </c>
      <c r="B117" s="1" t="s">
        <v>37</v>
      </c>
      <c r="C117" s="1">
        <v>0.09</v>
      </c>
      <c r="D117" s="1">
        <v>12.28</v>
      </c>
      <c r="E117" s="1">
        <v>4.8600000000000003</v>
      </c>
      <c r="F117" s="1">
        <v>202</v>
      </c>
      <c r="G117" s="6" t="str">
        <f>IF(COUNTIF(Table1[Customer ID],Table1[[#This Row],[Customer ID]])&gt;1,"Repeat Customer","One-Time Customer")</f>
        <v>Repeat Customer</v>
      </c>
      <c r="H117" s="1" t="s">
        <v>302</v>
      </c>
      <c r="I117" s="1" t="s">
        <v>49</v>
      </c>
      <c r="J117" s="1" t="s">
        <v>28</v>
      </c>
      <c r="K117" s="1" t="s">
        <v>29</v>
      </c>
      <c r="L117" s="1" t="s">
        <v>93</v>
      </c>
      <c r="M117" s="1" t="s">
        <v>59</v>
      </c>
      <c r="N117" s="1" t="s">
        <v>303</v>
      </c>
      <c r="O117" s="1">
        <v>0.38</v>
      </c>
      <c r="P117" s="6">
        <f>Table1[[#This Row],[Profit]]/Table1[[#This Row],[Sales]]</f>
        <v>4.9927849927849932E-2</v>
      </c>
      <c r="Q117" s="1" t="s">
        <v>33</v>
      </c>
      <c r="R117" s="1" t="s">
        <v>61</v>
      </c>
      <c r="S117" s="1" t="s">
        <v>304</v>
      </c>
      <c r="T117" s="1" t="s">
        <v>305</v>
      </c>
      <c r="U117" s="1">
        <v>74006</v>
      </c>
      <c r="V117" s="9">
        <v>42121</v>
      </c>
      <c r="W117" s="13" t="str">
        <f>TEXT(Table1[[#This Row],[Order Date]],"mmmm")</f>
        <v>April</v>
      </c>
      <c r="X117" s="7" t="str">
        <f>TEXT(Table1[[#This Row],[Order Date]],"yyyy")</f>
        <v>2015</v>
      </c>
      <c r="Y117" s="9">
        <v>42122</v>
      </c>
      <c r="Z117" s="1">
        <v>1.73</v>
      </c>
      <c r="AA117" s="1">
        <v>3</v>
      </c>
      <c r="AB117" s="1">
        <v>34.65</v>
      </c>
      <c r="AC117" s="1">
        <v>88971</v>
      </c>
      <c r="AD117" s="6" t="str">
        <f>IF(COUNTIF(Returns!$A$2:$A$1635,Orders!AC117)&gt;0,"Returned","Not Returned")</f>
        <v>Not Returned</v>
      </c>
    </row>
    <row r="118" spans="1:30" ht="12.75" customHeight="1" thickTop="1" thickBot="1" x14ac:dyDescent="0.25">
      <c r="A118" s="10">
        <v>18783</v>
      </c>
      <c r="B118" s="11" t="s">
        <v>25</v>
      </c>
      <c r="C118" s="11">
        <v>0.03</v>
      </c>
      <c r="D118" s="11">
        <v>7.37</v>
      </c>
      <c r="E118" s="11">
        <v>5.53</v>
      </c>
      <c r="F118" s="11">
        <v>202</v>
      </c>
      <c r="G118" s="6" t="str">
        <f>IF(COUNTIF(Table1[Customer ID],Table1[[#This Row],[Customer ID]])&gt;1,"Repeat Customer","One-Time Customer")</f>
        <v>Repeat Customer</v>
      </c>
      <c r="H118" s="11" t="s">
        <v>302</v>
      </c>
      <c r="I118" s="11" t="s">
        <v>49</v>
      </c>
      <c r="J118" s="11" t="s">
        <v>28</v>
      </c>
      <c r="K118" s="11" t="s">
        <v>77</v>
      </c>
      <c r="L118" s="11" t="s">
        <v>180</v>
      </c>
      <c r="M118" s="11" t="s">
        <v>51</v>
      </c>
      <c r="N118" s="11" t="s">
        <v>306</v>
      </c>
      <c r="O118" s="11">
        <v>0.69</v>
      </c>
      <c r="P118" s="6">
        <f>Table1[[#This Row],[Profit]]/Table1[[#This Row],[Sales]]</f>
        <v>-1.5584566965846833</v>
      </c>
      <c r="Q118" s="11" t="s">
        <v>33</v>
      </c>
      <c r="R118" s="11" t="s">
        <v>61</v>
      </c>
      <c r="S118" s="11" t="s">
        <v>304</v>
      </c>
      <c r="T118" s="11" t="s">
        <v>305</v>
      </c>
      <c r="U118" s="11">
        <v>74006</v>
      </c>
      <c r="V118" s="12">
        <v>42020</v>
      </c>
      <c r="W118" s="13" t="str">
        <f>TEXT(Table1[[#This Row],[Order Date]],"mmmm")</f>
        <v>January</v>
      </c>
      <c r="X118" s="7" t="str">
        <f>TEXT(Table1[[#This Row],[Order Date]],"yyyy")</f>
        <v>2015</v>
      </c>
      <c r="Y118" s="12">
        <v>42022</v>
      </c>
      <c r="Z118" s="11">
        <v>-133.69999999999999</v>
      </c>
      <c r="AA118" s="11">
        <v>11</v>
      </c>
      <c r="AB118" s="11">
        <v>85.79</v>
      </c>
      <c r="AC118" s="11">
        <v>88972</v>
      </c>
      <c r="AD118" s="6" t="str">
        <f>IF(COUNTIF(Returns!$A$2:$A$1635,Orders!AC118)&gt;0,"Returned","Not Returned")</f>
        <v>Not Returned</v>
      </c>
    </row>
    <row r="119" spans="1:30" ht="12.75" customHeight="1" thickTop="1" thickBot="1" x14ac:dyDescent="0.25">
      <c r="A119" s="8">
        <v>21401</v>
      </c>
      <c r="B119" s="1" t="s">
        <v>106</v>
      </c>
      <c r="C119" s="1">
        <v>0.05</v>
      </c>
      <c r="D119" s="1">
        <v>1.86</v>
      </c>
      <c r="E119" s="1">
        <v>2.58</v>
      </c>
      <c r="F119" s="1">
        <v>210</v>
      </c>
      <c r="G119" s="6" t="str">
        <f>IF(COUNTIF(Table1[Customer ID],Table1[[#This Row],[Customer ID]])&gt;1,"Repeat Customer","One-Time Customer")</f>
        <v>Repeat Customer</v>
      </c>
      <c r="H119" s="1" t="s">
        <v>307</v>
      </c>
      <c r="I119" s="1" t="s">
        <v>49</v>
      </c>
      <c r="J119" s="1" t="s">
        <v>40</v>
      </c>
      <c r="K119" s="1" t="s">
        <v>29</v>
      </c>
      <c r="L119" s="1" t="s">
        <v>66</v>
      </c>
      <c r="M119" s="1" t="s">
        <v>31</v>
      </c>
      <c r="N119" s="1" t="s">
        <v>308</v>
      </c>
      <c r="O119" s="1">
        <v>0.82</v>
      </c>
      <c r="P119" s="6">
        <f>Table1[[#This Row],[Profit]]/Table1[[#This Row],[Sales]]</f>
        <v>-3.7830777967064173</v>
      </c>
      <c r="Q119" s="1" t="s">
        <v>33</v>
      </c>
      <c r="R119" s="1" t="s">
        <v>53</v>
      </c>
      <c r="S119" s="1" t="s">
        <v>71</v>
      </c>
      <c r="T119" s="1" t="s">
        <v>309</v>
      </c>
      <c r="U119" s="1">
        <v>12180</v>
      </c>
      <c r="V119" s="9">
        <v>42021</v>
      </c>
      <c r="W119" s="13" t="str">
        <f>TEXT(Table1[[#This Row],[Order Date]],"mmmm")</f>
        <v>January</v>
      </c>
      <c r="X119" s="7" t="str">
        <f>TEXT(Table1[[#This Row],[Order Date]],"yyyy")</f>
        <v>2015</v>
      </c>
      <c r="Y119" s="9">
        <v>42025</v>
      </c>
      <c r="Z119" s="1">
        <v>-66.62</v>
      </c>
      <c r="AA119" s="1">
        <v>9</v>
      </c>
      <c r="AB119" s="1">
        <v>17.61</v>
      </c>
      <c r="AC119" s="1">
        <v>85965</v>
      </c>
      <c r="AD119" s="6" t="str">
        <f>IF(COUNTIF(Returns!$A$2:$A$1635,Orders!AC119)&gt;0,"Returned","Not Returned")</f>
        <v>Not Returned</v>
      </c>
    </row>
    <row r="120" spans="1:30" ht="12.75" customHeight="1" thickTop="1" thickBot="1" x14ac:dyDescent="0.25">
      <c r="A120" s="10">
        <v>23097</v>
      </c>
      <c r="B120" s="11" t="s">
        <v>56</v>
      </c>
      <c r="C120" s="11">
        <v>0.09</v>
      </c>
      <c r="D120" s="11">
        <v>5.4</v>
      </c>
      <c r="E120" s="11">
        <v>7.78</v>
      </c>
      <c r="F120" s="11">
        <v>210</v>
      </c>
      <c r="G120" s="6" t="str">
        <f>IF(COUNTIF(Table1[Customer ID],Table1[[#This Row],[Customer ID]])&gt;1,"Repeat Customer","One-Time Customer")</f>
        <v>Repeat Customer</v>
      </c>
      <c r="H120" s="11" t="s">
        <v>307</v>
      </c>
      <c r="I120" s="11" t="s">
        <v>27</v>
      </c>
      <c r="J120" s="11" t="s">
        <v>40</v>
      </c>
      <c r="K120" s="11" t="s">
        <v>29</v>
      </c>
      <c r="L120" s="11" t="s">
        <v>109</v>
      </c>
      <c r="M120" s="11" t="s">
        <v>59</v>
      </c>
      <c r="N120" s="11" t="s">
        <v>310</v>
      </c>
      <c r="O120" s="11">
        <v>0.37</v>
      </c>
      <c r="P120" s="6">
        <f>Table1[[#This Row],[Profit]]/Table1[[#This Row],[Sales]]</f>
        <v>-0.78709706959706949</v>
      </c>
      <c r="Q120" s="11" t="s">
        <v>33</v>
      </c>
      <c r="R120" s="11" t="s">
        <v>53</v>
      </c>
      <c r="S120" s="11" t="s">
        <v>71</v>
      </c>
      <c r="T120" s="11" t="s">
        <v>309</v>
      </c>
      <c r="U120" s="11">
        <v>12180</v>
      </c>
      <c r="V120" s="12">
        <v>42157</v>
      </c>
      <c r="W120" s="13" t="str">
        <f>TEXT(Table1[[#This Row],[Order Date]],"mmmm")</f>
        <v>June</v>
      </c>
      <c r="X120" s="7" t="str">
        <f>TEXT(Table1[[#This Row],[Order Date]],"yyyy")</f>
        <v>2015</v>
      </c>
      <c r="Y120" s="12">
        <v>42157</v>
      </c>
      <c r="Z120" s="11">
        <v>-21.487749999999998</v>
      </c>
      <c r="AA120" s="11">
        <v>4</v>
      </c>
      <c r="AB120" s="11">
        <v>27.3</v>
      </c>
      <c r="AC120" s="11">
        <v>85966</v>
      </c>
      <c r="AD120" s="6" t="str">
        <f>IF(COUNTIF(Returns!$A$2:$A$1635,Orders!AC120)&gt;0,"Returned","Not Returned")</f>
        <v>Not Returned</v>
      </c>
    </row>
    <row r="121" spans="1:30" ht="12.75" customHeight="1" thickTop="1" thickBot="1" x14ac:dyDescent="0.25">
      <c r="A121" s="8">
        <v>23098</v>
      </c>
      <c r="B121" s="1" t="s">
        <v>56</v>
      </c>
      <c r="C121" s="1">
        <v>0.02</v>
      </c>
      <c r="D121" s="1">
        <v>20.28</v>
      </c>
      <c r="E121" s="1">
        <v>6.68</v>
      </c>
      <c r="F121" s="1">
        <v>210</v>
      </c>
      <c r="G121" s="6" t="str">
        <f>IF(COUNTIF(Table1[Customer ID],Table1[[#This Row],[Customer ID]])&gt;1,"Repeat Customer","One-Time Customer")</f>
        <v>Repeat Customer</v>
      </c>
      <c r="H121" s="1" t="s">
        <v>307</v>
      </c>
      <c r="I121" s="1" t="s">
        <v>49</v>
      </c>
      <c r="J121" s="1" t="s">
        <v>40</v>
      </c>
      <c r="K121" s="1" t="s">
        <v>41</v>
      </c>
      <c r="L121" s="1" t="s">
        <v>50</v>
      </c>
      <c r="M121" s="1" t="s">
        <v>59</v>
      </c>
      <c r="N121" s="1" t="s">
        <v>311</v>
      </c>
      <c r="O121" s="1">
        <v>0.53</v>
      </c>
      <c r="P121" s="6">
        <f>Table1[[#This Row],[Profit]]/Table1[[#This Row],[Sales]]</f>
        <v>0.69</v>
      </c>
      <c r="Q121" s="1" t="s">
        <v>33</v>
      </c>
      <c r="R121" s="1" t="s">
        <v>53</v>
      </c>
      <c r="S121" s="1" t="s">
        <v>71</v>
      </c>
      <c r="T121" s="1" t="s">
        <v>309</v>
      </c>
      <c r="U121" s="1">
        <v>12180</v>
      </c>
      <c r="V121" s="9">
        <v>42157</v>
      </c>
      <c r="W121" s="13" t="str">
        <f>TEXT(Table1[[#This Row],[Order Date]],"mmmm")</f>
        <v>June</v>
      </c>
      <c r="X121" s="7" t="str">
        <f>TEXT(Table1[[#This Row],[Order Date]],"yyyy")</f>
        <v>2015</v>
      </c>
      <c r="Y121" s="9">
        <v>42157</v>
      </c>
      <c r="Z121" s="1">
        <v>44.677499999999995</v>
      </c>
      <c r="AA121" s="1">
        <v>3</v>
      </c>
      <c r="AB121" s="1">
        <v>64.75</v>
      </c>
      <c r="AC121" s="1">
        <v>85966</v>
      </c>
      <c r="AD121" s="6" t="str">
        <f>IF(COUNTIF(Returns!$A$2:$A$1635,Orders!AC121)&gt;0,"Returned","Not Returned")</f>
        <v>Not Returned</v>
      </c>
    </row>
    <row r="122" spans="1:30" ht="12.75" customHeight="1" thickTop="1" thickBot="1" x14ac:dyDescent="0.25">
      <c r="A122" s="10">
        <v>23099</v>
      </c>
      <c r="B122" s="11" t="s">
        <v>56</v>
      </c>
      <c r="C122" s="11">
        <v>0</v>
      </c>
      <c r="D122" s="11">
        <v>11.55</v>
      </c>
      <c r="E122" s="11">
        <v>2.36</v>
      </c>
      <c r="F122" s="11">
        <v>210</v>
      </c>
      <c r="G122" s="6" t="str">
        <f>IF(COUNTIF(Table1[Customer ID],Table1[[#This Row],[Customer ID]])&gt;1,"Repeat Customer","One-Time Customer")</f>
        <v>Repeat Customer</v>
      </c>
      <c r="H122" s="11" t="s">
        <v>307</v>
      </c>
      <c r="I122" s="11" t="s">
        <v>49</v>
      </c>
      <c r="J122" s="11" t="s">
        <v>40</v>
      </c>
      <c r="K122" s="11" t="s">
        <v>29</v>
      </c>
      <c r="L122" s="11" t="s">
        <v>30</v>
      </c>
      <c r="M122" s="11" t="s">
        <v>31</v>
      </c>
      <c r="N122" s="11" t="s">
        <v>312</v>
      </c>
      <c r="O122" s="11">
        <v>0.55000000000000004</v>
      </c>
      <c r="P122" s="6">
        <f>Table1[[#This Row],[Profit]]/Table1[[#This Row],[Sales]]</f>
        <v>0.37464274372816769</v>
      </c>
      <c r="Q122" s="11" t="s">
        <v>33</v>
      </c>
      <c r="R122" s="11" t="s">
        <v>53</v>
      </c>
      <c r="S122" s="11" t="s">
        <v>71</v>
      </c>
      <c r="T122" s="11" t="s">
        <v>309</v>
      </c>
      <c r="U122" s="11">
        <v>12180</v>
      </c>
      <c r="V122" s="12">
        <v>42157</v>
      </c>
      <c r="W122" s="13" t="str">
        <f>TEXT(Table1[[#This Row],[Order Date]],"mmmm")</f>
        <v>June</v>
      </c>
      <c r="X122" s="7" t="str">
        <f>TEXT(Table1[[#This Row],[Order Date]],"yyyy")</f>
        <v>2015</v>
      </c>
      <c r="Y122" s="12">
        <v>42158</v>
      </c>
      <c r="Z122" s="11">
        <v>23.594999999999999</v>
      </c>
      <c r="AA122" s="11">
        <v>5</v>
      </c>
      <c r="AB122" s="11">
        <v>62.98</v>
      </c>
      <c r="AC122" s="11">
        <v>85966</v>
      </c>
      <c r="AD122" s="6" t="str">
        <f>IF(COUNTIF(Returns!$A$2:$A$1635,Orders!AC122)&gt;0,"Returned","Not Returned")</f>
        <v>Not Returned</v>
      </c>
    </row>
    <row r="123" spans="1:30" ht="12.75" customHeight="1" thickTop="1" thickBot="1" x14ac:dyDescent="0.25">
      <c r="A123" s="8">
        <v>23605</v>
      </c>
      <c r="B123" s="1" t="s">
        <v>56</v>
      </c>
      <c r="C123" s="1">
        <v>0.01</v>
      </c>
      <c r="D123" s="1">
        <v>10.06</v>
      </c>
      <c r="E123" s="1">
        <v>2.06</v>
      </c>
      <c r="F123" s="1">
        <v>211</v>
      </c>
      <c r="G123" s="6" t="str">
        <f>IF(COUNTIF(Table1[Customer ID],Table1[[#This Row],[Customer ID]])&gt;1,"Repeat Customer","One-Time Customer")</f>
        <v>Repeat Customer</v>
      </c>
      <c r="H123" s="1" t="s">
        <v>313</v>
      </c>
      <c r="I123" s="1" t="s">
        <v>49</v>
      </c>
      <c r="J123" s="1" t="s">
        <v>114</v>
      </c>
      <c r="K123" s="1" t="s">
        <v>29</v>
      </c>
      <c r="L123" s="1" t="s">
        <v>93</v>
      </c>
      <c r="M123" s="1" t="s">
        <v>31</v>
      </c>
      <c r="N123" s="1" t="s">
        <v>280</v>
      </c>
      <c r="O123" s="1">
        <v>0.39</v>
      </c>
      <c r="P123" s="6">
        <f>Table1[[#This Row],[Profit]]/Table1[[#This Row],[Sales]]</f>
        <v>0.35801886792452831</v>
      </c>
      <c r="Q123" s="1" t="s">
        <v>33</v>
      </c>
      <c r="R123" s="1" t="s">
        <v>53</v>
      </c>
      <c r="S123" s="1" t="s">
        <v>71</v>
      </c>
      <c r="T123" s="1" t="s">
        <v>314</v>
      </c>
      <c r="U123" s="1">
        <v>13501</v>
      </c>
      <c r="V123" s="9">
        <v>42010</v>
      </c>
      <c r="W123" s="13" t="str">
        <f>TEXT(Table1[[#This Row],[Order Date]],"mmmm")</f>
        <v>January</v>
      </c>
      <c r="X123" s="7" t="str">
        <f>TEXT(Table1[[#This Row],[Order Date]],"yyyy")</f>
        <v>2015</v>
      </c>
      <c r="Y123" s="9">
        <v>42012</v>
      </c>
      <c r="Z123" s="1">
        <v>7.59</v>
      </c>
      <c r="AA123" s="1">
        <v>2</v>
      </c>
      <c r="AB123" s="1">
        <v>21.2</v>
      </c>
      <c r="AC123" s="1">
        <v>85964</v>
      </c>
      <c r="AD123" s="6" t="str">
        <f>IF(COUNTIF(Returns!$A$2:$A$1635,Orders!AC123)&gt;0,"Returned","Not Returned")</f>
        <v>Not Returned</v>
      </c>
    </row>
    <row r="124" spans="1:30" ht="12.75" customHeight="1" thickTop="1" thickBot="1" x14ac:dyDescent="0.25">
      <c r="A124" s="10">
        <v>23606</v>
      </c>
      <c r="B124" s="11" t="s">
        <v>56</v>
      </c>
      <c r="C124" s="11">
        <v>0</v>
      </c>
      <c r="D124" s="11">
        <v>65.989999999999995</v>
      </c>
      <c r="E124" s="11">
        <v>5.92</v>
      </c>
      <c r="F124" s="11">
        <v>211</v>
      </c>
      <c r="G124" s="6" t="str">
        <f>IF(COUNTIF(Table1[Customer ID],Table1[[#This Row],[Customer ID]])&gt;1,"Repeat Customer","One-Time Customer")</f>
        <v>Repeat Customer</v>
      </c>
      <c r="H124" s="11" t="s">
        <v>313</v>
      </c>
      <c r="I124" s="11" t="s">
        <v>49</v>
      </c>
      <c r="J124" s="11" t="s">
        <v>114</v>
      </c>
      <c r="K124" s="11" t="s">
        <v>77</v>
      </c>
      <c r="L124" s="11" t="s">
        <v>78</v>
      </c>
      <c r="M124" s="11" t="s">
        <v>59</v>
      </c>
      <c r="N124" s="11" t="s">
        <v>315</v>
      </c>
      <c r="O124" s="11">
        <v>0.55000000000000004</v>
      </c>
      <c r="P124" s="6">
        <f>Table1[[#This Row],[Profit]]/Table1[[#This Row],[Sales]]</f>
        <v>-0.62304984998846069</v>
      </c>
      <c r="Q124" s="11" t="s">
        <v>33</v>
      </c>
      <c r="R124" s="11" t="s">
        <v>53</v>
      </c>
      <c r="S124" s="11" t="s">
        <v>71</v>
      </c>
      <c r="T124" s="11" t="s">
        <v>314</v>
      </c>
      <c r="U124" s="11">
        <v>13501</v>
      </c>
      <c r="V124" s="12">
        <v>42010</v>
      </c>
      <c r="W124" s="13" t="str">
        <f>TEXT(Table1[[#This Row],[Order Date]],"mmmm")</f>
        <v>January</v>
      </c>
      <c r="X124" s="7" t="str">
        <f>TEXT(Table1[[#This Row],[Order Date]],"yyyy")</f>
        <v>2015</v>
      </c>
      <c r="Y124" s="12">
        <v>42012</v>
      </c>
      <c r="Z124" s="11">
        <v>-107.98699999999999</v>
      </c>
      <c r="AA124" s="11">
        <v>3</v>
      </c>
      <c r="AB124" s="11">
        <v>173.32</v>
      </c>
      <c r="AC124" s="11">
        <v>85964</v>
      </c>
      <c r="AD124" s="6" t="str">
        <f>IF(COUNTIF(Returns!$A$2:$A$1635,Orders!AC124)&gt;0,"Returned","Not Returned")</f>
        <v>Not Returned</v>
      </c>
    </row>
    <row r="125" spans="1:30" ht="12.75" customHeight="1" thickTop="1" thickBot="1" x14ac:dyDescent="0.25">
      <c r="A125" s="8">
        <v>23100</v>
      </c>
      <c r="B125" s="1" t="s">
        <v>56</v>
      </c>
      <c r="C125" s="1">
        <v>0.05</v>
      </c>
      <c r="D125" s="1">
        <v>2.08</v>
      </c>
      <c r="E125" s="1">
        <v>2.56</v>
      </c>
      <c r="F125" s="1">
        <v>211</v>
      </c>
      <c r="G125" s="6" t="str">
        <f>IF(COUNTIF(Table1[Customer ID],Table1[[#This Row],[Customer ID]])&gt;1,"Repeat Customer","One-Time Customer")</f>
        <v>Repeat Customer</v>
      </c>
      <c r="H125" s="1" t="s">
        <v>313</v>
      </c>
      <c r="I125" s="1" t="s">
        <v>49</v>
      </c>
      <c r="J125" s="1" t="s">
        <v>40</v>
      </c>
      <c r="K125" s="1" t="s">
        <v>29</v>
      </c>
      <c r="L125" s="1" t="s">
        <v>174</v>
      </c>
      <c r="M125" s="1" t="s">
        <v>51</v>
      </c>
      <c r="N125" s="1" t="s">
        <v>316</v>
      </c>
      <c r="O125" s="1">
        <v>0.55000000000000004</v>
      </c>
      <c r="P125" s="6">
        <f>Table1[[#This Row],[Profit]]/Table1[[#This Row],[Sales]]</f>
        <v>-0.85717663750295581</v>
      </c>
      <c r="Q125" s="1" t="s">
        <v>33</v>
      </c>
      <c r="R125" s="1" t="s">
        <v>53</v>
      </c>
      <c r="S125" s="1" t="s">
        <v>71</v>
      </c>
      <c r="T125" s="1" t="s">
        <v>314</v>
      </c>
      <c r="U125" s="1">
        <v>13501</v>
      </c>
      <c r="V125" s="9">
        <v>42157</v>
      </c>
      <c r="W125" s="13" t="str">
        <f>TEXT(Table1[[#This Row],[Order Date]],"mmmm")</f>
        <v>June</v>
      </c>
      <c r="X125" s="7" t="str">
        <f>TEXT(Table1[[#This Row],[Order Date]],"yyyy")</f>
        <v>2015</v>
      </c>
      <c r="Y125" s="9">
        <v>42158</v>
      </c>
      <c r="Z125" s="1">
        <v>-36.25</v>
      </c>
      <c r="AA125" s="1">
        <v>20</v>
      </c>
      <c r="AB125" s="1">
        <v>42.29</v>
      </c>
      <c r="AC125" s="1">
        <v>85966</v>
      </c>
      <c r="AD125" s="6" t="str">
        <f>IF(COUNTIF(Returns!$A$2:$A$1635,Orders!AC125)&gt;0,"Returned","Not Returned")</f>
        <v>Not Returned</v>
      </c>
    </row>
    <row r="126" spans="1:30" ht="12.75" customHeight="1" thickTop="1" thickBot="1" x14ac:dyDescent="0.25">
      <c r="A126" s="10">
        <v>26303</v>
      </c>
      <c r="B126" s="11" t="s">
        <v>56</v>
      </c>
      <c r="C126" s="11">
        <v>0.05</v>
      </c>
      <c r="D126" s="11">
        <v>119.99</v>
      </c>
      <c r="E126" s="11">
        <v>56.14</v>
      </c>
      <c r="F126" s="11">
        <v>218</v>
      </c>
      <c r="G126" s="6" t="str">
        <f>IF(COUNTIF(Table1[Customer ID],Table1[[#This Row],[Customer ID]])&gt;1,"Repeat Customer","One-Time Customer")</f>
        <v>One-Time Customer</v>
      </c>
      <c r="H126" s="11" t="s">
        <v>317</v>
      </c>
      <c r="I126" s="11" t="s">
        <v>39</v>
      </c>
      <c r="J126" s="11" t="s">
        <v>114</v>
      </c>
      <c r="K126" s="11" t="s">
        <v>77</v>
      </c>
      <c r="L126" s="11" t="s">
        <v>85</v>
      </c>
      <c r="M126" s="11" t="s">
        <v>121</v>
      </c>
      <c r="N126" s="11" t="s">
        <v>318</v>
      </c>
      <c r="O126" s="11">
        <v>0.39</v>
      </c>
      <c r="P126" s="6">
        <f>Table1[[#This Row],[Profit]]/Table1[[#This Row],[Sales]]</f>
        <v>-0.14035639470405412</v>
      </c>
      <c r="Q126" s="11" t="s">
        <v>33</v>
      </c>
      <c r="R126" s="11" t="s">
        <v>34</v>
      </c>
      <c r="S126" s="11" t="s">
        <v>212</v>
      </c>
      <c r="T126" s="11" t="s">
        <v>319</v>
      </c>
      <c r="U126" s="11">
        <v>84107</v>
      </c>
      <c r="V126" s="12">
        <v>42164</v>
      </c>
      <c r="W126" s="13" t="str">
        <f>TEXT(Table1[[#This Row],[Order Date]],"mmmm")</f>
        <v>June</v>
      </c>
      <c r="X126" s="7" t="str">
        <f>TEXT(Table1[[#This Row],[Order Date]],"yyyy")</f>
        <v>2015</v>
      </c>
      <c r="Y126" s="12">
        <v>42166</v>
      </c>
      <c r="Z126" s="11">
        <v>-102.5121</v>
      </c>
      <c r="AA126" s="11">
        <v>6</v>
      </c>
      <c r="AB126" s="11">
        <v>730.37</v>
      </c>
      <c r="AC126" s="11">
        <v>88048</v>
      </c>
      <c r="AD126" s="6" t="str">
        <f>IF(COUNTIF(Returns!$A$2:$A$1635,Orders!AC126)&gt;0,"Returned","Not Returned")</f>
        <v>Not Returned</v>
      </c>
    </row>
    <row r="127" spans="1:30" ht="12.75" customHeight="1" thickTop="1" thickBot="1" x14ac:dyDescent="0.25">
      <c r="A127" s="8">
        <v>21203</v>
      </c>
      <c r="B127" s="1" t="s">
        <v>56</v>
      </c>
      <c r="C127" s="1">
        <v>0.03</v>
      </c>
      <c r="D127" s="1">
        <v>60.89</v>
      </c>
      <c r="E127" s="1">
        <v>32.409999999999997</v>
      </c>
      <c r="F127" s="1">
        <v>228</v>
      </c>
      <c r="G127" s="6" t="str">
        <f>IF(COUNTIF(Table1[Customer ID],Table1[[#This Row],[Customer ID]])&gt;1,"Repeat Customer","One-Time Customer")</f>
        <v>One-Time Customer</v>
      </c>
      <c r="H127" s="1" t="s">
        <v>320</v>
      </c>
      <c r="I127" s="1" t="s">
        <v>39</v>
      </c>
      <c r="J127" s="1" t="s">
        <v>58</v>
      </c>
      <c r="K127" s="1" t="s">
        <v>41</v>
      </c>
      <c r="L127" s="1" t="s">
        <v>42</v>
      </c>
      <c r="M127" s="1" t="s">
        <v>43</v>
      </c>
      <c r="N127" s="1" t="s">
        <v>321</v>
      </c>
      <c r="O127" s="1">
        <v>0.56000000000000005</v>
      </c>
      <c r="P127" s="6">
        <f>Table1[[#This Row],[Profit]]/Table1[[#This Row],[Sales]]</f>
        <v>8.0698794645830088E-2</v>
      </c>
      <c r="Q127" s="1" t="s">
        <v>33</v>
      </c>
      <c r="R127" s="1" t="s">
        <v>136</v>
      </c>
      <c r="S127" s="1" t="s">
        <v>322</v>
      </c>
      <c r="T127" s="1" t="s">
        <v>323</v>
      </c>
      <c r="U127" s="1">
        <v>28227</v>
      </c>
      <c r="V127" s="9">
        <v>42096</v>
      </c>
      <c r="W127" s="13" t="str">
        <f>TEXT(Table1[[#This Row],[Order Date]],"mmmm")</f>
        <v>April</v>
      </c>
      <c r="X127" s="7" t="str">
        <f>TEXT(Table1[[#This Row],[Order Date]],"yyyy")</f>
        <v>2015</v>
      </c>
      <c r="Y127" s="9">
        <v>42097</v>
      </c>
      <c r="Z127" s="1">
        <v>36.353999999999999</v>
      </c>
      <c r="AA127" s="1">
        <v>7</v>
      </c>
      <c r="AB127" s="1">
        <v>450.49</v>
      </c>
      <c r="AC127" s="1">
        <v>88527</v>
      </c>
      <c r="AD127" s="6" t="str">
        <f>IF(COUNTIF(Returns!$A$2:$A$1635,Orders!AC127)&gt;0,"Returned","Not Returned")</f>
        <v>Not Returned</v>
      </c>
    </row>
    <row r="128" spans="1:30" ht="12.75" customHeight="1" thickTop="1" thickBot="1" x14ac:dyDescent="0.25">
      <c r="A128" s="10">
        <v>25500</v>
      </c>
      <c r="B128" s="11" t="s">
        <v>56</v>
      </c>
      <c r="C128" s="11">
        <v>7.0000000000000007E-2</v>
      </c>
      <c r="D128" s="11">
        <v>5.81</v>
      </c>
      <c r="E128" s="11">
        <v>8.49</v>
      </c>
      <c r="F128" s="11">
        <v>233</v>
      </c>
      <c r="G128" s="6" t="str">
        <f>IF(COUNTIF(Table1[Customer ID],Table1[[#This Row],[Customer ID]])&gt;1,"Repeat Customer","One-Time Customer")</f>
        <v>Repeat Customer</v>
      </c>
      <c r="H128" s="11" t="s">
        <v>324</v>
      </c>
      <c r="I128" s="11" t="s">
        <v>49</v>
      </c>
      <c r="J128" s="11" t="s">
        <v>58</v>
      </c>
      <c r="K128" s="11" t="s">
        <v>29</v>
      </c>
      <c r="L128" s="11" t="s">
        <v>109</v>
      </c>
      <c r="M128" s="11" t="s">
        <v>59</v>
      </c>
      <c r="N128" s="11" t="s">
        <v>325</v>
      </c>
      <c r="O128" s="11">
        <v>0.39</v>
      </c>
      <c r="P128" s="6">
        <f>Table1[[#This Row],[Profit]]/Table1[[#This Row],[Sales]]</f>
        <v>-4.1366751700680267</v>
      </c>
      <c r="Q128" s="11" t="s">
        <v>33</v>
      </c>
      <c r="R128" s="11" t="s">
        <v>61</v>
      </c>
      <c r="S128" s="11" t="s">
        <v>178</v>
      </c>
      <c r="T128" s="11" t="s">
        <v>326</v>
      </c>
      <c r="U128" s="11">
        <v>60462</v>
      </c>
      <c r="V128" s="12">
        <v>42055</v>
      </c>
      <c r="W128" s="13" t="str">
        <f>TEXT(Table1[[#This Row],[Order Date]],"mmmm")</f>
        <v>February</v>
      </c>
      <c r="X128" s="7" t="str">
        <f>TEXT(Table1[[#This Row],[Order Date]],"yyyy")</f>
        <v>2015</v>
      </c>
      <c r="Y128" s="12">
        <v>42057</v>
      </c>
      <c r="Z128" s="11">
        <v>-243.23649999999998</v>
      </c>
      <c r="AA128" s="11">
        <v>10</v>
      </c>
      <c r="AB128" s="11">
        <v>58.8</v>
      </c>
      <c r="AC128" s="11">
        <v>90237</v>
      </c>
      <c r="AD128" s="6" t="str">
        <f>IF(COUNTIF(Returns!$A$2:$A$1635,Orders!AC128)&gt;0,"Returned","Not Returned")</f>
        <v>Not Returned</v>
      </c>
    </row>
    <row r="129" spans="1:30" ht="12.75" customHeight="1" thickTop="1" thickBot="1" x14ac:dyDescent="0.25">
      <c r="A129" s="8">
        <v>25501</v>
      </c>
      <c r="B129" s="1" t="s">
        <v>56</v>
      </c>
      <c r="C129" s="1">
        <v>0.04</v>
      </c>
      <c r="D129" s="1">
        <v>9.65</v>
      </c>
      <c r="E129" s="1">
        <v>6.22</v>
      </c>
      <c r="F129" s="1">
        <v>233</v>
      </c>
      <c r="G129" s="6" t="str">
        <f>IF(COUNTIF(Table1[Customer ID],Table1[[#This Row],[Customer ID]])&gt;1,"Repeat Customer","One-Time Customer")</f>
        <v>Repeat Customer</v>
      </c>
      <c r="H129" s="1" t="s">
        <v>324</v>
      </c>
      <c r="I129" s="1" t="s">
        <v>49</v>
      </c>
      <c r="J129" s="1" t="s">
        <v>58</v>
      </c>
      <c r="K129" s="1" t="s">
        <v>41</v>
      </c>
      <c r="L129" s="1" t="s">
        <v>50</v>
      </c>
      <c r="M129" s="1" t="s">
        <v>59</v>
      </c>
      <c r="N129" s="1" t="s">
        <v>327</v>
      </c>
      <c r="O129" s="1">
        <v>0.55000000000000004</v>
      </c>
      <c r="P129" s="6">
        <f>Table1[[#This Row],[Profit]]/Table1[[#This Row],[Sales]]</f>
        <v>-0.44509006391632772</v>
      </c>
      <c r="Q129" s="1" t="s">
        <v>33</v>
      </c>
      <c r="R129" s="1" t="s">
        <v>61</v>
      </c>
      <c r="S129" s="1" t="s">
        <v>178</v>
      </c>
      <c r="T129" s="1" t="s">
        <v>326</v>
      </c>
      <c r="U129" s="1">
        <v>60462</v>
      </c>
      <c r="V129" s="9">
        <v>42055</v>
      </c>
      <c r="W129" s="13" t="str">
        <f>TEXT(Table1[[#This Row],[Order Date]],"mmmm")</f>
        <v>February</v>
      </c>
      <c r="X129" s="7" t="str">
        <f>TEXT(Table1[[#This Row],[Order Date]],"yyyy")</f>
        <v>2015</v>
      </c>
      <c r="Y129" s="9">
        <v>42056</v>
      </c>
      <c r="Z129" s="1">
        <v>-53.62</v>
      </c>
      <c r="AA129" s="1">
        <v>12</v>
      </c>
      <c r="AB129" s="1">
        <v>120.47</v>
      </c>
      <c r="AC129" s="1">
        <v>90237</v>
      </c>
      <c r="AD129" s="6" t="str">
        <f>IF(COUNTIF(Returns!$A$2:$A$1635,Orders!AC129)&gt;0,"Returned","Not Returned")</f>
        <v>Not Returned</v>
      </c>
    </row>
    <row r="130" spans="1:30" ht="12.75" customHeight="1" thickTop="1" thickBot="1" x14ac:dyDescent="0.25">
      <c r="A130" s="10">
        <v>23058</v>
      </c>
      <c r="B130" s="11" t="s">
        <v>47</v>
      </c>
      <c r="C130" s="11">
        <v>0.06</v>
      </c>
      <c r="D130" s="11">
        <v>279.81</v>
      </c>
      <c r="E130" s="11">
        <v>23.19</v>
      </c>
      <c r="F130" s="11">
        <v>234</v>
      </c>
      <c r="G130" s="6" t="str">
        <f>IF(COUNTIF(Table1[Customer ID],Table1[[#This Row],[Customer ID]])&gt;1,"Repeat Customer","One-Time Customer")</f>
        <v>Repeat Customer</v>
      </c>
      <c r="H130" s="11" t="s">
        <v>328</v>
      </c>
      <c r="I130" s="11" t="s">
        <v>39</v>
      </c>
      <c r="J130" s="11" t="s">
        <v>58</v>
      </c>
      <c r="K130" s="11" t="s">
        <v>29</v>
      </c>
      <c r="L130" s="11" t="s">
        <v>257</v>
      </c>
      <c r="M130" s="11" t="s">
        <v>43</v>
      </c>
      <c r="N130" s="11" t="s">
        <v>329</v>
      </c>
      <c r="O130" s="11">
        <v>0.59</v>
      </c>
      <c r="P130" s="6">
        <f>Table1[[#This Row],[Profit]]/Table1[[#This Row],[Sales]]</f>
        <v>0.69</v>
      </c>
      <c r="Q130" s="11" t="s">
        <v>33</v>
      </c>
      <c r="R130" s="11" t="s">
        <v>61</v>
      </c>
      <c r="S130" s="11" t="s">
        <v>330</v>
      </c>
      <c r="T130" s="11" t="s">
        <v>331</v>
      </c>
      <c r="U130" s="11">
        <v>50208</v>
      </c>
      <c r="V130" s="12">
        <v>42040</v>
      </c>
      <c r="W130" s="13" t="str">
        <f>TEXT(Table1[[#This Row],[Order Date]],"mmmm")</f>
        <v>February</v>
      </c>
      <c r="X130" s="7" t="str">
        <f>TEXT(Table1[[#This Row],[Order Date]],"yyyy")</f>
        <v>2015</v>
      </c>
      <c r="Y130" s="12">
        <v>42041</v>
      </c>
      <c r="Z130" s="11">
        <v>1103.9723999999999</v>
      </c>
      <c r="AA130" s="11">
        <v>6</v>
      </c>
      <c r="AB130" s="11">
        <v>1599.96</v>
      </c>
      <c r="AC130" s="11">
        <v>90236</v>
      </c>
      <c r="AD130" s="6" t="str">
        <f>IF(COUNTIF(Returns!$A$2:$A$1635,Orders!AC130)&gt;0,"Returned","Not Returned")</f>
        <v>Not Returned</v>
      </c>
    </row>
    <row r="131" spans="1:30" ht="12.75" customHeight="1" thickTop="1" thickBot="1" x14ac:dyDescent="0.25">
      <c r="A131" s="8">
        <v>25121</v>
      </c>
      <c r="B131" s="1" t="s">
        <v>25</v>
      </c>
      <c r="C131" s="1">
        <v>0.03</v>
      </c>
      <c r="D131" s="1">
        <v>28.53</v>
      </c>
      <c r="E131" s="1">
        <v>1.49</v>
      </c>
      <c r="F131" s="1">
        <v>234</v>
      </c>
      <c r="G131" s="6" t="str">
        <f>IF(COUNTIF(Table1[Customer ID],Table1[[#This Row],[Customer ID]])&gt;1,"Repeat Customer","One-Time Customer")</f>
        <v>Repeat Customer</v>
      </c>
      <c r="H131" s="1" t="s">
        <v>328</v>
      </c>
      <c r="I131" s="1" t="s">
        <v>49</v>
      </c>
      <c r="J131" s="1" t="s">
        <v>58</v>
      </c>
      <c r="K131" s="1" t="s">
        <v>29</v>
      </c>
      <c r="L131" s="1" t="s">
        <v>109</v>
      </c>
      <c r="M131" s="1" t="s">
        <v>59</v>
      </c>
      <c r="N131" s="1" t="s">
        <v>332</v>
      </c>
      <c r="O131" s="1">
        <v>0.38</v>
      </c>
      <c r="P131" s="6">
        <f>Table1[[#This Row],[Profit]]/Table1[[#This Row],[Sales]]</f>
        <v>0.69</v>
      </c>
      <c r="Q131" s="1" t="s">
        <v>33</v>
      </c>
      <c r="R131" s="1" t="s">
        <v>61</v>
      </c>
      <c r="S131" s="1" t="s">
        <v>330</v>
      </c>
      <c r="T131" s="1" t="s">
        <v>331</v>
      </c>
      <c r="U131" s="1">
        <v>50208</v>
      </c>
      <c r="V131" s="9">
        <v>42090</v>
      </c>
      <c r="W131" s="13" t="str">
        <f>TEXT(Table1[[#This Row],[Order Date]],"mmmm")</f>
        <v>March</v>
      </c>
      <c r="X131" s="7" t="str">
        <f>TEXT(Table1[[#This Row],[Order Date]],"yyyy")</f>
        <v>2015</v>
      </c>
      <c r="Y131" s="9">
        <v>42092</v>
      </c>
      <c r="Z131" s="1">
        <v>136.33709999999999</v>
      </c>
      <c r="AA131" s="1">
        <v>7</v>
      </c>
      <c r="AB131" s="1">
        <v>197.59</v>
      </c>
      <c r="AC131" s="1">
        <v>90238</v>
      </c>
      <c r="AD131" s="6" t="str">
        <f>IF(COUNTIF(Returns!$A$2:$A$1635,Orders!AC131)&gt;0,"Returned","Not Returned")</f>
        <v>Not Returned</v>
      </c>
    </row>
    <row r="132" spans="1:30" ht="12.75" customHeight="1" thickTop="1" thickBot="1" x14ac:dyDescent="0.25">
      <c r="A132" s="10">
        <v>25122</v>
      </c>
      <c r="B132" s="11" t="s">
        <v>25</v>
      </c>
      <c r="C132" s="11">
        <v>0.01</v>
      </c>
      <c r="D132" s="11">
        <v>15.28</v>
      </c>
      <c r="E132" s="11">
        <v>1.99</v>
      </c>
      <c r="F132" s="11">
        <v>234</v>
      </c>
      <c r="G132" s="6" t="str">
        <f>IF(COUNTIF(Table1[Customer ID],Table1[[#This Row],[Customer ID]])&gt;1,"Repeat Customer","One-Time Customer")</f>
        <v>Repeat Customer</v>
      </c>
      <c r="H132" s="11" t="s">
        <v>328</v>
      </c>
      <c r="I132" s="11" t="s">
        <v>49</v>
      </c>
      <c r="J132" s="11" t="s">
        <v>58</v>
      </c>
      <c r="K132" s="11" t="s">
        <v>77</v>
      </c>
      <c r="L132" s="11" t="s">
        <v>180</v>
      </c>
      <c r="M132" s="11" t="s">
        <v>51</v>
      </c>
      <c r="N132" s="11" t="s">
        <v>333</v>
      </c>
      <c r="O132" s="11">
        <v>0.42</v>
      </c>
      <c r="P132" s="6">
        <f>Table1[[#This Row],[Profit]]/Table1[[#This Row],[Sales]]</f>
        <v>-0.37711864406779666</v>
      </c>
      <c r="Q132" s="11" t="s">
        <v>33</v>
      </c>
      <c r="R132" s="11" t="s">
        <v>61</v>
      </c>
      <c r="S132" s="11" t="s">
        <v>330</v>
      </c>
      <c r="T132" s="11" t="s">
        <v>331</v>
      </c>
      <c r="U132" s="11">
        <v>50208</v>
      </c>
      <c r="V132" s="12">
        <v>42090</v>
      </c>
      <c r="W132" s="13" t="str">
        <f>TEXT(Table1[[#This Row],[Order Date]],"mmmm")</f>
        <v>March</v>
      </c>
      <c r="X132" s="7" t="str">
        <f>TEXT(Table1[[#This Row],[Order Date]],"yyyy")</f>
        <v>2015</v>
      </c>
      <c r="Y132" s="12">
        <v>42092</v>
      </c>
      <c r="Z132" s="11">
        <v>-12.46</v>
      </c>
      <c r="AA132" s="11">
        <v>2</v>
      </c>
      <c r="AB132" s="11">
        <v>33.04</v>
      </c>
      <c r="AC132" s="11">
        <v>90238</v>
      </c>
      <c r="AD132" s="6" t="str">
        <f>IF(COUNTIF(Returns!$A$2:$A$1635,Orders!AC132)&gt;0,"Returned","Not Returned")</f>
        <v>Not Returned</v>
      </c>
    </row>
    <row r="133" spans="1:30" ht="12.75" customHeight="1" thickTop="1" thickBot="1" x14ac:dyDescent="0.25">
      <c r="A133" s="8">
        <v>22044</v>
      </c>
      <c r="B133" s="1" t="s">
        <v>106</v>
      </c>
      <c r="C133" s="1">
        <v>0.06</v>
      </c>
      <c r="D133" s="1">
        <v>3.34</v>
      </c>
      <c r="E133" s="1">
        <v>7.49</v>
      </c>
      <c r="F133" s="1">
        <v>234</v>
      </c>
      <c r="G133" s="6" t="str">
        <f>IF(COUNTIF(Table1[Customer ID],Table1[[#This Row],[Customer ID]])&gt;1,"Repeat Customer","One-Time Customer")</f>
        <v>Repeat Customer</v>
      </c>
      <c r="H133" s="1" t="s">
        <v>328</v>
      </c>
      <c r="I133" s="1" t="s">
        <v>27</v>
      </c>
      <c r="J133" s="1" t="s">
        <v>58</v>
      </c>
      <c r="K133" s="1" t="s">
        <v>29</v>
      </c>
      <c r="L133" s="1" t="s">
        <v>30</v>
      </c>
      <c r="M133" s="1" t="s">
        <v>31</v>
      </c>
      <c r="N133" s="1" t="s">
        <v>334</v>
      </c>
      <c r="O133" s="1">
        <v>0.54</v>
      </c>
      <c r="P133" s="6">
        <f>Table1[[#This Row],[Profit]]/Table1[[#This Row],[Sales]]</f>
        <v>-6.4065573770491806</v>
      </c>
      <c r="Q133" s="1" t="s">
        <v>33</v>
      </c>
      <c r="R133" s="1" t="s">
        <v>61</v>
      </c>
      <c r="S133" s="1" t="s">
        <v>330</v>
      </c>
      <c r="T133" s="1" t="s">
        <v>331</v>
      </c>
      <c r="U133" s="1">
        <v>50208</v>
      </c>
      <c r="V133" s="9">
        <v>42122</v>
      </c>
      <c r="W133" s="13" t="str">
        <f>TEXT(Table1[[#This Row],[Order Date]],"mmmm")</f>
        <v>April</v>
      </c>
      <c r="X133" s="7" t="str">
        <f>TEXT(Table1[[#This Row],[Order Date]],"yyyy")</f>
        <v>2015</v>
      </c>
      <c r="Y133" s="9">
        <v>42124</v>
      </c>
      <c r="Z133" s="1">
        <v>-175.86</v>
      </c>
      <c r="AA133" s="1">
        <v>8</v>
      </c>
      <c r="AB133" s="1">
        <v>27.45</v>
      </c>
      <c r="AC133" s="1">
        <v>90239</v>
      </c>
      <c r="AD133" s="6" t="str">
        <f>IF(COUNTIF(Returns!$A$2:$A$1635,Orders!AC133)&gt;0,"Returned","Not Returned")</f>
        <v>Not Returned</v>
      </c>
    </row>
    <row r="134" spans="1:30" ht="12.75" customHeight="1" thickTop="1" thickBot="1" x14ac:dyDescent="0.25">
      <c r="A134" s="10">
        <v>18885</v>
      </c>
      <c r="B134" s="11" t="s">
        <v>37</v>
      </c>
      <c r="C134" s="11">
        <v>0</v>
      </c>
      <c r="D134" s="11">
        <v>442.14</v>
      </c>
      <c r="E134" s="11">
        <v>14.7</v>
      </c>
      <c r="F134" s="11">
        <v>236</v>
      </c>
      <c r="G134" s="6" t="str">
        <f>IF(COUNTIF(Table1[Customer ID],Table1[[#This Row],[Customer ID]])&gt;1,"Repeat Customer","One-Time Customer")</f>
        <v>One-Time Customer</v>
      </c>
      <c r="H134" s="11" t="s">
        <v>335</v>
      </c>
      <c r="I134" s="11" t="s">
        <v>39</v>
      </c>
      <c r="J134" s="11" t="s">
        <v>28</v>
      </c>
      <c r="K134" s="11" t="s">
        <v>77</v>
      </c>
      <c r="L134" s="11" t="s">
        <v>85</v>
      </c>
      <c r="M134" s="11" t="s">
        <v>43</v>
      </c>
      <c r="N134" s="11" t="s">
        <v>336</v>
      </c>
      <c r="O134" s="11">
        <v>0.56000000000000005</v>
      </c>
      <c r="P134" s="6">
        <f>Table1[[#This Row],[Profit]]/Table1[[#This Row],[Sales]]</f>
        <v>0.69</v>
      </c>
      <c r="Q134" s="11" t="s">
        <v>33</v>
      </c>
      <c r="R134" s="11" t="s">
        <v>34</v>
      </c>
      <c r="S134" s="11" t="s">
        <v>255</v>
      </c>
      <c r="T134" s="11" t="s">
        <v>337</v>
      </c>
      <c r="U134" s="11">
        <v>80027</v>
      </c>
      <c r="V134" s="12">
        <v>42057</v>
      </c>
      <c r="W134" s="13" t="str">
        <f>TEXT(Table1[[#This Row],[Order Date]],"mmmm")</f>
        <v>February</v>
      </c>
      <c r="X134" s="7" t="str">
        <f>TEXT(Table1[[#This Row],[Order Date]],"yyyy")</f>
        <v>2015</v>
      </c>
      <c r="Y134" s="12">
        <v>42057</v>
      </c>
      <c r="Z134" s="11">
        <v>3294.8258999999994</v>
      </c>
      <c r="AA134" s="11">
        <v>10</v>
      </c>
      <c r="AB134" s="11">
        <v>4775.1099999999997</v>
      </c>
      <c r="AC134" s="11">
        <v>86621</v>
      </c>
      <c r="AD134" s="6" t="str">
        <f>IF(COUNTIF(Returns!$A$2:$A$1635,Orders!AC134)&gt;0,"Returned","Not Returned")</f>
        <v>Not Returned</v>
      </c>
    </row>
    <row r="135" spans="1:30" ht="12.75" customHeight="1" thickTop="1" thickBot="1" x14ac:dyDescent="0.25">
      <c r="A135" s="8">
        <v>24327</v>
      </c>
      <c r="B135" s="1" t="s">
        <v>56</v>
      </c>
      <c r="C135" s="1">
        <v>0.1</v>
      </c>
      <c r="D135" s="1">
        <v>19.98</v>
      </c>
      <c r="E135" s="1">
        <v>5.77</v>
      </c>
      <c r="F135" s="1">
        <v>240</v>
      </c>
      <c r="G135" s="6" t="str">
        <f>IF(COUNTIF(Table1[Customer ID],Table1[[#This Row],[Customer ID]])&gt;1,"Repeat Customer","One-Time Customer")</f>
        <v>One-Time Customer</v>
      </c>
      <c r="H135" s="1" t="s">
        <v>338</v>
      </c>
      <c r="I135" s="1" t="s">
        <v>27</v>
      </c>
      <c r="J135" s="1" t="s">
        <v>58</v>
      </c>
      <c r="K135" s="1" t="s">
        <v>29</v>
      </c>
      <c r="L135" s="1" t="s">
        <v>93</v>
      </c>
      <c r="M135" s="1" t="s">
        <v>59</v>
      </c>
      <c r="N135" s="1" t="s">
        <v>339</v>
      </c>
      <c r="O135" s="1">
        <v>0.38</v>
      </c>
      <c r="P135" s="6">
        <f>Table1[[#This Row],[Profit]]/Table1[[#This Row],[Sales]]</f>
        <v>0.61121755791673937</v>
      </c>
      <c r="Q135" s="1" t="s">
        <v>33</v>
      </c>
      <c r="R135" s="1" t="s">
        <v>34</v>
      </c>
      <c r="S135" s="1" t="s">
        <v>255</v>
      </c>
      <c r="T135" s="1" t="s">
        <v>340</v>
      </c>
      <c r="U135" s="1">
        <v>80817</v>
      </c>
      <c r="V135" s="9">
        <v>42114</v>
      </c>
      <c r="W135" s="13" t="str">
        <f>TEXT(Table1[[#This Row],[Order Date]],"mmmm")</f>
        <v>April</v>
      </c>
      <c r="X135" s="7" t="str">
        <f>TEXT(Table1[[#This Row],[Order Date]],"yyyy")</f>
        <v>2015</v>
      </c>
      <c r="Y135" s="9">
        <v>42114</v>
      </c>
      <c r="Z135" s="1">
        <v>35.090000000000003</v>
      </c>
      <c r="AA135" s="1">
        <v>3</v>
      </c>
      <c r="AB135" s="1">
        <v>57.41</v>
      </c>
      <c r="AC135" s="1">
        <v>90479</v>
      </c>
      <c r="AD135" s="6" t="str">
        <f>IF(COUNTIF(Returns!$A$2:$A$1635,Orders!AC135)&gt;0,"Returned","Not Returned")</f>
        <v>Not Returned</v>
      </c>
    </row>
    <row r="136" spans="1:30" ht="12.75" customHeight="1" thickTop="1" thickBot="1" x14ac:dyDescent="0.25">
      <c r="A136" s="10">
        <v>24328</v>
      </c>
      <c r="B136" s="11" t="s">
        <v>56</v>
      </c>
      <c r="C136" s="11">
        <v>0.06</v>
      </c>
      <c r="D136" s="11">
        <v>259.70999999999998</v>
      </c>
      <c r="E136" s="11">
        <v>66.67</v>
      </c>
      <c r="F136" s="11">
        <v>241</v>
      </c>
      <c r="G136" s="6" t="str">
        <f>IF(COUNTIF(Table1[Customer ID],Table1[[#This Row],[Customer ID]])&gt;1,"Repeat Customer","One-Time Customer")</f>
        <v>Repeat Customer</v>
      </c>
      <c r="H136" s="11" t="s">
        <v>341</v>
      </c>
      <c r="I136" s="11" t="s">
        <v>39</v>
      </c>
      <c r="J136" s="11" t="s">
        <v>58</v>
      </c>
      <c r="K136" s="11" t="s">
        <v>41</v>
      </c>
      <c r="L136" s="11" t="s">
        <v>152</v>
      </c>
      <c r="M136" s="11" t="s">
        <v>121</v>
      </c>
      <c r="N136" s="11" t="s">
        <v>342</v>
      </c>
      <c r="O136" s="11">
        <v>0.61</v>
      </c>
      <c r="P136" s="6">
        <f>Table1[[#This Row],[Profit]]/Table1[[#This Row],[Sales]]</f>
        <v>0.27959656496563901</v>
      </c>
      <c r="Q136" s="11" t="s">
        <v>33</v>
      </c>
      <c r="R136" s="11" t="s">
        <v>34</v>
      </c>
      <c r="S136" s="11" t="s">
        <v>255</v>
      </c>
      <c r="T136" s="11" t="s">
        <v>343</v>
      </c>
      <c r="U136" s="11">
        <v>81503</v>
      </c>
      <c r="V136" s="12">
        <v>42114</v>
      </c>
      <c r="W136" s="13" t="str">
        <f>TEXT(Table1[[#This Row],[Order Date]],"mmmm")</f>
        <v>April</v>
      </c>
      <c r="X136" s="7" t="str">
        <f>TEXT(Table1[[#This Row],[Order Date]],"yyyy")</f>
        <v>2015</v>
      </c>
      <c r="Y136" s="12">
        <v>42115</v>
      </c>
      <c r="Z136" s="11">
        <v>785.63</v>
      </c>
      <c r="AA136" s="11">
        <v>11</v>
      </c>
      <c r="AB136" s="11">
        <v>2809.87</v>
      </c>
      <c r="AC136" s="11">
        <v>90479</v>
      </c>
      <c r="AD136" s="6" t="str">
        <f>IF(COUNTIF(Returns!$A$2:$A$1635,Orders!AC136)&gt;0,"Returned","Not Returned")</f>
        <v>Not Returned</v>
      </c>
    </row>
    <row r="137" spans="1:30" ht="12.75" customHeight="1" thickTop="1" thickBot="1" x14ac:dyDescent="0.25">
      <c r="A137" s="8">
        <v>25264</v>
      </c>
      <c r="B137" s="1" t="s">
        <v>106</v>
      </c>
      <c r="C137" s="1">
        <v>0.01</v>
      </c>
      <c r="D137" s="1">
        <v>5.94</v>
      </c>
      <c r="E137" s="1">
        <v>9.92</v>
      </c>
      <c r="F137" s="1">
        <v>241</v>
      </c>
      <c r="G137" s="6" t="str">
        <f>IF(COUNTIF(Table1[Customer ID],Table1[[#This Row],[Customer ID]])&gt;1,"Repeat Customer","One-Time Customer")</f>
        <v>Repeat Customer</v>
      </c>
      <c r="H137" s="1" t="s">
        <v>341</v>
      </c>
      <c r="I137" s="1" t="s">
        <v>49</v>
      </c>
      <c r="J137" s="1" t="s">
        <v>58</v>
      </c>
      <c r="K137" s="1" t="s">
        <v>29</v>
      </c>
      <c r="L137" s="1" t="s">
        <v>109</v>
      </c>
      <c r="M137" s="1" t="s">
        <v>59</v>
      </c>
      <c r="N137" s="1" t="s">
        <v>344</v>
      </c>
      <c r="O137" s="1">
        <v>0.38</v>
      </c>
      <c r="P137" s="6">
        <f>Table1[[#This Row],[Profit]]/Table1[[#This Row],[Sales]]</f>
        <v>-3.2092956336794694</v>
      </c>
      <c r="Q137" s="1" t="s">
        <v>33</v>
      </c>
      <c r="R137" s="1" t="s">
        <v>34</v>
      </c>
      <c r="S137" s="1" t="s">
        <v>255</v>
      </c>
      <c r="T137" s="1" t="s">
        <v>343</v>
      </c>
      <c r="U137" s="1">
        <v>81503</v>
      </c>
      <c r="V137" s="9">
        <v>42150</v>
      </c>
      <c r="W137" s="13" t="str">
        <f>TEXT(Table1[[#This Row],[Order Date]],"mmmm")</f>
        <v>May</v>
      </c>
      <c r="X137" s="7" t="str">
        <f>TEXT(Table1[[#This Row],[Order Date]],"yyyy")</f>
        <v>2015</v>
      </c>
      <c r="Y137" s="9">
        <v>42157</v>
      </c>
      <c r="Z137" s="1">
        <v>-256.51900000000001</v>
      </c>
      <c r="AA137" s="1">
        <v>13</v>
      </c>
      <c r="AB137" s="1">
        <v>79.930000000000007</v>
      </c>
      <c r="AC137" s="1">
        <v>90480</v>
      </c>
      <c r="AD137" s="6" t="str">
        <f>IF(COUNTIF(Returns!$A$2:$A$1635,Orders!AC137)&gt;0,"Returned","Not Returned")</f>
        <v>Not Returned</v>
      </c>
    </row>
    <row r="138" spans="1:30" ht="12.75" customHeight="1" thickTop="1" thickBot="1" x14ac:dyDescent="0.25">
      <c r="A138" s="10">
        <v>25265</v>
      </c>
      <c r="B138" s="11" t="s">
        <v>106</v>
      </c>
      <c r="C138" s="11">
        <v>0.02</v>
      </c>
      <c r="D138" s="11">
        <v>125.99</v>
      </c>
      <c r="E138" s="11">
        <v>3</v>
      </c>
      <c r="F138" s="11">
        <v>241</v>
      </c>
      <c r="G138" s="6" t="str">
        <f>IF(COUNTIF(Table1[Customer ID],Table1[[#This Row],[Customer ID]])&gt;1,"Repeat Customer","One-Time Customer")</f>
        <v>Repeat Customer</v>
      </c>
      <c r="H138" s="11" t="s">
        <v>341</v>
      </c>
      <c r="I138" s="11" t="s">
        <v>49</v>
      </c>
      <c r="J138" s="11" t="s">
        <v>58</v>
      </c>
      <c r="K138" s="11" t="s">
        <v>77</v>
      </c>
      <c r="L138" s="11" t="s">
        <v>78</v>
      </c>
      <c r="M138" s="11" t="s">
        <v>59</v>
      </c>
      <c r="N138" s="11" t="s">
        <v>345</v>
      </c>
      <c r="O138" s="11">
        <v>0.59</v>
      </c>
      <c r="P138" s="6">
        <f>Table1[[#This Row],[Profit]]/Table1[[#This Row],[Sales]]</f>
        <v>0.45621521335807053</v>
      </c>
      <c r="Q138" s="11" t="s">
        <v>33</v>
      </c>
      <c r="R138" s="11" t="s">
        <v>34</v>
      </c>
      <c r="S138" s="11" t="s">
        <v>255</v>
      </c>
      <c r="T138" s="11" t="s">
        <v>343</v>
      </c>
      <c r="U138" s="11">
        <v>81503</v>
      </c>
      <c r="V138" s="12">
        <v>42150</v>
      </c>
      <c r="W138" s="13" t="str">
        <f>TEXT(Table1[[#This Row],[Order Date]],"mmmm")</f>
        <v>May</v>
      </c>
      <c r="X138" s="7" t="str">
        <f>TEXT(Table1[[#This Row],[Order Date]],"yyyy")</f>
        <v>2015</v>
      </c>
      <c r="Y138" s="12">
        <v>42150</v>
      </c>
      <c r="Z138" s="11">
        <v>398.358</v>
      </c>
      <c r="AA138" s="11">
        <v>8</v>
      </c>
      <c r="AB138" s="11">
        <v>873.18</v>
      </c>
      <c r="AC138" s="11">
        <v>90480</v>
      </c>
      <c r="AD138" s="6" t="str">
        <f>IF(COUNTIF(Returns!$A$2:$A$1635,Orders!AC138)&gt;0,"Returned","Not Returned")</f>
        <v>Not Returned</v>
      </c>
    </row>
    <row r="139" spans="1:30" ht="12.75" customHeight="1" thickTop="1" thickBot="1" x14ac:dyDescent="0.25">
      <c r="A139" s="8">
        <v>18849</v>
      </c>
      <c r="B139" s="1" t="s">
        <v>56</v>
      </c>
      <c r="C139" s="1">
        <v>0.02</v>
      </c>
      <c r="D139" s="1">
        <v>146.05000000000001</v>
      </c>
      <c r="E139" s="1">
        <v>80.2</v>
      </c>
      <c r="F139" s="1">
        <v>247</v>
      </c>
      <c r="G139" s="6" t="str">
        <f>IF(COUNTIF(Table1[Customer ID],Table1[[#This Row],[Customer ID]])&gt;1,"Repeat Customer","One-Time Customer")</f>
        <v>Repeat Customer</v>
      </c>
      <c r="H139" s="1" t="s">
        <v>346</v>
      </c>
      <c r="I139" s="1" t="s">
        <v>39</v>
      </c>
      <c r="J139" s="1" t="s">
        <v>28</v>
      </c>
      <c r="K139" s="1" t="s">
        <v>41</v>
      </c>
      <c r="L139" s="1" t="s">
        <v>152</v>
      </c>
      <c r="M139" s="1" t="s">
        <v>121</v>
      </c>
      <c r="N139" s="1" t="s">
        <v>347</v>
      </c>
      <c r="O139" s="1">
        <v>0.71</v>
      </c>
      <c r="P139" s="6">
        <f>Table1[[#This Row],[Profit]]/Table1[[#This Row],[Sales]]</f>
        <v>-0.12669746710238014</v>
      </c>
      <c r="Q139" s="1" t="s">
        <v>33</v>
      </c>
      <c r="R139" s="1" t="s">
        <v>136</v>
      </c>
      <c r="S139" s="1" t="s">
        <v>244</v>
      </c>
      <c r="T139" s="1" t="s">
        <v>348</v>
      </c>
      <c r="U139" s="1">
        <v>37804</v>
      </c>
      <c r="V139" s="9">
        <v>42058</v>
      </c>
      <c r="W139" s="13" t="str">
        <f>TEXT(Table1[[#This Row],[Order Date]],"mmmm")</f>
        <v>February</v>
      </c>
      <c r="X139" s="7" t="str">
        <f>TEXT(Table1[[#This Row],[Order Date]],"yyyy")</f>
        <v>2015</v>
      </c>
      <c r="Y139" s="9">
        <v>42058</v>
      </c>
      <c r="Z139" s="1">
        <v>-101.19200000000001</v>
      </c>
      <c r="AA139" s="1">
        <v>5</v>
      </c>
      <c r="AB139" s="1">
        <v>798.69</v>
      </c>
      <c r="AC139" s="1">
        <v>89139</v>
      </c>
      <c r="AD139" s="6" t="str">
        <f>IF(COUNTIF(Returns!$A$2:$A$1635,Orders!AC139)&gt;0,"Returned","Not Returned")</f>
        <v>Not Returned</v>
      </c>
    </row>
    <row r="140" spans="1:30" ht="12.75" customHeight="1" thickTop="1" thickBot="1" x14ac:dyDescent="0.25">
      <c r="A140" s="10">
        <v>18850</v>
      </c>
      <c r="B140" s="11" t="s">
        <v>56</v>
      </c>
      <c r="C140" s="11">
        <v>0.06</v>
      </c>
      <c r="D140" s="11">
        <v>65.989999999999995</v>
      </c>
      <c r="E140" s="11">
        <v>5.92</v>
      </c>
      <c r="F140" s="11">
        <v>247</v>
      </c>
      <c r="G140" s="6" t="str">
        <f>IF(COUNTIF(Table1[Customer ID],Table1[[#This Row],[Customer ID]])&gt;1,"Repeat Customer","One-Time Customer")</f>
        <v>Repeat Customer</v>
      </c>
      <c r="H140" s="11" t="s">
        <v>346</v>
      </c>
      <c r="I140" s="11" t="s">
        <v>49</v>
      </c>
      <c r="J140" s="11" t="s">
        <v>28</v>
      </c>
      <c r="K140" s="11" t="s">
        <v>77</v>
      </c>
      <c r="L140" s="11" t="s">
        <v>78</v>
      </c>
      <c r="M140" s="11" t="s">
        <v>59</v>
      </c>
      <c r="N140" s="11" t="s">
        <v>315</v>
      </c>
      <c r="O140" s="11">
        <v>0.55000000000000004</v>
      </c>
      <c r="P140" s="6">
        <f>Table1[[#This Row],[Profit]]/Table1[[#This Row],[Sales]]</f>
        <v>-4.2064864728384105E-3</v>
      </c>
      <c r="Q140" s="11" t="s">
        <v>33</v>
      </c>
      <c r="R140" s="11" t="s">
        <v>136</v>
      </c>
      <c r="S140" s="11" t="s">
        <v>244</v>
      </c>
      <c r="T140" s="11" t="s">
        <v>348</v>
      </c>
      <c r="U140" s="11">
        <v>37804</v>
      </c>
      <c r="V140" s="12">
        <v>42058</v>
      </c>
      <c r="W140" s="13" t="str">
        <f>TEXT(Table1[[#This Row],[Order Date]],"mmmm")</f>
        <v>February</v>
      </c>
      <c r="X140" s="7" t="str">
        <f>TEXT(Table1[[#This Row],[Order Date]],"yyyy")</f>
        <v>2015</v>
      </c>
      <c r="Y140" s="12">
        <v>42059</v>
      </c>
      <c r="Z140" s="11">
        <v>-3.3320000000000336</v>
      </c>
      <c r="AA140" s="11">
        <v>14</v>
      </c>
      <c r="AB140" s="11">
        <v>792.11</v>
      </c>
      <c r="AC140" s="11">
        <v>89139</v>
      </c>
      <c r="AD140" s="6" t="str">
        <f>IF(COUNTIF(Returns!$A$2:$A$1635,Orders!AC140)&gt;0,"Returned","Not Returned")</f>
        <v>Not Returned</v>
      </c>
    </row>
    <row r="141" spans="1:30" ht="12.75" customHeight="1" thickTop="1" thickBot="1" x14ac:dyDescent="0.25">
      <c r="A141" s="8">
        <v>18842</v>
      </c>
      <c r="B141" s="1" t="s">
        <v>56</v>
      </c>
      <c r="C141" s="1">
        <v>0.09</v>
      </c>
      <c r="D141" s="1">
        <v>2.88</v>
      </c>
      <c r="E141" s="1">
        <v>0.99</v>
      </c>
      <c r="F141" s="1">
        <v>247</v>
      </c>
      <c r="G141" s="6" t="str">
        <f>IF(COUNTIF(Table1[Customer ID],Table1[[#This Row],[Customer ID]])&gt;1,"Repeat Customer","One-Time Customer")</f>
        <v>Repeat Customer</v>
      </c>
      <c r="H141" s="1" t="s">
        <v>346</v>
      </c>
      <c r="I141" s="1" t="s">
        <v>49</v>
      </c>
      <c r="J141" s="1" t="s">
        <v>28</v>
      </c>
      <c r="K141" s="1" t="s">
        <v>29</v>
      </c>
      <c r="L141" s="1" t="s">
        <v>134</v>
      </c>
      <c r="M141" s="1" t="s">
        <v>59</v>
      </c>
      <c r="N141" s="1" t="s">
        <v>349</v>
      </c>
      <c r="O141" s="1">
        <v>0.36</v>
      </c>
      <c r="P141" s="6">
        <f>Table1[[#This Row],[Profit]]/Table1[[#This Row],[Sales]]</f>
        <v>-5.0498433693003824</v>
      </c>
      <c r="Q141" s="1" t="s">
        <v>33</v>
      </c>
      <c r="R141" s="1" t="s">
        <v>136</v>
      </c>
      <c r="S141" s="1" t="s">
        <v>244</v>
      </c>
      <c r="T141" s="1" t="s">
        <v>348</v>
      </c>
      <c r="U141" s="1">
        <v>37804</v>
      </c>
      <c r="V141" s="9">
        <v>42084</v>
      </c>
      <c r="W141" s="13" t="str">
        <f>TEXT(Table1[[#This Row],[Order Date]],"mmmm")</f>
        <v>March</v>
      </c>
      <c r="X141" s="7" t="str">
        <f>TEXT(Table1[[#This Row],[Order Date]],"yyyy")</f>
        <v>2015</v>
      </c>
      <c r="Y141" s="9">
        <v>42086</v>
      </c>
      <c r="Z141" s="1">
        <v>-145.08199999999999</v>
      </c>
      <c r="AA141" s="1">
        <v>10</v>
      </c>
      <c r="AB141" s="1">
        <v>28.73</v>
      </c>
      <c r="AC141" s="1">
        <v>89140</v>
      </c>
      <c r="AD141" s="6" t="str">
        <f>IF(COUNTIF(Returns!$A$2:$A$1635,Orders!AC141)&gt;0,"Returned","Not Returned")</f>
        <v>Not Returned</v>
      </c>
    </row>
    <row r="142" spans="1:30" ht="12.75" customHeight="1" thickTop="1" thickBot="1" x14ac:dyDescent="0.25">
      <c r="A142" s="10">
        <v>18773</v>
      </c>
      <c r="B142" s="11" t="s">
        <v>47</v>
      </c>
      <c r="C142" s="11">
        <v>0.02</v>
      </c>
      <c r="D142" s="11">
        <v>2.58</v>
      </c>
      <c r="E142" s="11">
        <v>1.3</v>
      </c>
      <c r="F142" s="11">
        <v>250</v>
      </c>
      <c r="G142" s="6" t="str">
        <f>IF(COUNTIF(Table1[Customer ID],Table1[[#This Row],[Customer ID]])&gt;1,"Repeat Customer","One-Time Customer")</f>
        <v>Repeat Customer</v>
      </c>
      <c r="H142" s="11" t="s">
        <v>350</v>
      </c>
      <c r="I142" s="11" t="s">
        <v>27</v>
      </c>
      <c r="J142" s="11" t="s">
        <v>28</v>
      </c>
      <c r="K142" s="11" t="s">
        <v>29</v>
      </c>
      <c r="L142" s="11" t="s">
        <v>30</v>
      </c>
      <c r="M142" s="11" t="s">
        <v>31</v>
      </c>
      <c r="N142" s="11" t="s">
        <v>351</v>
      </c>
      <c r="O142" s="11">
        <v>0.59</v>
      </c>
      <c r="P142" s="6">
        <f>Table1[[#This Row],[Profit]]/Table1[[#This Row],[Sales]]</f>
        <v>1.0096591944596332E-2</v>
      </c>
      <c r="Q142" s="11" t="s">
        <v>33</v>
      </c>
      <c r="R142" s="11" t="s">
        <v>61</v>
      </c>
      <c r="S142" s="11" t="s">
        <v>62</v>
      </c>
      <c r="T142" s="11" t="s">
        <v>352</v>
      </c>
      <c r="U142" s="11">
        <v>55423</v>
      </c>
      <c r="V142" s="12">
        <v>42152</v>
      </c>
      <c r="W142" s="13" t="str">
        <f>TEXT(Table1[[#This Row],[Order Date]],"mmmm")</f>
        <v>May</v>
      </c>
      <c r="X142" s="7" t="str">
        <f>TEXT(Table1[[#This Row],[Order Date]],"yyyy")</f>
        <v>2015</v>
      </c>
      <c r="Y142" s="12">
        <v>42153</v>
      </c>
      <c r="Z142" s="11">
        <v>1.1080000000000014</v>
      </c>
      <c r="AA142" s="11">
        <v>39</v>
      </c>
      <c r="AB142" s="11">
        <v>109.74</v>
      </c>
      <c r="AC142" s="11">
        <v>87214</v>
      </c>
      <c r="AD142" s="6" t="str">
        <f>IF(COUNTIF(Returns!$A$2:$A$1635,Orders!AC142)&gt;0,"Returned","Not Returned")</f>
        <v>Not Returned</v>
      </c>
    </row>
    <row r="143" spans="1:30" ht="12.75" customHeight="1" thickTop="1" thickBot="1" x14ac:dyDescent="0.25">
      <c r="A143" s="8">
        <v>18774</v>
      </c>
      <c r="B143" s="1" t="s">
        <v>47</v>
      </c>
      <c r="C143" s="1">
        <v>0.02</v>
      </c>
      <c r="D143" s="1">
        <v>65.989999999999995</v>
      </c>
      <c r="E143" s="1">
        <v>3.9</v>
      </c>
      <c r="F143" s="1">
        <v>250</v>
      </c>
      <c r="G143" s="6" t="str">
        <f>IF(COUNTIF(Table1[Customer ID],Table1[[#This Row],[Customer ID]])&gt;1,"Repeat Customer","One-Time Customer")</f>
        <v>Repeat Customer</v>
      </c>
      <c r="H143" s="1" t="s">
        <v>350</v>
      </c>
      <c r="I143" s="1" t="s">
        <v>49</v>
      </c>
      <c r="J143" s="1" t="s">
        <v>28</v>
      </c>
      <c r="K143" s="1" t="s">
        <v>77</v>
      </c>
      <c r="L143" s="1" t="s">
        <v>78</v>
      </c>
      <c r="M143" s="1" t="s">
        <v>59</v>
      </c>
      <c r="N143" s="1" t="s">
        <v>353</v>
      </c>
      <c r="O143" s="1">
        <v>0.55000000000000004</v>
      </c>
      <c r="P143" s="6">
        <f>Table1[[#This Row],[Profit]]/Table1[[#This Row],[Sales]]</f>
        <v>0.6876220401023615</v>
      </c>
      <c r="Q143" s="1" t="s">
        <v>33</v>
      </c>
      <c r="R143" s="1" t="s">
        <v>61</v>
      </c>
      <c r="S143" s="1" t="s">
        <v>62</v>
      </c>
      <c r="T143" s="1" t="s">
        <v>352</v>
      </c>
      <c r="U143" s="1">
        <v>55423</v>
      </c>
      <c r="V143" s="9">
        <v>42152</v>
      </c>
      <c r="W143" s="13" t="str">
        <f>TEXT(Table1[[#This Row],[Order Date]],"mmmm")</f>
        <v>May</v>
      </c>
      <c r="X143" s="7" t="str">
        <f>TEXT(Table1[[#This Row],[Order Date]],"yyyy")</f>
        <v>2015</v>
      </c>
      <c r="Y143" s="9">
        <v>42153</v>
      </c>
      <c r="Z143" s="1">
        <v>1061.3790000000001</v>
      </c>
      <c r="AA143" s="1">
        <v>27</v>
      </c>
      <c r="AB143" s="1">
        <v>1543.55</v>
      </c>
      <c r="AC143" s="1">
        <v>87214</v>
      </c>
      <c r="AD143" s="6" t="str">
        <f>IF(COUNTIF(Returns!$A$2:$A$1635,Orders!AC143)&gt;0,"Returned","Not Returned")</f>
        <v>Not Returned</v>
      </c>
    </row>
    <row r="144" spans="1:30" ht="12.75" customHeight="1" thickTop="1" thickBot="1" x14ac:dyDescent="0.25">
      <c r="A144" s="10">
        <v>18801</v>
      </c>
      <c r="B144" s="11" t="s">
        <v>56</v>
      </c>
      <c r="C144" s="11">
        <v>0.1</v>
      </c>
      <c r="D144" s="11">
        <v>280.98</v>
      </c>
      <c r="E144" s="11">
        <v>35.67</v>
      </c>
      <c r="F144" s="11">
        <v>254</v>
      </c>
      <c r="G144" s="6" t="str">
        <f>IF(COUNTIF(Table1[Customer ID],Table1[[#This Row],[Customer ID]])&gt;1,"Repeat Customer","One-Time Customer")</f>
        <v>One-Time Customer</v>
      </c>
      <c r="H144" s="11" t="s">
        <v>354</v>
      </c>
      <c r="I144" s="11" t="s">
        <v>39</v>
      </c>
      <c r="J144" s="11" t="s">
        <v>40</v>
      </c>
      <c r="K144" s="11" t="s">
        <v>41</v>
      </c>
      <c r="L144" s="11" t="s">
        <v>152</v>
      </c>
      <c r="M144" s="11" t="s">
        <v>121</v>
      </c>
      <c r="N144" s="11" t="s">
        <v>355</v>
      </c>
      <c r="O144" s="11">
        <v>0.66</v>
      </c>
      <c r="P144" s="6">
        <f>Table1[[#This Row],[Profit]]/Table1[[#This Row],[Sales]]</f>
        <v>-4.032427484581564E-2</v>
      </c>
      <c r="Q144" s="11" t="s">
        <v>33</v>
      </c>
      <c r="R144" s="11" t="s">
        <v>34</v>
      </c>
      <c r="S144" s="11" t="s">
        <v>255</v>
      </c>
      <c r="T144" s="11" t="s">
        <v>356</v>
      </c>
      <c r="U144" s="11">
        <v>80126</v>
      </c>
      <c r="V144" s="12">
        <v>42165</v>
      </c>
      <c r="W144" s="13" t="str">
        <f>TEXT(Table1[[#This Row],[Order Date]],"mmmm")</f>
        <v>June</v>
      </c>
      <c r="X144" s="7" t="str">
        <f>TEXT(Table1[[#This Row],[Order Date]],"yyyy")</f>
        <v>2015</v>
      </c>
      <c r="Y144" s="12">
        <v>42166</v>
      </c>
      <c r="Z144" s="11">
        <v>-53.744999999999997</v>
      </c>
      <c r="AA144" s="11">
        <v>5</v>
      </c>
      <c r="AB144" s="11">
        <v>1332.82</v>
      </c>
      <c r="AC144" s="11">
        <v>86268</v>
      </c>
      <c r="AD144" s="6" t="str">
        <f>IF(COUNTIF(Returns!$A$2:$A$1635,Orders!AC144)&gt;0,"Returned","Not Returned")</f>
        <v>Not Returned</v>
      </c>
    </row>
    <row r="145" spans="1:30" ht="12.75" customHeight="1" thickTop="1" thickBot="1" x14ac:dyDescent="0.25">
      <c r="A145" s="8">
        <v>20577</v>
      </c>
      <c r="B145" s="1" t="s">
        <v>47</v>
      </c>
      <c r="C145" s="1">
        <v>0.03</v>
      </c>
      <c r="D145" s="1">
        <v>8.34</v>
      </c>
      <c r="E145" s="1">
        <v>2.64</v>
      </c>
      <c r="F145" s="1">
        <v>256</v>
      </c>
      <c r="G145" s="6" t="str">
        <f>IF(COUNTIF(Table1[Customer ID],Table1[[#This Row],[Customer ID]])&gt;1,"Repeat Customer","One-Time Customer")</f>
        <v>One-Time Customer</v>
      </c>
      <c r="H145" s="1" t="s">
        <v>357</v>
      </c>
      <c r="I145" s="1" t="s">
        <v>49</v>
      </c>
      <c r="J145" s="1" t="s">
        <v>40</v>
      </c>
      <c r="K145" s="1" t="s">
        <v>29</v>
      </c>
      <c r="L145" s="1" t="s">
        <v>174</v>
      </c>
      <c r="M145" s="1" t="s">
        <v>51</v>
      </c>
      <c r="N145" s="1" t="s">
        <v>358</v>
      </c>
      <c r="O145" s="1">
        <v>0.59</v>
      </c>
      <c r="P145" s="6">
        <f>Table1[[#This Row],[Profit]]/Table1[[#This Row],[Sales]]</f>
        <v>1.9745958429561169E-2</v>
      </c>
      <c r="Q145" s="1" t="s">
        <v>33</v>
      </c>
      <c r="R145" s="1" t="s">
        <v>53</v>
      </c>
      <c r="S145" s="1" t="s">
        <v>234</v>
      </c>
      <c r="T145" s="1" t="s">
        <v>359</v>
      </c>
      <c r="U145" s="1">
        <v>17331</v>
      </c>
      <c r="V145" s="9">
        <v>42035</v>
      </c>
      <c r="W145" s="13" t="str">
        <f>TEXT(Table1[[#This Row],[Order Date]],"mmmm")</f>
        <v>January</v>
      </c>
      <c r="X145" s="7" t="str">
        <f>TEXT(Table1[[#This Row],[Order Date]],"yyyy")</f>
        <v>2015</v>
      </c>
      <c r="Y145" s="9">
        <v>42037</v>
      </c>
      <c r="Z145" s="1">
        <v>0.68399999999999894</v>
      </c>
      <c r="AA145" s="1">
        <v>4</v>
      </c>
      <c r="AB145" s="1">
        <v>34.64</v>
      </c>
      <c r="AC145" s="1">
        <v>86267</v>
      </c>
      <c r="AD145" s="6" t="str">
        <f>IF(COUNTIF(Returns!$A$2:$A$1635,Orders!AC145)&gt;0,"Returned","Not Returned")</f>
        <v>Not Returned</v>
      </c>
    </row>
    <row r="146" spans="1:30" ht="12.75" customHeight="1" thickTop="1" thickBot="1" x14ac:dyDescent="0.25">
      <c r="A146" s="10">
        <v>24498</v>
      </c>
      <c r="B146" s="11" t="s">
        <v>56</v>
      </c>
      <c r="C146" s="11">
        <v>0.05</v>
      </c>
      <c r="D146" s="11">
        <v>17.48</v>
      </c>
      <c r="E146" s="11">
        <v>1.99</v>
      </c>
      <c r="F146" s="11">
        <v>258</v>
      </c>
      <c r="G146" s="6" t="str">
        <f>IF(COUNTIF(Table1[Customer ID],Table1[[#This Row],[Customer ID]])&gt;1,"Repeat Customer","One-Time Customer")</f>
        <v>One-Time Customer</v>
      </c>
      <c r="H146" s="11" t="s">
        <v>360</v>
      </c>
      <c r="I146" s="11" t="s">
        <v>49</v>
      </c>
      <c r="J146" s="11" t="s">
        <v>114</v>
      </c>
      <c r="K146" s="11" t="s">
        <v>77</v>
      </c>
      <c r="L146" s="11" t="s">
        <v>180</v>
      </c>
      <c r="M146" s="11" t="s">
        <v>51</v>
      </c>
      <c r="N146" s="11" t="s">
        <v>361</v>
      </c>
      <c r="O146" s="11">
        <v>0.45</v>
      </c>
      <c r="P146" s="6">
        <f>Table1[[#This Row],[Profit]]/Table1[[#This Row],[Sales]]</f>
        <v>-2.4205831903945114</v>
      </c>
      <c r="Q146" s="11" t="s">
        <v>33</v>
      </c>
      <c r="R146" s="11" t="s">
        <v>136</v>
      </c>
      <c r="S146" s="11" t="s">
        <v>362</v>
      </c>
      <c r="T146" s="11" t="s">
        <v>363</v>
      </c>
      <c r="U146" s="11">
        <v>33772</v>
      </c>
      <c r="V146" s="12">
        <v>42006</v>
      </c>
      <c r="W146" s="13" t="str">
        <f>TEXT(Table1[[#This Row],[Order Date]],"mmmm")</f>
        <v>January</v>
      </c>
      <c r="X146" s="7" t="str">
        <f>TEXT(Table1[[#This Row],[Order Date]],"yyyy")</f>
        <v>2015</v>
      </c>
      <c r="Y146" s="12">
        <v>42008</v>
      </c>
      <c r="Z146" s="11">
        <v>-127.00800000000001</v>
      </c>
      <c r="AA146" s="11">
        <v>3</v>
      </c>
      <c r="AB146" s="11">
        <v>52.47</v>
      </c>
      <c r="AC146" s="11">
        <v>85858</v>
      </c>
      <c r="AD146" s="6" t="str">
        <f>IF(COUNTIF(Returns!$A$2:$A$1635,Orders!AC146)&gt;0,"Returned","Not Returned")</f>
        <v>Not Returned</v>
      </c>
    </row>
    <row r="147" spans="1:30" ht="12.75" customHeight="1" thickTop="1" thickBot="1" x14ac:dyDescent="0.25">
      <c r="A147" s="8">
        <v>18011</v>
      </c>
      <c r="B147" s="1" t="s">
        <v>106</v>
      </c>
      <c r="C147" s="1">
        <v>0.09</v>
      </c>
      <c r="D147" s="1">
        <v>2.88</v>
      </c>
      <c r="E147" s="1">
        <v>0.7</v>
      </c>
      <c r="F147" s="1">
        <v>259</v>
      </c>
      <c r="G147" s="6" t="str">
        <f>IF(COUNTIF(Table1[Customer ID],Table1[[#This Row],[Customer ID]])&gt;1,"Repeat Customer","One-Time Customer")</f>
        <v>One-Time Customer</v>
      </c>
      <c r="H147" s="1" t="s">
        <v>364</v>
      </c>
      <c r="I147" s="1" t="s">
        <v>49</v>
      </c>
      <c r="J147" s="1" t="s">
        <v>114</v>
      </c>
      <c r="K147" s="1" t="s">
        <v>29</v>
      </c>
      <c r="L147" s="1" t="s">
        <v>30</v>
      </c>
      <c r="M147" s="1" t="s">
        <v>31</v>
      </c>
      <c r="N147" s="1" t="s">
        <v>365</v>
      </c>
      <c r="O147" s="1">
        <v>0.56000000000000005</v>
      </c>
      <c r="P147" s="6">
        <f>Table1[[#This Row],[Profit]]/Table1[[#This Row],[Sales]]</f>
        <v>0.21808946171341928</v>
      </c>
      <c r="Q147" s="1" t="s">
        <v>33</v>
      </c>
      <c r="R147" s="1" t="s">
        <v>34</v>
      </c>
      <c r="S147" s="1" t="s">
        <v>366</v>
      </c>
      <c r="T147" s="1" t="s">
        <v>367</v>
      </c>
      <c r="U147" s="1">
        <v>87505</v>
      </c>
      <c r="V147" s="9">
        <v>42023</v>
      </c>
      <c r="W147" s="13" t="str">
        <f>TEXT(Table1[[#This Row],[Order Date]],"mmmm")</f>
        <v>January</v>
      </c>
      <c r="X147" s="7" t="str">
        <f>TEXT(Table1[[#This Row],[Order Date]],"yyyy")</f>
        <v>2015</v>
      </c>
      <c r="Y147" s="9">
        <v>42023</v>
      </c>
      <c r="Z147" s="1">
        <v>5.7532000000000005</v>
      </c>
      <c r="AA147" s="1">
        <v>10</v>
      </c>
      <c r="AB147" s="1">
        <v>26.38</v>
      </c>
      <c r="AC147" s="1">
        <v>85857</v>
      </c>
      <c r="AD147" s="6" t="str">
        <f>IF(COUNTIF(Returns!$A$2:$A$1635,Orders!AC147)&gt;0,"Returned","Not Returned")</f>
        <v>Not Returned</v>
      </c>
    </row>
    <row r="148" spans="1:30" ht="12.75" customHeight="1" thickTop="1" thickBot="1" x14ac:dyDescent="0.25">
      <c r="A148" s="10">
        <v>22370</v>
      </c>
      <c r="B148" s="11" t="s">
        <v>25</v>
      </c>
      <c r="C148" s="11">
        <v>0.05</v>
      </c>
      <c r="D148" s="11">
        <v>31.76</v>
      </c>
      <c r="E148" s="11">
        <v>45.51</v>
      </c>
      <c r="F148" s="11">
        <v>263</v>
      </c>
      <c r="G148" s="6" t="str">
        <f>IF(COUNTIF(Table1[Customer ID],Table1[[#This Row],[Customer ID]])&gt;1,"Repeat Customer","One-Time Customer")</f>
        <v>One-Time Customer</v>
      </c>
      <c r="H148" s="11" t="s">
        <v>368</v>
      </c>
      <c r="I148" s="11" t="s">
        <v>39</v>
      </c>
      <c r="J148" s="11" t="s">
        <v>58</v>
      </c>
      <c r="K148" s="11" t="s">
        <v>41</v>
      </c>
      <c r="L148" s="11" t="s">
        <v>152</v>
      </c>
      <c r="M148" s="11" t="s">
        <v>121</v>
      </c>
      <c r="N148" s="11" t="s">
        <v>369</v>
      </c>
      <c r="O148" s="11">
        <v>0.65</v>
      </c>
      <c r="P148" s="6">
        <f>Table1[[#This Row],[Profit]]/Table1[[#This Row],[Sales]]</f>
        <v>-7.1564240520470532</v>
      </c>
      <c r="Q148" s="11" t="s">
        <v>33</v>
      </c>
      <c r="R148" s="11" t="s">
        <v>53</v>
      </c>
      <c r="S148" s="11" t="s">
        <v>154</v>
      </c>
      <c r="T148" s="11" t="s">
        <v>370</v>
      </c>
      <c r="U148" s="11">
        <v>44106</v>
      </c>
      <c r="V148" s="12">
        <v>42025</v>
      </c>
      <c r="W148" s="13" t="str">
        <f>TEXT(Table1[[#This Row],[Order Date]],"mmmm")</f>
        <v>January</v>
      </c>
      <c r="X148" s="7" t="str">
        <f>TEXT(Table1[[#This Row],[Order Date]],"yyyy")</f>
        <v>2015</v>
      </c>
      <c r="Y148" s="12">
        <v>42027</v>
      </c>
      <c r="Z148" s="11">
        <v>-2177.9860960000001</v>
      </c>
      <c r="AA148" s="11">
        <v>9</v>
      </c>
      <c r="AB148" s="11">
        <v>304.33999999999997</v>
      </c>
      <c r="AC148" s="11">
        <v>86297</v>
      </c>
      <c r="AD148" s="6" t="str">
        <f>IF(COUNTIF(Returns!$A$2:$A$1635,Orders!AC148)&gt;0,"Returned","Not Returned")</f>
        <v>Not Returned</v>
      </c>
    </row>
    <row r="149" spans="1:30" ht="12.75" customHeight="1" thickTop="1" thickBot="1" x14ac:dyDescent="0.25">
      <c r="A149" s="8">
        <v>20858</v>
      </c>
      <c r="B149" s="1" t="s">
        <v>37</v>
      </c>
      <c r="C149" s="1">
        <v>0</v>
      </c>
      <c r="D149" s="1">
        <v>73.98</v>
      </c>
      <c r="E149" s="1">
        <v>12.14</v>
      </c>
      <c r="F149" s="1">
        <v>266</v>
      </c>
      <c r="G149" s="6" t="str">
        <f>IF(COUNTIF(Table1[Customer ID],Table1[[#This Row],[Customer ID]])&gt;1,"Repeat Customer","One-Time Customer")</f>
        <v>Repeat Customer</v>
      </c>
      <c r="H149" s="1" t="s">
        <v>371</v>
      </c>
      <c r="I149" s="1" t="s">
        <v>27</v>
      </c>
      <c r="J149" s="1" t="s">
        <v>28</v>
      </c>
      <c r="K149" s="1" t="s">
        <v>77</v>
      </c>
      <c r="L149" s="1" t="s">
        <v>180</v>
      </c>
      <c r="M149" s="1" t="s">
        <v>59</v>
      </c>
      <c r="N149" s="1" t="s">
        <v>372</v>
      </c>
      <c r="O149" s="1">
        <v>0.67</v>
      </c>
      <c r="P149" s="6">
        <f>Table1[[#This Row],[Profit]]/Table1[[#This Row],[Sales]]</f>
        <v>0.25080526748718107</v>
      </c>
      <c r="Q149" s="1" t="s">
        <v>33</v>
      </c>
      <c r="R149" s="1" t="s">
        <v>61</v>
      </c>
      <c r="S149" s="1" t="s">
        <v>130</v>
      </c>
      <c r="T149" s="1" t="s">
        <v>373</v>
      </c>
      <c r="U149" s="1">
        <v>78207</v>
      </c>
      <c r="V149" s="9">
        <v>42142</v>
      </c>
      <c r="W149" s="13" t="str">
        <f>TEXT(Table1[[#This Row],[Order Date]],"mmmm")</f>
        <v>May</v>
      </c>
      <c r="X149" s="7" t="str">
        <f>TEXT(Table1[[#This Row],[Order Date]],"yyyy")</f>
        <v>2015</v>
      </c>
      <c r="Y149" s="9">
        <v>42144</v>
      </c>
      <c r="Z149" s="1">
        <v>326.25</v>
      </c>
      <c r="AA149" s="1">
        <v>17</v>
      </c>
      <c r="AB149" s="1">
        <v>1300.81</v>
      </c>
      <c r="AC149" s="1">
        <v>90593</v>
      </c>
      <c r="AD149" s="6" t="str">
        <f>IF(COUNTIF(Returns!$A$2:$A$1635,Orders!AC149)&gt;0,"Returned","Not Returned")</f>
        <v>Not Returned</v>
      </c>
    </row>
    <row r="150" spans="1:30" ht="12.75" customHeight="1" thickTop="1" thickBot="1" x14ac:dyDescent="0.25">
      <c r="A150" s="10">
        <v>19823</v>
      </c>
      <c r="B150" s="11" t="s">
        <v>56</v>
      </c>
      <c r="C150" s="11">
        <v>0.08</v>
      </c>
      <c r="D150" s="11">
        <v>6.48</v>
      </c>
      <c r="E150" s="11">
        <v>7.03</v>
      </c>
      <c r="F150" s="11">
        <v>266</v>
      </c>
      <c r="G150" s="6" t="str">
        <f>IF(COUNTIF(Table1[Customer ID],Table1[[#This Row],[Customer ID]])&gt;1,"Repeat Customer","One-Time Customer")</f>
        <v>Repeat Customer</v>
      </c>
      <c r="H150" s="11" t="s">
        <v>371</v>
      </c>
      <c r="I150" s="11" t="s">
        <v>49</v>
      </c>
      <c r="J150" s="11" t="s">
        <v>28</v>
      </c>
      <c r="K150" s="11" t="s">
        <v>29</v>
      </c>
      <c r="L150" s="11" t="s">
        <v>93</v>
      </c>
      <c r="M150" s="11" t="s">
        <v>59</v>
      </c>
      <c r="N150" s="11" t="s">
        <v>374</v>
      </c>
      <c r="O150" s="11">
        <v>0.37</v>
      </c>
      <c r="P150" s="6">
        <f>Table1[[#This Row],[Profit]]/Table1[[#This Row],[Sales]]</f>
        <v>0.13162393162393177</v>
      </c>
      <c r="Q150" s="11" t="s">
        <v>33</v>
      </c>
      <c r="R150" s="11" t="s">
        <v>61</v>
      </c>
      <c r="S150" s="11" t="s">
        <v>130</v>
      </c>
      <c r="T150" s="11" t="s">
        <v>373</v>
      </c>
      <c r="U150" s="11">
        <v>78207</v>
      </c>
      <c r="V150" s="12">
        <v>42139</v>
      </c>
      <c r="W150" s="13" t="str">
        <f>TEXT(Table1[[#This Row],[Order Date]],"mmmm")</f>
        <v>May</v>
      </c>
      <c r="X150" s="7" t="str">
        <f>TEXT(Table1[[#This Row],[Order Date]],"yyyy")</f>
        <v>2015</v>
      </c>
      <c r="Y150" s="12">
        <v>42140</v>
      </c>
      <c r="Z150" s="11">
        <v>8.9320000000000093</v>
      </c>
      <c r="AA150" s="11">
        <v>10</v>
      </c>
      <c r="AB150" s="11">
        <v>67.86</v>
      </c>
      <c r="AC150" s="11">
        <v>90594</v>
      </c>
      <c r="AD150" s="6" t="str">
        <f>IF(COUNTIF(Returns!$A$2:$A$1635,Orders!AC150)&gt;0,"Returned","Not Returned")</f>
        <v>Not Returned</v>
      </c>
    </row>
    <row r="151" spans="1:30" ht="12.75" customHeight="1" thickTop="1" thickBot="1" x14ac:dyDescent="0.25">
      <c r="A151" s="8">
        <v>19824</v>
      </c>
      <c r="B151" s="1" t="s">
        <v>56</v>
      </c>
      <c r="C151" s="1">
        <v>0.01</v>
      </c>
      <c r="D151" s="1">
        <v>20.34</v>
      </c>
      <c r="E151" s="1">
        <v>35</v>
      </c>
      <c r="F151" s="1">
        <v>266</v>
      </c>
      <c r="G151" s="6" t="str">
        <f>IF(COUNTIF(Table1[Customer ID],Table1[[#This Row],[Customer ID]])&gt;1,"Repeat Customer","One-Time Customer")</f>
        <v>Repeat Customer</v>
      </c>
      <c r="H151" s="1" t="s">
        <v>371</v>
      </c>
      <c r="I151" s="1" t="s">
        <v>49</v>
      </c>
      <c r="J151" s="1" t="s">
        <v>28</v>
      </c>
      <c r="K151" s="1" t="s">
        <v>29</v>
      </c>
      <c r="L151" s="1" t="s">
        <v>141</v>
      </c>
      <c r="M151" s="1" t="s">
        <v>236</v>
      </c>
      <c r="N151" s="1" t="s">
        <v>375</v>
      </c>
      <c r="O151" s="1">
        <v>0.84</v>
      </c>
      <c r="P151" s="6">
        <f>Table1[[#This Row],[Profit]]/Table1[[#This Row],[Sales]]</f>
        <v>0.30729846911465603</v>
      </c>
      <c r="Q151" s="1" t="s">
        <v>33</v>
      </c>
      <c r="R151" s="1" t="s">
        <v>61</v>
      </c>
      <c r="S151" s="1" t="s">
        <v>130</v>
      </c>
      <c r="T151" s="1" t="s">
        <v>373</v>
      </c>
      <c r="U151" s="1">
        <v>78207</v>
      </c>
      <c r="V151" s="9">
        <v>42139</v>
      </c>
      <c r="W151" s="13" t="str">
        <f>TEXT(Table1[[#This Row],[Order Date]],"mmmm")</f>
        <v>May</v>
      </c>
      <c r="X151" s="7" t="str">
        <f>TEXT(Table1[[#This Row],[Order Date]],"yyyy")</f>
        <v>2015</v>
      </c>
      <c r="Y151" s="9">
        <v>42140</v>
      </c>
      <c r="Z151" s="1">
        <v>229.63800000000015</v>
      </c>
      <c r="AA151" s="1">
        <v>33</v>
      </c>
      <c r="AB151" s="1">
        <v>747.28</v>
      </c>
      <c r="AC151" s="1">
        <v>90594</v>
      </c>
      <c r="AD151" s="6" t="str">
        <f>IF(COUNTIF(Returns!$A$2:$A$1635,Orders!AC151)&gt;0,"Returned","Not Returned")</f>
        <v>Not Returned</v>
      </c>
    </row>
    <row r="152" spans="1:30" ht="14.25" thickTop="1" thickBot="1" x14ac:dyDescent="0.25">
      <c r="A152" s="10">
        <v>18770</v>
      </c>
      <c r="B152" s="11" t="s">
        <v>106</v>
      </c>
      <c r="C152" s="11">
        <v>0.02</v>
      </c>
      <c r="D152" s="11">
        <v>5.58</v>
      </c>
      <c r="E152" s="11">
        <v>5.3</v>
      </c>
      <c r="F152" s="11">
        <v>268</v>
      </c>
      <c r="G152" s="6" t="str">
        <f>IF(COUNTIF(Table1[Customer ID],Table1[[#This Row],[Customer ID]])&gt;1,"Repeat Customer","One-Time Customer")</f>
        <v>Repeat Customer</v>
      </c>
      <c r="H152" s="11" t="s">
        <v>376</v>
      </c>
      <c r="I152" s="11" t="s">
        <v>49</v>
      </c>
      <c r="J152" s="11" t="s">
        <v>40</v>
      </c>
      <c r="K152" s="11" t="s">
        <v>29</v>
      </c>
      <c r="L152" s="11" t="s">
        <v>69</v>
      </c>
      <c r="M152" s="11" t="s">
        <v>59</v>
      </c>
      <c r="N152" s="11" t="s">
        <v>377</v>
      </c>
      <c r="O152" s="11">
        <v>0.35</v>
      </c>
      <c r="P152" s="6">
        <f>Table1[[#This Row],[Profit]]/Table1[[#This Row],[Sales]]</f>
        <v>-1.2040707016604177</v>
      </c>
      <c r="Q152" s="11" t="s">
        <v>33</v>
      </c>
      <c r="R152" s="11" t="s">
        <v>34</v>
      </c>
      <c r="S152" s="11" t="s">
        <v>378</v>
      </c>
      <c r="T152" s="11" t="s">
        <v>379</v>
      </c>
      <c r="U152" s="11">
        <v>86001</v>
      </c>
      <c r="V152" s="12">
        <v>42101</v>
      </c>
      <c r="W152" s="13" t="str">
        <f>TEXT(Table1[[#This Row],[Order Date]],"mmmm")</f>
        <v>April</v>
      </c>
      <c r="X152" s="7" t="str">
        <f>TEXT(Table1[[#This Row],[Order Date]],"yyyy")</f>
        <v>2015</v>
      </c>
      <c r="Y152" s="12">
        <v>42106</v>
      </c>
      <c r="Z152" s="11">
        <v>-22.48</v>
      </c>
      <c r="AA152" s="11">
        <v>3</v>
      </c>
      <c r="AB152" s="11">
        <v>18.670000000000002</v>
      </c>
      <c r="AC152" s="11">
        <v>88941</v>
      </c>
      <c r="AD152" s="6" t="str">
        <f>IF(COUNTIF(Returns!$A$2:$A$1635,Orders!AC152)&gt;0,"Returned","Not Returned")</f>
        <v>Not Returned</v>
      </c>
    </row>
    <row r="153" spans="1:30" ht="14.25" thickTop="1" thickBot="1" x14ac:dyDescent="0.25">
      <c r="A153" s="8">
        <v>18771</v>
      </c>
      <c r="B153" s="1" t="s">
        <v>106</v>
      </c>
      <c r="C153" s="1">
        <v>0.03</v>
      </c>
      <c r="D153" s="1">
        <v>40.89</v>
      </c>
      <c r="E153" s="1">
        <v>18.98</v>
      </c>
      <c r="F153" s="1">
        <v>268</v>
      </c>
      <c r="G153" s="6" t="str">
        <f>IF(COUNTIF(Table1[Customer ID],Table1[[#This Row],[Customer ID]])&gt;1,"Repeat Customer","One-Time Customer")</f>
        <v>Repeat Customer</v>
      </c>
      <c r="H153" s="1" t="s">
        <v>376</v>
      </c>
      <c r="I153" s="1" t="s">
        <v>49</v>
      </c>
      <c r="J153" s="1" t="s">
        <v>40</v>
      </c>
      <c r="K153" s="1" t="s">
        <v>41</v>
      </c>
      <c r="L153" s="1" t="s">
        <v>50</v>
      </c>
      <c r="M153" s="1" t="s">
        <v>59</v>
      </c>
      <c r="N153" s="1" t="s">
        <v>380</v>
      </c>
      <c r="O153" s="1">
        <v>0.56999999999999995</v>
      </c>
      <c r="P153" s="6">
        <f>Table1[[#This Row],[Profit]]/Table1[[#This Row],[Sales]]</f>
        <v>0.37472126014138635</v>
      </c>
      <c r="Q153" s="1" t="s">
        <v>33</v>
      </c>
      <c r="R153" s="1" t="s">
        <v>34</v>
      </c>
      <c r="S153" s="1" t="s">
        <v>378</v>
      </c>
      <c r="T153" s="1" t="s">
        <v>379</v>
      </c>
      <c r="U153" s="1">
        <v>86001</v>
      </c>
      <c r="V153" s="9">
        <v>42101</v>
      </c>
      <c r="W153" s="13" t="str">
        <f>TEXT(Table1[[#This Row],[Order Date]],"mmmm")</f>
        <v>April</v>
      </c>
      <c r="X153" s="7" t="str">
        <f>TEXT(Table1[[#This Row],[Order Date]],"yyyy")</f>
        <v>2015</v>
      </c>
      <c r="Y153" s="9">
        <v>42108</v>
      </c>
      <c r="Z153" s="1">
        <v>78.98</v>
      </c>
      <c r="AA153" s="1">
        <v>5</v>
      </c>
      <c r="AB153" s="1">
        <v>210.77</v>
      </c>
      <c r="AC153" s="1">
        <v>88941</v>
      </c>
      <c r="AD153" s="6" t="str">
        <f>IF(COUNTIF(Returns!$A$2:$A$1635,Orders!AC153)&gt;0,"Returned","Not Returned")</f>
        <v>Not Returned</v>
      </c>
    </row>
    <row r="154" spans="1:30" ht="14.25" thickTop="1" thickBot="1" x14ac:dyDescent="0.25">
      <c r="A154" s="10">
        <v>23059</v>
      </c>
      <c r="B154" s="11" t="s">
        <v>106</v>
      </c>
      <c r="C154" s="11">
        <v>0.09</v>
      </c>
      <c r="D154" s="11">
        <v>35.94</v>
      </c>
      <c r="E154" s="11">
        <v>6.66</v>
      </c>
      <c r="F154" s="11">
        <v>269</v>
      </c>
      <c r="G154" s="6" t="str">
        <f>IF(COUNTIF(Table1[Customer ID],Table1[[#This Row],[Customer ID]])&gt;1,"Repeat Customer","One-Time Customer")</f>
        <v>Repeat Customer</v>
      </c>
      <c r="H154" s="11" t="s">
        <v>381</v>
      </c>
      <c r="I154" s="11" t="s">
        <v>49</v>
      </c>
      <c r="J154" s="11" t="s">
        <v>40</v>
      </c>
      <c r="K154" s="11" t="s">
        <v>29</v>
      </c>
      <c r="L154" s="11" t="s">
        <v>69</v>
      </c>
      <c r="M154" s="11" t="s">
        <v>59</v>
      </c>
      <c r="N154" s="11" t="s">
        <v>73</v>
      </c>
      <c r="O154" s="11">
        <v>0.4</v>
      </c>
      <c r="P154" s="6">
        <f>Table1[[#This Row],[Profit]]/Table1[[#This Row],[Sales]]</f>
        <v>0.69</v>
      </c>
      <c r="Q154" s="11" t="s">
        <v>33</v>
      </c>
      <c r="R154" s="11" t="s">
        <v>34</v>
      </c>
      <c r="S154" s="11" t="s">
        <v>378</v>
      </c>
      <c r="T154" s="11" t="s">
        <v>382</v>
      </c>
      <c r="U154" s="11">
        <v>85234</v>
      </c>
      <c r="V154" s="12">
        <v>42160</v>
      </c>
      <c r="W154" s="13" t="str">
        <f>TEXT(Table1[[#This Row],[Order Date]],"mmmm")</f>
        <v>June</v>
      </c>
      <c r="X154" s="7" t="str">
        <f>TEXT(Table1[[#This Row],[Order Date]],"yyyy")</f>
        <v>2015</v>
      </c>
      <c r="Y154" s="12">
        <v>42165</v>
      </c>
      <c r="Z154" s="11">
        <v>144.2928</v>
      </c>
      <c r="AA154" s="11">
        <v>6</v>
      </c>
      <c r="AB154" s="11">
        <v>209.12</v>
      </c>
      <c r="AC154" s="11">
        <v>88942</v>
      </c>
      <c r="AD154" s="6" t="str">
        <f>IF(COUNTIF(Returns!$A$2:$A$1635,Orders!AC154)&gt;0,"Returned","Not Returned")</f>
        <v>Not Returned</v>
      </c>
    </row>
    <row r="155" spans="1:30" ht="14.25" thickTop="1" thickBot="1" x14ac:dyDescent="0.25">
      <c r="A155" s="8">
        <v>23060</v>
      </c>
      <c r="B155" s="1" t="s">
        <v>106</v>
      </c>
      <c r="C155" s="1">
        <v>0</v>
      </c>
      <c r="D155" s="1">
        <v>170.98</v>
      </c>
      <c r="E155" s="1">
        <v>13.99</v>
      </c>
      <c r="F155" s="1">
        <v>269</v>
      </c>
      <c r="G155" s="6" t="str">
        <f>IF(COUNTIF(Table1[Customer ID],Table1[[#This Row],[Customer ID]])&gt;1,"Repeat Customer","One-Time Customer")</f>
        <v>Repeat Customer</v>
      </c>
      <c r="H155" s="1" t="s">
        <v>381</v>
      </c>
      <c r="I155" s="1" t="s">
        <v>49</v>
      </c>
      <c r="J155" s="1" t="s">
        <v>40</v>
      </c>
      <c r="K155" s="1" t="s">
        <v>41</v>
      </c>
      <c r="L155" s="1" t="s">
        <v>50</v>
      </c>
      <c r="M155" s="1" t="s">
        <v>86</v>
      </c>
      <c r="N155" s="1" t="s">
        <v>383</v>
      </c>
      <c r="O155" s="1">
        <v>0.75</v>
      </c>
      <c r="P155" s="6">
        <f>Table1[[#This Row],[Profit]]/Table1[[#This Row],[Sales]]</f>
        <v>0.69</v>
      </c>
      <c r="Q155" s="1" t="s">
        <v>33</v>
      </c>
      <c r="R155" s="1" t="s">
        <v>34</v>
      </c>
      <c r="S155" s="1" t="s">
        <v>378</v>
      </c>
      <c r="T155" s="1" t="s">
        <v>382</v>
      </c>
      <c r="U155" s="1">
        <v>85234</v>
      </c>
      <c r="V155" s="9">
        <v>42160</v>
      </c>
      <c r="W155" s="13" t="str">
        <f>TEXT(Table1[[#This Row],[Order Date]],"mmmm")</f>
        <v>June</v>
      </c>
      <c r="X155" s="7" t="str">
        <f>TEXT(Table1[[#This Row],[Order Date]],"yyyy")</f>
        <v>2015</v>
      </c>
      <c r="Y155" s="9">
        <v>42167</v>
      </c>
      <c r="Z155" s="1">
        <v>888.14729999999997</v>
      </c>
      <c r="AA155" s="1">
        <v>7</v>
      </c>
      <c r="AB155" s="1">
        <v>1287.17</v>
      </c>
      <c r="AC155" s="1">
        <v>88942</v>
      </c>
      <c r="AD155" s="6" t="str">
        <f>IF(COUNTIF(Returns!$A$2:$A$1635,Orders!AC155)&gt;0,"Returned","Not Returned")</f>
        <v>Not Returned</v>
      </c>
    </row>
    <row r="156" spans="1:30" ht="14.25" thickTop="1" thickBot="1" x14ac:dyDescent="0.25">
      <c r="A156" s="10">
        <v>23061</v>
      </c>
      <c r="B156" s="11" t="s">
        <v>106</v>
      </c>
      <c r="C156" s="11">
        <v>0.09</v>
      </c>
      <c r="D156" s="11">
        <v>4.9800000000000004</v>
      </c>
      <c r="E156" s="11">
        <v>7.44</v>
      </c>
      <c r="F156" s="11">
        <v>269</v>
      </c>
      <c r="G156" s="6" t="str">
        <f>IF(COUNTIF(Table1[Customer ID],Table1[[#This Row],[Customer ID]])&gt;1,"Repeat Customer","One-Time Customer")</f>
        <v>Repeat Customer</v>
      </c>
      <c r="H156" s="11" t="s">
        <v>381</v>
      </c>
      <c r="I156" s="11" t="s">
        <v>49</v>
      </c>
      <c r="J156" s="11" t="s">
        <v>40</v>
      </c>
      <c r="K156" s="11" t="s">
        <v>29</v>
      </c>
      <c r="L156" s="11" t="s">
        <v>93</v>
      </c>
      <c r="M156" s="11" t="s">
        <v>59</v>
      </c>
      <c r="N156" s="11" t="s">
        <v>384</v>
      </c>
      <c r="O156" s="11">
        <v>0.36</v>
      </c>
      <c r="P156" s="6">
        <f>Table1[[#This Row],[Profit]]/Table1[[#This Row],[Sales]]</f>
        <v>-0.9964262508122157</v>
      </c>
      <c r="Q156" s="11" t="s">
        <v>33</v>
      </c>
      <c r="R156" s="11" t="s">
        <v>34</v>
      </c>
      <c r="S156" s="11" t="s">
        <v>378</v>
      </c>
      <c r="T156" s="11" t="s">
        <v>382</v>
      </c>
      <c r="U156" s="11">
        <v>85234</v>
      </c>
      <c r="V156" s="12">
        <v>42160</v>
      </c>
      <c r="W156" s="13" t="str">
        <f>TEXT(Table1[[#This Row],[Order Date]],"mmmm")</f>
        <v>June</v>
      </c>
      <c r="X156" s="7" t="str">
        <f>TEXT(Table1[[#This Row],[Order Date]],"yyyy")</f>
        <v>2015</v>
      </c>
      <c r="Y156" s="12">
        <v>42162</v>
      </c>
      <c r="Z156" s="11">
        <v>-46.005000000000003</v>
      </c>
      <c r="AA156" s="11">
        <v>9</v>
      </c>
      <c r="AB156" s="11">
        <v>46.17</v>
      </c>
      <c r="AC156" s="11">
        <v>88942</v>
      </c>
      <c r="AD156" s="6" t="str">
        <f>IF(COUNTIF(Returns!$A$2:$A$1635,Orders!AC156)&gt;0,"Returned","Not Returned")</f>
        <v>Not Returned</v>
      </c>
    </row>
    <row r="157" spans="1:30" ht="12.75" customHeight="1" thickTop="1" thickBot="1" x14ac:dyDescent="0.25">
      <c r="A157" s="8">
        <v>19515</v>
      </c>
      <c r="B157" s="1" t="s">
        <v>56</v>
      </c>
      <c r="C157" s="1">
        <v>0.1</v>
      </c>
      <c r="D157" s="1">
        <v>80.97</v>
      </c>
      <c r="E157" s="1">
        <v>30.06</v>
      </c>
      <c r="F157" s="1">
        <v>271</v>
      </c>
      <c r="G157" s="6" t="str">
        <f>IF(COUNTIF(Table1[Customer ID],Table1[[#This Row],[Customer ID]])&gt;1,"Repeat Customer","One-Time Customer")</f>
        <v>One-Time Customer</v>
      </c>
      <c r="H157" s="1" t="s">
        <v>385</v>
      </c>
      <c r="I157" s="1" t="s">
        <v>39</v>
      </c>
      <c r="J157" s="1" t="s">
        <v>58</v>
      </c>
      <c r="K157" s="1" t="s">
        <v>77</v>
      </c>
      <c r="L157" s="1" t="s">
        <v>85</v>
      </c>
      <c r="M157" s="1" t="s">
        <v>121</v>
      </c>
      <c r="N157" s="1" t="s">
        <v>386</v>
      </c>
      <c r="O157" s="1">
        <v>0.4</v>
      </c>
      <c r="P157" s="6">
        <f>Table1[[#This Row],[Profit]]/Table1[[#This Row],[Sales]]</f>
        <v>0.14228037030039675</v>
      </c>
      <c r="Q157" s="1" t="s">
        <v>33</v>
      </c>
      <c r="R157" s="1" t="s">
        <v>136</v>
      </c>
      <c r="S157" s="1" t="s">
        <v>387</v>
      </c>
      <c r="T157" s="1" t="s">
        <v>388</v>
      </c>
      <c r="U157" s="1">
        <v>30297</v>
      </c>
      <c r="V157" s="9">
        <v>42093</v>
      </c>
      <c r="W157" s="13" t="str">
        <f>TEXT(Table1[[#This Row],[Order Date]],"mmmm")</f>
        <v>March</v>
      </c>
      <c r="X157" s="7" t="str">
        <f>TEXT(Table1[[#This Row],[Order Date]],"yyyy")</f>
        <v>2015</v>
      </c>
      <c r="Y157" s="9">
        <v>42094</v>
      </c>
      <c r="Z157" s="1">
        <v>128.02529999999999</v>
      </c>
      <c r="AA157" s="1">
        <v>12</v>
      </c>
      <c r="AB157" s="1">
        <v>899.81</v>
      </c>
      <c r="AC157" s="1">
        <v>88940</v>
      </c>
      <c r="AD157" s="6" t="str">
        <f>IF(COUNTIF(Returns!$A$2:$A$1635,Orders!AC157)&gt;0,"Returned","Not Returned")</f>
        <v>Not Returned</v>
      </c>
    </row>
    <row r="158" spans="1:30" ht="12.75" customHeight="1" thickTop="1" thickBot="1" x14ac:dyDescent="0.25">
      <c r="A158" s="10">
        <v>770</v>
      </c>
      <c r="B158" s="11" t="s">
        <v>106</v>
      </c>
      <c r="C158" s="11">
        <v>0.02</v>
      </c>
      <c r="D158" s="11">
        <v>5.58</v>
      </c>
      <c r="E158" s="11">
        <v>5.3</v>
      </c>
      <c r="F158" s="11">
        <v>272</v>
      </c>
      <c r="G158" s="6" t="str">
        <f>IF(COUNTIF(Table1[Customer ID],Table1[[#This Row],[Customer ID]])&gt;1,"Repeat Customer","One-Time Customer")</f>
        <v>Repeat Customer</v>
      </c>
      <c r="H158" s="11" t="s">
        <v>389</v>
      </c>
      <c r="I158" s="11" t="s">
        <v>49</v>
      </c>
      <c r="J158" s="11" t="s">
        <v>40</v>
      </c>
      <c r="K158" s="11" t="s">
        <v>29</v>
      </c>
      <c r="L158" s="11" t="s">
        <v>69</v>
      </c>
      <c r="M158" s="11" t="s">
        <v>59</v>
      </c>
      <c r="N158" s="11" t="s">
        <v>377</v>
      </c>
      <c r="O158" s="11">
        <v>0.35</v>
      </c>
      <c r="P158" s="6">
        <f>Table1[[#This Row],[Profit]]/Table1[[#This Row],[Sales]]</f>
        <v>-0.43672801635991826</v>
      </c>
      <c r="Q158" s="11" t="s">
        <v>33</v>
      </c>
      <c r="R158" s="11" t="s">
        <v>136</v>
      </c>
      <c r="S158" s="11" t="s">
        <v>322</v>
      </c>
      <c r="T158" s="11" t="s">
        <v>390</v>
      </c>
      <c r="U158" s="11">
        <v>28204</v>
      </c>
      <c r="V158" s="12">
        <v>42101</v>
      </c>
      <c r="W158" s="13" t="str">
        <f>TEXT(Table1[[#This Row],[Order Date]],"mmmm")</f>
        <v>April</v>
      </c>
      <c r="X158" s="7" t="str">
        <f>TEXT(Table1[[#This Row],[Order Date]],"yyyy")</f>
        <v>2015</v>
      </c>
      <c r="Y158" s="12">
        <v>42106</v>
      </c>
      <c r="Z158" s="11">
        <v>-29.898400000000002</v>
      </c>
      <c r="AA158" s="11">
        <v>11</v>
      </c>
      <c r="AB158" s="11">
        <v>68.459999999999994</v>
      </c>
      <c r="AC158" s="11">
        <v>5509</v>
      </c>
      <c r="AD158" s="6" t="str">
        <f>IF(COUNTIF(Returns!$A$2:$A$1635,Orders!AC158)&gt;0,"Returned","Not Returned")</f>
        <v>Not Returned</v>
      </c>
    </row>
    <row r="159" spans="1:30" ht="12.75" customHeight="1" thickTop="1" thickBot="1" x14ac:dyDescent="0.25">
      <c r="A159" s="8">
        <v>771</v>
      </c>
      <c r="B159" s="1" t="s">
        <v>106</v>
      </c>
      <c r="C159" s="1">
        <v>0.03</v>
      </c>
      <c r="D159" s="1">
        <v>40.89</v>
      </c>
      <c r="E159" s="1">
        <v>18.98</v>
      </c>
      <c r="F159" s="1">
        <v>272</v>
      </c>
      <c r="G159" s="6" t="str">
        <f>IF(COUNTIF(Table1[Customer ID],Table1[[#This Row],[Customer ID]])&gt;1,"Repeat Customer","One-Time Customer")</f>
        <v>Repeat Customer</v>
      </c>
      <c r="H159" s="1" t="s">
        <v>389</v>
      </c>
      <c r="I159" s="1" t="s">
        <v>49</v>
      </c>
      <c r="J159" s="1" t="s">
        <v>40</v>
      </c>
      <c r="K159" s="1" t="s">
        <v>41</v>
      </c>
      <c r="L159" s="1" t="s">
        <v>50</v>
      </c>
      <c r="M159" s="1" t="s">
        <v>59</v>
      </c>
      <c r="N159" s="1" t="s">
        <v>380</v>
      </c>
      <c r="O159" s="1">
        <v>0.56999999999999995</v>
      </c>
      <c r="P159" s="6">
        <f>Table1[[#This Row],[Profit]]/Table1[[#This Row],[Sales]]</f>
        <v>5.9777233035482304E-2</v>
      </c>
      <c r="Q159" s="1" t="s">
        <v>33</v>
      </c>
      <c r="R159" s="1" t="s">
        <v>136</v>
      </c>
      <c r="S159" s="1" t="s">
        <v>322</v>
      </c>
      <c r="T159" s="1" t="s">
        <v>390</v>
      </c>
      <c r="U159" s="1">
        <v>28204</v>
      </c>
      <c r="V159" s="9">
        <v>42101</v>
      </c>
      <c r="W159" s="13" t="str">
        <f>TEXT(Table1[[#This Row],[Order Date]],"mmmm")</f>
        <v>April</v>
      </c>
      <c r="X159" s="7" t="str">
        <f>TEXT(Table1[[#This Row],[Order Date]],"yyyy")</f>
        <v>2015</v>
      </c>
      <c r="Y159" s="9">
        <v>42108</v>
      </c>
      <c r="Z159" s="1">
        <v>52.916600000000003</v>
      </c>
      <c r="AA159" s="1">
        <v>21</v>
      </c>
      <c r="AB159" s="1">
        <v>885.23</v>
      </c>
      <c r="AC159" s="1">
        <v>5509</v>
      </c>
      <c r="AD159" s="6" t="str">
        <f>IF(COUNTIF(Returns!$A$2:$A$1635,Orders!AC159)&gt;0,"Returned","Not Returned")</f>
        <v>Not Returned</v>
      </c>
    </row>
    <row r="160" spans="1:30" ht="12.75" customHeight="1" thickTop="1" thickBot="1" x14ac:dyDescent="0.25">
      <c r="A160" s="10">
        <v>5059</v>
      </c>
      <c r="B160" s="11" t="s">
        <v>106</v>
      </c>
      <c r="C160" s="11">
        <v>0.09</v>
      </c>
      <c r="D160" s="11">
        <v>35.94</v>
      </c>
      <c r="E160" s="11">
        <v>6.66</v>
      </c>
      <c r="F160" s="11">
        <v>272</v>
      </c>
      <c r="G160" s="6" t="str">
        <f>IF(COUNTIF(Table1[Customer ID],Table1[[#This Row],[Customer ID]])&gt;1,"Repeat Customer","One-Time Customer")</f>
        <v>Repeat Customer</v>
      </c>
      <c r="H160" s="11" t="s">
        <v>389</v>
      </c>
      <c r="I160" s="11" t="s">
        <v>49</v>
      </c>
      <c r="J160" s="11" t="s">
        <v>40</v>
      </c>
      <c r="K160" s="11" t="s">
        <v>29</v>
      </c>
      <c r="L160" s="11" t="s">
        <v>69</v>
      </c>
      <c r="M160" s="11" t="s">
        <v>59</v>
      </c>
      <c r="N160" s="11" t="s">
        <v>73</v>
      </c>
      <c r="O160" s="11">
        <v>0.4</v>
      </c>
      <c r="P160" s="6">
        <f>Table1[[#This Row],[Profit]]/Table1[[#This Row],[Sales]]</f>
        <v>8.6298133824285389E-2</v>
      </c>
      <c r="Q160" s="11" t="s">
        <v>33</v>
      </c>
      <c r="R160" s="11" t="s">
        <v>136</v>
      </c>
      <c r="S160" s="11" t="s">
        <v>322</v>
      </c>
      <c r="T160" s="11" t="s">
        <v>390</v>
      </c>
      <c r="U160" s="11">
        <v>28204</v>
      </c>
      <c r="V160" s="12">
        <v>42160</v>
      </c>
      <c r="W160" s="13" t="str">
        <f>TEXT(Table1[[#This Row],[Order Date]],"mmmm")</f>
        <v>June</v>
      </c>
      <c r="X160" s="7" t="str">
        <f>TEXT(Table1[[#This Row],[Order Date]],"yyyy")</f>
        <v>2015</v>
      </c>
      <c r="Y160" s="12">
        <v>42165</v>
      </c>
      <c r="Z160" s="11">
        <v>72.1858</v>
      </c>
      <c r="AA160" s="11">
        <v>24</v>
      </c>
      <c r="AB160" s="11">
        <v>836.47</v>
      </c>
      <c r="AC160" s="11">
        <v>36069</v>
      </c>
      <c r="AD160" s="6" t="str">
        <f>IF(COUNTIF(Returns!$A$2:$A$1635,Orders!AC160)&gt;0,"Returned","Not Returned")</f>
        <v>Not Returned</v>
      </c>
    </row>
    <row r="161" spans="1:30" ht="12.75" customHeight="1" thickTop="1" thickBot="1" x14ac:dyDescent="0.25">
      <c r="A161" s="8">
        <v>5061</v>
      </c>
      <c r="B161" s="1" t="s">
        <v>106</v>
      </c>
      <c r="C161" s="1">
        <v>0.09</v>
      </c>
      <c r="D161" s="1">
        <v>4.9800000000000004</v>
      </c>
      <c r="E161" s="1">
        <v>7.44</v>
      </c>
      <c r="F161" s="1">
        <v>272</v>
      </c>
      <c r="G161" s="6" t="str">
        <f>IF(COUNTIF(Table1[Customer ID],Table1[[#This Row],[Customer ID]])&gt;1,"Repeat Customer","One-Time Customer")</f>
        <v>Repeat Customer</v>
      </c>
      <c r="H161" s="1" t="s">
        <v>389</v>
      </c>
      <c r="I161" s="1" t="s">
        <v>49</v>
      </c>
      <c r="J161" s="1" t="s">
        <v>40</v>
      </c>
      <c r="K161" s="1" t="s">
        <v>29</v>
      </c>
      <c r="L161" s="1" t="s">
        <v>93</v>
      </c>
      <c r="M161" s="1" t="s">
        <v>59</v>
      </c>
      <c r="N161" s="1" t="s">
        <v>384</v>
      </c>
      <c r="O161" s="1">
        <v>0.36</v>
      </c>
      <c r="P161" s="6">
        <f>Table1[[#This Row],[Profit]]/Table1[[#This Row],[Sales]]</f>
        <v>-0.6446467892324711</v>
      </c>
      <c r="Q161" s="1" t="s">
        <v>33</v>
      </c>
      <c r="R161" s="1" t="s">
        <v>136</v>
      </c>
      <c r="S161" s="1" t="s">
        <v>322</v>
      </c>
      <c r="T161" s="1" t="s">
        <v>390</v>
      </c>
      <c r="U161" s="1">
        <v>28204</v>
      </c>
      <c r="V161" s="9">
        <v>42160</v>
      </c>
      <c r="W161" s="13" t="str">
        <f>TEXT(Table1[[#This Row],[Order Date]],"mmmm")</f>
        <v>June</v>
      </c>
      <c r="X161" s="7" t="str">
        <f>TEXT(Table1[[#This Row],[Order Date]],"yyyy")</f>
        <v>2015</v>
      </c>
      <c r="Y161" s="9">
        <v>42162</v>
      </c>
      <c r="Z161" s="1">
        <v>-122.3733</v>
      </c>
      <c r="AA161" s="1">
        <v>37</v>
      </c>
      <c r="AB161" s="1">
        <v>189.83</v>
      </c>
      <c r="AC161" s="1">
        <v>36069</v>
      </c>
      <c r="AD161" s="6" t="str">
        <f>IF(COUNTIF(Returns!$A$2:$A$1635,Orders!AC161)&gt;0,"Returned","Not Returned")</f>
        <v>Not Returned</v>
      </c>
    </row>
    <row r="162" spans="1:30" ht="12.75" customHeight="1" thickTop="1" thickBot="1" x14ac:dyDescent="0.25">
      <c r="A162" s="10">
        <v>22180</v>
      </c>
      <c r="B162" s="11" t="s">
        <v>37</v>
      </c>
      <c r="C162" s="11">
        <v>0.09</v>
      </c>
      <c r="D162" s="11">
        <v>15.28</v>
      </c>
      <c r="E162" s="11">
        <v>10.91</v>
      </c>
      <c r="F162" s="11">
        <v>275</v>
      </c>
      <c r="G162" s="6" t="str">
        <f>IF(COUNTIF(Table1[Customer ID],Table1[[#This Row],[Customer ID]])&gt;1,"Repeat Customer","One-Time Customer")</f>
        <v>One-Time Customer</v>
      </c>
      <c r="H162" s="11" t="s">
        <v>391</v>
      </c>
      <c r="I162" s="11" t="s">
        <v>49</v>
      </c>
      <c r="J162" s="11" t="s">
        <v>28</v>
      </c>
      <c r="K162" s="11" t="s">
        <v>29</v>
      </c>
      <c r="L162" s="11" t="s">
        <v>109</v>
      </c>
      <c r="M162" s="11" t="s">
        <v>59</v>
      </c>
      <c r="N162" s="11" t="s">
        <v>392</v>
      </c>
      <c r="O162" s="11">
        <v>0.36</v>
      </c>
      <c r="P162" s="6">
        <f>Table1[[#This Row],[Profit]]/Table1[[#This Row],[Sales]]</f>
        <v>-0.84118985695708703</v>
      </c>
      <c r="Q162" s="11" t="s">
        <v>33</v>
      </c>
      <c r="R162" s="11" t="s">
        <v>53</v>
      </c>
      <c r="S162" s="11" t="s">
        <v>228</v>
      </c>
      <c r="T162" s="11" t="s">
        <v>393</v>
      </c>
      <c r="U162" s="11">
        <v>6824</v>
      </c>
      <c r="V162" s="12">
        <v>42028</v>
      </c>
      <c r="W162" s="13" t="str">
        <f>TEXT(Table1[[#This Row],[Order Date]],"mmmm")</f>
        <v>January</v>
      </c>
      <c r="X162" s="7" t="str">
        <f>TEXT(Table1[[#This Row],[Order Date]],"yyyy")</f>
        <v>2015</v>
      </c>
      <c r="Y162" s="12">
        <v>42029</v>
      </c>
      <c r="Z162" s="11">
        <v>-51.75</v>
      </c>
      <c r="AA162" s="11">
        <v>4</v>
      </c>
      <c r="AB162" s="11">
        <v>61.52</v>
      </c>
      <c r="AC162" s="11">
        <v>89292</v>
      </c>
      <c r="AD162" s="6" t="str">
        <f>IF(COUNTIF(Returns!$A$2:$A$1635,Orders!AC162)&gt;0,"Returned","Not Returned")</f>
        <v>Not Returned</v>
      </c>
    </row>
    <row r="163" spans="1:30" ht="12.75" customHeight="1" thickTop="1" thickBot="1" x14ac:dyDescent="0.25">
      <c r="A163" s="8">
        <v>23504</v>
      </c>
      <c r="B163" s="1" t="s">
        <v>47</v>
      </c>
      <c r="C163" s="1">
        <v>0.04</v>
      </c>
      <c r="D163" s="1">
        <v>1.98</v>
      </c>
      <c r="E163" s="1">
        <v>0.7</v>
      </c>
      <c r="F163" s="1">
        <v>276</v>
      </c>
      <c r="G163" s="6" t="str">
        <f>IF(COUNTIF(Table1[Customer ID],Table1[[#This Row],[Customer ID]])&gt;1,"Repeat Customer","One-Time Customer")</f>
        <v>One-Time Customer</v>
      </c>
      <c r="H163" s="1" t="s">
        <v>394</v>
      </c>
      <c r="I163" s="1" t="s">
        <v>27</v>
      </c>
      <c r="J163" s="1" t="s">
        <v>28</v>
      </c>
      <c r="K163" s="1" t="s">
        <v>29</v>
      </c>
      <c r="L163" s="1" t="s">
        <v>66</v>
      </c>
      <c r="M163" s="1" t="s">
        <v>31</v>
      </c>
      <c r="N163" s="1" t="s">
        <v>395</v>
      </c>
      <c r="O163" s="1">
        <v>0.83</v>
      </c>
      <c r="P163" s="6">
        <f>Table1[[#This Row],[Profit]]/Table1[[#This Row],[Sales]]</f>
        <v>-0.12048192771084336</v>
      </c>
      <c r="Q163" s="1" t="s">
        <v>33</v>
      </c>
      <c r="R163" s="1" t="s">
        <v>53</v>
      </c>
      <c r="S163" s="1" t="s">
        <v>228</v>
      </c>
      <c r="T163" s="1" t="s">
        <v>396</v>
      </c>
      <c r="U163" s="1">
        <v>6111</v>
      </c>
      <c r="V163" s="9">
        <v>42145</v>
      </c>
      <c r="W163" s="13" t="str">
        <f>TEXT(Table1[[#This Row],[Order Date]],"mmmm")</f>
        <v>May</v>
      </c>
      <c r="X163" s="7" t="str">
        <f>TEXT(Table1[[#This Row],[Order Date]],"yyyy")</f>
        <v>2015</v>
      </c>
      <c r="Y163" s="9">
        <v>42146</v>
      </c>
      <c r="Z163" s="1">
        <v>-1</v>
      </c>
      <c r="AA163" s="1">
        <v>3</v>
      </c>
      <c r="AB163" s="1">
        <v>8.3000000000000007</v>
      </c>
      <c r="AC163" s="1">
        <v>89291</v>
      </c>
      <c r="AD163" s="6" t="str">
        <f>IF(COUNTIF(Returns!$A$2:$A$1635,Orders!AC163)&gt;0,"Returned","Not Returned")</f>
        <v>Not Returned</v>
      </c>
    </row>
    <row r="164" spans="1:30" ht="12.75" customHeight="1" thickTop="1" thickBot="1" x14ac:dyDescent="0.25">
      <c r="A164" s="10">
        <v>23503</v>
      </c>
      <c r="B164" s="11" t="s">
        <v>47</v>
      </c>
      <c r="C164" s="11">
        <v>0.03</v>
      </c>
      <c r="D164" s="11">
        <v>55.99</v>
      </c>
      <c r="E164" s="11">
        <v>5</v>
      </c>
      <c r="F164" s="11">
        <v>282</v>
      </c>
      <c r="G164" s="6" t="str">
        <f>IF(COUNTIF(Table1[Customer ID],Table1[[#This Row],[Customer ID]])&gt;1,"Repeat Customer","One-Time Customer")</f>
        <v>One-Time Customer</v>
      </c>
      <c r="H164" s="11" t="s">
        <v>397</v>
      </c>
      <c r="I164" s="11" t="s">
        <v>49</v>
      </c>
      <c r="J164" s="11" t="s">
        <v>28</v>
      </c>
      <c r="K164" s="11" t="s">
        <v>77</v>
      </c>
      <c r="L164" s="11" t="s">
        <v>78</v>
      </c>
      <c r="M164" s="11" t="s">
        <v>51</v>
      </c>
      <c r="N164" s="11" t="s">
        <v>398</v>
      </c>
      <c r="O164" s="11">
        <v>0.83</v>
      </c>
      <c r="P164" s="6">
        <f>Table1[[#This Row],[Profit]]/Table1[[#This Row],[Sales]]</f>
        <v>-0.5306487588439861</v>
      </c>
      <c r="Q164" s="11" t="s">
        <v>33</v>
      </c>
      <c r="R164" s="11" t="s">
        <v>53</v>
      </c>
      <c r="S164" s="11" t="s">
        <v>54</v>
      </c>
      <c r="T164" s="11" t="s">
        <v>399</v>
      </c>
      <c r="U164" s="11">
        <v>7109</v>
      </c>
      <c r="V164" s="12">
        <v>42145</v>
      </c>
      <c r="W164" s="13" t="str">
        <f>TEXT(Table1[[#This Row],[Order Date]],"mmmm")</f>
        <v>May</v>
      </c>
      <c r="X164" s="7" t="str">
        <f>TEXT(Table1[[#This Row],[Order Date]],"yyyy")</f>
        <v>2015</v>
      </c>
      <c r="Y164" s="12">
        <v>42146</v>
      </c>
      <c r="Z164" s="11">
        <v>-221.25399999999999</v>
      </c>
      <c r="AA164" s="11">
        <v>9</v>
      </c>
      <c r="AB164" s="11">
        <v>416.95</v>
      </c>
      <c r="AC164" s="11">
        <v>89291</v>
      </c>
      <c r="AD164" s="6" t="str">
        <f>IF(COUNTIF(Returns!$A$2:$A$1635,Orders!AC164)&gt;0,"Returned","Not Returned")</f>
        <v>Not Returned</v>
      </c>
    </row>
    <row r="165" spans="1:30" ht="12.75" customHeight="1" thickTop="1" thickBot="1" x14ac:dyDescent="0.25">
      <c r="A165" s="8">
        <v>24512</v>
      </c>
      <c r="B165" s="1" t="s">
        <v>25</v>
      </c>
      <c r="C165" s="1">
        <v>0.1</v>
      </c>
      <c r="D165" s="1">
        <v>1.68</v>
      </c>
      <c r="E165" s="1">
        <v>1.57</v>
      </c>
      <c r="F165" s="1">
        <v>283</v>
      </c>
      <c r="G165" s="6" t="str">
        <f>IF(COUNTIF(Table1[Customer ID],Table1[[#This Row],[Customer ID]])&gt;1,"Repeat Customer","One-Time Customer")</f>
        <v>One-Time Customer</v>
      </c>
      <c r="H165" s="1" t="s">
        <v>400</v>
      </c>
      <c r="I165" s="1" t="s">
        <v>49</v>
      </c>
      <c r="J165" s="1" t="s">
        <v>28</v>
      </c>
      <c r="K165" s="1" t="s">
        <v>29</v>
      </c>
      <c r="L165" s="1" t="s">
        <v>30</v>
      </c>
      <c r="M165" s="1" t="s">
        <v>31</v>
      </c>
      <c r="N165" s="1" t="s">
        <v>96</v>
      </c>
      <c r="O165" s="1">
        <v>0.59</v>
      </c>
      <c r="P165" s="6">
        <f>Table1[[#This Row],[Profit]]/Table1[[#This Row],[Sales]]</f>
        <v>-0.61838588989845</v>
      </c>
      <c r="Q165" s="1" t="s">
        <v>33</v>
      </c>
      <c r="R165" s="1" t="s">
        <v>53</v>
      </c>
      <c r="S165" s="1" t="s">
        <v>54</v>
      </c>
      <c r="T165" s="1" t="s">
        <v>401</v>
      </c>
      <c r="U165" s="1">
        <v>7101</v>
      </c>
      <c r="V165" s="9">
        <v>42172</v>
      </c>
      <c r="W165" s="13" t="str">
        <f>TEXT(Table1[[#This Row],[Order Date]],"mmmm")</f>
        <v>June</v>
      </c>
      <c r="X165" s="7" t="str">
        <f>TEXT(Table1[[#This Row],[Order Date]],"yyyy")</f>
        <v>2015</v>
      </c>
      <c r="Y165" s="9">
        <v>42173</v>
      </c>
      <c r="Z165" s="1">
        <v>-11.57</v>
      </c>
      <c r="AA165" s="1">
        <v>11</v>
      </c>
      <c r="AB165" s="1">
        <v>18.71</v>
      </c>
      <c r="AC165" s="1">
        <v>89293</v>
      </c>
      <c r="AD165" s="6" t="str">
        <f>IF(COUNTIF(Returns!$A$2:$A$1635,Orders!AC165)&gt;0,"Returned","Not Returned")</f>
        <v>Not Returned</v>
      </c>
    </row>
    <row r="166" spans="1:30" ht="12.75" customHeight="1" thickTop="1" thickBot="1" x14ac:dyDescent="0.25">
      <c r="A166" s="10">
        <v>19168</v>
      </c>
      <c r="B166" s="11" t="s">
        <v>106</v>
      </c>
      <c r="C166" s="11">
        <v>0</v>
      </c>
      <c r="D166" s="11">
        <v>4.13</v>
      </c>
      <c r="E166" s="11">
        <v>5.34</v>
      </c>
      <c r="F166" s="11">
        <v>286</v>
      </c>
      <c r="G166" s="6" t="str">
        <f>IF(COUNTIF(Table1[Customer ID],Table1[[#This Row],[Customer ID]])&gt;1,"Repeat Customer","One-Time Customer")</f>
        <v>Repeat Customer</v>
      </c>
      <c r="H166" s="11" t="s">
        <v>402</v>
      </c>
      <c r="I166" s="11" t="s">
        <v>49</v>
      </c>
      <c r="J166" s="11" t="s">
        <v>58</v>
      </c>
      <c r="K166" s="11" t="s">
        <v>29</v>
      </c>
      <c r="L166" s="11" t="s">
        <v>109</v>
      </c>
      <c r="M166" s="11" t="s">
        <v>59</v>
      </c>
      <c r="N166" s="11" t="s">
        <v>403</v>
      </c>
      <c r="O166" s="11">
        <v>0.38</v>
      </c>
      <c r="P166" s="6">
        <f>Table1[[#This Row],[Profit]]/Table1[[#This Row],[Sales]]</f>
        <v>-1.5108669108669108</v>
      </c>
      <c r="Q166" s="11" t="s">
        <v>33</v>
      </c>
      <c r="R166" s="11" t="s">
        <v>61</v>
      </c>
      <c r="S166" s="11" t="s">
        <v>183</v>
      </c>
      <c r="T166" s="11" t="s">
        <v>404</v>
      </c>
      <c r="U166" s="11">
        <v>66203</v>
      </c>
      <c r="V166" s="12">
        <v>42172</v>
      </c>
      <c r="W166" s="13" t="str">
        <f>TEXT(Table1[[#This Row],[Order Date]],"mmmm")</f>
        <v>June</v>
      </c>
      <c r="X166" s="7" t="str">
        <f>TEXT(Table1[[#This Row],[Order Date]],"yyyy")</f>
        <v>2015</v>
      </c>
      <c r="Y166" s="12">
        <v>42176</v>
      </c>
      <c r="Z166" s="11">
        <v>-61.870000000000005</v>
      </c>
      <c r="AA166" s="11">
        <v>9</v>
      </c>
      <c r="AB166" s="11">
        <v>40.950000000000003</v>
      </c>
      <c r="AC166" s="11">
        <v>89761</v>
      </c>
      <c r="AD166" s="6" t="str">
        <f>IF(COUNTIF(Returns!$A$2:$A$1635,Orders!AC166)&gt;0,"Returned","Not Returned")</f>
        <v>Not Returned</v>
      </c>
    </row>
    <row r="167" spans="1:30" ht="12.75" customHeight="1" thickTop="1" thickBot="1" x14ac:dyDescent="0.25">
      <c r="A167" s="8">
        <v>19169</v>
      </c>
      <c r="B167" s="1" t="s">
        <v>106</v>
      </c>
      <c r="C167" s="1">
        <v>0.1</v>
      </c>
      <c r="D167" s="1">
        <v>130.97999999999999</v>
      </c>
      <c r="E167" s="1">
        <v>54.74</v>
      </c>
      <c r="F167" s="1">
        <v>286</v>
      </c>
      <c r="G167" s="6" t="str">
        <f>IF(COUNTIF(Table1[Customer ID],Table1[[#This Row],[Customer ID]])&gt;1,"Repeat Customer","One-Time Customer")</f>
        <v>Repeat Customer</v>
      </c>
      <c r="H167" s="1" t="s">
        <v>402</v>
      </c>
      <c r="I167" s="1" t="s">
        <v>39</v>
      </c>
      <c r="J167" s="1" t="s">
        <v>58</v>
      </c>
      <c r="K167" s="1" t="s">
        <v>41</v>
      </c>
      <c r="L167" s="1" t="s">
        <v>191</v>
      </c>
      <c r="M167" s="1" t="s">
        <v>121</v>
      </c>
      <c r="N167" s="1" t="s">
        <v>405</v>
      </c>
      <c r="O167" s="1">
        <v>0.69</v>
      </c>
      <c r="P167" s="6">
        <f>Table1[[#This Row],[Profit]]/Table1[[#This Row],[Sales]]</f>
        <v>-0.45879227847334586</v>
      </c>
      <c r="Q167" s="1" t="s">
        <v>33</v>
      </c>
      <c r="R167" s="1" t="s">
        <v>61</v>
      </c>
      <c r="S167" s="1" t="s">
        <v>183</v>
      </c>
      <c r="T167" s="1" t="s">
        <v>404</v>
      </c>
      <c r="U167" s="1">
        <v>66203</v>
      </c>
      <c r="V167" s="9">
        <v>42172</v>
      </c>
      <c r="W167" s="13" t="str">
        <f>TEXT(Table1[[#This Row],[Order Date]],"mmmm")</f>
        <v>June</v>
      </c>
      <c r="X167" s="7" t="str">
        <f>TEXT(Table1[[#This Row],[Order Date]],"yyyy")</f>
        <v>2015</v>
      </c>
      <c r="Y167" s="9">
        <v>42176</v>
      </c>
      <c r="Z167" s="1">
        <v>-530.24</v>
      </c>
      <c r="AA167" s="1">
        <v>9</v>
      </c>
      <c r="AB167" s="1">
        <v>1155.73</v>
      </c>
      <c r="AC167" s="1">
        <v>89761</v>
      </c>
      <c r="AD167" s="6" t="str">
        <f>IF(COUNTIF(Returns!$A$2:$A$1635,Orders!AC167)&gt;0,"Returned","Not Returned")</f>
        <v>Not Returned</v>
      </c>
    </row>
    <row r="168" spans="1:30" ht="12.75" customHeight="1" thickTop="1" thickBot="1" x14ac:dyDescent="0.25">
      <c r="A168" s="10">
        <v>25624</v>
      </c>
      <c r="B168" s="11" t="s">
        <v>47</v>
      </c>
      <c r="C168" s="11">
        <v>0.09</v>
      </c>
      <c r="D168" s="11">
        <v>28.48</v>
      </c>
      <c r="E168" s="11">
        <v>1.99</v>
      </c>
      <c r="F168" s="11">
        <v>288</v>
      </c>
      <c r="G168" s="6" t="str">
        <f>IF(COUNTIF(Table1[Customer ID],Table1[[#This Row],[Customer ID]])&gt;1,"Repeat Customer","One-Time Customer")</f>
        <v>Repeat Customer</v>
      </c>
      <c r="H168" s="11" t="s">
        <v>406</v>
      </c>
      <c r="I168" s="11" t="s">
        <v>49</v>
      </c>
      <c r="J168" s="11" t="s">
        <v>58</v>
      </c>
      <c r="K168" s="11" t="s">
        <v>77</v>
      </c>
      <c r="L168" s="11" t="s">
        <v>180</v>
      </c>
      <c r="M168" s="11" t="s">
        <v>51</v>
      </c>
      <c r="N168" s="11" t="s">
        <v>407</v>
      </c>
      <c r="O168" s="11">
        <v>0.4</v>
      </c>
      <c r="P168" s="6">
        <f>Table1[[#This Row],[Profit]]/Table1[[#This Row],[Sales]]</f>
        <v>0.68999999999999984</v>
      </c>
      <c r="Q168" s="11" t="s">
        <v>33</v>
      </c>
      <c r="R168" s="11" t="s">
        <v>61</v>
      </c>
      <c r="S168" s="11" t="s">
        <v>183</v>
      </c>
      <c r="T168" s="11" t="s">
        <v>408</v>
      </c>
      <c r="U168" s="11">
        <v>67212</v>
      </c>
      <c r="V168" s="12">
        <v>42020</v>
      </c>
      <c r="W168" s="13" t="str">
        <f>TEXT(Table1[[#This Row],[Order Date]],"mmmm")</f>
        <v>January</v>
      </c>
      <c r="X168" s="7" t="str">
        <f>TEXT(Table1[[#This Row],[Order Date]],"yyyy")</f>
        <v>2015</v>
      </c>
      <c r="Y168" s="12">
        <v>42023</v>
      </c>
      <c r="Z168" s="11">
        <v>132.68699999999998</v>
      </c>
      <c r="AA168" s="11">
        <v>7</v>
      </c>
      <c r="AB168" s="11">
        <v>192.3</v>
      </c>
      <c r="AC168" s="11">
        <v>89762</v>
      </c>
      <c r="AD168" s="6" t="str">
        <f>IF(COUNTIF(Returns!$A$2:$A$1635,Orders!AC168)&gt;0,"Returned","Not Returned")</f>
        <v>Not Returned</v>
      </c>
    </row>
    <row r="169" spans="1:30" ht="12.75" customHeight="1" thickTop="1" thickBot="1" x14ac:dyDescent="0.25">
      <c r="A169" s="8">
        <v>25625</v>
      </c>
      <c r="B169" s="1" t="s">
        <v>47</v>
      </c>
      <c r="C169" s="1">
        <v>0.08</v>
      </c>
      <c r="D169" s="1">
        <v>65.989999999999995</v>
      </c>
      <c r="E169" s="1">
        <v>4.99</v>
      </c>
      <c r="F169" s="1">
        <v>288</v>
      </c>
      <c r="G169" s="6" t="str">
        <f>IF(COUNTIF(Table1[Customer ID],Table1[[#This Row],[Customer ID]])&gt;1,"Repeat Customer","One-Time Customer")</f>
        <v>Repeat Customer</v>
      </c>
      <c r="H169" s="1" t="s">
        <v>406</v>
      </c>
      <c r="I169" s="1" t="s">
        <v>27</v>
      </c>
      <c r="J169" s="1" t="s">
        <v>58</v>
      </c>
      <c r="K169" s="1" t="s">
        <v>77</v>
      </c>
      <c r="L169" s="1" t="s">
        <v>78</v>
      </c>
      <c r="M169" s="1" t="s">
        <v>59</v>
      </c>
      <c r="N169" s="1" t="s">
        <v>409</v>
      </c>
      <c r="O169" s="1">
        <v>0.57999999999999996</v>
      </c>
      <c r="P169" s="6">
        <f>Table1[[#This Row],[Profit]]/Table1[[#This Row],[Sales]]</f>
        <v>0.66420264670498597</v>
      </c>
      <c r="Q169" s="1" t="s">
        <v>33</v>
      </c>
      <c r="R169" s="1" t="s">
        <v>61</v>
      </c>
      <c r="S169" s="1" t="s">
        <v>183</v>
      </c>
      <c r="T169" s="1" t="s">
        <v>408</v>
      </c>
      <c r="U169" s="1">
        <v>67212</v>
      </c>
      <c r="V169" s="9">
        <v>42020</v>
      </c>
      <c r="W169" s="13" t="str">
        <f>TEXT(Table1[[#This Row],[Order Date]],"mmmm")</f>
        <v>January</v>
      </c>
      <c r="X169" s="7" t="str">
        <f>TEXT(Table1[[#This Row],[Order Date]],"yyyy")</f>
        <v>2015</v>
      </c>
      <c r="Y169" s="9">
        <v>42022</v>
      </c>
      <c r="Z169" s="1">
        <v>496.89</v>
      </c>
      <c r="AA169" s="1">
        <v>14</v>
      </c>
      <c r="AB169" s="1">
        <v>748.1</v>
      </c>
      <c r="AC169" s="1">
        <v>89762</v>
      </c>
      <c r="AD169" s="6" t="str">
        <f>IF(COUNTIF(Returns!$A$2:$A$1635,Orders!AC169)&gt;0,"Returned","Not Returned")</f>
        <v>Not Returned</v>
      </c>
    </row>
    <row r="170" spans="1:30" ht="12.75" customHeight="1" thickTop="1" thickBot="1" x14ac:dyDescent="0.25">
      <c r="A170" s="10">
        <v>21223</v>
      </c>
      <c r="B170" s="11" t="s">
        <v>37</v>
      </c>
      <c r="C170" s="11">
        <v>0.04</v>
      </c>
      <c r="D170" s="11">
        <v>4.9800000000000004</v>
      </c>
      <c r="E170" s="11">
        <v>4.62</v>
      </c>
      <c r="F170" s="11">
        <v>290</v>
      </c>
      <c r="G170" s="6" t="str">
        <f>IF(COUNTIF(Table1[Customer ID],Table1[[#This Row],[Customer ID]])&gt;1,"Repeat Customer","One-Time Customer")</f>
        <v>One-Time Customer</v>
      </c>
      <c r="H170" s="11" t="s">
        <v>410</v>
      </c>
      <c r="I170" s="11" t="s">
        <v>49</v>
      </c>
      <c r="J170" s="11" t="s">
        <v>58</v>
      </c>
      <c r="K170" s="11" t="s">
        <v>77</v>
      </c>
      <c r="L170" s="11" t="s">
        <v>180</v>
      </c>
      <c r="M170" s="11" t="s">
        <v>51</v>
      </c>
      <c r="N170" s="11" t="s">
        <v>411</v>
      </c>
      <c r="O170" s="11">
        <v>0.64</v>
      </c>
      <c r="P170" s="6">
        <f>Table1[[#This Row],[Profit]]/Table1[[#This Row],[Sales]]</f>
        <v>-1.3181197581431636</v>
      </c>
      <c r="Q170" s="11" t="s">
        <v>33</v>
      </c>
      <c r="R170" s="11" t="s">
        <v>34</v>
      </c>
      <c r="S170" s="11" t="s">
        <v>255</v>
      </c>
      <c r="T170" s="11" t="s">
        <v>412</v>
      </c>
      <c r="U170" s="11">
        <v>80538</v>
      </c>
      <c r="V170" s="12">
        <v>42088</v>
      </c>
      <c r="W170" s="13" t="str">
        <f>TEXT(Table1[[#This Row],[Order Date]],"mmmm")</f>
        <v>March</v>
      </c>
      <c r="X170" s="7" t="str">
        <f>TEXT(Table1[[#This Row],[Order Date]],"yyyy")</f>
        <v>2015</v>
      </c>
      <c r="Y170" s="12">
        <v>42089</v>
      </c>
      <c r="Z170" s="11">
        <v>-135.16</v>
      </c>
      <c r="AA170" s="11">
        <v>20</v>
      </c>
      <c r="AB170" s="11">
        <v>102.54</v>
      </c>
      <c r="AC170" s="11">
        <v>90837</v>
      </c>
      <c r="AD170" s="6" t="str">
        <f>IF(COUNTIF(Returns!$A$2:$A$1635,Orders!AC170)&gt;0,"Returned","Not Returned")</f>
        <v>Not Returned</v>
      </c>
    </row>
    <row r="171" spans="1:30" ht="12.75" customHeight="1" thickTop="1" thickBot="1" x14ac:dyDescent="0.25">
      <c r="A171" s="8">
        <v>23302</v>
      </c>
      <c r="B171" s="1" t="s">
        <v>25</v>
      </c>
      <c r="C171" s="1">
        <v>0.01</v>
      </c>
      <c r="D171" s="1">
        <v>8.33</v>
      </c>
      <c r="E171" s="1">
        <v>1.99</v>
      </c>
      <c r="F171" s="1">
        <v>306</v>
      </c>
      <c r="G171" s="6" t="str">
        <f>IF(COUNTIF(Table1[Customer ID],Table1[[#This Row],[Customer ID]])&gt;1,"Repeat Customer","One-Time Customer")</f>
        <v>Repeat Customer</v>
      </c>
      <c r="H171" s="1" t="s">
        <v>413</v>
      </c>
      <c r="I171" s="1" t="s">
        <v>49</v>
      </c>
      <c r="J171" s="1" t="s">
        <v>58</v>
      </c>
      <c r="K171" s="1" t="s">
        <v>77</v>
      </c>
      <c r="L171" s="1" t="s">
        <v>180</v>
      </c>
      <c r="M171" s="1" t="s">
        <v>51</v>
      </c>
      <c r="N171" s="1" t="s">
        <v>414</v>
      </c>
      <c r="O171" s="1">
        <v>0.52</v>
      </c>
      <c r="P171" s="6">
        <f>Table1[[#This Row],[Profit]]/Table1[[#This Row],[Sales]]</f>
        <v>0.2265564424173318</v>
      </c>
      <c r="Q171" s="1" t="s">
        <v>33</v>
      </c>
      <c r="R171" s="1" t="s">
        <v>53</v>
      </c>
      <c r="S171" s="1" t="s">
        <v>415</v>
      </c>
      <c r="T171" s="1" t="s">
        <v>416</v>
      </c>
      <c r="U171" s="1">
        <v>21208</v>
      </c>
      <c r="V171" s="9">
        <v>42049</v>
      </c>
      <c r="W171" s="13" t="str">
        <f>TEXT(Table1[[#This Row],[Order Date]],"mmmm")</f>
        <v>February</v>
      </c>
      <c r="X171" s="7" t="str">
        <f>TEXT(Table1[[#This Row],[Order Date]],"yyyy")</f>
        <v>2015</v>
      </c>
      <c r="Y171" s="9">
        <v>42050</v>
      </c>
      <c r="Z171" s="1">
        <v>15.895199999999999</v>
      </c>
      <c r="AA171" s="1">
        <v>8</v>
      </c>
      <c r="AB171" s="1">
        <v>70.16</v>
      </c>
      <c r="AC171" s="1">
        <v>87057</v>
      </c>
      <c r="AD171" s="6" t="str">
        <f>IF(COUNTIF(Returns!$A$2:$A$1635,Orders!AC171)&gt;0,"Returned","Not Returned")</f>
        <v>Not Returned</v>
      </c>
    </row>
    <row r="172" spans="1:30" ht="12.75" customHeight="1" thickTop="1" thickBot="1" x14ac:dyDescent="0.25">
      <c r="A172" s="10">
        <v>23303</v>
      </c>
      <c r="B172" s="11" t="s">
        <v>25</v>
      </c>
      <c r="C172" s="11">
        <v>0.04</v>
      </c>
      <c r="D172" s="11">
        <v>85.99</v>
      </c>
      <c r="E172" s="11">
        <v>0.99</v>
      </c>
      <c r="F172" s="11">
        <v>306</v>
      </c>
      <c r="G172" s="6" t="str">
        <f>IF(COUNTIF(Table1[Customer ID],Table1[[#This Row],[Customer ID]])&gt;1,"Repeat Customer","One-Time Customer")</f>
        <v>Repeat Customer</v>
      </c>
      <c r="H172" s="11" t="s">
        <v>413</v>
      </c>
      <c r="I172" s="11" t="s">
        <v>49</v>
      </c>
      <c r="J172" s="11" t="s">
        <v>58</v>
      </c>
      <c r="K172" s="11" t="s">
        <v>77</v>
      </c>
      <c r="L172" s="11" t="s">
        <v>78</v>
      </c>
      <c r="M172" s="11" t="s">
        <v>31</v>
      </c>
      <c r="N172" s="11" t="s">
        <v>417</v>
      </c>
      <c r="O172" s="11">
        <v>0.55000000000000004</v>
      </c>
      <c r="P172" s="6">
        <f>Table1[[#This Row],[Profit]]/Table1[[#This Row],[Sales]]</f>
        <v>0.69</v>
      </c>
      <c r="Q172" s="11" t="s">
        <v>33</v>
      </c>
      <c r="R172" s="11" t="s">
        <v>53</v>
      </c>
      <c r="S172" s="11" t="s">
        <v>415</v>
      </c>
      <c r="T172" s="11" t="s">
        <v>416</v>
      </c>
      <c r="U172" s="11">
        <v>21208</v>
      </c>
      <c r="V172" s="12">
        <v>42049</v>
      </c>
      <c r="W172" s="13" t="str">
        <f>TEXT(Table1[[#This Row],[Order Date]],"mmmm")</f>
        <v>February</v>
      </c>
      <c r="X172" s="7" t="str">
        <f>TEXT(Table1[[#This Row],[Order Date]],"yyyy")</f>
        <v>2015</v>
      </c>
      <c r="Y172" s="12">
        <v>42051</v>
      </c>
      <c r="Z172" s="11">
        <v>855.99329999999986</v>
      </c>
      <c r="AA172" s="11">
        <v>17</v>
      </c>
      <c r="AB172" s="11">
        <v>1240.57</v>
      </c>
      <c r="AC172" s="11">
        <v>87057</v>
      </c>
      <c r="AD172" s="6" t="str">
        <f>IF(COUNTIF(Returns!$A$2:$A$1635,Orders!AC172)&gt;0,"Returned","Not Returned")</f>
        <v>Not Returned</v>
      </c>
    </row>
    <row r="173" spans="1:30" ht="12.75" customHeight="1" thickTop="1" thickBot="1" x14ac:dyDescent="0.25">
      <c r="A173" s="8">
        <v>5302</v>
      </c>
      <c r="B173" s="1" t="s">
        <v>25</v>
      </c>
      <c r="C173" s="1">
        <v>0.01</v>
      </c>
      <c r="D173" s="1">
        <v>8.33</v>
      </c>
      <c r="E173" s="1">
        <v>1.99</v>
      </c>
      <c r="F173" s="1">
        <v>308</v>
      </c>
      <c r="G173" s="6" t="str">
        <f>IF(COUNTIF(Table1[Customer ID],Table1[[#This Row],[Customer ID]])&gt;1,"Repeat Customer","One-Time Customer")</f>
        <v>One-Time Customer</v>
      </c>
      <c r="H173" s="1" t="s">
        <v>418</v>
      </c>
      <c r="I173" s="1" t="s">
        <v>49</v>
      </c>
      <c r="J173" s="1" t="s">
        <v>58</v>
      </c>
      <c r="K173" s="1" t="s">
        <v>77</v>
      </c>
      <c r="L173" s="1" t="s">
        <v>180</v>
      </c>
      <c r="M173" s="1" t="s">
        <v>51</v>
      </c>
      <c r="N173" s="1" t="s">
        <v>414</v>
      </c>
      <c r="O173" s="1">
        <v>0.52</v>
      </c>
      <c r="P173" s="6">
        <f>Table1[[#This Row],[Profit]]/Table1[[#This Row],[Sales]]</f>
        <v>3.8272396835578364E-2</v>
      </c>
      <c r="Q173" s="1" t="s">
        <v>33</v>
      </c>
      <c r="R173" s="1" t="s">
        <v>34</v>
      </c>
      <c r="S173" s="1" t="s">
        <v>35</v>
      </c>
      <c r="T173" s="1" t="s">
        <v>209</v>
      </c>
      <c r="U173" s="1">
        <v>98115</v>
      </c>
      <c r="V173" s="9">
        <v>42049</v>
      </c>
      <c r="W173" s="13" t="str">
        <f>TEXT(Table1[[#This Row],[Order Date]],"mmmm")</f>
        <v>February</v>
      </c>
      <c r="X173" s="7" t="str">
        <f>TEXT(Table1[[#This Row],[Order Date]],"yyyy")</f>
        <v>2015</v>
      </c>
      <c r="Y173" s="9">
        <v>42050</v>
      </c>
      <c r="Z173" s="1">
        <v>10.74</v>
      </c>
      <c r="AA173" s="1">
        <v>32</v>
      </c>
      <c r="AB173" s="1">
        <v>280.62</v>
      </c>
      <c r="AC173" s="1">
        <v>37760</v>
      </c>
      <c r="AD173" s="6" t="str">
        <f>IF(COUNTIF(Returns!$A$2:$A$1635,Orders!AC173)&gt;0,"Returned","Not Returned")</f>
        <v>Returned</v>
      </c>
    </row>
    <row r="174" spans="1:30" ht="12.75" customHeight="1" thickTop="1" thickBot="1" x14ac:dyDescent="0.25">
      <c r="A174" s="10">
        <v>18853</v>
      </c>
      <c r="B174" s="11" t="s">
        <v>56</v>
      </c>
      <c r="C174" s="11">
        <v>0.04</v>
      </c>
      <c r="D174" s="11">
        <v>1637.53</v>
      </c>
      <c r="E174" s="11">
        <v>24.49</v>
      </c>
      <c r="F174" s="11">
        <v>314</v>
      </c>
      <c r="G174" s="6" t="str">
        <f>IF(COUNTIF(Table1[Customer ID],Table1[[#This Row],[Customer ID]])&gt;1,"Repeat Customer","One-Time Customer")</f>
        <v>One-Time Customer</v>
      </c>
      <c r="H174" s="11" t="s">
        <v>419</v>
      </c>
      <c r="I174" s="11" t="s">
        <v>49</v>
      </c>
      <c r="J174" s="11" t="s">
        <v>28</v>
      </c>
      <c r="K174" s="11" t="s">
        <v>29</v>
      </c>
      <c r="L174" s="11" t="s">
        <v>174</v>
      </c>
      <c r="M174" s="11" t="s">
        <v>86</v>
      </c>
      <c r="N174" s="11" t="s">
        <v>420</v>
      </c>
      <c r="O174" s="11">
        <v>0.81</v>
      </c>
      <c r="P174" s="6">
        <f>Table1[[#This Row],[Profit]]/Table1[[#This Row],[Sales]]</f>
        <v>-0.54867880284632697</v>
      </c>
      <c r="Q174" s="11" t="s">
        <v>33</v>
      </c>
      <c r="R174" s="11" t="s">
        <v>61</v>
      </c>
      <c r="S174" s="11" t="s">
        <v>178</v>
      </c>
      <c r="T174" s="11" t="s">
        <v>388</v>
      </c>
      <c r="U174" s="11">
        <v>60130</v>
      </c>
      <c r="V174" s="12">
        <v>42083</v>
      </c>
      <c r="W174" s="13" t="str">
        <f>TEXT(Table1[[#This Row],[Order Date]],"mmmm")</f>
        <v>March</v>
      </c>
      <c r="X174" s="7" t="str">
        <f>TEXT(Table1[[#This Row],[Order Date]],"yyyy")</f>
        <v>2015</v>
      </c>
      <c r="Y174" s="12">
        <v>42085</v>
      </c>
      <c r="Z174" s="11">
        <v>-1759.58</v>
      </c>
      <c r="AA174" s="11">
        <v>2</v>
      </c>
      <c r="AB174" s="11">
        <v>3206.94</v>
      </c>
      <c r="AC174" s="11">
        <v>89166</v>
      </c>
      <c r="AD174" s="6" t="str">
        <f>IF(COUNTIF(Returns!$A$2:$A$1635,Orders!AC174)&gt;0,"Returned","Not Returned")</f>
        <v>Not Returned</v>
      </c>
    </row>
    <row r="175" spans="1:30" ht="12.75" customHeight="1" thickTop="1" thickBot="1" x14ac:dyDescent="0.25">
      <c r="A175" s="8">
        <v>18852</v>
      </c>
      <c r="B175" s="1" t="s">
        <v>56</v>
      </c>
      <c r="C175" s="1">
        <v>0.01</v>
      </c>
      <c r="D175" s="1">
        <v>19.98</v>
      </c>
      <c r="E175" s="1">
        <v>4</v>
      </c>
      <c r="F175" s="1">
        <v>315</v>
      </c>
      <c r="G175" s="6" t="str">
        <f>IF(COUNTIF(Table1[Customer ID],Table1[[#This Row],[Customer ID]])&gt;1,"Repeat Customer","One-Time Customer")</f>
        <v>One-Time Customer</v>
      </c>
      <c r="H175" s="1" t="s">
        <v>421</v>
      </c>
      <c r="I175" s="1" t="s">
        <v>49</v>
      </c>
      <c r="J175" s="1" t="s">
        <v>28</v>
      </c>
      <c r="K175" s="1" t="s">
        <v>77</v>
      </c>
      <c r="L175" s="1" t="s">
        <v>180</v>
      </c>
      <c r="M175" s="1" t="s">
        <v>59</v>
      </c>
      <c r="N175" s="1" t="s">
        <v>187</v>
      </c>
      <c r="O175" s="1">
        <v>0.68</v>
      </c>
      <c r="P175" s="6">
        <f>Table1[[#This Row],[Profit]]/Table1[[#This Row],[Sales]]</f>
        <v>-1.6766480965645312</v>
      </c>
      <c r="Q175" s="1" t="s">
        <v>33</v>
      </c>
      <c r="R175" s="1" t="s">
        <v>53</v>
      </c>
      <c r="S175" s="1" t="s">
        <v>193</v>
      </c>
      <c r="T175" s="1" t="s">
        <v>422</v>
      </c>
      <c r="U175" s="1">
        <v>1007</v>
      </c>
      <c r="V175" s="9">
        <v>42083</v>
      </c>
      <c r="W175" s="13" t="str">
        <f>TEXT(Table1[[#This Row],[Order Date]],"mmmm")</f>
        <v>March</v>
      </c>
      <c r="X175" s="7" t="str">
        <f>TEXT(Table1[[#This Row],[Order Date]],"yyyy")</f>
        <v>2015</v>
      </c>
      <c r="Y175" s="9">
        <v>42083</v>
      </c>
      <c r="Z175" s="1">
        <v>-72.23</v>
      </c>
      <c r="AA175" s="1">
        <v>2</v>
      </c>
      <c r="AB175" s="1">
        <v>43.08</v>
      </c>
      <c r="AC175" s="1">
        <v>89166</v>
      </c>
      <c r="AD175" s="6" t="str">
        <f>IF(COUNTIF(Returns!$A$2:$A$1635,Orders!AC175)&gt;0,"Returned","Not Returned")</f>
        <v>Not Returned</v>
      </c>
    </row>
    <row r="176" spans="1:30" ht="12.75" customHeight="1" thickTop="1" thickBot="1" x14ac:dyDescent="0.25">
      <c r="A176" s="10">
        <v>18032</v>
      </c>
      <c r="B176" s="11" t="s">
        <v>37</v>
      </c>
      <c r="C176" s="11">
        <v>0.09</v>
      </c>
      <c r="D176" s="11">
        <v>7.38</v>
      </c>
      <c r="E176" s="11">
        <v>5.21</v>
      </c>
      <c r="F176" s="11">
        <v>317</v>
      </c>
      <c r="G176" s="6" t="str">
        <f>IF(COUNTIF(Table1[Customer ID],Table1[[#This Row],[Customer ID]])&gt;1,"Repeat Customer","One-Time Customer")</f>
        <v>Repeat Customer</v>
      </c>
      <c r="H176" s="11" t="s">
        <v>423</v>
      </c>
      <c r="I176" s="11" t="s">
        <v>49</v>
      </c>
      <c r="J176" s="11" t="s">
        <v>28</v>
      </c>
      <c r="K176" s="11" t="s">
        <v>41</v>
      </c>
      <c r="L176" s="11" t="s">
        <v>50</v>
      </c>
      <c r="M176" s="11" t="s">
        <v>59</v>
      </c>
      <c r="N176" s="11" t="s">
        <v>424</v>
      </c>
      <c r="O176" s="11">
        <v>0.56000000000000005</v>
      </c>
      <c r="P176" s="6">
        <f>Table1[[#This Row],[Profit]]/Table1[[#This Row],[Sales]]</f>
        <v>-0.40811419984973712</v>
      </c>
      <c r="Q176" s="11" t="s">
        <v>33</v>
      </c>
      <c r="R176" s="11" t="s">
        <v>34</v>
      </c>
      <c r="S176" s="11" t="s">
        <v>45</v>
      </c>
      <c r="T176" s="11" t="s">
        <v>425</v>
      </c>
      <c r="U176" s="11">
        <v>91945</v>
      </c>
      <c r="V176" s="12">
        <v>42172</v>
      </c>
      <c r="W176" s="13" t="str">
        <f>TEXT(Table1[[#This Row],[Order Date]],"mmmm")</f>
        <v>June</v>
      </c>
      <c r="X176" s="7" t="str">
        <f>TEXT(Table1[[#This Row],[Order Date]],"yyyy")</f>
        <v>2015</v>
      </c>
      <c r="Y176" s="12">
        <v>42173</v>
      </c>
      <c r="Z176" s="11">
        <v>-27.160000000000004</v>
      </c>
      <c r="AA176" s="11">
        <v>9</v>
      </c>
      <c r="AB176" s="11">
        <v>66.55</v>
      </c>
      <c r="AC176" s="11">
        <v>86041</v>
      </c>
      <c r="AD176" s="6" t="str">
        <f>IF(COUNTIF(Returns!$A$2:$A$1635,Orders!AC176)&gt;0,"Returned","Not Returned")</f>
        <v>Not Returned</v>
      </c>
    </row>
    <row r="177" spans="1:30" ht="12.75" customHeight="1" thickTop="1" thickBot="1" x14ac:dyDescent="0.25">
      <c r="A177" s="8">
        <v>18033</v>
      </c>
      <c r="B177" s="1" t="s">
        <v>37</v>
      </c>
      <c r="C177" s="1">
        <v>0.04</v>
      </c>
      <c r="D177" s="1">
        <v>5.98</v>
      </c>
      <c r="E177" s="1">
        <v>5.15</v>
      </c>
      <c r="F177" s="1">
        <v>317</v>
      </c>
      <c r="G177" s="6" t="str">
        <f>IF(COUNTIF(Table1[Customer ID],Table1[[#This Row],[Customer ID]])&gt;1,"Repeat Customer","One-Time Customer")</f>
        <v>Repeat Customer</v>
      </c>
      <c r="H177" s="1" t="s">
        <v>423</v>
      </c>
      <c r="I177" s="1" t="s">
        <v>49</v>
      </c>
      <c r="J177" s="1" t="s">
        <v>28</v>
      </c>
      <c r="K177" s="1" t="s">
        <v>29</v>
      </c>
      <c r="L177" s="1" t="s">
        <v>93</v>
      </c>
      <c r="M177" s="1" t="s">
        <v>59</v>
      </c>
      <c r="N177" s="1" t="s">
        <v>129</v>
      </c>
      <c r="O177" s="1">
        <v>0.36</v>
      </c>
      <c r="P177" s="6">
        <f>Table1[[#This Row],[Profit]]/Table1[[#This Row],[Sales]]</f>
        <v>-0.50578799884046777</v>
      </c>
      <c r="Q177" s="1" t="s">
        <v>33</v>
      </c>
      <c r="R177" s="1" t="s">
        <v>34</v>
      </c>
      <c r="S177" s="1" t="s">
        <v>45</v>
      </c>
      <c r="T177" s="1" t="s">
        <v>425</v>
      </c>
      <c r="U177" s="1">
        <v>91945</v>
      </c>
      <c r="V177" s="9">
        <v>42172</v>
      </c>
      <c r="W177" s="13" t="str">
        <f>TEXT(Table1[[#This Row],[Order Date]],"mmmm")</f>
        <v>June</v>
      </c>
      <c r="X177" s="7" t="str">
        <f>TEXT(Table1[[#This Row],[Order Date]],"yyyy")</f>
        <v>2015</v>
      </c>
      <c r="Y177" s="9">
        <v>42173</v>
      </c>
      <c r="Z177" s="1">
        <v>-52.344000000000008</v>
      </c>
      <c r="AA177" s="1">
        <v>17</v>
      </c>
      <c r="AB177" s="1">
        <v>103.49</v>
      </c>
      <c r="AC177" s="1">
        <v>86041</v>
      </c>
      <c r="AD177" s="6" t="str">
        <f>IF(COUNTIF(Returns!$A$2:$A$1635,Orders!AC177)&gt;0,"Returned","Not Returned")</f>
        <v>Not Returned</v>
      </c>
    </row>
    <row r="178" spans="1:30" ht="12.75" customHeight="1" thickTop="1" thickBot="1" x14ac:dyDescent="0.25">
      <c r="A178" s="10">
        <v>18034</v>
      </c>
      <c r="B178" s="11" t="s">
        <v>37</v>
      </c>
      <c r="C178" s="11">
        <v>0.04</v>
      </c>
      <c r="D178" s="11">
        <v>15.42</v>
      </c>
      <c r="E178" s="11">
        <v>10.68</v>
      </c>
      <c r="F178" s="11">
        <v>317</v>
      </c>
      <c r="G178" s="6" t="str">
        <f>IF(COUNTIF(Table1[Customer ID],Table1[[#This Row],[Customer ID]])&gt;1,"Repeat Customer","One-Time Customer")</f>
        <v>Repeat Customer</v>
      </c>
      <c r="H178" s="11" t="s">
        <v>423</v>
      </c>
      <c r="I178" s="11" t="s">
        <v>49</v>
      </c>
      <c r="J178" s="11" t="s">
        <v>28</v>
      </c>
      <c r="K178" s="11" t="s">
        <v>29</v>
      </c>
      <c r="L178" s="11" t="s">
        <v>141</v>
      </c>
      <c r="M178" s="11" t="s">
        <v>59</v>
      </c>
      <c r="N178" s="11" t="s">
        <v>426</v>
      </c>
      <c r="O178" s="11">
        <v>0.57999999999999996</v>
      </c>
      <c r="P178" s="6">
        <f>Table1[[#This Row],[Profit]]/Table1[[#This Row],[Sales]]</f>
        <v>-0.62408159017587672</v>
      </c>
      <c r="Q178" s="11" t="s">
        <v>33</v>
      </c>
      <c r="R178" s="11" t="s">
        <v>34</v>
      </c>
      <c r="S178" s="11" t="s">
        <v>45</v>
      </c>
      <c r="T178" s="11" t="s">
        <v>425</v>
      </c>
      <c r="U178" s="11">
        <v>91945</v>
      </c>
      <c r="V178" s="12">
        <v>42172</v>
      </c>
      <c r="W178" s="13" t="str">
        <f>TEXT(Table1[[#This Row],[Order Date]],"mmmm")</f>
        <v>June</v>
      </c>
      <c r="X178" s="7" t="str">
        <f>TEXT(Table1[[#This Row],[Order Date]],"yyyy")</f>
        <v>2015</v>
      </c>
      <c r="Y178" s="12">
        <v>42173</v>
      </c>
      <c r="Z178" s="11">
        <v>-119.93599999999999</v>
      </c>
      <c r="AA178" s="11">
        <v>12</v>
      </c>
      <c r="AB178" s="11">
        <v>192.18</v>
      </c>
      <c r="AC178" s="11">
        <v>86041</v>
      </c>
      <c r="AD178" s="6" t="str">
        <f>IF(COUNTIF(Returns!$A$2:$A$1635,Orders!AC178)&gt;0,"Returned","Not Returned")</f>
        <v>Not Returned</v>
      </c>
    </row>
    <row r="179" spans="1:30" ht="12.75" customHeight="1" thickTop="1" thickBot="1" x14ac:dyDescent="0.25">
      <c r="A179" s="8">
        <v>20641</v>
      </c>
      <c r="B179" s="1" t="s">
        <v>106</v>
      </c>
      <c r="C179" s="1">
        <v>0.04</v>
      </c>
      <c r="D179" s="1">
        <v>8.33</v>
      </c>
      <c r="E179" s="1">
        <v>1.99</v>
      </c>
      <c r="F179" s="1">
        <v>321</v>
      </c>
      <c r="G179" s="6" t="str">
        <f>IF(COUNTIF(Table1[Customer ID],Table1[[#This Row],[Customer ID]])&gt;1,"Repeat Customer","One-Time Customer")</f>
        <v>One-Time Customer</v>
      </c>
      <c r="H179" s="1" t="s">
        <v>427</v>
      </c>
      <c r="I179" s="1" t="s">
        <v>49</v>
      </c>
      <c r="J179" s="1" t="s">
        <v>114</v>
      </c>
      <c r="K179" s="1" t="s">
        <v>77</v>
      </c>
      <c r="L179" s="1" t="s">
        <v>180</v>
      </c>
      <c r="M179" s="1" t="s">
        <v>51</v>
      </c>
      <c r="N179" s="1" t="s">
        <v>414</v>
      </c>
      <c r="O179" s="1">
        <v>0.52</v>
      </c>
      <c r="P179" s="6">
        <f>Table1[[#This Row],[Profit]]/Table1[[#This Row],[Sales]]</f>
        <v>0.11059269162210336</v>
      </c>
      <c r="Q179" s="1" t="s">
        <v>33</v>
      </c>
      <c r="R179" s="1" t="s">
        <v>53</v>
      </c>
      <c r="S179" s="1" t="s">
        <v>415</v>
      </c>
      <c r="T179" s="1" t="s">
        <v>428</v>
      </c>
      <c r="U179" s="1">
        <v>20854</v>
      </c>
      <c r="V179" s="9">
        <v>42098</v>
      </c>
      <c r="W179" s="13" t="str">
        <f>TEXT(Table1[[#This Row],[Order Date]],"mmmm")</f>
        <v>April</v>
      </c>
      <c r="X179" s="7" t="str">
        <f>TEXT(Table1[[#This Row],[Order Date]],"yyyy")</f>
        <v>2015</v>
      </c>
      <c r="Y179" s="9">
        <v>42103</v>
      </c>
      <c r="Z179" s="1">
        <v>9.9267999999999983</v>
      </c>
      <c r="AA179" s="1">
        <v>11</v>
      </c>
      <c r="AB179" s="1">
        <v>89.76</v>
      </c>
      <c r="AC179" s="1">
        <v>91057</v>
      </c>
      <c r="AD179" s="6" t="str">
        <f>IF(COUNTIF(Returns!$A$2:$A$1635,Orders!AC179)&gt;0,"Returned","Not Returned")</f>
        <v>Not Returned</v>
      </c>
    </row>
    <row r="180" spans="1:30" ht="12.75" customHeight="1" thickTop="1" thickBot="1" x14ac:dyDescent="0.25">
      <c r="A180" s="10">
        <v>25111</v>
      </c>
      <c r="B180" s="11" t="s">
        <v>37</v>
      </c>
      <c r="C180" s="11">
        <v>0.06</v>
      </c>
      <c r="D180" s="11">
        <v>7.99</v>
      </c>
      <c r="E180" s="11">
        <v>5.03</v>
      </c>
      <c r="F180" s="11">
        <v>326</v>
      </c>
      <c r="G180" s="6" t="str">
        <f>IF(COUNTIF(Table1[Customer ID],Table1[[#This Row],[Customer ID]])&gt;1,"Repeat Customer","One-Time Customer")</f>
        <v>One-Time Customer</v>
      </c>
      <c r="H180" s="11" t="s">
        <v>429</v>
      </c>
      <c r="I180" s="11" t="s">
        <v>49</v>
      </c>
      <c r="J180" s="11" t="s">
        <v>114</v>
      </c>
      <c r="K180" s="11" t="s">
        <v>77</v>
      </c>
      <c r="L180" s="11" t="s">
        <v>78</v>
      </c>
      <c r="M180" s="11" t="s">
        <v>86</v>
      </c>
      <c r="N180" s="11" t="s">
        <v>430</v>
      </c>
      <c r="O180" s="11">
        <v>0.6</v>
      </c>
      <c r="P180" s="6">
        <f>Table1[[#This Row],[Profit]]/Table1[[#This Row],[Sales]]</f>
        <v>-1.0250175685172171</v>
      </c>
      <c r="Q180" s="11" t="s">
        <v>33</v>
      </c>
      <c r="R180" s="11" t="s">
        <v>61</v>
      </c>
      <c r="S180" s="11" t="s">
        <v>178</v>
      </c>
      <c r="T180" s="11" t="s">
        <v>431</v>
      </c>
      <c r="U180" s="11">
        <v>60510</v>
      </c>
      <c r="V180" s="12">
        <v>42164</v>
      </c>
      <c r="W180" s="13" t="str">
        <f>TEXT(Table1[[#This Row],[Order Date]],"mmmm")</f>
        <v>June</v>
      </c>
      <c r="X180" s="7" t="str">
        <f>TEXT(Table1[[#This Row],[Order Date]],"yyyy")</f>
        <v>2015</v>
      </c>
      <c r="Y180" s="12">
        <v>42165</v>
      </c>
      <c r="Z180" s="11">
        <v>-29.172000000000001</v>
      </c>
      <c r="AA180" s="11">
        <v>4</v>
      </c>
      <c r="AB180" s="11">
        <v>28.46</v>
      </c>
      <c r="AC180" s="11">
        <v>90973</v>
      </c>
      <c r="AD180" s="6" t="str">
        <f>IF(COUNTIF(Returns!$A$2:$A$1635,Orders!AC180)&gt;0,"Returned","Not Returned")</f>
        <v>Not Returned</v>
      </c>
    </row>
    <row r="181" spans="1:30" ht="12.75" customHeight="1" thickTop="1" thickBot="1" x14ac:dyDescent="0.25">
      <c r="A181" s="8">
        <v>19159</v>
      </c>
      <c r="B181" s="1" t="s">
        <v>56</v>
      </c>
      <c r="C181" s="1">
        <v>0.06</v>
      </c>
      <c r="D181" s="1">
        <v>296.18</v>
      </c>
      <c r="E181" s="1">
        <v>54.12</v>
      </c>
      <c r="F181" s="1">
        <v>329</v>
      </c>
      <c r="G181" s="6" t="str">
        <f>IF(COUNTIF(Table1[Customer ID],Table1[[#This Row],[Customer ID]])&gt;1,"Repeat Customer","One-Time Customer")</f>
        <v>One-Time Customer</v>
      </c>
      <c r="H181" s="1" t="s">
        <v>432</v>
      </c>
      <c r="I181" s="1" t="s">
        <v>39</v>
      </c>
      <c r="J181" s="1" t="s">
        <v>40</v>
      </c>
      <c r="K181" s="1" t="s">
        <v>41</v>
      </c>
      <c r="L181" s="1" t="s">
        <v>152</v>
      </c>
      <c r="M181" s="1" t="s">
        <v>121</v>
      </c>
      <c r="N181" s="1" t="s">
        <v>153</v>
      </c>
      <c r="O181" s="1">
        <v>0.76</v>
      </c>
      <c r="P181" s="6">
        <f>Table1[[#This Row],[Profit]]/Table1[[#This Row],[Sales]]</f>
        <v>-0.6116664581570832</v>
      </c>
      <c r="Q181" s="1" t="s">
        <v>33</v>
      </c>
      <c r="R181" s="1" t="s">
        <v>53</v>
      </c>
      <c r="S181" s="1" t="s">
        <v>188</v>
      </c>
      <c r="T181" s="1" t="s">
        <v>433</v>
      </c>
      <c r="U181" s="1">
        <v>4073</v>
      </c>
      <c r="V181" s="9">
        <v>42108</v>
      </c>
      <c r="W181" s="13" t="str">
        <f>TEXT(Table1[[#This Row],[Order Date]],"mmmm")</f>
        <v>April</v>
      </c>
      <c r="X181" s="7" t="str">
        <f>TEXT(Table1[[#This Row],[Order Date]],"yyyy")</f>
        <v>2015</v>
      </c>
      <c r="Y181" s="9">
        <v>42109</v>
      </c>
      <c r="Z181" s="1">
        <v>-715.7782060000003</v>
      </c>
      <c r="AA181" s="1">
        <v>5</v>
      </c>
      <c r="AB181" s="1">
        <v>1170.21</v>
      </c>
      <c r="AC181" s="1">
        <v>89726</v>
      </c>
      <c r="AD181" s="6" t="str">
        <f>IF(COUNTIF(Returns!$A$2:$A$1635,Orders!AC181)&gt;0,"Returned","Not Returned")</f>
        <v>Not Returned</v>
      </c>
    </row>
    <row r="182" spans="1:30" ht="12.75" customHeight="1" thickTop="1" thickBot="1" x14ac:dyDescent="0.25">
      <c r="A182" s="10">
        <v>19158</v>
      </c>
      <c r="B182" s="11" t="s">
        <v>56</v>
      </c>
      <c r="C182" s="11">
        <v>0.01</v>
      </c>
      <c r="D182" s="11">
        <v>29.1</v>
      </c>
      <c r="E182" s="11">
        <v>4</v>
      </c>
      <c r="F182" s="11">
        <v>331</v>
      </c>
      <c r="G182" s="6" t="str">
        <f>IF(COUNTIF(Table1[Customer ID],Table1[[#This Row],[Customer ID]])&gt;1,"Repeat Customer","One-Time Customer")</f>
        <v>One-Time Customer</v>
      </c>
      <c r="H182" s="11" t="s">
        <v>434</v>
      </c>
      <c r="I182" s="11" t="s">
        <v>27</v>
      </c>
      <c r="J182" s="11" t="s">
        <v>40</v>
      </c>
      <c r="K182" s="11" t="s">
        <v>77</v>
      </c>
      <c r="L182" s="11" t="s">
        <v>180</v>
      </c>
      <c r="M182" s="11" t="s">
        <v>59</v>
      </c>
      <c r="N182" s="11" t="s">
        <v>435</v>
      </c>
      <c r="O182" s="11">
        <v>0.78</v>
      </c>
      <c r="P182" s="6">
        <f>Table1[[#This Row],[Profit]]/Table1[[#This Row],[Sales]]</f>
        <v>-9.3785960874568475E-2</v>
      </c>
      <c r="Q182" s="11" t="s">
        <v>33</v>
      </c>
      <c r="R182" s="11" t="s">
        <v>53</v>
      </c>
      <c r="S182" s="11" t="s">
        <v>197</v>
      </c>
      <c r="T182" s="11" t="s">
        <v>436</v>
      </c>
      <c r="U182" s="11">
        <v>3045</v>
      </c>
      <c r="V182" s="12">
        <v>42108</v>
      </c>
      <c r="W182" s="13" t="str">
        <f>TEXT(Table1[[#This Row],[Order Date]],"mmmm")</f>
        <v>April</v>
      </c>
      <c r="X182" s="7" t="str">
        <f>TEXT(Table1[[#This Row],[Order Date]],"yyyy")</f>
        <v>2015</v>
      </c>
      <c r="Y182" s="12">
        <v>42110</v>
      </c>
      <c r="Z182" s="11">
        <v>-22.82</v>
      </c>
      <c r="AA182" s="11">
        <v>8</v>
      </c>
      <c r="AB182" s="11">
        <v>243.32</v>
      </c>
      <c r="AC182" s="11">
        <v>89726</v>
      </c>
      <c r="AD182" s="6" t="str">
        <f>IF(COUNTIF(Returns!$A$2:$A$1635,Orders!AC182)&gt;0,"Returned","Not Returned")</f>
        <v>Not Returned</v>
      </c>
    </row>
    <row r="183" spans="1:30" ht="12.75" customHeight="1" thickTop="1" thickBot="1" x14ac:dyDescent="0.25">
      <c r="A183" s="8">
        <v>18261</v>
      </c>
      <c r="B183" s="1" t="s">
        <v>47</v>
      </c>
      <c r="C183" s="1">
        <v>0.06</v>
      </c>
      <c r="D183" s="1">
        <v>276.2</v>
      </c>
      <c r="E183" s="1">
        <v>24.49</v>
      </c>
      <c r="F183" s="1">
        <v>335</v>
      </c>
      <c r="G183" s="6" t="str">
        <f>IF(COUNTIF(Table1[Customer ID],Table1[[#This Row],[Customer ID]])&gt;1,"Repeat Customer","One-Time Customer")</f>
        <v>Repeat Customer</v>
      </c>
      <c r="H183" s="1" t="s">
        <v>437</v>
      </c>
      <c r="I183" s="1" t="s">
        <v>49</v>
      </c>
      <c r="J183" s="1" t="s">
        <v>28</v>
      </c>
      <c r="K183" s="1" t="s">
        <v>41</v>
      </c>
      <c r="L183" s="1" t="s">
        <v>42</v>
      </c>
      <c r="M183" s="1" t="s">
        <v>236</v>
      </c>
      <c r="N183" s="1" t="s">
        <v>438</v>
      </c>
      <c r="O183" s="1"/>
      <c r="P183" s="6">
        <f>Table1[[#This Row],[Profit]]/Table1[[#This Row],[Sales]]</f>
        <v>0.69</v>
      </c>
      <c r="Q183" s="1" t="s">
        <v>33</v>
      </c>
      <c r="R183" s="1" t="s">
        <v>34</v>
      </c>
      <c r="S183" s="1" t="s">
        <v>102</v>
      </c>
      <c r="T183" s="1" t="s">
        <v>439</v>
      </c>
      <c r="U183" s="1">
        <v>97504</v>
      </c>
      <c r="V183" s="9">
        <v>42128</v>
      </c>
      <c r="W183" s="13" t="str">
        <f>TEXT(Table1[[#This Row],[Order Date]],"mmmm")</f>
        <v>May</v>
      </c>
      <c r="X183" s="7" t="str">
        <f>TEXT(Table1[[#This Row],[Order Date]],"yyyy")</f>
        <v>2015</v>
      </c>
      <c r="Y183" s="9">
        <v>42129</v>
      </c>
      <c r="Z183" s="1">
        <v>2639.4708000000001</v>
      </c>
      <c r="AA183" s="1">
        <v>14</v>
      </c>
      <c r="AB183" s="1">
        <v>3825.32</v>
      </c>
      <c r="AC183" s="1">
        <v>87277</v>
      </c>
      <c r="AD183" s="6" t="str">
        <f>IF(COUNTIF(Returns!$A$2:$A$1635,Orders!AC183)&gt;0,"Returned","Not Returned")</f>
        <v>Not Returned</v>
      </c>
    </row>
    <row r="184" spans="1:30" ht="12.75" customHeight="1" thickTop="1" thickBot="1" x14ac:dyDescent="0.25">
      <c r="A184" s="10">
        <v>18262</v>
      </c>
      <c r="B184" s="11" t="s">
        <v>47</v>
      </c>
      <c r="C184" s="11">
        <v>0.09</v>
      </c>
      <c r="D184" s="11">
        <v>6.28</v>
      </c>
      <c r="E184" s="11">
        <v>5.29</v>
      </c>
      <c r="F184" s="11">
        <v>335</v>
      </c>
      <c r="G184" s="6" t="str">
        <f>IF(COUNTIF(Table1[Customer ID],Table1[[#This Row],[Customer ID]])&gt;1,"Repeat Customer","One-Time Customer")</f>
        <v>Repeat Customer</v>
      </c>
      <c r="H184" s="11" t="s">
        <v>437</v>
      </c>
      <c r="I184" s="11" t="s">
        <v>49</v>
      </c>
      <c r="J184" s="11" t="s">
        <v>28</v>
      </c>
      <c r="K184" s="11" t="s">
        <v>41</v>
      </c>
      <c r="L184" s="11" t="s">
        <v>50</v>
      </c>
      <c r="M184" s="11" t="s">
        <v>59</v>
      </c>
      <c r="N184" s="11" t="s">
        <v>440</v>
      </c>
      <c r="O184" s="11">
        <v>0.43</v>
      </c>
      <c r="P184" s="6">
        <f>Table1[[#This Row],[Profit]]/Table1[[#This Row],[Sales]]</f>
        <v>-0.60961313012895668</v>
      </c>
      <c r="Q184" s="11" t="s">
        <v>33</v>
      </c>
      <c r="R184" s="11" t="s">
        <v>34</v>
      </c>
      <c r="S184" s="11" t="s">
        <v>102</v>
      </c>
      <c r="T184" s="11" t="s">
        <v>439</v>
      </c>
      <c r="U184" s="11">
        <v>97504</v>
      </c>
      <c r="V184" s="12">
        <v>42128</v>
      </c>
      <c r="W184" s="13" t="str">
        <f>TEXT(Table1[[#This Row],[Order Date]],"mmmm")</f>
        <v>May</v>
      </c>
      <c r="X184" s="7" t="str">
        <f>TEXT(Table1[[#This Row],[Order Date]],"yyyy")</f>
        <v>2015</v>
      </c>
      <c r="Y184" s="12">
        <v>42128</v>
      </c>
      <c r="Z184" s="11">
        <v>-5.2</v>
      </c>
      <c r="AA184" s="11">
        <v>1</v>
      </c>
      <c r="AB184" s="11">
        <v>8.5299999999999994</v>
      </c>
      <c r="AC184" s="11">
        <v>87277</v>
      </c>
      <c r="AD184" s="6" t="str">
        <f>IF(COUNTIF(Returns!$A$2:$A$1635,Orders!AC184)&gt;0,"Returned","Not Returned")</f>
        <v>Not Returned</v>
      </c>
    </row>
    <row r="185" spans="1:30" ht="12.75" customHeight="1" thickTop="1" thickBot="1" x14ac:dyDescent="0.25">
      <c r="A185" s="8">
        <v>23481</v>
      </c>
      <c r="B185" s="1" t="s">
        <v>56</v>
      </c>
      <c r="C185" s="1">
        <v>0.08</v>
      </c>
      <c r="D185" s="1">
        <v>7.77</v>
      </c>
      <c r="E185" s="1">
        <v>9.23</v>
      </c>
      <c r="F185" s="1">
        <v>339</v>
      </c>
      <c r="G185" s="6" t="str">
        <f>IF(COUNTIF(Table1[Customer ID],Table1[[#This Row],[Customer ID]])&gt;1,"Repeat Customer","One-Time Customer")</f>
        <v>Repeat Customer</v>
      </c>
      <c r="H185" s="1" t="s">
        <v>441</v>
      </c>
      <c r="I185" s="1" t="s">
        <v>49</v>
      </c>
      <c r="J185" s="1" t="s">
        <v>28</v>
      </c>
      <c r="K185" s="1" t="s">
        <v>29</v>
      </c>
      <c r="L185" s="1" t="s">
        <v>257</v>
      </c>
      <c r="M185" s="1" t="s">
        <v>59</v>
      </c>
      <c r="N185" s="1" t="s">
        <v>442</v>
      </c>
      <c r="O185" s="1">
        <v>0.57999999999999996</v>
      </c>
      <c r="P185" s="6">
        <f>Table1[[#This Row],[Profit]]/Table1[[#This Row],[Sales]]</f>
        <v>-2.0756823821339951</v>
      </c>
      <c r="Q185" s="1" t="s">
        <v>33</v>
      </c>
      <c r="R185" s="1" t="s">
        <v>53</v>
      </c>
      <c r="S185" s="1" t="s">
        <v>154</v>
      </c>
      <c r="T185" s="1" t="s">
        <v>443</v>
      </c>
      <c r="U185" s="1">
        <v>43229</v>
      </c>
      <c r="V185" s="9">
        <v>42080</v>
      </c>
      <c r="W185" s="13" t="str">
        <f>TEXT(Table1[[#This Row],[Order Date]],"mmmm")</f>
        <v>March</v>
      </c>
      <c r="X185" s="7" t="str">
        <f>TEXT(Table1[[#This Row],[Order Date]],"yyyy")</f>
        <v>2015</v>
      </c>
      <c r="Y185" s="9">
        <v>42081</v>
      </c>
      <c r="Z185" s="1">
        <v>-83.65</v>
      </c>
      <c r="AA185" s="1">
        <v>5</v>
      </c>
      <c r="AB185" s="1">
        <v>40.299999999999997</v>
      </c>
      <c r="AC185" s="1">
        <v>90583</v>
      </c>
      <c r="AD185" s="6" t="str">
        <f>IF(COUNTIF(Returns!$A$2:$A$1635,Orders!AC185)&gt;0,"Returned","Not Returned")</f>
        <v>Not Returned</v>
      </c>
    </row>
    <row r="186" spans="1:30" ht="12.75" customHeight="1" thickTop="1" thickBot="1" x14ac:dyDescent="0.25">
      <c r="A186" s="10">
        <v>23482</v>
      </c>
      <c r="B186" s="11" t="s">
        <v>56</v>
      </c>
      <c r="C186" s="11">
        <v>7.0000000000000007E-2</v>
      </c>
      <c r="D186" s="11">
        <v>7.59</v>
      </c>
      <c r="E186" s="11">
        <v>4</v>
      </c>
      <c r="F186" s="11">
        <v>339</v>
      </c>
      <c r="G186" s="6" t="str">
        <f>IF(COUNTIF(Table1[Customer ID],Table1[[#This Row],[Customer ID]])&gt;1,"Repeat Customer","One-Time Customer")</f>
        <v>Repeat Customer</v>
      </c>
      <c r="H186" s="11" t="s">
        <v>441</v>
      </c>
      <c r="I186" s="11" t="s">
        <v>49</v>
      </c>
      <c r="J186" s="11" t="s">
        <v>28</v>
      </c>
      <c r="K186" s="11" t="s">
        <v>41</v>
      </c>
      <c r="L186" s="11" t="s">
        <v>50</v>
      </c>
      <c r="M186" s="11" t="s">
        <v>31</v>
      </c>
      <c r="N186" s="11" t="s">
        <v>444</v>
      </c>
      <c r="O186" s="11">
        <v>0.42</v>
      </c>
      <c r="P186" s="6">
        <f>Table1[[#This Row],[Profit]]/Table1[[#This Row],[Sales]]</f>
        <v>0.21800143010368253</v>
      </c>
      <c r="Q186" s="11" t="s">
        <v>33</v>
      </c>
      <c r="R186" s="11" t="s">
        <v>53</v>
      </c>
      <c r="S186" s="11" t="s">
        <v>154</v>
      </c>
      <c r="T186" s="11" t="s">
        <v>443</v>
      </c>
      <c r="U186" s="11">
        <v>43229</v>
      </c>
      <c r="V186" s="12">
        <v>42080</v>
      </c>
      <c r="W186" s="13" t="str">
        <f>TEXT(Table1[[#This Row],[Order Date]],"mmmm")</f>
        <v>March</v>
      </c>
      <c r="X186" s="7" t="str">
        <f>TEXT(Table1[[#This Row],[Order Date]],"yyyy")</f>
        <v>2015</v>
      </c>
      <c r="Y186" s="12">
        <v>42082</v>
      </c>
      <c r="Z186" s="11">
        <v>24.39</v>
      </c>
      <c r="AA186" s="11">
        <v>15</v>
      </c>
      <c r="AB186" s="11">
        <v>111.88</v>
      </c>
      <c r="AC186" s="11">
        <v>90583</v>
      </c>
      <c r="AD186" s="6" t="str">
        <f>IF(COUNTIF(Returns!$A$2:$A$1635,Orders!AC186)&gt;0,"Returned","Not Returned")</f>
        <v>Not Returned</v>
      </c>
    </row>
    <row r="187" spans="1:30" ht="12.75" customHeight="1" thickTop="1" thickBot="1" x14ac:dyDescent="0.25">
      <c r="A187" s="8">
        <v>480</v>
      </c>
      <c r="B187" s="1" t="s">
        <v>47</v>
      </c>
      <c r="C187" s="1">
        <v>0.01</v>
      </c>
      <c r="D187" s="1">
        <v>3.26</v>
      </c>
      <c r="E187" s="1">
        <v>1.86</v>
      </c>
      <c r="F187" s="1">
        <v>342</v>
      </c>
      <c r="G187" s="6" t="str">
        <f>IF(COUNTIF(Table1[Customer ID],Table1[[#This Row],[Customer ID]])&gt;1,"Repeat Customer","One-Time Customer")</f>
        <v>One-Time Customer</v>
      </c>
      <c r="H187" s="1" t="s">
        <v>445</v>
      </c>
      <c r="I187" s="1" t="s">
        <v>49</v>
      </c>
      <c r="J187" s="1" t="s">
        <v>28</v>
      </c>
      <c r="K187" s="1" t="s">
        <v>29</v>
      </c>
      <c r="L187" s="1" t="s">
        <v>30</v>
      </c>
      <c r="M187" s="1" t="s">
        <v>31</v>
      </c>
      <c r="N187" s="1" t="s">
        <v>446</v>
      </c>
      <c r="O187" s="1">
        <v>0.41</v>
      </c>
      <c r="P187" s="6">
        <f>Table1[[#This Row],[Profit]]/Table1[[#This Row],[Sales]]</f>
        <v>-6.3110720562390157E-2</v>
      </c>
      <c r="Q187" s="1" t="s">
        <v>33</v>
      </c>
      <c r="R187" s="1" t="s">
        <v>136</v>
      </c>
      <c r="S187" s="1" t="s">
        <v>362</v>
      </c>
      <c r="T187" s="1" t="s">
        <v>447</v>
      </c>
      <c r="U187" s="1">
        <v>33181</v>
      </c>
      <c r="V187" s="9">
        <v>42128</v>
      </c>
      <c r="W187" s="13" t="str">
        <f>TEXT(Table1[[#This Row],[Order Date]],"mmmm")</f>
        <v>May</v>
      </c>
      <c r="X187" s="7" t="str">
        <f>TEXT(Table1[[#This Row],[Order Date]],"yyyy")</f>
        <v>2015</v>
      </c>
      <c r="Y187" s="9">
        <v>42130</v>
      </c>
      <c r="Z187" s="1">
        <v>-4.6682999999999995</v>
      </c>
      <c r="AA187" s="1">
        <v>20</v>
      </c>
      <c r="AB187" s="1">
        <v>73.97</v>
      </c>
      <c r="AC187" s="1">
        <v>3332</v>
      </c>
      <c r="AD187" s="6" t="str">
        <f>IF(COUNTIF(Returns!$A$2:$A$1635,Orders!AC187)&gt;0,"Returned","Not Returned")</f>
        <v>Not Returned</v>
      </c>
    </row>
    <row r="188" spans="1:30" ht="12.75" customHeight="1" thickTop="1" thickBot="1" x14ac:dyDescent="0.25">
      <c r="A188" s="10">
        <v>22784</v>
      </c>
      <c r="B188" s="11" t="s">
        <v>47</v>
      </c>
      <c r="C188" s="11">
        <v>0.03</v>
      </c>
      <c r="D188" s="11">
        <v>15.23</v>
      </c>
      <c r="E188" s="11">
        <v>27.75</v>
      </c>
      <c r="F188" s="11">
        <v>343</v>
      </c>
      <c r="G188" s="6" t="str">
        <f>IF(COUNTIF(Table1[Customer ID],Table1[[#This Row],[Customer ID]])&gt;1,"Repeat Customer","One-Time Customer")</f>
        <v>One-Time Customer</v>
      </c>
      <c r="H188" s="11" t="s">
        <v>448</v>
      </c>
      <c r="I188" s="11" t="s">
        <v>39</v>
      </c>
      <c r="J188" s="11" t="s">
        <v>28</v>
      </c>
      <c r="K188" s="11" t="s">
        <v>41</v>
      </c>
      <c r="L188" s="11" t="s">
        <v>152</v>
      </c>
      <c r="M188" s="11" t="s">
        <v>121</v>
      </c>
      <c r="N188" s="11" t="s">
        <v>449</v>
      </c>
      <c r="O188" s="11">
        <v>0.76</v>
      </c>
      <c r="P188" s="6">
        <f>Table1[[#This Row],[Profit]]/Table1[[#This Row],[Sales]]</f>
        <v>0.10415653495440731</v>
      </c>
      <c r="Q188" s="11" t="s">
        <v>33</v>
      </c>
      <c r="R188" s="11" t="s">
        <v>53</v>
      </c>
      <c r="S188" s="11" t="s">
        <v>188</v>
      </c>
      <c r="T188" s="11" t="s">
        <v>450</v>
      </c>
      <c r="U188" s="11">
        <v>4401</v>
      </c>
      <c r="V188" s="12">
        <v>42035</v>
      </c>
      <c r="W188" s="13" t="str">
        <f>TEXT(Table1[[#This Row],[Order Date]],"mmmm")</f>
        <v>January</v>
      </c>
      <c r="X188" s="7" t="str">
        <f>TEXT(Table1[[#This Row],[Order Date]],"yyyy")</f>
        <v>2015</v>
      </c>
      <c r="Y188" s="12">
        <v>42036</v>
      </c>
      <c r="Z188" s="11">
        <v>11.650950000000002</v>
      </c>
      <c r="AA188" s="11">
        <v>7</v>
      </c>
      <c r="AB188" s="11">
        <v>111.86</v>
      </c>
      <c r="AC188" s="11">
        <v>88151</v>
      </c>
      <c r="AD188" s="6" t="str">
        <f>IF(COUNTIF(Returns!$A$2:$A$1635,Orders!AC188)&gt;0,"Returned","Not Returned")</f>
        <v>Not Returned</v>
      </c>
    </row>
    <row r="189" spans="1:30" ht="12.75" customHeight="1" thickTop="1" thickBot="1" x14ac:dyDescent="0.25">
      <c r="A189" s="8">
        <v>18480</v>
      </c>
      <c r="B189" s="1" t="s">
        <v>47</v>
      </c>
      <c r="C189" s="1">
        <v>0.01</v>
      </c>
      <c r="D189" s="1">
        <v>3.26</v>
      </c>
      <c r="E189" s="1">
        <v>1.86</v>
      </c>
      <c r="F189" s="1">
        <v>344</v>
      </c>
      <c r="G189" s="6" t="str">
        <f>IF(COUNTIF(Table1[Customer ID],Table1[[#This Row],[Customer ID]])&gt;1,"Repeat Customer","One-Time Customer")</f>
        <v>One-Time Customer</v>
      </c>
      <c r="H189" s="1" t="s">
        <v>451</v>
      </c>
      <c r="I189" s="1" t="s">
        <v>49</v>
      </c>
      <c r="J189" s="1" t="s">
        <v>28</v>
      </c>
      <c r="K189" s="1" t="s">
        <v>29</v>
      </c>
      <c r="L189" s="1" t="s">
        <v>30</v>
      </c>
      <c r="M189" s="1" t="s">
        <v>31</v>
      </c>
      <c r="N189" s="1" t="s">
        <v>446</v>
      </c>
      <c r="O189" s="1">
        <v>0.41</v>
      </c>
      <c r="P189" s="6">
        <f>Table1[[#This Row],[Profit]]/Table1[[#This Row],[Sales]]</f>
        <v>3.7966468361276415E-2</v>
      </c>
      <c r="Q189" s="1" t="s">
        <v>33</v>
      </c>
      <c r="R189" s="1" t="s">
        <v>53</v>
      </c>
      <c r="S189" s="1" t="s">
        <v>188</v>
      </c>
      <c r="T189" s="1" t="s">
        <v>452</v>
      </c>
      <c r="U189" s="1">
        <v>4101</v>
      </c>
      <c r="V189" s="9">
        <v>42128</v>
      </c>
      <c r="W189" s="13" t="str">
        <f>TEXT(Table1[[#This Row],[Order Date]],"mmmm")</f>
        <v>May</v>
      </c>
      <c r="X189" s="7" t="str">
        <f>TEXT(Table1[[#This Row],[Order Date]],"yyyy")</f>
        <v>2015</v>
      </c>
      <c r="Y189" s="9">
        <v>42130</v>
      </c>
      <c r="Z189" s="1">
        <v>0.70200000000000085</v>
      </c>
      <c r="AA189" s="1">
        <v>5</v>
      </c>
      <c r="AB189" s="1">
        <v>18.489999999999998</v>
      </c>
      <c r="AC189" s="1">
        <v>88152</v>
      </c>
      <c r="AD189" s="6" t="str">
        <f>IF(COUNTIF(Returns!$A$2:$A$1635,Orders!AC189)&gt;0,"Returned","Not Returned")</f>
        <v>Not Returned</v>
      </c>
    </row>
    <row r="190" spans="1:30" ht="12.75" customHeight="1" thickTop="1" thickBot="1" x14ac:dyDescent="0.25">
      <c r="A190" s="10">
        <v>2408</v>
      </c>
      <c r="B190" s="11" t="s">
        <v>47</v>
      </c>
      <c r="C190" s="11">
        <v>0</v>
      </c>
      <c r="D190" s="11">
        <v>8.34</v>
      </c>
      <c r="E190" s="11">
        <v>2.64</v>
      </c>
      <c r="F190" s="11">
        <v>349</v>
      </c>
      <c r="G190" s="6" t="str">
        <f>IF(COUNTIF(Table1[Customer ID],Table1[[#This Row],[Customer ID]])&gt;1,"Repeat Customer","One-Time Customer")</f>
        <v>Repeat Customer</v>
      </c>
      <c r="H190" s="11" t="s">
        <v>453</v>
      </c>
      <c r="I190" s="11" t="s">
        <v>27</v>
      </c>
      <c r="J190" s="11" t="s">
        <v>40</v>
      </c>
      <c r="K190" s="11" t="s">
        <v>29</v>
      </c>
      <c r="L190" s="11" t="s">
        <v>174</v>
      </c>
      <c r="M190" s="11" t="s">
        <v>51</v>
      </c>
      <c r="N190" s="11" t="s">
        <v>358</v>
      </c>
      <c r="O190" s="11">
        <v>0.59</v>
      </c>
      <c r="P190" s="6">
        <f>Table1[[#This Row],[Profit]]/Table1[[#This Row],[Sales]]</f>
        <v>2.7537695523509795E-2</v>
      </c>
      <c r="Q190" s="11" t="s">
        <v>33</v>
      </c>
      <c r="R190" s="11" t="s">
        <v>136</v>
      </c>
      <c r="S190" s="11" t="s">
        <v>362</v>
      </c>
      <c r="T190" s="11" t="s">
        <v>447</v>
      </c>
      <c r="U190" s="11">
        <v>33132</v>
      </c>
      <c r="V190" s="12">
        <v>42164</v>
      </c>
      <c r="W190" s="13" t="str">
        <f>TEXT(Table1[[#This Row],[Order Date]],"mmmm")</f>
        <v>June</v>
      </c>
      <c r="X190" s="7" t="str">
        <f>TEXT(Table1[[#This Row],[Order Date]],"yyyy")</f>
        <v>2015</v>
      </c>
      <c r="Y190" s="12">
        <v>42166</v>
      </c>
      <c r="Z190" s="11">
        <v>5.8624999999999998</v>
      </c>
      <c r="AA190" s="11">
        <v>23</v>
      </c>
      <c r="AB190" s="11">
        <v>212.89</v>
      </c>
      <c r="AC190" s="11">
        <v>17446</v>
      </c>
      <c r="AD190" s="6" t="str">
        <f>IF(COUNTIF(Returns!$A$2:$A$1635,Orders!AC190)&gt;0,"Returned","Not Returned")</f>
        <v>Not Returned</v>
      </c>
    </row>
    <row r="191" spans="1:30" ht="12.75" customHeight="1" thickTop="1" thickBot="1" x14ac:dyDescent="0.25">
      <c r="A191" s="8">
        <v>1595</v>
      </c>
      <c r="B191" s="1" t="s">
        <v>56</v>
      </c>
      <c r="C191" s="1">
        <v>0.04</v>
      </c>
      <c r="D191" s="1">
        <v>99.23</v>
      </c>
      <c r="E191" s="1">
        <v>8.99</v>
      </c>
      <c r="F191" s="1">
        <v>349</v>
      </c>
      <c r="G191" s="6" t="str">
        <f>IF(COUNTIF(Table1[Customer ID],Table1[[#This Row],[Customer ID]])&gt;1,"Repeat Customer","One-Time Customer")</f>
        <v>Repeat Customer</v>
      </c>
      <c r="H191" s="1" t="s">
        <v>453</v>
      </c>
      <c r="I191" s="1" t="s">
        <v>49</v>
      </c>
      <c r="J191" s="1" t="s">
        <v>40</v>
      </c>
      <c r="K191" s="1" t="s">
        <v>41</v>
      </c>
      <c r="L191" s="1" t="s">
        <v>50</v>
      </c>
      <c r="M191" s="1" t="s">
        <v>51</v>
      </c>
      <c r="N191" s="1" t="s">
        <v>454</v>
      </c>
      <c r="O191" s="1">
        <v>0.35</v>
      </c>
      <c r="P191" s="6">
        <f>Table1[[#This Row],[Profit]]/Table1[[#This Row],[Sales]]</f>
        <v>0.34499886600907193</v>
      </c>
      <c r="Q191" s="1" t="s">
        <v>33</v>
      </c>
      <c r="R191" s="1" t="s">
        <v>136</v>
      </c>
      <c r="S191" s="1" t="s">
        <v>362</v>
      </c>
      <c r="T191" s="1" t="s">
        <v>447</v>
      </c>
      <c r="U191" s="1">
        <v>33132</v>
      </c>
      <c r="V191" s="9">
        <v>42006</v>
      </c>
      <c r="W191" s="13" t="str">
        <f>TEXT(Table1[[#This Row],[Order Date]],"mmmm")</f>
        <v>January</v>
      </c>
      <c r="X191" s="7" t="str">
        <f>TEXT(Table1[[#This Row],[Order Date]],"yyyy")</f>
        <v>2015</v>
      </c>
      <c r="Y191" s="9">
        <v>42008</v>
      </c>
      <c r="Z191" s="1">
        <v>1916.6757</v>
      </c>
      <c r="AA191" s="1">
        <v>54</v>
      </c>
      <c r="AB191" s="1">
        <v>5555.6</v>
      </c>
      <c r="AC191" s="1">
        <v>11527</v>
      </c>
      <c r="AD191" s="6" t="str">
        <f>IF(COUNTIF(Returns!$A$2:$A$1635,Orders!AC191)&gt;0,"Returned","Not Returned")</f>
        <v>Not Returned</v>
      </c>
    </row>
    <row r="192" spans="1:30" ht="12.75" customHeight="1" thickTop="1" thickBot="1" x14ac:dyDescent="0.25">
      <c r="A192" s="10">
        <v>20408</v>
      </c>
      <c r="B192" s="11" t="s">
        <v>47</v>
      </c>
      <c r="C192" s="11">
        <v>0</v>
      </c>
      <c r="D192" s="11">
        <v>8.34</v>
      </c>
      <c r="E192" s="11">
        <v>2.64</v>
      </c>
      <c r="F192" s="11">
        <v>351</v>
      </c>
      <c r="G192" s="6" t="str">
        <f>IF(COUNTIF(Table1[Customer ID],Table1[[#This Row],[Customer ID]])&gt;1,"Repeat Customer","One-Time Customer")</f>
        <v>Repeat Customer</v>
      </c>
      <c r="H192" s="11" t="s">
        <v>455</v>
      </c>
      <c r="I192" s="11" t="s">
        <v>27</v>
      </c>
      <c r="J192" s="11" t="s">
        <v>40</v>
      </c>
      <c r="K192" s="11" t="s">
        <v>29</v>
      </c>
      <c r="L192" s="11" t="s">
        <v>174</v>
      </c>
      <c r="M192" s="11" t="s">
        <v>51</v>
      </c>
      <c r="N192" s="11" t="s">
        <v>358</v>
      </c>
      <c r="O192" s="11">
        <v>0.59</v>
      </c>
      <c r="P192" s="6">
        <f>Table1[[#This Row],[Profit]]/Table1[[#This Row],[Sales]]</f>
        <v>0.18905293482175009</v>
      </c>
      <c r="Q192" s="11" t="s">
        <v>33</v>
      </c>
      <c r="R192" s="11" t="s">
        <v>53</v>
      </c>
      <c r="S192" s="11" t="s">
        <v>71</v>
      </c>
      <c r="T192" s="11" t="s">
        <v>456</v>
      </c>
      <c r="U192" s="11">
        <v>13601</v>
      </c>
      <c r="V192" s="12">
        <v>42164</v>
      </c>
      <c r="W192" s="13" t="str">
        <f>TEXT(Table1[[#This Row],[Order Date]],"mmmm")</f>
        <v>June</v>
      </c>
      <c r="X192" s="7" t="str">
        <f>TEXT(Table1[[#This Row],[Order Date]],"yyyy")</f>
        <v>2015</v>
      </c>
      <c r="Y192" s="12">
        <v>42166</v>
      </c>
      <c r="Z192" s="11">
        <v>10.5</v>
      </c>
      <c r="AA192" s="11">
        <v>6</v>
      </c>
      <c r="AB192" s="11">
        <v>55.54</v>
      </c>
      <c r="AC192" s="11">
        <v>88685</v>
      </c>
      <c r="AD192" s="6" t="str">
        <f>IF(COUNTIF(Returns!$A$2:$A$1635,Orders!AC192)&gt;0,"Returned","Not Returned")</f>
        <v>Not Returned</v>
      </c>
    </row>
    <row r="193" spans="1:30" ht="12.75" customHeight="1" thickTop="1" thickBot="1" x14ac:dyDescent="0.25">
      <c r="A193" s="8">
        <v>19595</v>
      </c>
      <c r="B193" s="1" t="s">
        <v>56</v>
      </c>
      <c r="C193" s="1">
        <v>0.04</v>
      </c>
      <c r="D193" s="1">
        <v>99.23</v>
      </c>
      <c r="E193" s="1">
        <v>8.99</v>
      </c>
      <c r="F193" s="1">
        <v>351</v>
      </c>
      <c r="G193" s="6" t="str">
        <f>IF(COUNTIF(Table1[Customer ID],Table1[[#This Row],[Customer ID]])&gt;1,"Repeat Customer","One-Time Customer")</f>
        <v>Repeat Customer</v>
      </c>
      <c r="H193" s="1" t="s">
        <v>455</v>
      </c>
      <c r="I193" s="1" t="s">
        <v>49</v>
      </c>
      <c r="J193" s="1" t="s">
        <v>40</v>
      </c>
      <c r="K193" s="1" t="s">
        <v>41</v>
      </c>
      <c r="L193" s="1" t="s">
        <v>50</v>
      </c>
      <c r="M193" s="1" t="s">
        <v>51</v>
      </c>
      <c r="N193" s="1" t="s">
        <v>454</v>
      </c>
      <c r="O193" s="1">
        <v>0.35</v>
      </c>
      <c r="P193" s="6">
        <f>Table1[[#This Row],[Profit]]/Table1[[#This Row],[Sales]]</f>
        <v>0.69</v>
      </c>
      <c r="Q193" s="1" t="s">
        <v>33</v>
      </c>
      <c r="R193" s="1" t="s">
        <v>53</v>
      </c>
      <c r="S193" s="1" t="s">
        <v>71</v>
      </c>
      <c r="T193" s="1" t="s">
        <v>456</v>
      </c>
      <c r="U193" s="1">
        <v>13601</v>
      </c>
      <c r="V193" s="9">
        <v>42006</v>
      </c>
      <c r="W193" s="13" t="str">
        <f>TEXT(Table1[[#This Row],[Order Date]],"mmmm")</f>
        <v>January</v>
      </c>
      <c r="X193" s="7" t="str">
        <f>TEXT(Table1[[#This Row],[Order Date]],"yyyy")</f>
        <v>2015</v>
      </c>
      <c r="Y193" s="9">
        <v>42008</v>
      </c>
      <c r="Z193" s="1">
        <v>993.83459999999991</v>
      </c>
      <c r="AA193" s="1">
        <v>14</v>
      </c>
      <c r="AB193" s="1">
        <v>1440.34</v>
      </c>
      <c r="AC193" s="1">
        <v>88686</v>
      </c>
      <c r="AD193" s="6" t="str">
        <f>IF(COUNTIF(Returns!$A$2:$A$1635,Orders!AC193)&gt;0,"Returned","Not Returned")</f>
        <v>Not Returned</v>
      </c>
    </row>
    <row r="194" spans="1:30" ht="14.25" thickTop="1" thickBot="1" x14ac:dyDescent="0.25">
      <c r="A194" s="10">
        <v>19107</v>
      </c>
      <c r="B194" s="11" t="s">
        <v>106</v>
      </c>
      <c r="C194" s="11">
        <v>0.08</v>
      </c>
      <c r="D194" s="11">
        <v>4.8899999999999997</v>
      </c>
      <c r="E194" s="11">
        <v>4.93</v>
      </c>
      <c r="F194" s="11">
        <v>353</v>
      </c>
      <c r="G194" s="6" t="str">
        <f>IF(COUNTIF(Table1[Customer ID],Table1[[#This Row],[Customer ID]])&gt;1,"Repeat Customer","One-Time Customer")</f>
        <v>Repeat Customer</v>
      </c>
      <c r="H194" s="11" t="s">
        <v>457</v>
      </c>
      <c r="I194" s="11" t="s">
        <v>27</v>
      </c>
      <c r="J194" s="11" t="s">
        <v>40</v>
      </c>
      <c r="K194" s="11" t="s">
        <v>77</v>
      </c>
      <c r="L194" s="11" t="s">
        <v>180</v>
      </c>
      <c r="M194" s="11" t="s">
        <v>51</v>
      </c>
      <c r="N194" s="11" t="s">
        <v>458</v>
      </c>
      <c r="O194" s="11">
        <v>0.66</v>
      </c>
      <c r="P194" s="6">
        <f>Table1[[#This Row],[Profit]]/Table1[[#This Row],[Sales]]</f>
        <v>-1.9519820670127417</v>
      </c>
      <c r="Q194" s="11" t="s">
        <v>33</v>
      </c>
      <c r="R194" s="11" t="s">
        <v>34</v>
      </c>
      <c r="S194" s="11" t="s">
        <v>378</v>
      </c>
      <c r="T194" s="11" t="s">
        <v>459</v>
      </c>
      <c r="U194" s="11">
        <v>85301</v>
      </c>
      <c r="V194" s="12">
        <v>42138</v>
      </c>
      <c r="W194" s="13" t="str">
        <f>TEXT(Table1[[#This Row],[Order Date]],"mmmm")</f>
        <v>May</v>
      </c>
      <c r="X194" s="7" t="str">
        <f>TEXT(Table1[[#This Row],[Order Date]],"yyyy")</f>
        <v>2015</v>
      </c>
      <c r="Y194" s="12">
        <v>42138</v>
      </c>
      <c r="Z194" s="11">
        <v>-165.45</v>
      </c>
      <c r="AA194" s="11">
        <v>17</v>
      </c>
      <c r="AB194" s="11">
        <v>84.76</v>
      </c>
      <c r="AC194" s="11">
        <v>89647</v>
      </c>
      <c r="AD194" s="6" t="str">
        <f>IF(COUNTIF(Returns!$A$2:$A$1635,Orders!AC194)&gt;0,"Returned","Not Returned")</f>
        <v>Not Returned</v>
      </c>
    </row>
    <row r="195" spans="1:30" ht="14.25" thickTop="1" thickBot="1" x14ac:dyDescent="0.25">
      <c r="A195" s="8">
        <v>19108</v>
      </c>
      <c r="B195" s="1" t="s">
        <v>106</v>
      </c>
      <c r="C195" s="1">
        <v>7.0000000000000007E-2</v>
      </c>
      <c r="D195" s="1">
        <v>6.68</v>
      </c>
      <c r="E195" s="1">
        <v>6.92</v>
      </c>
      <c r="F195" s="1">
        <v>353</v>
      </c>
      <c r="G195" s="6" t="str">
        <f>IF(COUNTIF(Table1[Customer ID],Table1[[#This Row],[Customer ID]])&gt;1,"Repeat Customer","One-Time Customer")</f>
        <v>Repeat Customer</v>
      </c>
      <c r="H195" s="1" t="s">
        <v>457</v>
      </c>
      <c r="I195" s="1" t="s">
        <v>49</v>
      </c>
      <c r="J195" s="1" t="s">
        <v>40</v>
      </c>
      <c r="K195" s="1" t="s">
        <v>29</v>
      </c>
      <c r="L195" s="1" t="s">
        <v>93</v>
      </c>
      <c r="M195" s="1" t="s">
        <v>59</v>
      </c>
      <c r="N195" s="1" t="s">
        <v>460</v>
      </c>
      <c r="O195" s="1">
        <v>0.37</v>
      </c>
      <c r="P195" s="6">
        <f>Table1[[#This Row],[Profit]]/Table1[[#This Row],[Sales]]</f>
        <v>-1.346051125524609</v>
      </c>
      <c r="Q195" s="1" t="s">
        <v>33</v>
      </c>
      <c r="R195" s="1" t="s">
        <v>34</v>
      </c>
      <c r="S195" s="1" t="s">
        <v>378</v>
      </c>
      <c r="T195" s="1" t="s">
        <v>459</v>
      </c>
      <c r="U195" s="1">
        <v>85301</v>
      </c>
      <c r="V195" s="9">
        <v>42138</v>
      </c>
      <c r="W195" s="13" t="str">
        <f>TEXT(Table1[[#This Row],[Order Date]],"mmmm")</f>
        <v>May</v>
      </c>
      <c r="X195" s="7" t="str">
        <f>TEXT(Table1[[#This Row],[Order Date]],"yyyy")</f>
        <v>2015</v>
      </c>
      <c r="Y195" s="9">
        <v>42145</v>
      </c>
      <c r="Z195" s="1">
        <v>-141.12</v>
      </c>
      <c r="AA195" s="1">
        <v>16</v>
      </c>
      <c r="AB195" s="1">
        <v>104.84</v>
      </c>
      <c r="AC195" s="1">
        <v>89647</v>
      </c>
      <c r="AD195" s="6" t="str">
        <f>IF(COUNTIF(Returns!$A$2:$A$1635,Orders!AC195)&gt;0,"Returned","Not Returned")</f>
        <v>Not Returned</v>
      </c>
    </row>
    <row r="196" spans="1:30" ht="14.25" thickTop="1" thickBot="1" x14ac:dyDescent="0.25">
      <c r="A196" s="10">
        <v>20760</v>
      </c>
      <c r="B196" s="11" t="s">
        <v>47</v>
      </c>
      <c r="C196" s="11">
        <v>7.0000000000000007E-2</v>
      </c>
      <c r="D196" s="11">
        <v>124.49</v>
      </c>
      <c r="E196" s="11">
        <v>51.94</v>
      </c>
      <c r="F196" s="11">
        <v>357</v>
      </c>
      <c r="G196" s="6" t="str">
        <f>IF(COUNTIF(Table1[Customer ID],Table1[[#This Row],[Customer ID]])&gt;1,"Repeat Customer","One-Time Customer")</f>
        <v>One-Time Customer</v>
      </c>
      <c r="H196" s="11" t="s">
        <v>461</v>
      </c>
      <c r="I196" s="11" t="s">
        <v>39</v>
      </c>
      <c r="J196" s="11" t="s">
        <v>28</v>
      </c>
      <c r="K196" s="11" t="s">
        <v>41</v>
      </c>
      <c r="L196" s="11" t="s">
        <v>152</v>
      </c>
      <c r="M196" s="11" t="s">
        <v>121</v>
      </c>
      <c r="N196" s="11" t="s">
        <v>462</v>
      </c>
      <c r="O196" s="11">
        <v>0.63</v>
      </c>
      <c r="P196" s="6">
        <f>Table1[[#This Row],[Profit]]/Table1[[#This Row],[Sales]]</f>
        <v>0.62652119911599891</v>
      </c>
      <c r="Q196" s="11" t="s">
        <v>33</v>
      </c>
      <c r="R196" s="11" t="s">
        <v>34</v>
      </c>
      <c r="S196" s="11" t="s">
        <v>378</v>
      </c>
      <c r="T196" s="11" t="s">
        <v>463</v>
      </c>
      <c r="U196" s="11">
        <v>86401</v>
      </c>
      <c r="V196" s="12">
        <v>42148</v>
      </c>
      <c r="W196" s="13" t="str">
        <f>TEXT(Table1[[#This Row],[Order Date]],"mmmm")</f>
        <v>May</v>
      </c>
      <c r="X196" s="7" t="str">
        <f>TEXT(Table1[[#This Row],[Order Date]],"yyyy")</f>
        <v>2015</v>
      </c>
      <c r="Y196" s="12">
        <v>42149</v>
      </c>
      <c r="Z196" s="11">
        <v>1074.44</v>
      </c>
      <c r="AA196" s="11">
        <v>14</v>
      </c>
      <c r="AB196" s="11">
        <v>1714.93</v>
      </c>
      <c r="AC196" s="11">
        <v>91131</v>
      </c>
      <c r="AD196" s="6" t="str">
        <f>IF(COUNTIF(Returns!$A$2:$A$1635,Orders!AC196)&gt;0,"Returned","Not Returned")</f>
        <v>Not Returned</v>
      </c>
    </row>
    <row r="197" spans="1:30" ht="12.75" customHeight="1" thickTop="1" thickBot="1" x14ac:dyDescent="0.25">
      <c r="A197" s="8">
        <v>24627</v>
      </c>
      <c r="B197" s="1" t="s">
        <v>106</v>
      </c>
      <c r="C197" s="1">
        <v>0.04</v>
      </c>
      <c r="D197" s="1">
        <v>125.99</v>
      </c>
      <c r="E197" s="1">
        <v>8.99</v>
      </c>
      <c r="F197" s="1">
        <v>358</v>
      </c>
      <c r="G197" s="6" t="str">
        <f>IF(COUNTIF(Table1[Customer ID],Table1[[#This Row],[Customer ID]])&gt;1,"Repeat Customer","One-Time Customer")</f>
        <v>One-Time Customer</v>
      </c>
      <c r="H197" s="1" t="s">
        <v>464</v>
      </c>
      <c r="I197" s="1" t="s">
        <v>49</v>
      </c>
      <c r="J197" s="1" t="s">
        <v>28</v>
      </c>
      <c r="K197" s="1" t="s">
        <v>77</v>
      </c>
      <c r="L197" s="1" t="s">
        <v>78</v>
      </c>
      <c r="M197" s="1" t="s">
        <v>59</v>
      </c>
      <c r="N197" s="1" t="s">
        <v>465</v>
      </c>
      <c r="O197" s="1">
        <v>0.59</v>
      </c>
      <c r="P197" s="6">
        <f>Table1[[#This Row],[Profit]]/Table1[[#This Row],[Sales]]</f>
        <v>-5.8158584529874942</v>
      </c>
      <c r="Q197" s="1" t="s">
        <v>33</v>
      </c>
      <c r="R197" s="1" t="s">
        <v>53</v>
      </c>
      <c r="S197" s="1" t="s">
        <v>234</v>
      </c>
      <c r="T197" s="1" t="s">
        <v>466</v>
      </c>
      <c r="U197" s="1">
        <v>19406</v>
      </c>
      <c r="V197" s="9">
        <v>42013</v>
      </c>
      <c r="W197" s="13" t="str">
        <f>TEXT(Table1[[#This Row],[Order Date]],"mmmm")</f>
        <v>January</v>
      </c>
      <c r="X197" s="7" t="str">
        <f>TEXT(Table1[[#This Row],[Order Date]],"yyyy")</f>
        <v>2015</v>
      </c>
      <c r="Y197" s="9">
        <v>42020</v>
      </c>
      <c r="Z197" s="1">
        <v>-627.82191999999998</v>
      </c>
      <c r="AA197" s="1">
        <v>1</v>
      </c>
      <c r="AB197" s="1">
        <v>107.95</v>
      </c>
      <c r="AC197" s="1">
        <v>91130</v>
      </c>
      <c r="AD197" s="6" t="str">
        <f>IF(COUNTIF(Returns!$A$2:$A$1635,Orders!AC197)&gt;0,"Returned","Not Returned")</f>
        <v>Not Returned</v>
      </c>
    </row>
    <row r="198" spans="1:30" ht="12.75" customHeight="1" thickTop="1" thickBot="1" x14ac:dyDescent="0.25">
      <c r="A198" s="10">
        <v>18278</v>
      </c>
      <c r="B198" s="11" t="s">
        <v>56</v>
      </c>
      <c r="C198" s="11">
        <v>0.05</v>
      </c>
      <c r="D198" s="11">
        <v>328.14</v>
      </c>
      <c r="E198" s="11">
        <v>91.05</v>
      </c>
      <c r="F198" s="11">
        <v>366</v>
      </c>
      <c r="G198" s="6" t="str">
        <f>IF(COUNTIF(Table1[Customer ID],Table1[[#This Row],[Customer ID]])&gt;1,"Repeat Customer","One-Time Customer")</f>
        <v>One-Time Customer</v>
      </c>
      <c r="H198" s="11" t="s">
        <v>467</v>
      </c>
      <c r="I198" s="11" t="s">
        <v>39</v>
      </c>
      <c r="J198" s="11" t="s">
        <v>58</v>
      </c>
      <c r="K198" s="11" t="s">
        <v>29</v>
      </c>
      <c r="L198" s="11" t="s">
        <v>257</v>
      </c>
      <c r="M198" s="11" t="s">
        <v>43</v>
      </c>
      <c r="N198" s="11" t="s">
        <v>468</v>
      </c>
      <c r="O198" s="11">
        <v>0.56999999999999995</v>
      </c>
      <c r="P198" s="6">
        <f>Table1[[#This Row],[Profit]]/Table1[[#This Row],[Sales]]</f>
        <v>0.20910639335765607</v>
      </c>
      <c r="Q198" s="11" t="s">
        <v>33</v>
      </c>
      <c r="R198" s="11" t="s">
        <v>53</v>
      </c>
      <c r="S198" s="11" t="s">
        <v>469</v>
      </c>
      <c r="T198" s="11" t="s">
        <v>470</v>
      </c>
      <c r="U198" s="11">
        <v>2910</v>
      </c>
      <c r="V198" s="12">
        <v>42021</v>
      </c>
      <c r="W198" s="13" t="str">
        <f>TEXT(Table1[[#This Row],[Order Date]],"mmmm")</f>
        <v>January</v>
      </c>
      <c r="X198" s="7" t="str">
        <f>TEXT(Table1[[#This Row],[Order Date]],"yyyy")</f>
        <v>2015</v>
      </c>
      <c r="Y198" s="12">
        <v>42023</v>
      </c>
      <c r="Z198" s="11">
        <v>411.5172</v>
      </c>
      <c r="AA198" s="11">
        <v>6</v>
      </c>
      <c r="AB198" s="11">
        <v>1967.98</v>
      </c>
      <c r="AC198" s="11">
        <v>87347</v>
      </c>
      <c r="AD198" s="6" t="str">
        <f>IF(COUNTIF(Returns!$A$2:$A$1635,Orders!AC198)&gt;0,"Returned","Not Returned")</f>
        <v>Not Returned</v>
      </c>
    </row>
    <row r="199" spans="1:30" ht="12.75" customHeight="1" thickTop="1" thickBot="1" x14ac:dyDescent="0.25">
      <c r="A199" s="8">
        <v>24794</v>
      </c>
      <c r="B199" s="1" t="s">
        <v>106</v>
      </c>
      <c r="C199" s="1">
        <v>0.09</v>
      </c>
      <c r="D199" s="1">
        <v>19.23</v>
      </c>
      <c r="E199" s="1">
        <v>6.15</v>
      </c>
      <c r="F199" s="1">
        <v>369</v>
      </c>
      <c r="G199" s="6" t="str">
        <f>IF(COUNTIF(Table1[Customer ID],Table1[[#This Row],[Customer ID]])&gt;1,"Repeat Customer","One-Time Customer")</f>
        <v>One-Time Customer</v>
      </c>
      <c r="H199" s="1" t="s">
        <v>471</v>
      </c>
      <c r="I199" s="1" t="s">
        <v>27</v>
      </c>
      <c r="J199" s="1" t="s">
        <v>28</v>
      </c>
      <c r="K199" s="1" t="s">
        <v>41</v>
      </c>
      <c r="L199" s="1" t="s">
        <v>50</v>
      </c>
      <c r="M199" s="1" t="s">
        <v>51</v>
      </c>
      <c r="N199" s="1" t="s">
        <v>472</v>
      </c>
      <c r="O199" s="1">
        <v>0.44</v>
      </c>
      <c r="P199" s="6">
        <f>Table1[[#This Row],[Profit]]/Table1[[#This Row],[Sales]]</f>
        <v>0.53598579040852568</v>
      </c>
      <c r="Q199" s="1" t="s">
        <v>33</v>
      </c>
      <c r="R199" s="1" t="s">
        <v>34</v>
      </c>
      <c r="S199" s="1" t="s">
        <v>45</v>
      </c>
      <c r="T199" s="1" t="s">
        <v>473</v>
      </c>
      <c r="U199" s="1">
        <v>94601</v>
      </c>
      <c r="V199" s="9">
        <v>42105</v>
      </c>
      <c r="W199" s="13" t="str">
        <f>TEXT(Table1[[#This Row],[Order Date]],"mmmm")</f>
        <v>April</v>
      </c>
      <c r="X199" s="7" t="str">
        <f>TEXT(Table1[[#This Row],[Order Date]],"yyyy")</f>
        <v>2015</v>
      </c>
      <c r="Y199" s="9">
        <v>42107</v>
      </c>
      <c r="Z199" s="1">
        <v>211.232</v>
      </c>
      <c r="AA199" s="1">
        <v>21</v>
      </c>
      <c r="AB199" s="1">
        <v>394.1</v>
      </c>
      <c r="AC199" s="1">
        <v>90292</v>
      </c>
      <c r="AD199" s="6" t="str">
        <f>IF(COUNTIF(Returns!$A$2:$A$1635,Orders!AC199)&gt;0,"Returned","Not Returned")</f>
        <v>Not Returned</v>
      </c>
    </row>
    <row r="200" spans="1:30" ht="12.75" customHeight="1" thickTop="1" thickBot="1" x14ac:dyDescent="0.25">
      <c r="A200" s="10">
        <v>20401</v>
      </c>
      <c r="B200" s="11" t="s">
        <v>37</v>
      </c>
      <c r="C200" s="11">
        <v>0.02</v>
      </c>
      <c r="D200" s="11">
        <v>20.99</v>
      </c>
      <c r="E200" s="11">
        <v>4.8099999999999996</v>
      </c>
      <c r="F200" s="11">
        <v>370</v>
      </c>
      <c r="G200" s="6" t="str">
        <f>IF(COUNTIF(Table1[Customer ID],Table1[[#This Row],[Customer ID]])&gt;1,"Repeat Customer","One-Time Customer")</f>
        <v>One-Time Customer</v>
      </c>
      <c r="H200" s="11" t="s">
        <v>474</v>
      </c>
      <c r="I200" s="11" t="s">
        <v>49</v>
      </c>
      <c r="J200" s="11" t="s">
        <v>28</v>
      </c>
      <c r="K200" s="11" t="s">
        <v>77</v>
      </c>
      <c r="L200" s="11" t="s">
        <v>78</v>
      </c>
      <c r="M200" s="11" t="s">
        <v>86</v>
      </c>
      <c r="N200" s="11" t="s">
        <v>475</v>
      </c>
      <c r="O200" s="11">
        <v>0.57999999999999996</v>
      </c>
      <c r="P200" s="6">
        <f>Table1[[#This Row],[Profit]]/Table1[[#This Row],[Sales]]</f>
        <v>0.18689890761665229</v>
      </c>
      <c r="Q200" s="11" t="s">
        <v>33</v>
      </c>
      <c r="R200" s="11" t="s">
        <v>53</v>
      </c>
      <c r="S200" s="11" t="s">
        <v>188</v>
      </c>
      <c r="T200" s="11" t="s">
        <v>476</v>
      </c>
      <c r="U200" s="11">
        <v>4240</v>
      </c>
      <c r="V200" s="12">
        <v>42151</v>
      </c>
      <c r="W200" s="13" t="str">
        <f>TEXT(Table1[[#This Row],[Order Date]],"mmmm")</f>
        <v>May</v>
      </c>
      <c r="X200" s="7" t="str">
        <f>TEXT(Table1[[#This Row],[Order Date]],"yyyy")</f>
        <v>2015</v>
      </c>
      <c r="Y200" s="12">
        <v>42153</v>
      </c>
      <c r="Z200" s="11">
        <v>49.787999999999997</v>
      </c>
      <c r="AA200" s="11">
        <v>15</v>
      </c>
      <c r="AB200" s="11">
        <v>266.39</v>
      </c>
      <c r="AC200" s="11">
        <v>90291</v>
      </c>
      <c r="AD200" s="6" t="str">
        <f>IF(COUNTIF(Returns!$A$2:$A$1635,Orders!AC200)&gt;0,"Returned","Not Returned")</f>
        <v>Not Returned</v>
      </c>
    </row>
    <row r="201" spans="1:30" ht="12.75" customHeight="1" thickTop="1" thickBot="1" x14ac:dyDescent="0.25">
      <c r="A201" s="8">
        <v>20400</v>
      </c>
      <c r="B201" s="1" t="s">
        <v>37</v>
      </c>
      <c r="C201" s="1">
        <v>0.05</v>
      </c>
      <c r="D201" s="1">
        <v>5.4</v>
      </c>
      <c r="E201" s="1">
        <v>7.78</v>
      </c>
      <c r="F201" s="1">
        <v>371</v>
      </c>
      <c r="G201" s="6" t="str">
        <f>IF(COUNTIF(Table1[Customer ID],Table1[[#This Row],[Customer ID]])&gt;1,"Repeat Customer","One-Time Customer")</f>
        <v>One-Time Customer</v>
      </c>
      <c r="H201" s="1" t="s">
        <v>477</v>
      </c>
      <c r="I201" s="1" t="s">
        <v>27</v>
      </c>
      <c r="J201" s="1" t="s">
        <v>28</v>
      </c>
      <c r="K201" s="1" t="s">
        <v>29</v>
      </c>
      <c r="L201" s="1" t="s">
        <v>109</v>
      </c>
      <c r="M201" s="1" t="s">
        <v>59</v>
      </c>
      <c r="N201" s="1" t="s">
        <v>310</v>
      </c>
      <c r="O201" s="1">
        <v>0.37</v>
      </c>
      <c r="P201" s="6">
        <f>Table1[[#This Row],[Profit]]/Table1[[#This Row],[Sales]]</f>
        <v>-2.5594268622153611</v>
      </c>
      <c r="Q201" s="1" t="s">
        <v>33</v>
      </c>
      <c r="R201" s="1" t="s">
        <v>53</v>
      </c>
      <c r="S201" s="1" t="s">
        <v>193</v>
      </c>
      <c r="T201" s="1" t="s">
        <v>478</v>
      </c>
      <c r="U201" s="1">
        <v>2149</v>
      </c>
      <c r="V201" s="9">
        <v>42151</v>
      </c>
      <c r="W201" s="13" t="str">
        <f>TEXT(Table1[[#This Row],[Order Date]],"mmmm")</f>
        <v>May</v>
      </c>
      <c r="X201" s="7" t="str">
        <f>TEXT(Table1[[#This Row],[Order Date]],"yyyy")</f>
        <v>2015</v>
      </c>
      <c r="Y201" s="9">
        <v>42153</v>
      </c>
      <c r="Z201" s="1">
        <v>-132.62950000000001</v>
      </c>
      <c r="AA201" s="1">
        <v>9</v>
      </c>
      <c r="AB201" s="1">
        <v>51.82</v>
      </c>
      <c r="AC201" s="1">
        <v>90291</v>
      </c>
      <c r="AD201" s="6" t="str">
        <f>IF(COUNTIF(Returns!$A$2:$A$1635,Orders!AC201)&gt;0,"Returned","Not Returned")</f>
        <v>Not Returned</v>
      </c>
    </row>
    <row r="202" spans="1:30" ht="12.75" customHeight="1" thickTop="1" thickBot="1" x14ac:dyDescent="0.25">
      <c r="A202" s="10">
        <v>3392</v>
      </c>
      <c r="B202" s="11" t="s">
        <v>37</v>
      </c>
      <c r="C202" s="11">
        <v>0.02</v>
      </c>
      <c r="D202" s="11">
        <v>200.98</v>
      </c>
      <c r="E202" s="11">
        <v>55.96</v>
      </c>
      <c r="F202" s="11">
        <v>373</v>
      </c>
      <c r="G202" s="6" t="str">
        <f>IF(COUNTIF(Table1[Customer ID],Table1[[#This Row],[Customer ID]])&gt;1,"Repeat Customer","One-Time Customer")</f>
        <v>Repeat Customer</v>
      </c>
      <c r="H202" s="11" t="s">
        <v>479</v>
      </c>
      <c r="I202" s="11" t="s">
        <v>39</v>
      </c>
      <c r="J202" s="11" t="s">
        <v>58</v>
      </c>
      <c r="K202" s="11" t="s">
        <v>41</v>
      </c>
      <c r="L202" s="11" t="s">
        <v>191</v>
      </c>
      <c r="M202" s="11" t="s">
        <v>121</v>
      </c>
      <c r="N202" s="11" t="s">
        <v>480</v>
      </c>
      <c r="O202" s="11">
        <v>0.75</v>
      </c>
      <c r="P202" s="6">
        <f>Table1[[#This Row],[Profit]]/Table1[[#This Row],[Sales]]</f>
        <v>-1.7152710805484507E-2</v>
      </c>
      <c r="Q202" s="11" t="s">
        <v>33</v>
      </c>
      <c r="R202" s="11" t="s">
        <v>61</v>
      </c>
      <c r="S202" s="11" t="s">
        <v>300</v>
      </c>
      <c r="T202" s="11" t="s">
        <v>301</v>
      </c>
      <c r="U202" s="11">
        <v>48234</v>
      </c>
      <c r="V202" s="12">
        <v>42077</v>
      </c>
      <c r="W202" s="13" t="str">
        <f>TEXT(Table1[[#This Row],[Order Date]],"mmmm")</f>
        <v>March</v>
      </c>
      <c r="X202" s="7" t="str">
        <f>TEXT(Table1[[#This Row],[Order Date]],"yyyy")</f>
        <v>2015</v>
      </c>
      <c r="Y202" s="12">
        <v>42079</v>
      </c>
      <c r="Z202" s="11">
        <v>-163.63</v>
      </c>
      <c r="AA202" s="11">
        <v>45</v>
      </c>
      <c r="AB202" s="11">
        <v>9539.6</v>
      </c>
      <c r="AC202" s="11">
        <v>24193</v>
      </c>
      <c r="AD202" s="6" t="str">
        <f>IF(COUNTIF(Returns!$A$2:$A$1635,Orders!AC202)&gt;0,"Returned","Not Returned")</f>
        <v>Not Returned</v>
      </c>
    </row>
    <row r="203" spans="1:30" ht="12.75" customHeight="1" thickTop="1" thickBot="1" x14ac:dyDescent="0.25">
      <c r="A203" s="8">
        <v>3393</v>
      </c>
      <c r="B203" s="1" t="s">
        <v>37</v>
      </c>
      <c r="C203" s="1">
        <v>0.02</v>
      </c>
      <c r="D203" s="1">
        <v>4.28</v>
      </c>
      <c r="E203" s="1">
        <v>5.17</v>
      </c>
      <c r="F203" s="1">
        <v>373</v>
      </c>
      <c r="G203" s="6" t="str">
        <f>IF(COUNTIF(Table1[Customer ID],Table1[[#This Row],[Customer ID]])&gt;1,"Repeat Customer","One-Time Customer")</f>
        <v>Repeat Customer</v>
      </c>
      <c r="H203" s="1" t="s">
        <v>479</v>
      </c>
      <c r="I203" s="1" t="s">
        <v>49</v>
      </c>
      <c r="J203" s="1" t="s">
        <v>58</v>
      </c>
      <c r="K203" s="1" t="s">
        <v>29</v>
      </c>
      <c r="L203" s="1" t="s">
        <v>93</v>
      </c>
      <c r="M203" s="1" t="s">
        <v>59</v>
      </c>
      <c r="N203" s="1" t="s">
        <v>481</v>
      </c>
      <c r="O203" s="1">
        <v>0.4</v>
      </c>
      <c r="P203" s="6">
        <f>Table1[[#This Row],[Profit]]/Table1[[#This Row],[Sales]]</f>
        <v>-0.58137629710540684</v>
      </c>
      <c r="Q203" s="1" t="s">
        <v>33</v>
      </c>
      <c r="R203" s="1" t="s">
        <v>61</v>
      </c>
      <c r="S203" s="1" t="s">
        <v>300</v>
      </c>
      <c r="T203" s="1" t="s">
        <v>301</v>
      </c>
      <c r="U203" s="1">
        <v>48234</v>
      </c>
      <c r="V203" s="9">
        <v>42077</v>
      </c>
      <c r="W203" s="13" t="str">
        <f>TEXT(Table1[[#This Row],[Order Date]],"mmmm")</f>
        <v>March</v>
      </c>
      <c r="X203" s="7" t="str">
        <f>TEXT(Table1[[#This Row],[Order Date]],"yyyy")</f>
        <v>2015</v>
      </c>
      <c r="Y203" s="9">
        <v>42078</v>
      </c>
      <c r="Z203" s="1">
        <v>-63.87</v>
      </c>
      <c r="AA203" s="1">
        <v>24</v>
      </c>
      <c r="AB203" s="1">
        <v>109.86</v>
      </c>
      <c r="AC203" s="1">
        <v>24193</v>
      </c>
      <c r="AD203" s="6" t="str">
        <f>IF(COUNTIF(Returns!$A$2:$A$1635,Orders!AC203)&gt;0,"Returned","Not Returned")</f>
        <v>Not Returned</v>
      </c>
    </row>
    <row r="204" spans="1:30" ht="12.75" customHeight="1" thickTop="1" thickBot="1" x14ac:dyDescent="0.25">
      <c r="A204" s="10">
        <v>3394</v>
      </c>
      <c r="B204" s="11" t="s">
        <v>37</v>
      </c>
      <c r="C204" s="11">
        <v>0.04</v>
      </c>
      <c r="D204" s="11">
        <v>85.99</v>
      </c>
      <c r="E204" s="11">
        <v>0.99</v>
      </c>
      <c r="F204" s="11">
        <v>373</v>
      </c>
      <c r="G204" s="6" t="str">
        <f>IF(COUNTIF(Table1[Customer ID],Table1[[#This Row],[Customer ID]])&gt;1,"Repeat Customer","One-Time Customer")</f>
        <v>Repeat Customer</v>
      </c>
      <c r="H204" s="11" t="s">
        <v>479</v>
      </c>
      <c r="I204" s="11" t="s">
        <v>49</v>
      </c>
      <c r="J204" s="11" t="s">
        <v>58</v>
      </c>
      <c r="K204" s="11" t="s">
        <v>77</v>
      </c>
      <c r="L204" s="11" t="s">
        <v>78</v>
      </c>
      <c r="M204" s="11" t="s">
        <v>31</v>
      </c>
      <c r="N204" s="11" t="s">
        <v>482</v>
      </c>
      <c r="O204" s="11">
        <v>0.85</v>
      </c>
      <c r="P204" s="6">
        <f>Table1[[#This Row],[Profit]]/Table1[[#This Row],[Sales]]</f>
        <v>-0.12279969996705246</v>
      </c>
      <c r="Q204" s="11" t="s">
        <v>33</v>
      </c>
      <c r="R204" s="11" t="s">
        <v>61</v>
      </c>
      <c r="S204" s="11" t="s">
        <v>300</v>
      </c>
      <c r="T204" s="11" t="s">
        <v>301</v>
      </c>
      <c r="U204" s="11">
        <v>48234</v>
      </c>
      <c r="V204" s="12">
        <v>42077</v>
      </c>
      <c r="W204" s="13" t="str">
        <f>TEXT(Table1[[#This Row],[Order Date]],"mmmm")</f>
        <v>March</v>
      </c>
      <c r="X204" s="7" t="str">
        <f>TEXT(Table1[[#This Row],[Order Date]],"yyyy")</f>
        <v>2015</v>
      </c>
      <c r="Y204" s="12">
        <v>42079</v>
      </c>
      <c r="Z204" s="11">
        <v>-175.17500000000001</v>
      </c>
      <c r="AA204" s="11">
        <v>19</v>
      </c>
      <c r="AB204" s="11">
        <v>1426.51</v>
      </c>
      <c r="AC204" s="11">
        <v>24193</v>
      </c>
      <c r="AD204" s="6" t="str">
        <f>IF(COUNTIF(Returns!$A$2:$A$1635,Orders!AC204)&gt;0,"Returned","Not Returned")</f>
        <v>Not Returned</v>
      </c>
    </row>
    <row r="205" spans="1:30" ht="12.75" customHeight="1" thickTop="1" thickBot="1" x14ac:dyDescent="0.25">
      <c r="A205" s="8">
        <v>21392</v>
      </c>
      <c r="B205" s="1" t="s">
        <v>37</v>
      </c>
      <c r="C205" s="1">
        <v>0.02</v>
      </c>
      <c r="D205" s="1">
        <v>200.98</v>
      </c>
      <c r="E205" s="1">
        <v>55.96</v>
      </c>
      <c r="F205" s="1">
        <v>375</v>
      </c>
      <c r="G205" s="6" t="str">
        <f>IF(COUNTIF(Table1[Customer ID],Table1[[#This Row],[Customer ID]])&gt;1,"Repeat Customer","One-Time Customer")</f>
        <v>Repeat Customer</v>
      </c>
      <c r="H205" s="1" t="s">
        <v>483</v>
      </c>
      <c r="I205" s="1" t="s">
        <v>39</v>
      </c>
      <c r="J205" s="1" t="s">
        <v>58</v>
      </c>
      <c r="K205" s="1" t="s">
        <v>41</v>
      </c>
      <c r="L205" s="1" t="s">
        <v>191</v>
      </c>
      <c r="M205" s="1" t="s">
        <v>121</v>
      </c>
      <c r="N205" s="1" t="s">
        <v>480</v>
      </c>
      <c r="O205" s="1">
        <v>0.75</v>
      </c>
      <c r="P205" s="6">
        <f>Table1[[#This Row],[Profit]]/Table1[[#This Row],[Sales]]</f>
        <v>-9.6465457352373579E-2</v>
      </c>
      <c r="Q205" s="1" t="s">
        <v>33</v>
      </c>
      <c r="R205" s="1" t="s">
        <v>136</v>
      </c>
      <c r="S205" s="1" t="s">
        <v>244</v>
      </c>
      <c r="T205" s="1" t="s">
        <v>484</v>
      </c>
      <c r="U205" s="1">
        <v>37814</v>
      </c>
      <c r="V205" s="9">
        <v>42077</v>
      </c>
      <c r="W205" s="13" t="str">
        <f>TEXT(Table1[[#This Row],[Order Date]],"mmmm")</f>
        <v>March</v>
      </c>
      <c r="X205" s="7" t="str">
        <f>TEXT(Table1[[#This Row],[Order Date]],"yyyy")</f>
        <v>2015</v>
      </c>
      <c r="Y205" s="9">
        <v>42079</v>
      </c>
      <c r="Z205" s="1">
        <v>-224.94779999999997</v>
      </c>
      <c r="AA205" s="1">
        <v>11</v>
      </c>
      <c r="AB205" s="1">
        <v>2331.9</v>
      </c>
      <c r="AC205" s="1">
        <v>90917</v>
      </c>
      <c r="AD205" s="6" t="str">
        <f>IF(COUNTIF(Returns!$A$2:$A$1635,Orders!AC205)&gt;0,"Returned","Not Returned")</f>
        <v>Not Returned</v>
      </c>
    </row>
    <row r="206" spans="1:30" ht="12.75" customHeight="1" thickTop="1" thickBot="1" x14ac:dyDescent="0.25">
      <c r="A206" s="10">
        <v>21393</v>
      </c>
      <c r="B206" s="11" t="s">
        <v>37</v>
      </c>
      <c r="C206" s="11">
        <v>0.02</v>
      </c>
      <c r="D206" s="11">
        <v>4.28</v>
      </c>
      <c r="E206" s="11">
        <v>5.17</v>
      </c>
      <c r="F206" s="11">
        <v>375</v>
      </c>
      <c r="G206" s="6" t="str">
        <f>IF(COUNTIF(Table1[Customer ID],Table1[[#This Row],[Customer ID]])&gt;1,"Repeat Customer","One-Time Customer")</f>
        <v>Repeat Customer</v>
      </c>
      <c r="H206" s="11" t="s">
        <v>483</v>
      </c>
      <c r="I206" s="11" t="s">
        <v>49</v>
      </c>
      <c r="J206" s="11" t="s">
        <v>58</v>
      </c>
      <c r="K206" s="11" t="s">
        <v>29</v>
      </c>
      <c r="L206" s="11" t="s">
        <v>93</v>
      </c>
      <c r="M206" s="11" t="s">
        <v>59</v>
      </c>
      <c r="N206" s="11" t="s">
        <v>481</v>
      </c>
      <c r="O206" s="11">
        <v>0.4</v>
      </c>
      <c r="P206" s="6">
        <f>Table1[[#This Row],[Profit]]/Table1[[#This Row],[Sales]]</f>
        <v>7.1641791044776113</v>
      </c>
      <c r="Q206" s="11" t="s">
        <v>33</v>
      </c>
      <c r="R206" s="11" t="s">
        <v>136</v>
      </c>
      <c r="S206" s="11" t="s">
        <v>244</v>
      </c>
      <c r="T206" s="11" t="s">
        <v>484</v>
      </c>
      <c r="U206" s="11">
        <v>37814</v>
      </c>
      <c r="V206" s="12">
        <v>42077</v>
      </c>
      <c r="W206" s="13" t="str">
        <f>TEXT(Table1[[#This Row],[Order Date]],"mmmm")</f>
        <v>March</v>
      </c>
      <c r="X206" s="7" t="str">
        <f>TEXT(Table1[[#This Row],[Order Date]],"yyyy")</f>
        <v>2015</v>
      </c>
      <c r="Y206" s="12">
        <v>42078</v>
      </c>
      <c r="Z206" s="11">
        <v>196.79999999999998</v>
      </c>
      <c r="AA206" s="11">
        <v>6</v>
      </c>
      <c r="AB206" s="11">
        <v>27.47</v>
      </c>
      <c r="AC206" s="11">
        <v>90917</v>
      </c>
      <c r="AD206" s="6" t="str">
        <f>IF(COUNTIF(Returns!$A$2:$A$1635,Orders!AC206)&gt;0,"Returned","Not Returned")</f>
        <v>Not Returned</v>
      </c>
    </row>
    <row r="207" spans="1:30" ht="12.75" customHeight="1" thickTop="1" thickBot="1" x14ac:dyDescent="0.25">
      <c r="A207" s="8">
        <v>19073</v>
      </c>
      <c r="B207" s="1" t="s">
        <v>56</v>
      </c>
      <c r="C207" s="1">
        <v>0.03</v>
      </c>
      <c r="D207" s="1">
        <v>25.98</v>
      </c>
      <c r="E207" s="1">
        <v>5.37</v>
      </c>
      <c r="F207" s="1">
        <v>377</v>
      </c>
      <c r="G207" s="6" t="str">
        <f>IF(COUNTIF(Table1[Customer ID],Table1[[#This Row],[Customer ID]])&gt;1,"Repeat Customer","One-Time Customer")</f>
        <v>One-Time Customer</v>
      </c>
      <c r="H207" s="1" t="s">
        <v>485</v>
      </c>
      <c r="I207" s="1" t="s">
        <v>49</v>
      </c>
      <c r="J207" s="1" t="s">
        <v>114</v>
      </c>
      <c r="K207" s="1" t="s">
        <v>29</v>
      </c>
      <c r="L207" s="1" t="s">
        <v>257</v>
      </c>
      <c r="M207" s="1" t="s">
        <v>86</v>
      </c>
      <c r="N207" s="1" t="s">
        <v>486</v>
      </c>
      <c r="O207" s="1">
        <v>0.5</v>
      </c>
      <c r="P207" s="6">
        <f>Table1[[#This Row],[Profit]]/Table1[[#This Row],[Sales]]</f>
        <v>0.54253390326990247</v>
      </c>
      <c r="Q207" s="1" t="s">
        <v>33</v>
      </c>
      <c r="R207" s="1" t="s">
        <v>61</v>
      </c>
      <c r="S207" s="1" t="s">
        <v>178</v>
      </c>
      <c r="T207" s="1" t="s">
        <v>431</v>
      </c>
      <c r="U207" s="1">
        <v>60510</v>
      </c>
      <c r="V207" s="9">
        <v>42111</v>
      </c>
      <c r="W207" s="13" t="str">
        <f>TEXT(Table1[[#This Row],[Order Date]],"mmmm")</f>
        <v>April</v>
      </c>
      <c r="X207" s="7" t="str">
        <f>TEXT(Table1[[#This Row],[Order Date]],"yyyy")</f>
        <v>2015</v>
      </c>
      <c r="Y207" s="9">
        <v>42111</v>
      </c>
      <c r="Z207" s="1">
        <v>250.03759999999997</v>
      </c>
      <c r="AA207" s="1">
        <v>17</v>
      </c>
      <c r="AB207" s="1">
        <v>460.87</v>
      </c>
      <c r="AC207" s="1">
        <v>89579</v>
      </c>
      <c r="AD207" s="6" t="str">
        <f>IF(COUNTIF(Returns!$A$2:$A$1635,Orders!AC207)&gt;0,"Returned","Not Returned")</f>
        <v>Not Returned</v>
      </c>
    </row>
    <row r="208" spans="1:30" ht="12.75" customHeight="1" thickTop="1" thickBot="1" x14ac:dyDescent="0.25">
      <c r="A208" s="10">
        <v>22401</v>
      </c>
      <c r="B208" s="11" t="s">
        <v>37</v>
      </c>
      <c r="C208" s="11">
        <v>7.0000000000000007E-2</v>
      </c>
      <c r="D208" s="11">
        <v>415.88</v>
      </c>
      <c r="E208" s="11">
        <v>11.37</v>
      </c>
      <c r="F208" s="11">
        <v>381</v>
      </c>
      <c r="G208" s="6" t="str">
        <f>IF(COUNTIF(Table1[Customer ID],Table1[[#This Row],[Customer ID]])&gt;1,"Repeat Customer","One-Time Customer")</f>
        <v>One-Time Customer</v>
      </c>
      <c r="H208" s="11" t="s">
        <v>487</v>
      </c>
      <c r="I208" s="11" t="s">
        <v>49</v>
      </c>
      <c r="J208" s="11" t="s">
        <v>28</v>
      </c>
      <c r="K208" s="11" t="s">
        <v>29</v>
      </c>
      <c r="L208" s="11" t="s">
        <v>141</v>
      </c>
      <c r="M208" s="11" t="s">
        <v>59</v>
      </c>
      <c r="N208" s="11" t="s">
        <v>488</v>
      </c>
      <c r="O208" s="11">
        <v>0.56999999999999995</v>
      </c>
      <c r="P208" s="6">
        <f>Table1[[#This Row],[Profit]]/Table1[[#This Row],[Sales]]</f>
        <v>-1.3677473321335329</v>
      </c>
      <c r="Q208" s="11" t="s">
        <v>33</v>
      </c>
      <c r="R208" s="11" t="s">
        <v>61</v>
      </c>
      <c r="S208" s="11" t="s">
        <v>178</v>
      </c>
      <c r="T208" s="11" t="s">
        <v>489</v>
      </c>
      <c r="U208" s="11">
        <v>61701</v>
      </c>
      <c r="V208" s="12">
        <v>42125</v>
      </c>
      <c r="W208" s="13" t="str">
        <f>TEXT(Table1[[#This Row],[Order Date]],"mmmm")</f>
        <v>May</v>
      </c>
      <c r="X208" s="7" t="str">
        <f>TEXT(Table1[[#This Row],[Order Date]],"yyyy")</f>
        <v>2015</v>
      </c>
      <c r="Y208" s="12">
        <v>42125</v>
      </c>
      <c r="Z208" s="11">
        <v>-539.59</v>
      </c>
      <c r="AA208" s="11">
        <v>1</v>
      </c>
      <c r="AB208" s="11">
        <v>394.51</v>
      </c>
      <c r="AC208" s="11">
        <v>88929</v>
      </c>
      <c r="AD208" s="6" t="str">
        <f>IF(COUNTIF(Returns!$A$2:$A$1635,Orders!AC208)&gt;0,"Returned","Not Returned")</f>
        <v>Not Returned</v>
      </c>
    </row>
    <row r="209" spans="1:30" ht="12.75" customHeight="1" thickTop="1" thickBot="1" x14ac:dyDescent="0.25">
      <c r="A209" s="8">
        <v>21281</v>
      </c>
      <c r="B209" s="1" t="s">
        <v>47</v>
      </c>
      <c r="C209" s="1">
        <v>0.06</v>
      </c>
      <c r="D209" s="1">
        <v>5.34</v>
      </c>
      <c r="E209" s="1">
        <v>5.63</v>
      </c>
      <c r="F209" s="1">
        <v>383</v>
      </c>
      <c r="G209" s="6" t="str">
        <f>IF(COUNTIF(Table1[Customer ID],Table1[[#This Row],[Customer ID]])&gt;1,"Repeat Customer","One-Time Customer")</f>
        <v>Repeat Customer</v>
      </c>
      <c r="H209" s="1" t="s">
        <v>490</v>
      </c>
      <c r="I209" s="1" t="s">
        <v>49</v>
      </c>
      <c r="J209" s="1" t="s">
        <v>28</v>
      </c>
      <c r="K209" s="1" t="s">
        <v>29</v>
      </c>
      <c r="L209" s="1" t="s">
        <v>109</v>
      </c>
      <c r="M209" s="1" t="s">
        <v>59</v>
      </c>
      <c r="N209" s="1" t="s">
        <v>491</v>
      </c>
      <c r="O209" s="1">
        <v>0.39</v>
      </c>
      <c r="P209" s="6">
        <f>Table1[[#This Row],[Profit]]/Table1[[#This Row],[Sales]]</f>
        <v>-2.1428978007761965</v>
      </c>
      <c r="Q209" s="1" t="s">
        <v>33</v>
      </c>
      <c r="R209" s="1" t="s">
        <v>53</v>
      </c>
      <c r="S209" s="1" t="s">
        <v>234</v>
      </c>
      <c r="T209" s="1" t="s">
        <v>492</v>
      </c>
      <c r="U209" s="1">
        <v>19026</v>
      </c>
      <c r="V209" s="9">
        <v>42082</v>
      </c>
      <c r="W209" s="13" t="str">
        <f>TEXT(Table1[[#This Row],[Order Date]],"mmmm")</f>
        <v>March</v>
      </c>
      <c r="X209" s="7" t="str">
        <f>TEXT(Table1[[#This Row],[Order Date]],"yyyy")</f>
        <v>2015</v>
      </c>
      <c r="Y209" s="9">
        <v>42082</v>
      </c>
      <c r="Z209" s="1">
        <v>-82.822999999999993</v>
      </c>
      <c r="AA209" s="1">
        <v>7</v>
      </c>
      <c r="AB209" s="1">
        <v>38.65</v>
      </c>
      <c r="AC209" s="1">
        <v>88928</v>
      </c>
      <c r="AD209" s="6" t="str">
        <f>IF(COUNTIF(Returns!$A$2:$A$1635,Orders!AC209)&gt;0,"Returned","Not Returned")</f>
        <v>Not Returned</v>
      </c>
    </row>
    <row r="210" spans="1:30" ht="12.75" customHeight="1" thickTop="1" thickBot="1" x14ac:dyDescent="0.25">
      <c r="A210" s="10">
        <v>21282</v>
      </c>
      <c r="B210" s="11" t="s">
        <v>47</v>
      </c>
      <c r="C210" s="11">
        <v>7.0000000000000007E-2</v>
      </c>
      <c r="D210" s="11">
        <v>65.989999999999995</v>
      </c>
      <c r="E210" s="11">
        <v>5.26</v>
      </c>
      <c r="F210" s="11">
        <v>383</v>
      </c>
      <c r="G210" s="6" t="str">
        <f>IF(COUNTIF(Table1[Customer ID],Table1[[#This Row],[Customer ID]])&gt;1,"Repeat Customer","One-Time Customer")</f>
        <v>Repeat Customer</v>
      </c>
      <c r="H210" s="11" t="s">
        <v>490</v>
      </c>
      <c r="I210" s="11" t="s">
        <v>27</v>
      </c>
      <c r="J210" s="11" t="s">
        <v>28</v>
      </c>
      <c r="K210" s="11" t="s">
        <v>77</v>
      </c>
      <c r="L210" s="11" t="s">
        <v>78</v>
      </c>
      <c r="M210" s="11" t="s">
        <v>59</v>
      </c>
      <c r="N210" s="11" t="s">
        <v>493</v>
      </c>
      <c r="O210" s="11">
        <v>0.56000000000000005</v>
      </c>
      <c r="P210" s="6">
        <f>Table1[[#This Row],[Profit]]/Table1[[#This Row],[Sales]]</f>
        <v>0.3826680484579924</v>
      </c>
      <c r="Q210" s="11" t="s">
        <v>33</v>
      </c>
      <c r="R210" s="11" t="s">
        <v>53</v>
      </c>
      <c r="S210" s="11" t="s">
        <v>234</v>
      </c>
      <c r="T210" s="11" t="s">
        <v>492</v>
      </c>
      <c r="U210" s="11">
        <v>19026</v>
      </c>
      <c r="V210" s="12">
        <v>42082</v>
      </c>
      <c r="W210" s="13" t="str">
        <f>TEXT(Table1[[#This Row],[Order Date]],"mmmm")</f>
        <v>March</v>
      </c>
      <c r="X210" s="7" t="str">
        <f>TEXT(Table1[[#This Row],[Order Date]],"yyyy")</f>
        <v>2015</v>
      </c>
      <c r="Y210" s="12">
        <v>42084</v>
      </c>
      <c r="Z210" s="11">
        <v>107.08200000000001</v>
      </c>
      <c r="AA210" s="11">
        <v>5</v>
      </c>
      <c r="AB210" s="11">
        <v>279.83</v>
      </c>
      <c r="AC210" s="11">
        <v>88928</v>
      </c>
      <c r="AD210" s="6" t="str">
        <f>IF(COUNTIF(Returns!$A$2:$A$1635,Orders!AC210)&gt;0,"Returned","Not Returned")</f>
        <v>Not Returned</v>
      </c>
    </row>
    <row r="211" spans="1:30" ht="12.75" customHeight="1" thickTop="1" thickBot="1" x14ac:dyDescent="0.25">
      <c r="A211" s="8">
        <v>20919</v>
      </c>
      <c r="B211" s="1" t="s">
        <v>25</v>
      </c>
      <c r="C211" s="1">
        <v>0.1</v>
      </c>
      <c r="D211" s="1">
        <v>8.8800000000000008</v>
      </c>
      <c r="E211" s="1">
        <v>6.28</v>
      </c>
      <c r="F211" s="1">
        <v>387</v>
      </c>
      <c r="G211" s="6" t="str">
        <f>IF(COUNTIF(Table1[Customer ID],Table1[[#This Row],[Customer ID]])&gt;1,"Repeat Customer","One-Time Customer")</f>
        <v>One-Time Customer</v>
      </c>
      <c r="H211" s="1" t="s">
        <v>494</v>
      </c>
      <c r="I211" s="1" t="s">
        <v>27</v>
      </c>
      <c r="J211" s="1" t="s">
        <v>28</v>
      </c>
      <c r="K211" s="1" t="s">
        <v>29</v>
      </c>
      <c r="L211" s="1" t="s">
        <v>109</v>
      </c>
      <c r="M211" s="1" t="s">
        <v>59</v>
      </c>
      <c r="N211" s="1" t="s">
        <v>495</v>
      </c>
      <c r="O211" s="1">
        <v>0.35</v>
      </c>
      <c r="P211" s="6">
        <f>Table1[[#This Row],[Profit]]/Table1[[#This Row],[Sales]]</f>
        <v>-0.21500197005516156</v>
      </c>
      <c r="Q211" s="1" t="s">
        <v>33</v>
      </c>
      <c r="R211" s="1" t="s">
        <v>61</v>
      </c>
      <c r="S211" s="1" t="s">
        <v>496</v>
      </c>
      <c r="T211" s="1" t="s">
        <v>497</v>
      </c>
      <c r="U211" s="1">
        <v>68801</v>
      </c>
      <c r="V211" s="9">
        <v>42167</v>
      </c>
      <c r="W211" s="13" t="str">
        <f>TEXT(Table1[[#This Row],[Order Date]],"mmmm")</f>
        <v>June</v>
      </c>
      <c r="X211" s="7" t="str">
        <f>TEXT(Table1[[#This Row],[Order Date]],"yyyy")</f>
        <v>2015</v>
      </c>
      <c r="Y211" s="9">
        <v>42169</v>
      </c>
      <c r="Z211" s="1">
        <v>-27.283750000000001</v>
      </c>
      <c r="AA211" s="1">
        <v>15</v>
      </c>
      <c r="AB211" s="1">
        <v>126.9</v>
      </c>
      <c r="AC211" s="1">
        <v>90339</v>
      </c>
      <c r="AD211" s="6" t="str">
        <f>IF(COUNTIF(Returns!$A$2:$A$1635,Orders!AC211)&gt;0,"Returned","Not Returned")</f>
        <v>Not Returned</v>
      </c>
    </row>
    <row r="212" spans="1:30" ht="12.75" customHeight="1" thickTop="1" thickBot="1" x14ac:dyDescent="0.25">
      <c r="A212" s="10">
        <v>22223</v>
      </c>
      <c r="B212" s="11" t="s">
        <v>47</v>
      </c>
      <c r="C212" s="11">
        <v>0.03</v>
      </c>
      <c r="D212" s="11">
        <v>5.28</v>
      </c>
      <c r="E212" s="11">
        <v>5.66</v>
      </c>
      <c r="F212" s="11">
        <v>388</v>
      </c>
      <c r="G212" s="6" t="str">
        <f>IF(COUNTIF(Table1[Customer ID],Table1[[#This Row],[Customer ID]])&gt;1,"Repeat Customer","One-Time Customer")</f>
        <v>Repeat Customer</v>
      </c>
      <c r="H212" s="11" t="s">
        <v>498</v>
      </c>
      <c r="I212" s="11" t="s">
        <v>49</v>
      </c>
      <c r="J212" s="11" t="s">
        <v>28</v>
      </c>
      <c r="K212" s="11" t="s">
        <v>29</v>
      </c>
      <c r="L212" s="11" t="s">
        <v>93</v>
      </c>
      <c r="M212" s="11" t="s">
        <v>59</v>
      </c>
      <c r="N212" s="11" t="s">
        <v>499</v>
      </c>
      <c r="O212" s="11">
        <v>0.4</v>
      </c>
      <c r="P212" s="6">
        <f>Table1[[#This Row],[Profit]]/Table1[[#This Row],[Sales]]</f>
        <v>-2.2593865030674847</v>
      </c>
      <c r="Q212" s="11" t="s">
        <v>33</v>
      </c>
      <c r="R212" s="11" t="s">
        <v>61</v>
      </c>
      <c r="S212" s="11" t="s">
        <v>496</v>
      </c>
      <c r="T212" s="11" t="s">
        <v>500</v>
      </c>
      <c r="U212" s="11">
        <v>68847</v>
      </c>
      <c r="V212" s="12">
        <v>42007</v>
      </c>
      <c r="W212" s="13" t="str">
        <f>TEXT(Table1[[#This Row],[Order Date]],"mmmm")</f>
        <v>January</v>
      </c>
      <c r="X212" s="7" t="str">
        <f>TEXT(Table1[[#This Row],[Order Date]],"yyyy")</f>
        <v>2015</v>
      </c>
      <c r="Y212" s="12">
        <v>42009</v>
      </c>
      <c r="Z212" s="11">
        <v>-51.559199999999997</v>
      </c>
      <c r="AA212" s="11">
        <v>4</v>
      </c>
      <c r="AB212" s="11">
        <v>22.82</v>
      </c>
      <c r="AC212" s="11">
        <v>90337</v>
      </c>
      <c r="AD212" s="6" t="str">
        <f>IF(COUNTIF(Returns!$A$2:$A$1635,Orders!AC212)&gt;0,"Returned","Not Returned")</f>
        <v>Not Returned</v>
      </c>
    </row>
    <row r="213" spans="1:30" ht="12.75" customHeight="1" thickTop="1" thickBot="1" x14ac:dyDescent="0.25">
      <c r="A213" s="8">
        <v>22224</v>
      </c>
      <c r="B213" s="1" t="s">
        <v>47</v>
      </c>
      <c r="C213" s="1">
        <v>0.01</v>
      </c>
      <c r="D213" s="1">
        <v>110.99</v>
      </c>
      <c r="E213" s="1">
        <v>2.5</v>
      </c>
      <c r="F213" s="1">
        <v>388</v>
      </c>
      <c r="G213" s="6" t="str">
        <f>IF(COUNTIF(Table1[Customer ID],Table1[[#This Row],[Customer ID]])&gt;1,"Repeat Customer","One-Time Customer")</f>
        <v>Repeat Customer</v>
      </c>
      <c r="H213" s="1" t="s">
        <v>498</v>
      </c>
      <c r="I213" s="1" t="s">
        <v>49</v>
      </c>
      <c r="J213" s="1" t="s">
        <v>28</v>
      </c>
      <c r="K213" s="1" t="s">
        <v>77</v>
      </c>
      <c r="L213" s="1" t="s">
        <v>78</v>
      </c>
      <c r="M213" s="1" t="s">
        <v>59</v>
      </c>
      <c r="N213" s="1" t="s">
        <v>501</v>
      </c>
      <c r="O213" s="1">
        <v>0.56999999999999995</v>
      </c>
      <c r="P213" s="6">
        <f>Table1[[#This Row],[Profit]]/Table1[[#This Row],[Sales]]</f>
        <v>-1.3970408141630446</v>
      </c>
      <c r="Q213" s="1" t="s">
        <v>33</v>
      </c>
      <c r="R213" s="1" t="s">
        <v>61</v>
      </c>
      <c r="S213" s="1" t="s">
        <v>496</v>
      </c>
      <c r="T213" s="1" t="s">
        <v>500</v>
      </c>
      <c r="U213" s="1">
        <v>68847</v>
      </c>
      <c r="V213" s="9">
        <v>42007</v>
      </c>
      <c r="W213" s="13" t="str">
        <f>TEXT(Table1[[#This Row],[Order Date]],"mmmm")</f>
        <v>January</v>
      </c>
      <c r="X213" s="7" t="str">
        <f>TEXT(Table1[[#This Row],[Order Date]],"yyyy")</f>
        <v>2015</v>
      </c>
      <c r="Y213" s="9">
        <v>42010</v>
      </c>
      <c r="Z213" s="1">
        <v>-263.56572</v>
      </c>
      <c r="AA213" s="1">
        <v>2</v>
      </c>
      <c r="AB213" s="1">
        <v>188.66</v>
      </c>
      <c r="AC213" s="1">
        <v>90337</v>
      </c>
      <c r="AD213" s="6" t="str">
        <f>IF(COUNTIF(Returns!$A$2:$A$1635,Orders!AC213)&gt;0,"Returned","Not Returned")</f>
        <v>Not Returned</v>
      </c>
    </row>
    <row r="214" spans="1:30" ht="12.75" customHeight="1" thickTop="1" thickBot="1" x14ac:dyDescent="0.25">
      <c r="A214" s="10">
        <v>23853</v>
      </c>
      <c r="B214" s="11" t="s">
        <v>106</v>
      </c>
      <c r="C214" s="11">
        <v>0.03</v>
      </c>
      <c r="D214" s="11">
        <v>160.97999999999999</v>
      </c>
      <c r="E214" s="11">
        <v>30</v>
      </c>
      <c r="F214" s="11">
        <v>389</v>
      </c>
      <c r="G214" s="6" t="str">
        <f>IF(COUNTIF(Table1[Customer ID],Table1[[#This Row],[Customer ID]])&gt;1,"Repeat Customer","One-Time Customer")</f>
        <v>One-Time Customer</v>
      </c>
      <c r="H214" s="11" t="s">
        <v>502</v>
      </c>
      <c r="I214" s="11" t="s">
        <v>39</v>
      </c>
      <c r="J214" s="11" t="s">
        <v>28</v>
      </c>
      <c r="K214" s="11" t="s">
        <v>41</v>
      </c>
      <c r="L214" s="11" t="s">
        <v>42</v>
      </c>
      <c r="M214" s="11" t="s">
        <v>43</v>
      </c>
      <c r="N214" s="11" t="s">
        <v>177</v>
      </c>
      <c r="O214" s="11">
        <v>0.62</v>
      </c>
      <c r="P214" s="6">
        <f>Table1[[#This Row],[Profit]]/Table1[[#This Row],[Sales]]</f>
        <v>0.69</v>
      </c>
      <c r="Q214" s="11" t="s">
        <v>33</v>
      </c>
      <c r="R214" s="11" t="s">
        <v>61</v>
      </c>
      <c r="S214" s="11" t="s">
        <v>496</v>
      </c>
      <c r="T214" s="11" t="s">
        <v>503</v>
      </c>
      <c r="U214" s="11">
        <v>68502</v>
      </c>
      <c r="V214" s="12">
        <v>42041</v>
      </c>
      <c r="W214" s="13" t="str">
        <f>TEXT(Table1[[#This Row],[Order Date]],"mmmm")</f>
        <v>February</v>
      </c>
      <c r="X214" s="7" t="str">
        <f>TEXT(Table1[[#This Row],[Order Date]],"yyyy")</f>
        <v>2015</v>
      </c>
      <c r="Y214" s="12">
        <v>42045</v>
      </c>
      <c r="Z214" s="11">
        <v>1273.2086999999999</v>
      </c>
      <c r="AA214" s="11">
        <v>11</v>
      </c>
      <c r="AB214" s="11">
        <v>1845.23</v>
      </c>
      <c r="AC214" s="11">
        <v>90338</v>
      </c>
      <c r="AD214" s="6" t="str">
        <f>IF(COUNTIF(Returns!$A$2:$A$1635,Orders!AC214)&gt;0,"Returned","Not Returned")</f>
        <v>Not Returned</v>
      </c>
    </row>
    <row r="215" spans="1:30" ht="12.75" customHeight="1" thickTop="1" thickBot="1" x14ac:dyDescent="0.25">
      <c r="A215" s="8">
        <v>25449</v>
      </c>
      <c r="B215" s="1" t="s">
        <v>56</v>
      </c>
      <c r="C215" s="1">
        <v>0.02</v>
      </c>
      <c r="D215" s="1">
        <v>34.979999999999997</v>
      </c>
      <c r="E215" s="1">
        <v>7.53</v>
      </c>
      <c r="F215" s="1">
        <v>392</v>
      </c>
      <c r="G215" s="6" t="str">
        <f>IF(COUNTIF(Table1[Customer ID],Table1[[#This Row],[Customer ID]])&gt;1,"Repeat Customer","One-Time Customer")</f>
        <v>Repeat Customer</v>
      </c>
      <c r="H215" s="1" t="s">
        <v>504</v>
      </c>
      <c r="I215" s="1" t="s">
        <v>49</v>
      </c>
      <c r="J215" s="1" t="s">
        <v>28</v>
      </c>
      <c r="K215" s="1" t="s">
        <v>77</v>
      </c>
      <c r="L215" s="1" t="s">
        <v>180</v>
      </c>
      <c r="M215" s="1" t="s">
        <v>59</v>
      </c>
      <c r="N215" s="1" t="s">
        <v>505</v>
      </c>
      <c r="O215" s="1">
        <v>0.76</v>
      </c>
      <c r="P215" s="6">
        <f>Table1[[#This Row],[Profit]]/Table1[[#This Row],[Sales]]</f>
        <v>-4.2970936490850384</v>
      </c>
      <c r="Q215" s="1" t="s">
        <v>33</v>
      </c>
      <c r="R215" s="1" t="s">
        <v>61</v>
      </c>
      <c r="S215" s="1" t="s">
        <v>506</v>
      </c>
      <c r="T215" s="1" t="s">
        <v>507</v>
      </c>
      <c r="U215" s="1">
        <v>63105</v>
      </c>
      <c r="V215" s="9">
        <v>42068</v>
      </c>
      <c r="W215" s="13" t="str">
        <f>TEXT(Table1[[#This Row],[Order Date]],"mmmm")</f>
        <v>March</v>
      </c>
      <c r="X215" s="7" t="str">
        <f>TEXT(Table1[[#This Row],[Order Date]],"yyyy")</f>
        <v>2015</v>
      </c>
      <c r="Y215" s="9">
        <v>42070</v>
      </c>
      <c r="Z215" s="1">
        <v>-159.68</v>
      </c>
      <c r="AA215" s="1">
        <v>1</v>
      </c>
      <c r="AB215" s="1">
        <v>37.159999999999997</v>
      </c>
      <c r="AC215" s="1">
        <v>86383</v>
      </c>
      <c r="AD215" s="6" t="str">
        <f>IF(COUNTIF(Returns!$A$2:$A$1635,Orders!AC215)&gt;0,"Returned","Not Returned")</f>
        <v>Not Returned</v>
      </c>
    </row>
    <row r="216" spans="1:30" ht="12.75" customHeight="1" thickTop="1" thickBot="1" x14ac:dyDescent="0.25">
      <c r="A216" s="10">
        <v>25450</v>
      </c>
      <c r="B216" s="11" t="s">
        <v>56</v>
      </c>
      <c r="C216" s="11">
        <v>0.01</v>
      </c>
      <c r="D216" s="11">
        <v>19.989999999999998</v>
      </c>
      <c r="E216" s="11">
        <v>11.17</v>
      </c>
      <c r="F216" s="11">
        <v>392</v>
      </c>
      <c r="G216" s="6" t="str">
        <f>IF(COUNTIF(Table1[Customer ID],Table1[[#This Row],[Customer ID]])&gt;1,"Repeat Customer","One-Time Customer")</f>
        <v>Repeat Customer</v>
      </c>
      <c r="H216" s="11" t="s">
        <v>504</v>
      </c>
      <c r="I216" s="11" t="s">
        <v>49</v>
      </c>
      <c r="J216" s="11" t="s">
        <v>28</v>
      </c>
      <c r="K216" s="11" t="s">
        <v>41</v>
      </c>
      <c r="L216" s="11" t="s">
        <v>50</v>
      </c>
      <c r="M216" s="11" t="s">
        <v>236</v>
      </c>
      <c r="N216" s="11" t="s">
        <v>508</v>
      </c>
      <c r="O216" s="11">
        <v>0.6</v>
      </c>
      <c r="P216" s="6">
        <f>Table1[[#This Row],[Profit]]/Table1[[#This Row],[Sales]]</f>
        <v>0.63940435280641472</v>
      </c>
      <c r="Q216" s="11" t="s">
        <v>33</v>
      </c>
      <c r="R216" s="11" t="s">
        <v>61</v>
      </c>
      <c r="S216" s="11" t="s">
        <v>506</v>
      </c>
      <c r="T216" s="11" t="s">
        <v>507</v>
      </c>
      <c r="U216" s="11">
        <v>63105</v>
      </c>
      <c r="V216" s="12">
        <v>42068</v>
      </c>
      <c r="W216" s="13" t="str">
        <f>TEXT(Table1[[#This Row],[Order Date]],"mmmm")</f>
        <v>March</v>
      </c>
      <c r="X216" s="7" t="str">
        <f>TEXT(Table1[[#This Row],[Order Date]],"yyyy")</f>
        <v>2015</v>
      </c>
      <c r="Y216" s="12">
        <v>42071</v>
      </c>
      <c r="Z216" s="11">
        <v>27.91</v>
      </c>
      <c r="AA216" s="11">
        <v>2</v>
      </c>
      <c r="AB216" s="11">
        <v>43.65</v>
      </c>
      <c r="AC216" s="11">
        <v>86383</v>
      </c>
      <c r="AD216" s="6" t="str">
        <f>IF(COUNTIF(Returns!$A$2:$A$1635,Orders!AC216)&gt;0,"Returned","Not Returned")</f>
        <v>Not Returned</v>
      </c>
    </row>
    <row r="217" spans="1:30" ht="12.75" customHeight="1" thickTop="1" thickBot="1" x14ac:dyDescent="0.25">
      <c r="A217" s="8">
        <v>22598</v>
      </c>
      <c r="B217" s="1" t="s">
        <v>106</v>
      </c>
      <c r="C217" s="1">
        <v>7.0000000000000007E-2</v>
      </c>
      <c r="D217" s="1">
        <v>9.7100000000000009</v>
      </c>
      <c r="E217" s="1">
        <v>9.4499999999999993</v>
      </c>
      <c r="F217" s="1">
        <v>393</v>
      </c>
      <c r="G217" s="6" t="str">
        <f>IF(COUNTIF(Table1[Customer ID],Table1[[#This Row],[Customer ID]])&gt;1,"Repeat Customer","One-Time Customer")</f>
        <v>One-Time Customer</v>
      </c>
      <c r="H217" s="1" t="s">
        <v>509</v>
      </c>
      <c r="I217" s="1" t="s">
        <v>49</v>
      </c>
      <c r="J217" s="1" t="s">
        <v>28</v>
      </c>
      <c r="K217" s="1" t="s">
        <v>29</v>
      </c>
      <c r="L217" s="1" t="s">
        <v>141</v>
      </c>
      <c r="M217" s="1" t="s">
        <v>59</v>
      </c>
      <c r="N217" s="1" t="s">
        <v>510</v>
      </c>
      <c r="O217" s="1">
        <v>0.6</v>
      </c>
      <c r="P217" s="6">
        <f>Table1[[#This Row],[Profit]]/Table1[[#This Row],[Sales]]</f>
        <v>-2.6008269720101778</v>
      </c>
      <c r="Q217" s="1" t="s">
        <v>33</v>
      </c>
      <c r="R217" s="1" t="s">
        <v>53</v>
      </c>
      <c r="S217" s="1" t="s">
        <v>71</v>
      </c>
      <c r="T217" s="1" t="s">
        <v>511</v>
      </c>
      <c r="U217" s="1">
        <v>13021</v>
      </c>
      <c r="V217" s="9">
        <v>42050</v>
      </c>
      <c r="W217" s="13" t="str">
        <f>TEXT(Table1[[#This Row],[Order Date]],"mmmm")</f>
        <v>February</v>
      </c>
      <c r="X217" s="7" t="str">
        <f>TEXT(Table1[[#This Row],[Order Date]],"yyyy")</f>
        <v>2015</v>
      </c>
      <c r="Y217" s="9">
        <v>42057</v>
      </c>
      <c r="Z217" s="1">
        <v>-81.77</v>
      </c>
      <c r="AA217" s="1">
        <v>3</v>
      </c>
      <c r="AB217" s="1">
        <v>31.44</v>
      </c>
      <c r="AC217" s="1">
        <v>86382</v>
      </c>
      <c r="AD217" s="6" t="str">
        <f>IF(COUNTIF(Returns!$A$2:$A$1635,Orders!AC217)&gt;0,"Returned","Not Returned")</f>
        <v>Not Returned</v>
      </c>
    </row>
    <row r="218" spans="1:30" ht="12.75" customHeight="1" thickTop="1" thickBot="1" x14ac:dyDescent="0.25">
      <c r="A218" s="10">
        <v>24638</v>
      </c>
      <c r="B218" s="11" t="s">
        <v>47</v>
      </c>
      <c r="C218" s="11">
        <v>0.04</v>
      </c>
      <c r="D218" s="11">
        <v>15.98</v>
      </c>
      <c r="E218" s="11">
        <v>4</v>
      </c>
      <c r="F218" s="11">
        <v>395</v>
      </c>
      <c r="G218" s="6" t="str">
        <f>IF(COUNTIF(Table1[Customer ID],Table1[[#This Row],[Customer ID]])&gt;1,"Repeat Customer","One-Time Customer")</f>
        <v>Repeat Customer</v>
      </c>
      <c r="H218" s="11" t="s">
        <v>512</v>
      </c>
      <c r="I218" s="11" t="s">
        <v>49</v>
      </c>
      <c r="J218" s="11" t="s">
        <v>28</v>
      </c>
      <c r="K218" s="11" t="s">
        <v>77</v>
      </c>
      <c r="L218" s="11" t="s">
        <v>180</v>
      </c>
      <c r="M218" s="11" t="s">
        <v>59</v>
      </c>
      <c r="N218" s="11" t="s">
        <v>513</v>
      </c>
      <c r="O218" s="11">
        <v>0.37</v>
      </c>
      <c r="P218" s="6">
        <f>Table1[[#This Row],[Profit]]/Table1[[#This Row],[Sales]]</f>
        <v>-0.2973834958971977</v>
      </c>
      <c r="Q218" s="11" t="s">
        <v>33</v>
      </c>
      <c r="R218" s="11" t="s">
        <v>136</v>
      </c>
      <c r="S218" s="11" t="s">
        <v>322</v>
      </c>
      <c r="T218" s="11" t="s">
        <v>514</v>
      </c>
      <c r="U218" s="11">
        <v>28001</v>
      </c>
      <c r="V218" s="12">
        <v>42173</v>
      </c>
      <c r="W218" s="13" t="str">
        <f>TEXT(Table1[[#This Row],[Order Date]],"mmmm")</f>
        <v>June</v>
      </c>
      <c r="X218" s="7" t="str">
        <f>TEXT(Table1[[#This Row],[Order Date]],"yyyy")</f>
        <v>2015</v>
      </c>
      <c r="Y218" s="12">
        <v>42174</v>
      </c>
      <c r="Z218" s="11">
        <v>-19.208000000000002</v>
      </c>
      <c r="AA218" s="11">
        <v>4</v>
      </c>
      <c r="AB218" s="11">
        <v>64.59</v>
      </c>
      <c r="AC218" s="11">
        <v>86384</v>
      </c>
      <c r="AD218" s="6" t="str">
        <f>IF(COUNTIF(Returns!$A$2:$A$1635,Orders!AC218)&gt;0,"Returned","Not Returned")</f>
        <v>Not Returned</v>
      </c>
    </row>
    <row r="219" spans="1:30" ht="12.75" customHeight="1" thickTop="1" thickBot="1" x14ac:dyDescent="0.25">
      <c r="A219" s="8">
        <v>24639</v>
      </c>
      <c r="B219" s="1" t="s">
        <v>47</v>
      </c>
      <c r="C219" s="1">
        <v>0.06</v>
      </c>
      <c r="D219" s="1">
        <v>22.84</v>
      </c>
      <c r="E219" s="1">
        <v>5.47</v>
      </c>
      <c r="F219" s="1">
        <v>395</v>
      </c>
      <c r="G219" s="6" t="str">
        <f>IF(COUNTIF(Table1[Customer ID],Table1[[#This Row],[Customer ID]])&gt;1,"Repeat Customer","One-Time Customer")</f>
        <v>Repeat Customer</v>
      </c>
      <c r="H219" s="1" t="s">
        <v>512</v>
      </c>
      <c r="I219" s="1" t="s">
        <v>49</v>
      </c>
      <c r="J219" s="1" t="s">
        <v>28</v>
      </c>
      <c r="K219" s="1" t="s">
        <v>29</v>
      </c>
      <c r="L219" s="1" t="s">
        <v>93</v>
      </c>
      <c r="M219" s="1" t="s">
        <v>59</v>
      </c>
      <c r="N219" s="1" t="s">
        <v>515</v>
      </c>
      <c r="O219" s="1">
        <v>0.39</v>
      </c>
      <c r="P219" s="6">
        <f>Table1[[#This Row],[Profit]]/Table1[[#This Row],[Sales]]</f>
        <v>1.6105987790622157E-2</v>
      </c>
      <c r="Q219" s="1" t="s">
        <v>33</v>
      </c>
      <c r="R219" s="1" t="s">
        <v>136</v>
      </c>
      <c r="S219" s="1" t="s">
        <v>322</v>
      </c>
      <c r="T219" s="1" t="s">
        <v>514</v>
      </c>
      <c r="U219" s="1">
        <v>28001</v>
      </c>
      <c r="V219" s="9">
        <v>42173</v>
      </c>
      <c r="W219" s="13" t="str">
        <f>TEXT(Table1[[#This Row],[Order Date]],"mmmm")</f>
        <v>June</v>
      </c>
      <c r="X219" s="7" t="str">
        <f>TEXT(Table1[[#This Row],[Order Date]],"yyyy")</f>
        <v>2015</v>
      </c>
      <c r="Y219" s="9">
        <v>42175</v>
      </c>
      <c r="Z219" s="1">
        <v>7.4399999999999995</v>
      </c>
      <c r="AA219" s="1">
        <v>20</v>
      </c>
      <c r="AB219" s="1">
        <v>461.94</v>
      </c>
      <c r="AC219" s="1">
        <v>86384</v>
      </c>
      <c r="AD219" s="6" t="str">
        <f>IF(COUNTIF(Returns!$A$2:$A$1635,Orders!AC219)&gt;0,"Returned","Not Returned")</f>
        <v>Not Returned</v>
      </c>
    </row>
    <row r="220" spans="1:30" ht="12.75" customHeight="1" thickTop="1" thickBot="1" x14ac:dyDescent="0.25">
      <c r="A220" s="10">
        <v>20693</v>
      </c>
      <c r="B220" s="11" t="s">
        <v>47</v>
      </c>
      <c r="C220" s="11">
        <v>0.1</v>
      </c>
      <c r="D220" s="11">
        <v>154.13</v>
      </c>
      <c r="E220" s="11">
        <v>69</v>
      </c>
      <c r="F220" s="11">
        <v>397</v>
      </c>
      <c r="G220" s="6" t="str">
        <f>IF(COUNTIF(Table1[Customer ID],Table1[[#This Row],[Customer ID]])&gt;1,"Repeat Customer","One-Time Customer")</f>
        <v>One-Time Customer</v>
      </c>
      <c r="H220" s="11" t="s">
        <v>516</v>
      </c>
      <c r="I220" s="11" t="s">
        <v>49</v>
      </c>
      <c r="J220" s="11" t="s">
        <v>28</v>
      </c>
      <c r="K220" s="11" t="s">
        <v>41</v>
      </c>
      <c r="L220" s="11" t="s">
        <v>152</v>
      </c>
      <c r="M220" s="11" t="s">
        <v>236</v>
      </c>
      <c r="N220" s="11" t="s">
        <v>237</v>
      </c>
      <c r="O220" s="11">
        <v>0.68</v>
      </c>
      <c r="P220" s="6">
        <f>Table1[[#This Row],[Profit]]/Table1[[#This Row],[Sales]]</f>
        <v>-0.30624011033280724</v>
      </c>
      <c r="Q220" s="11" t="s">
        <v>33</v>
      </c>
      <c r="R220" s="11" t="s">
        <v>53</v>
      </c>
      <c r="S220" s="11" t="s">
        <v>154</v>
      </c>
      <c r="T220" s="11" t="s">
        <v>517</v>
      </c>
      <c r="U220" s="11">
        <v>44221</v>
      </c>
      <c r="V220" s="12">
        <v>42037</v>
      </c>
      <c r="W220" s="13" t="str">
        <f>TEXT(Table1[[#This Row],[Order Date]],"mmmm")</f>
        <v>February</v>
      </c>
      <c r="X220" s="7" t="str">
        <f>TEXT(Table1[[#This Row],[Order Date]],"yyyy")</f>
        <v>2015</v>
      </c>
      <c r="Y220" s="12">
        <v>42038</v>
      </c>
      <c r="Z220" s="11">
        <v>-372.48597100000006</v>
      </c>
      <c r="AA220" s="11">
        <v>8</v>
      </c>
      <c r="AB220" s="11">
        <v>1216.32</v>
      </c>
      <c r="AC220" s="11">
        <v>89319</v>
      </c>
      <c r="AD220" s="6" t="str">
        <f>IF(COUNTIF(Returns!$A$2:$A$1635,Orders!AC220)&gt;0,"Returned","Not Returned")</f>
        <v>Not Returned</v>
      </c>
    </row>
    <row r="221" spans="1:30" ht="12.75" customHeight="1" thickTop="1" thickBot="1" x14ac:dyDescent="0.25">
      <c r="A221" s="8">
        <v>24471</v>
      </c>
      <c r="B221" s="1" t="s">
        <v>56</v>
      </c>
      <c r="C221" s="1">
        <v>0.05</v>
      </c>
      <c r="D221" s="1">
        <v>63.94</v>
      </c>
      <c r="E221" s="1">
        <v>14.48</v>
      </c>
      <c r="F221" s="1">
        <v>398</v>
      </c>
      <c r="G221" s="6" t="str">
        <f>IF(COUNTIF(Table1[Customer ID],Table1[[#This Row],[Customer ID]])&gt;1,"Repeat Customer","One-Time Customer")</f>
        <v>One-Time Customer</v>
      </c>
      <c r="H221" s="1" t="s">
        <v>518</v>
      </c>
      <c r="I221" s="1" t="s">
        <v>49</v>
      </c>
      <c r="J221" s="1" t="s">
        <v>28</v>
      </c>
      <c r="K221" s="1" t="s">
        <v>41</v>
      </c>
      <c r="L221" s="1" t="s">
        <v>50</v>
      </c>
      <c r="M221" s="1" t="s">
        <v>59</v>
      </c>
      <c r="N221" s="1" t="s">
        <v>519</v>
      </c>
      <c r="O221" s="1">
        <v>0.46</v>
      </c>
      <c r="P221" s="6">
        <f>Table1[[#This Row],[Profit]]/Table1[[#This Row],[Sales]]</f>
        <v>0.69</v>
      </c>
      <c r="Q221" s="1" t="s">
        <v>33</v>
      </c>
      <c r="R221" s="1" t="s">
        <v>53</v>
      </c>
      <c r="S221" s="1" t="s">
        <v>154</v>
      </c>
      <c r="T221" s="1" t="s">
        <v>520</v>
      </c>
      <c r="U221" s="1">
        <v>45406</v>
      </c>
      <c r="V221" s="9">
        <v>42147</v>
      </c>
      <c r="W221" s="13" t="str">
        <f>TEXT(Table1[[#This Row],[Order Date]],"mmmm")</f>
        <v>May</v>
      </c>
      <c r="X221" s="7" t="str">
        <f>TEXT(Table1[[#This Row],[Order Date]],"yyyy")</f>
        <v>2015</v>
      </c>
      <c r="Y221" s="9">
        <v>42149</v>
      </c>
      <c r="Z221" s="1">
        <v>1372.6307999999999</v>
      </c>
      <c r="AA221" s="1">
        <v>31</v>
      </c>
      <c r="AB221" s="1">
        <v>1989.32</v>
      </c>
      <c r="AC221" s="1">
        <v>89320</v>
      </c>
      <c r="AD221" s="6" t="str">
        <f>IF(COUNTIF(Returns!$A$2:$A$1635,Orders!AC221)&gt;0,"Returned","Not Returned")</f>
        <v>Not Returned</v>
      </c>
    </row>
    <row r="222" spans="1:30" ht="12.75" customHeight="1" thickTop="1" thickBot="1" x14ac:dyDescent="0.25">
      <c r="A222" s="10">
        <v>21570</v>
      </c>
      <c r="B222" s="11" t="s">
        <v>25</v>
      </c>
      <c r="C222" s="11">
        <v>0.03</v>
      </c>
      <c r="D222" s="11">
        <v>4.9800000000000004</v>
      </c>
      <c r="E222" s="11">
        <v>0.8</v>
      </c>
      <c r="F222" s="11">
        <v>406</v>
      </c>
      <c r="G222" s="6" t="str">
        <f>IF(COUNTIF(Table1[Customer ID],Table1[[#This Row],[Customer ID]])&gt;1,"Repeat Customer","One-Time Customer")</f>
        <v>One-Time Customer</v>
      </c>
      <c r="H222" s="11" t="s">
        <v>521</v>
      </c>
      <c r="I222" s="11" t="s">
        <v>49</v>
      </c>
      <c r="J222" s="11" t="s">
        <v>58</v>
      </c>
      <c r="K222" s="11" t="s">
        <v>29</v>
      </c>
      <c r="L222" s="11" t="s">
        <v>93</v>
      </c>
      <c r="M222" s="11" t="s">
        <v>31</v>
      </c>
      <c r="N222" s="11" t="s">
        <v>522</v>
      </c>
      <c r="O222" s="11">
        <v>0.36</v>
      </c>
      <c r="P222" s="6">
        <f>Table1[[#This Row],[Profit]]/Table1[[#This Row],[Sales]]</f>
        <v>0.69</v>
      </c>
      <c r="Q222" s="11" t="s">
        <v>33</v>
      </c>
      <c r="R222" s="11" t="s">
        <v>53</v>
      </c>
      <c r="S222" s="11" t="s">
        <v>54</v>
      </c>
      <c r="T222" s="11" t="s">
        <v>523</v>
      </c>
      <c r="U222" s="11">
        <v>8360</v>
      </c>
      <c r="V222" s="12">
        <v>42145</v>
      </c>
      <c r="W222" s="13" t="str">
        <f>TEXT(Table1[[#This Row],[Order Date]],"mmmm")</f>
        <v>May</v>
      </c>
      <c r="X222" s="7" t="str">
        <f>TEXT(Table1[[#This Row],[Order Date]],"yyyy")</f>
        <v>2015</v>
      </c>
      <c r="Y222" s="12">
        <v>42146</v>
      </c>
      <c r="Z222" s="11">
        <v>50.2044</v>
      </c>
      <c r="AA222" s="11">
        <v>15</v>
      </c>
      <c r="AB222" s="11">
        <v>72.760000000000005</v>
      </c>
      <c r="AC222" s="11">
        <v>87804</v>
      </c>
      <c r="AD222" s="6" t="str">
        <f>IF(COUNTIF(Returns!$A$2:$A$1635,Orders!AC222)&gt;0,"Returned","Not Returned")</f>
        <v>Not Returned</v>
      </c>
    </row>
    <row r="223" spans="1:30" ht="12.75" customHeight="1" thickTop="1" thickBot="1" x14ac:dyDescent="0.25">
      <c r="A223" s="8">
        <v>19104</v>
      </c>
      <c r="B223" s="1" t="s">
        <v>106</v>
      </c>
      <c r="C223" s="1">
        <v>7.0000000000000007E-2</v>
      </c>
      <c r="D223" s="1">
        <v>29.17</v>
      </c>
      <c r="E223" s="1">
        <v>6.27</v>
      </c>
      <c r="F223" s="1">
        <v>408</v>
      </c>
      <c r="G223" s="6" t="str">
        <f>IF(COUNTIF(Table1[Customer ID],Table1[[#This Row],[Customer ID]])&gt;1,"Repeat Customer","One-Time Customer")</f>
        <v>One-Time Customer</v>
      </c>
      <c r="H223" s="1" t="s">
        <v>524</v>
      </c>
      <c r="I223" s="1" t="s">
        <v>49</v>
      </c>
      <c r="J223" s="1" t="s">
        <v>28</v>
      </c>
      <c r="K223" s="1" t="s">
        <v>29</v>
      </c>
      <c r="L223" s="1" t="s">
        <v>109</v>
      </c>
      <c r="M223" s="1" t="s">
        <v>59</v>
      </c>
      <c r="N223" s="1" t="s">
        <v>525</v>
      </c>
      <c r="O223" s="1">
        <v>0.37</v>
      </c>
      <c r="P223" s="6">
        <f>Table1[[#This Row],[Profit]]/Table1[[#This Row],[Sales]]</f>
        <v>0.58989961794890999</v>
      </c>
      <c r="Q223" s="1" t="s">
        <v>33</v>
      </c>
      <c r="R223" s="1" t="s">
        <v>61</v>
      </c>
      <c r="S223" s="1" t="s">
        <v>130</v>
      </c>
      <c r="T223" s="1" t="s">
        <v>526</v>
      </c>
      <c r="U223" s="1">
        <v>78589</v>
      </c>
      <c r="V223" s="9">
        <v>42126</v>
      </c>
      <c r="W223" s="13" t="str">
        <f>TEXT(Table1[[#This Row],[Order Date]],"mmmm")</f>
        <v>May</v>
      </c>
      <c r="X223" s="7" t="str">
        <f>TEXT(Table1[[#This Row],[Order Date]],"yyyy")</f>
        <v>2015</v>
      </c>
      <c r="Y223" s="9">
        <v>42130</v>
      </c>
      <c r="Z223" s="1">
        <v>236.2371</v>
      </c>
      <c r="AA223" s="1">
        <v>14</v>
      </c>
      <c r="AB223" s="1">
        <v>400.47</v>
      </c>
      <c r="AC223" s="1">
        <v>89639</v>
      </c>
      <c r="AD223" s="6" t="str">
        <f>IF(COUNTIF(Returns!$A$2:$A$1635,Orders!AC223)&gt;0,"Returned","Not Returned")</f>
        <v>Not Returned</v>
      </c>
    </row>
    <row r="224" spans="1:30" ht="12.75" customHeight="1" thickTop="1" thickBot="1" x14ac:dyDescent="0.25">
      <c r="A224" s="10">
        <v>18428</v>
      </c>
      <c r="B224" s="11" t="s">
        <v>25</v>
      </c>
      <c r="C224" s="11">
        <v>0.05</v>
      </c>
      <c r="D224" s="11">
        <v>178.47</v>
      </c>
      <c r="E224" s="11">
        <v>19.989999999999998</v>
      </c>
      <c r="F224" s="11">
        <v>411</v>
      </c>
      <c r="G224" s="6" t="str">
        <f>IF(COUNTIF(Table1[Customer ID],Table1[[#This Row],[Customer ID]])&gt;1,"Repeat Customer","One-Time Customer")</f>
        <v>One-Time Customer</v>
      </c>
      <c r="H224" s="11" t="s">
        <v>527</v>
      </c>
      <c r="I224" s="11" t="s">
        <v>27</v>
      </c>
      <c r="J224" s="11" t="s">
        <v>114</v>
      </c>
      <c r="K224" s="11" t="s">
        <v>29</v>
      </c>
      <c r="L224" s="11" t="s">
        <v>141</v>
      </c>
      <c r="M224" s="11" t="s">
        <v>59</v>
      </c>
      <c r="N224" s="11" t="s">
        <v>528</v>
      </c>
      <c r="O224" s="11">
        <v>0.55000000000000004</v>
      </c>
      <c r="P224" s="6">
        <f>Table1[[#This Row],[Profit]]/Table1[[#This Row],[Sales]]</f>
        <v>0.61581260489384904</v>
      </c>
      <c r="Q224" s="11" t="s">
        <v>33</v>
      </c>
      <c r="R224" s="11" t="s">
        <v>34</v>
      </c>
      <c r="S224" s="11" t="s">
        <v>45</v>
      </c>
      <c r="T224" s="11" t="s">
        <v>473</v>
      </c>
      <c r="U224" s="11">
        <v>94601</v>
      </c>
      <c r="V224" s="12">
        <v>42128</v>
      </c>
      <c r="W224" s="13" t="str">
        <f>TEXT(Table1[[#This Row],[Order Date]],"mmmm")</f>
        <v>May</v>
      </c>
      <c r="X224" s="7" t="str">
        <f>TEXT(Table1[[#This Row],[Order Date]],"yyyy")</f>
        <v>2015</v>
      </c>
      <c r="Y224" s="12">
        <v>42131</v>
      </c>
      <c r="Z224" s="11">
        <v>943</v>
      </c>
      <c r="AA224" s="11">
        <v>9</v>
      </c>
      <c r="AB224" s="11">
        <v>1531.31</v>
      </c>
      <c r="AC224" s="11">
        <v>87905</v>
      </c>
      <c r="AD224" s="6" t="str">
        <f>IF(COUNTIF(Returns!$A$2:$A$1635,Orders!AC224)&gt;0,"Returned","Not Returned")</f>
        <v>Not Returned</v>
      </c>
    </row>
    <row r="225" spans="1:30" ht="12.75" customHeight="1" thickTop="1" thickBot="1" x14ac:dyDescent="0.25">
      <c r="A225" s="8">
        <v>21739</v>
      </c>
      <c r="B225" s="1" t="s">
        <v>47</v>
      </c>
      <c r="C225" s="1">
        <v>0.09</v>
      </c>
      <c r="D225" s="1">
        <v>999.99</v>
      </c>
      <c r="E225" s="1">
        <v>13.99</v>
      </c>
      <c r="F225" s="1">
        <v>421</v>
      </c>
      <c r="G225" s="6" t="str">
        <f>IF(COUNTIF(Table1[Customer ID],Table1[[#This Row],[Customer ID]])&gt;1,"Repeat Customer","One-Time Customer")</f>
        <v>One-Time Customer</v>
      </c>
      <c r="H225" s="1" t="s">
        <v>529</v>
      </c>
      <c r="I225" s="1" t="s">
        <v>49</v>
      </c>
      <c r="J225" s="1" t="s">
        <v>58</v>
      </c>
      <c r="K225" s="1" t="s">
        <v>77</v>
      </c>
      <c r="L225" s="1" t="s">
        <v>85</v>
      </c>
      <c r="M225" s="1" t="s">
        <v>86</v>
      </c>
      <c r="N225" s="1" t="s">
        <v>530</v>
      </c>
      <c r="O225" s="1">
        <v>0.36</v>
      </c>
      <c r="P225" s="6">
        <f>Table1[[#This Row],[Profit]]/Table1[[#This Row],[Sales]]</f>
        <v>-2.7543358104211775</v>
      </c>
      <c r="Q225" s="1" t="s">
        <v>33</v>
      </c>
      <c r="R225" s="1" t="s">
        <v>53</v>
      </c>
      <c r="S225" s="1" t="s">
        <v>54</v>
      </c>
      <c r="T225" s="1" t="s">
        <v>531</v>
      </c>
      <c r="U225" s="1">
        <v>7201</v>
      </c>
      <c r="V225" s="9">
        <v>42041</v>
      </c>
      <c r="W225" s="13" t="str">
        <f>TEXT(Table1[[#This Row],[Order Date]],"mmmm")</f>
        <v>February</v>
      </c>
      <c r="X225" s="7" t="str">
        <f>TEXT(Table1[[#This Row],[Order Date]],"yyyy")</f>
        <v>2015</v>
      </c>
      <c r="Y225" s="9">
        <v>42043</v>
      </c>
      <c r="Z225" s="1">
        <v>-2531.4825000000001</v>
      </c>
      <c r="AA225" s="1">
        <v>1</v>
      </c>
      <c r="AB225" s="1">
        <v>919.09</v>
      </c>
      <c r="AC225" s="1">
        <v>87700</v>
      </c>
      <c r="AD225" s="6" t="str">
        <f>IF(COUNTIF(Returns!$A$2:$A$1635,Orders!AC225)&gt;0,"Returned","Not Returned")</f>
        <v>Not Returned</v>
      </c>
    </row>
    <row r="226" spans="1:30" ht="12.75" customHeight="1" thickTop="1" thickBot="1" x14ac:dyDescent="0.25">
      <c r="A226" s="10">
        <v>22355</v>
      </c>
      <c r="B226" s="11" t="s">
        <v>25</v>
      </c>
      <c r="C226" s="11">
        <v>0.02</v>
      </c>
      <c r="D226" s="11">
        <v>15.28</v>
      </c>
      <c r="E226" s="11">
        <v>1.99</v>
      </c>
      <c r="F226" s="11">
        <v>428</v>
      </c>
      <c r="G226" s="6" t="str">
        <f>IF(COUNTIF(Table1[Customer ID],Table1[[#This Row],[Customer ID]])&gt;1,"Repeat Customer","One-Time Customer")</f>
        <v>Repeat Customer</v>
      </c>
      <c r="H226" s="11" t="s">
        <v>532</v>
      </c>
      <c r="I226" s="11" t="s">
        <v>49</v>
      </c>
      <c r="J226" s="11" t="s">
        <v>28</v>
      </c>
      <c r="K226" s="11" t="s">
        <v>77</v>
      </c>
      <c r="L226" s="11" t="s">
        <v>180</v>
      </c>
      <c r="M226" s="11" t="s">
        <v>51</v>
      </c>
      <c r="N226" s="11" t="s">
        <v>333</v>
      </c>
      <c r="O226" s="11">
        <v>0.42</v>
      </c>
      <c r="P226" s="6">
        <f>Table1[[#This Row],[Profit]]/Table1[[#This Row],[Sales]]</f>
        <v>0.69</v>
      </c>
      <c r="Q226" s="11" t="s">
        <v>33</v>
      </c>
      <c r="R226" s="11" t="s">
        <v>34</v>
      </c>
      <c r="S226" s="11" t="s">
        <v>533</v>
      </c>
      <c r="T226" s="11" t="s">
        <v>534</v>
      </c>
      <c r="U226" s="11">
        <v>89701</v>
      </c>
      <c r="V226" s="12">
        <v>42019</v>
      </c>
      <c r="W226" s="13" t="str">
        <f>TEXT(Table1[[#This Row],[Order Date]],"mmmm")</f>
        <v>January</v>
      </c>
      <c r="X226" s="7" t="str">
        <f>TEXT(Table1[[#This Row],[Order Date]],"yyyy")</f>
        <v>2015</v>
      </c>
      <c r="Y226" s="12">
        <v>42020</v>
      </c>
      <c r="Z226" s="11">
        <v>163.1574</v>
      </c>
      <c r="AA226" s="11">
        <v>15</v>
      </c>
      <c r="AB226" s="11">
        <v>236.46</v>
      </c>
      <c r="AC226" s="11">
        <v>88479</v>
      </c>
      <c r="AD226" s="6" t="str">
        <f>IF(COUNTIF(Returns!$A$2:$A$1635,Orders!AC226)&gt;0,"Returned","Not Returned")</f>
        <v>Not Returned</v>
      </c>
    </row>
    <row r="227" spans="1:30" ht="12.75" customHeight="1" thickTop="1" thickBot="1" x14ac:dyDescent="0.25">
      <c r="A227" s="8">
        <v>22356</v>
      </c>
      <c r="B227" s="1" t="s">
        <v>25</v>
      </c>
      <c r="C227" s="1">
        <v>0</v>
      </c>
      <c r="D227" s="1">
        <v>85.99</v>
      </c>
      <c r="E227" s="1">
        <v>3.3</v>
      </c>
      <c r="F227" s="1">
        <v>428</v>
      </c>
      <c r="G227" s="6" t="str">
        <f>IF(COUNTIF(Table1[Customer ID],Table1[[#This Row],[Customer ID]])&gt;1,"Repeat Customer","One-Time Customer")</f>
        <v>Repeat Customer</v>
      </c>
      <c r="H227" s="1" t="s">
        <v>532</v>
      </c>
      <c r="I227" s="1" t="s">
        <v>49</v>
      </c>
      <c r="J227" s="1" t="s">
        <v>28</v>
      </c>
      <c r="K227" s="1" t="s">
        <v>77</v>
      </c>
      <c r="L227" s="1" t="s">
        <v>78</v>
      </c>
      <c r="M227" s="1" t="s">
        <v>51</v>
      </c>
      <c r="N227" s="1" t="s">
        <v>535</v>
      </c>
      <c r="O227" s="1">
        <v>0.37</v>
      </c>
      <c r="P227" s="6">
        <f>Table1[[#This Row],[Profit]]/Table1[[#This Row],[Sales]]</f>
        <v>-4.0940801950690879</v>
      </c>
      <c r="Q227" s="1" t="s">
        <v>33</v>
      </c>
      <c r="R227" s="1" t="s">
        <v>34</v>
      </c>
      <c r="S227" s="1" t="s">
        <v>533</v>
      </c>
      <c r="T227" s="1" t="s">
        <v>534</v>
      </c>
      <c r="U227" s="1">
        <v>89701</v>
      </c>
      <c r="V227" s="9">
        <v>42019</v>
      </c>
      <c r="W227" s="13" t="str">
        <f>TEXT(Table1[[#This Row],[Order Date]],"mmmm")</f>
        <v>January</v>
      </c>
      <c r="X227" s="7" t="str">
        <f>TEXT(Table1[[#This Row],[Order Date]],"yyyy")</f>
        <v>2015</v>
      </c>
      <c r="Y227" s="9">
        <v>42020</v>
      </c>
      <c r="Z227" s="1">
        <v>-302.22500000000002</v>
      </c>
      <c r="AA227" s="1">
        <v>1</v>
      </c>
      <c r="AB227" s="1">
        <v>73.819999999999993</v>
      </c>
      <c r="AC227" s="1">
        <v>88479</v>
      </c>
      <c r="AD227" s="6" t="str">
        <f>IF(COUNTIF(Returns!$A$2:$A$1635,Orders!AC227)&gt;0,"Returned","Not Returned")</f>
        <v>Not Returned</v>
      </c>
    </row>
    <row r="228" spans="1:30" ht="12.75" customHeight="1" thickTop="1" thickBot="1" x14ac:dyDescent="0.25">
      <c r="A228" s="10">
        <v>25351</v>
      </c>
      <c r="B228" s="11" t="s">
        <v>37</v>
      </c>
      <c r="C228" s="11">
        <v>0.05</v>
      </c>
      <c r="D228" s="11">
        <v>10.98</v>
      </c>
      <c r="E228" s="11">
        <v>4.8</v>
      </c>
      <c r="F228" s="11">
        <v>428</v>
      </c>
      <c r="G228" s="6" t="str">
        <f>IF(COUNTIF(Table1[Customer ID],Table1[[#This Row],[Customer ID]])&gt;1,"Repeat Customer","One-Time Customer")</f>
        <v>Repeat Customer</v>
      </c>
      <c r="H228" s="11" t="s">
        <v>532</v>
      </c>
      <c r="I228" s="11" t="s">
        <v>49</v>
      </c>
      <c r="J228" s="11" t="s">
        <v>28</v>
      </c>
      <c r="K228" s="11" t="s">
        <v>29</v>
      </c>
      <c r="L228" s="11" t="s">
        <v>69</v>
      </c>
      <c r="M228" s="11" t="s">
        <v>59</v>
      </c>
      <c r="N228" s="11" t="s">
        <v>536</v>
      </c>
      <c r="O228" s="11">
        <v>0.36</v>
      </c>
      <c r="P228" s="6">
        <f>Table1[[#This Row],[Profit]]/Table1[[#This Row],[Sales]]</f>
        <v>0.37275307473982972</v>
      </c>
      <c r="Q228" s="11" t="s">
        <v>33</v>
      </c>
      <c r="R228" s="11" t="s">
        <v>34</v>
      </c>
      <c r="S228" s="11" t="s">
        <v>533</v>
      </c>
      <c r="T228" s="11" t="s">
        <v>534</v>
      </c>
      <c r="U228" s="11">
        <v>89701</v>
      </c>
      <c r="V228" s="12">
        <v>42066</v>
      </c>
      <c r="W228" s="13" t="str">
        <f>TEXT(Table1[[#This Row],[Order Date]],"mmmm")</f>
        <v>March</v>
      </c>
      <c r="X228" s="7" t="str">
        <f>TEXT(Table1[[#This Row],[Order Date]],"yyyy")</f>
        <v>2015</v>
      </c>
      <c r="Y228" s="12">
        <v>42068</v>
      </c>
      <c r="Z228" s="11">
        <v>90.62</v>
      </c>
      <c r="AA228" s="11">
        <v>22</v>
      </c>
      <c r="AB228" s="11">
        <v>243.11</v>
      </c>
      <c r="AC228" s="11">
        <v>88480</v>
      </c>
      <c r="AD228" s="6" t="str">
        <f>IF(COUNTIF(Returns!$A$2:$A$1635,Orders!AC228)&gt;0,"Returned","Not Returned")</f>
        <v>Not Returned</v>
      </c>
    </row>
    <row r="229" spans="1:30" ht="12.75" customHeight="1" thickTop="1" thickBot="1" x14ac:dyDescent="0.25">
      <c r="A229" s="8">
        <v>19988</v>
      </c>
      <c r="B229" s="1" t="s">
        <v>106</v>
      </c>
      <c r="C229" s="1">
        <v>0.05</v>
      </c>
      <c r="D229" s="1">
        <v>125.99</v>
      </c>
      <c r="E229" s="1">
        <v>8.08</v>
      </c>
      <c r="F229" s="1">
        <v>437</v>
      </c>
      <c r="G229" s="6" t="str">
        <f>IF(COUNTIF(Table1[Customer ID],Table1[[#This Row],[Customer ID]])&gt;1,"Repeat Customer","One-Time Customer")</f>
        <v>One-Time Customer</v>
      </c>
      <c r="H229" s="1" t="s">
        <v>537</v>
      </c>
      <c r="I229" s="1" t="s">
        <v>49</v>
      </c>
      <c r="J229" s="1" t="s">
        <v>58</v>
      </c>
      <c r="K229" s="1" t="s">
        <v>77</v>
      </c>
      <c r="L229" s="1" t="s">
        <v>78</v>
      </c>
      <c r="M229" s="1" t="s">
        <v>59</v>
      </c>
      <c r="N229" s="1" t="s">
        <v>289</v>
      </c>
      <c r="O229" s="1">
        <v>0.56999999999999995</v>
      </c>
      <c r="P229" s="6">
        <f>Table1[[#This Row],[Profit]]/Table1[[#This Row],[Sales]]</f>
        <v>0.44853128347300109</v>
      </c>
      <c r="Q229" s="1" t="s">
        <v>33</v>
      </c>
      <c r="R229" s="1" t="s">
        <v>53</v>
      </c>
      <c r="S229" s="1" t="s">
        <v>193</v>
      </c>
      <c r="T229" s="1" t="s">
        <v>538</v>
      </c>
      <c r="U229" s="1">
        <v>1462</v>
      </c>
      <c r="V229" s="9">
        <v>42177</v>
      </c>
      <c r="W229" s="13" t="str">
        <f>TEXT(Table1[[#This Row],[Order Date]],"mmmm")</f>
        <v>June</v>
      </c>
      <c r="X229" s="7" t="str">
        <f>TEXT(Table1[[#This Row],[Order Date]],"yyyy")</f>
        <v>2015</v>
      </c>
      <c r="Y229" s="9">
        <v>42182</v>
      </c>
      <c r="Z229" s="1">
        <v>427.11840000000001</v>
      </c>
      <c r="AA229" s="1">
        <v>9</v>
      </c>
      <c r="AB229" s="1">
        <v>952.26</v>
      </c>
      <c r="AC229" s="1">
        <v>90695</v>
      </c>
      <c r="AD229" s="6" t="str">
        <f>IF(COUNTIF(Returns!$A$2:$A$1635,Orders!AC229)&gt;0,"Returned","Not Returned")</f>
        <v>Not Returned</v>
      </c>
    </row>
    <row r="230" spans="1:30" ht="12.75" customHeight="1" thickTop="1" thickBot="1" x14ac:dyDescent="0.25">
      <c r="A230" s="10">
        <v>25813</v>
      </c>
      <c r="B230" s="11" t="s">
        <v>47</v>
      </c>
      <c r="C230" s="11">
        <v>0</v>
      </c>
      <c r="D230" s="11">
        <v>7.59</v>
      </c>
      <c r="E230" s="11">
        <v>4</v>
      </c>
      <c r="F230" s="11">
        <v>444</v>
      </c>
      <c r="G230" s="6" t="str">
        <f>IF(COUNTIF(Table1[Customer ID],Table1[[#This Row],[Customer ID]])&gt;1,"Repeat Customer","One-Time Customer")</f>
        <v>One-Time Customer</v>
      </c>
      <c r="H230" s="11" t="s">
        <v>539</v>
      </c>
      <c r="I230" s="11" t="s">
        <v>49</v>
      </c>
      <c r="J230" s="11" t="s">
        <v>58</v>
      </c>
      <c r="K230" s="11" t="s">
        <v>41</v>
      </c>
      <c r="L230" s="11" t="s">
        <v>50</v>
      </c>
      <c r="M230" s="11" t="s">
        <v>31</v>
      </c>
      <c r="N230" s="11" t="s">
        <v>444</v>
      </c>
      <c r="O230" s="11">
        <v>0.42</v>
      </c>
      <c r="P230" s="6">
        <f>Table1[[#This Row],[Profit]]/Table1[[#This Row],[Sales]]</f>
        <v>0.24285794560575411</v>
      </c>
      <c r="Q230" s="11" t="s">
        <v>33</v>
      </c>
      <c r="R230" s="11" t="s">
        <v>61</v>
      </c>
      <c r="S230" s="11" t="s">
        <v>178</v>
      </c>
      <c r="T230" s="11" t="s">
        <v>540</v>
      </c>
      <c r="U230" s="11">
        <v>61801</v>
      </c>
      <c r="V230" s="12">
        <v>42149</v>
      </c>
      <c r="W230" s="13" t="str">
        <f>TEXT(Table1[[#This Row],[Order Date]],"mmmm")</f>
        <v>May</v>
      </c>
      <c r="X230" s="7" t="str">
        <f>TEXT(Table1[[#This Row],[Order Date]],"yyyy")</f>
        <v>2015</v>
      </c>
      <c r="Y230" s="12">
        <v>42152</v>
      </c>
      <c r="Z230" s="11">
        <v>86.438000000000002</v>
      </c>
      <c r="AA230" s="11">
        <v>43</v>
      </c>
      <c r="AB230" s="11">
        <v>355.92</v>
      </c>
      <c r="AC230" s="11">
        <v>88085</v>
      </c>
      <c r="AD230" s="6" t="str">
        <f>IF(COUNTIF(Returns!$A$2:$A$1635,Orders!AC230)&gt;0,"Returned","Not Returned")</f>
        <v>Not Returned</v>
      </c>
    </row>
    <row r="231" spans="1:30" ht="12.75" customHeight="1" thickTop="1" thickBot="1" x14ac:dyDescent="0.25">
      <c r="A231" s="8">
        <v>23153</v>
      </c>
      <c r="B231" s="1" t="s">
        <v>37</v>
      </c>
      <c r="C231" s="1">
        <v>0.03</v>
      </c>
      <c r="D231" s="1">
        <v>48.04</v>
      </c>
      <c r="E231" s="1">
        <v>19.989999999999998</v>
      </c>
      <c r="F231" s="1">
        <v>445</v>
      </c>
      <c r="G231" s="6" t="str">
        <f>IF(COUNTIF(Table1[Customer ID],Table1[[#This Row],[Customer ID]])&gt;1,"Repeat Customer","One-Time Customer")</f>
        <v>Repeat Customer</v>
      </c>
      <c r="H231" s="1" t="s">
        <v>541</v>
      </c>
      <c r="I231" s="1" t="s">
        <v>49</v>
      </c>
      <c r="J231" s="1" t="s">
        <v>58</v>
      </c>
      <c r="K231" s="1" t="s">
        <v>29</v>
      </c>
      <c r="L231" s="1" t="s">
        <v>93</v>
      </c>
      <c r="M231" s="1" t="s">
        <v>59</v>
      </c>
      <c r="N231" s="1" t="s">
        <v>542</v>
      </c>
      <c r="O231" s="1">
        <v>0.37</v>
      </c>
      <c r="P231" s="6">
        <f>Table1[[#This Row],[Profit]]/Table1[[#This Row],[Sales]]</f>
        <v>-4.3850162225936427E-2</v>
      </c>
      <c r="Q231" s="1" t="s">
        <v>33</v>
      </c>
      <c r="R231" s="1" t="s">
        <v>61</v>
      </c>
      <c r="S231" s="1" t="s">
        <v>496</v>
      </c>
      <c r="T231" s="1" t="s">
        <v>543</v>
      </c>
      <c r="U231" s="1">
        <v>68701</v>
      </c>
      <c r="V231" s="9">
        <v>42105</v>
      </c>
      <c r="W231" s="13" t="str">
        <f>TEXT(Table1[[#This Row],[Order Date]],"mmmm")</f>
        <v>April</v>
      </c>
      <c r="X231" s="7" t="str">
        <f>TEXT(Table1[[#This Row],[Order Date]],"yyyy")</f>
        <v>2015</v>
      </c>
      <c r="Y231" s="9">
        <v>42107</v>
      </c>
      <c r="Z231" s="1">
        <v>-4.4599999999999937</v>
      </c>
      <c r="AA231" s="1">
        <v>2</v>
      </c>
      <c r="AB231" s="1">
        <v>101.71</v>
      </c>
      <c r="AC231" s="1">
        <v>88083</v>
      </c>
      <c r="AD231" s="6" t="str">
        <f>IF(COUNTIF(Returns!$A$2:$A$1635,Orders!AC231)&gt;0,"Returned","Not Returned")</f>
        <v>Not Returned</v>
      </c>
    </row>
    <row r="232" spans="1:30" ht="12.75" customHeight="1" thickTop="1" thickBot="1" x14ac:dyDescent="0.25">
      <c r="A232" s="10">
        <v>23862</v>
      </c>
      <c r="B232" s="11" t="s">
        <v>25</v>
      </c>
      <c r="C232" s="11">
        <v>0.09</v>
      </c>
      <c r="D232" s="11">
        <v>200.98</v>
      </c>
      <c r="E232" s="11">
        <v>55.96</v>
      </c>
      <c r="F232" s="11">
        <v>445</v>
      </c>
      <c r="G232" s="6" t="str">
        <f>IF(COUNTIF(Table1[Customer ID],Table1[[#This Row],[Customer ID]])&gt;1,"Repeat Customer","One-Time Customer")</f>
        <v>Repeat Customer</v>
      </c>
      <c r="H232" s="11" t="s">
        <v>541</v>
      </c>
      <c r="I232" s="11" t="s">
        <v>39</v>
      </c>
      <c r="J232" s="11" t="s">
        <v>58</v>
      </c>
      <c r="K232" s="11" t="s">
        <v>41</v>
      </c>
      <c r="L232" s="11" t="s">
        <v>191</v>
      </c>
      <c r="M232" s="11" t="s">
        <v>121</v>
      </c>
      <c r="N232" s="11" t="s">
        <v>480</v>
      </c>
      <c r="O232" s="11">
        <v>0.75</v>
      </c>
      <c r="P232" s="6">
        <f>Table1[[#This Row],[Profit]]/Table1[[#This Row],[Sales]]</f>
        <v>-0.29030271469649288</v>
      </c>
      <c r="Q232" s="11" t="s">
        <v>33</v>
      </c>
      <c r="R232" s="11" t="s">
        <v>61</v>
      </c>
      <c r="S232" s="11" t="s">
        <v>496</v>
      </c>
      <c r="T232" s="11" t="s">
        <v>543</v>
      </c>
      <c r="U232" s="11">
        <v>68701</v>
      </c>
      <c r="V232" s="12">
        <v>42178</v>
      </c>
      <c r="W232" s="13" t="str">
        <f>TEXT(Table1[[#This Row],[Order Date]],"mmmm")</f>
        <v>June</v>
      </c>
      <c r="X232" s="7" t="str">
        <f>TEXT(Table1[[#This Row],[Order Date]],"yyyy")</f>
        <v>2015</v>
      </c>
      <c r="Y232" s="12">
        <v>42179</v>
      </c>
      <c r="Z232" s="11">
        <v>-512.87200000000007</v>
      </c>
      <c r="AA232" s="11">
        <v>9</v>
      </c>
      <c r="AB232" s="11">
        <v>1766.68</v>
      </c>
      <c r="AC232" s="11">
        <v>88084</v>
      </c>
      <c r="AD232" s="6" t="str">
        <f>IF(COUNTIF(Returns!$A$2:$A$1635,Orders!AC232)&gt;0,"Returned","Not Returned")</f>
        <v>Not Returned</v>
      </c>
    </row>
    <row r="233" spans="1:30" ht="12.75" customHeight="1" thickTop="1" thickBot="1" x14ac:dyDescent="0.25">
      <c r="A233" s="8">
        <v>23863</v>
      </c>
      <c r="B233" s="1" t="s">
        <v>25</v>
      </c>
      <c r="C233" s="1">
        <v>0.09</v>
      </c>
      <c r="D233" s="1">
        <v>2.78</v>
      </c>
      <c r="E233" s="1">
        <v>0.97</v>
      </c>
      <c r="F233" s="1">
        <v>445</v>
      </c>
      <c r="G233" s="6" t="str">
        <f>IF(COUNTIF(Table1[Customer ID],Table1[[#This Row],[Customer ID]])&gt;1,"Repeat Customer","One-Time Customer")</f>
        <v>Repeat Customer</v>
      </c>
      <c r="H233" s="1" t="s">
        <v>541</v>
      </c>
      <c r="I233" s="1" t="s">
        <v>49</v>
      </c>
      <c r="J233" s="1" t="s">
        <v>58</v>
      </c>
      <c r="K233" s="1" t="s">
        <v>29</v>
      </c>
      <c r="L233" s="1" t="s">
        <v>30</v>
      </c>
      <c r="M233" s="1" t="s">
        <v>31</v>
      </c>
      <c r="N233" s="1" t="s">
        <v>544</v>
      </c>
      <c r="O233" s="1">
        <v>0.59</v>
      </c>
      <c r="P233" s="6">
        <f>Table1[[#This Row],[Profit]]/Table1[[#This Row],[Sales]]</f>
        <v>-0.13039283252929015</v>
      </c>
      <c r="Q233" s="1" t="s">
        <v>33</v>
      </c>
      <c r="R233" s="1" t="s">
        <v>61</v>
      </c>
      <c r="S233" s="1" t="s">
        <v>496</v>
      </c>
      <c r="T233" s="1" t="s">
        <v>543</v>
      </c>
      <c r="U233" s="1">
        <v>68701</v>
      </c>
      <c r="V233" s="9">
        <v>42178</v>
      </c>
      <c r="W233" s="13" t="str">
        <f>TEXT(Table1[[#This Row],[Order Date]],"mmmm")</f>
        <v>June</v>
      </c>
      <c r="X233" s="7" t="str">
        <f>TEXT(Table1[[#This Row],[Order Date]],"yyyy")</f>
        <v>2015</v>
      </c>
      <c r="Y233" s="9">
        <v>42179</v>
      </c>
      <c r="Z233" s="1">
        <v>-3.7840000000000003</v>
      </c>
      <c r="AA233" s="1">
        <v>11</v>
      </c>
      <c r="AB233" s="1">
        <v>29.02</v>
      </c>
      <c r="AC233" s="1">
        <v>88084</v>
      </c>
      <c r="AD233" s="6" t="str">
        <f>IF(COUNTIF(Returns!$A$2:$A$1635,Orders!AC233)&gt;0,"Returned","Not Returned")</f>
        <v>Not Returned</v>
      </c>
    </row>
    <row r="234" spans="1:30" ht="12.75" customHeight="1" thickTop="1" thickBot="1" x14ac:dyDescent="0.25">
      <c r="A234" s="10">
        <v>19694</v>
      </c>
      <c r="B234" s="11" t="s">
        <v>37</v>
      </c>
      <c r="C234" s="11">
        <v>0.04</v>
      </c>
      <c r="D234" s="11">
        <v>130.97999999999999</v>
      </c>
      <c r="E234" s="11">
        <v>30</v>
      </c>
      <c r="F234" s="11">
        <v>447</v>
      </c>
      <c r="G234" s="6" t="str">
        <f>IF(COUNTIF(Table1[Customer ID],Table1[[#This Row],[Customer ID]])&gt;1,"Repeat Customer","One-Time Customer")</f>
        <v>Repeat Customer</v>
      </c>
      <c r="H234" s="11" t="s">
        <v>545</v>
      </c>
      <c r="I234" s="11" t="s">
        <v>39</v>
      </c>
      <c r="J234" s="11" t="s">
        <v>28</v>
      </c>
      <c r="K234" s="11" t="s">
        <v>41</v>
      </c>
      <c r="L234" s="11" t="s">
        <v>42</v>
      </c>
      <c r="M234" s="11" t="s">
        <v>43</v>
      </c>
      <c r="N234" s="11" t="s">
        <v>546</v>
      </c>
      <c r="O234" s="11">
        <v>0.78</v>
      </c>
      <c r="P234" s="6">
        <f>Table1[[#This Row],[Profit]]/Table1[[#This Row],[Sales]]</f>
        <v>-0.51974170898376282</v>
      </c>
      <c r="Q234" s="11" t="s">
        <v>33</v>
      </c>
      <c r="R234" s="11" t="s">
        <v>61</v>
      </c>
      <c r="S234" s="11" t="s">
        <v>62</v>
      </c>
      <c r="T234" s="11" t="s">
        <v>547</v>
      </c>
      <c r="U234" s="11">
        <v>55113</v>
      </c>
      <c r="V234" s="12">
        <v>42180</v>
      </c>
      <c r="W234" s="13" t="str">
        <f>TEXT(Table1[[#This Row],[Order Date]],"mmmm")</f>
        <v>June</v>
      </c>
      <c r="X234" s="7" t="str">
        <f>TEXT(Table1[[#This Row],[Order Date]],"yyyy")</f>
        <v>2015</v>
      </c>
      <c r="Y234" s="12">
        <v>42183</v>
      </c>
      <c r="Z234" s="11">
        <v>-82.903999999999996</v>
      </c>
      <c r="AA234" s="11">
        <v>1</v>
      </c>
      <c r="AB234" s="11">
        <v>159.51</v>
      </c>
      <c r="AC234" s="11">
        <v>90449</v>
      </c>
      <c r="AD234" s="6" t="str">
        <f>IF(COUNTIF(Returns!$A$2:$A$1635,Orders!AC234)&gt;0,"Returned","Not Returned")</f>
        <v>Not Returned</v>
      </c>
    </row>
    <row r="235" spans="1:30" ht="12.75" customHeight="1" thickTop="1" thickBot="1" x14ac:dyDescent="0.25">
      <c r="A235" s="8">
        <v>19695</v>
      </c>
      <c r="B235" s="1" t="s">
        <v>37</v>
      </c>
      <c r="C235" s="1">
        <v>0.05</v>
      </c>
      <c r="D235" s="1">
        <v>200.99</v>
      </c>
      <c r="E235" s="1">
        <v>4.2</v>
      </c>
      <c r="F235" s="1">
        <v>447</v>
      </c>
      <c r="G235" s="6" t="str">
        <f>IF(COUNTIF(Table1[Customer ID],Table1[[#This Row],[Customer ID]])&gt;1,"Repeat Customer","One-Time Customer")</f>
        <v>Repeat Customer</v>
      </c>
      <c r="H235" s="1" t="s">
        <v>545</v>
      </c>
      <c r="I235" s="1" t="s">
        <v>49</v>
      </c>
      <c r="J235" s="1" t="s">
        <v>28</v>
      </c>
      <c r="K235" s="1" t="s">
        <v>77</v>
      </c>
      <c r="L235" s="1" t="s">
        <v>78</v>
      </c>
      <c r="M235" s="1" t="s">
        <v>59</v>
      </c>
      <c r="N235" s="1" t="s">
        <v>548</v>
      </c>
      <c r="O235" s="1">
        <v>0.59</v>
      </c>
      <c r="P235" s="6">
        <f>Table1[[#This Row],[Profit]]/Table1[[#This Row],[Sales]]</f>
        <v>0.69</v>
      </c>
      <c r="Q235" s="1" t="s">
        <v>33</v>
      </c>
      <c r="R235" s="1" t="s">
        <v>61</v>
      </c>
      <c r="S235" s="1" t="s">
        <v>62</v>
      </c>
      <c r="T235" s="1" t="s">
        <v>547</v>
      </c>
      <c r="U235" s="1">
        <v>55113</v>
      </c>
      <c r="V235" s="9">
        <v>42180</v>
      </c>
      <c r="W235" s="13" t="str">
        <f>TEXT(Table1[[#This Row],[Order Date]],"mmmm")</f>
        <v>June</v>
      </c>
      <c r="X235" s="7" t="str">
        <f>TEXT(Table1[[#This Row],[Order Date]],"yyyy")</f>
        <v>2015</v>
      </c>
      <c r="Y235" s="9">
        <v>42180</v>
      </c>
      <c r="Z235" s="1">
        <v>1268.8064999999999</v>
      </c>
      <c r="AA235" s="1">
        <v>11</v>
      </c>
      <c r="AB235" s="1">
        <v>1838.85</v>
      </c>
      <c r="AC235" s="1">
        <v>90449</v>
      </c>
      <c r="AD235" s="6" t="str">
        <f>IF(COUNTIF(Returns!$A$2:$A$1635,Orders!AC235)&gt;0,"Returned","Not Returned")</f>
        <v>Not Returned</v>
      </c>
    </row>
    <row r="236" spans="1:30" ht="12.75" customHeight="1" thickTop="1" thickBot="1" x14ac:dyDescent="0.25">
      <c r="A236" s="10">
        <v>20851</v>
      </c>
      <c r="B236" s="11" t="s">
        <v>25</v>
      </c>
      <c r="C236" s="11">
        <v>0.03</v>
      </c>
      <c r="D236" s="11">
        <v>15.99</v>
      </c>
      <c r="E236" s="11">
        <v>11.28</v>
      </c>
      <c r="F236" s="11">
        <v>451</v>
      </c>
      <c r="G236" s="6" t="str">
        <f>IF(COUNTIF(Table1[Customer ID],Table1[[#This Row],[Customer ID]])&gt;1,"Repeat Customer","One-Time Customer")</f>
        <v>Repeat Customer</v>
      </c>
      <c r="H236" s="11" t="s">
        <v>549</v>
      </c>
      <c r="I236" s="11" t="s">
        <v>49</v>
      </c>
      <c r="J236" s="11" t="s">
        <v>40</v>
      </c>
      <c r="K236" s="11" t="s">
        <v>77</v>
      </c>
      <c r="L236" s="11" t="s">
        <v>85</v>
      </c>
      <c r="M236" s="11" t="s">
        <v>86</v>
      </c>
      <c r="N236" s="11" t="s">
        <v>550</v>
      </c>
      <c r="O236" s="11">
        <v>0.38</v>
      </c>
      <c r="P236" s="6">
        <f>Table1[[#This Row],[Profit]]/Table1[[#This Row],[Sales]]</f>
        <v>-1.5021476888387826</v>
      </c>
      <c r="Q236" s="11" t="s">
        <v>33</v>
      </c>
      <c r="R236" s="11" t="s">
        <v>34</v>
      </c>
      <c r="S236" s="11" t="s">
        <v>45</v>
      </c>
      <c r="T236" s="11" t="s">
        <v>551</v>
      </c>
      <c r="U236" s="11">
        <v>94024</v>
      </c>
      <c r="V236" s="12">
        <v>42104</v>
      </c>
      <c r="W236" s="13" t="str">
        <f>TEXT(Table1[[#This Row],[Order Date]],"mmmm")</f>
        <v>April</v>
      </c>
      <c r="X236" s="7" t="str">
        <f>TEXT(Table1[[#This Row],[Order Date]],"yyyy")</f>
        <v>2015</v>
      </c>
      <c r="Y236" s="12">
        <v>42105</v>
      </c>
      <c r="Z236" s="11">
        <v>-53.296199999999999</v>
      </c>
      <c r="AA236" s="11">
        <v>2</v>
      </c>
      <c r="AB236" s="11">
        <v>35.479999999999997</v>
      </c>
      <c r="AC236" s="11">
        <v>86010</v>
      </c>
      <c r="AD236" s="6" t="str">
        <f>IF(COUNTIF(Returns!$A$2:$A$1635,Orders!AC236)&gt;0,"Returned","Not Returned")</f>
        <v>Not Returned</v>
      </c>
    </row>
    <row r="237" spans="1:30" ht="12.75" customHeight="1" thickTop="1" thickBot="1" x14ac:dyDescent="0.25">
      <c r="A237" s="8">
        <v>21117</v>
      </c>
      <c r="B237" s="1" t="s">
        <v>47</v>
      </c>
      <c r="C237" s="1">
        <v>0.04</v>
      </c>
      <c r="D237" s="1">
        <v>37.700000000000003</v>
      </c>
      <c r="E237" s="1">
        <v>2.99</v>
      </c>
      <c r="F237" s="1">
        <v>451</v>
      </c>
      <c r="G237" s="6" t="str">
        <f>IF(COUNTIF(Table1[Customer ID],Table1[[#This Row],[Customer ID]])&gt;1,"Repeat Customer","One-Time Customer")</f>
        <v>Repeat Customer</v>
      </c>
      <c r="H237" s="1" t="s">
        <v>549</v>
      </c>
      <c r="I237" s="1" t="s">
        <v>49</v>
      </c>
      <c r="J237" s="1" t="s">
        <v>40</v>
      </c>
      <c r="K237" s="1" t="s">
        <v>29</v>
      </c>
      <c r="L237" s="1" t="s">
        <v>109</v>
      </c>
      <c r="M237" s="1" t="s">
        <v>59</v>
      </c>
      <c r="N237" s="1" t="s">
        <v>552</v>
      </c>
      <c r="O237" s="1">
        <v>0.35</v>
      </c>
      <c r="P237" s="6">
        <f>Table1[[#This Row],[Profit]]/Table1[[#This Row],[Sales]]</f>
        <v>0.69000000000000006</v>
      </c>
      <c r="Q237" s="1" t="s">
        <v>33</v>
      </c>
      <c r="R237" s="1" t="s">
        <v>34</v>
      </c>
      <c r="S237" s="1" t="s">
        <v>45</v>
      </c>
      <c r="T237" s="1" t="s">
        <v>551</v>
      </c>
      <c r="U237" s="1">
        <v>94024</v>
      </c>
      <c r="V237" s="9">
        <v>42151</v>
      </c>
      <c r="W237" s="13" t="str">
        <f>TEXT(Table1[[#This Row],[Order Date]],"mmmm")</f>
        <v>May</v>
      </c>
      <c r="X237" s="7" t="str">
        <f>TEXT(Table1[[#This Row],[Order Date]],"yyyy")</f>
        <v>2015</v>
      </c>
      <c r="Y237" s="9">
        <v>42152</v>
      </c>
      <c r="Z237" s="1">
        <v>299.6739</v>
      </c>
      <c r="AA237" s="1">
        <v>12</v>
      </c>
      <c r="AB237" s="1">
        <v>434.31</v>
      </c>
      <c r="AC237" s="1">
        <v>86012</v>
      </c>
      <c r="AD237" s="6" t="str">
        <f>IF(COUNTIF(Returns!$A$2:$A$1635,Orders!AC237)&gt;0,"Returned","Not Returned")</f>
        <v>Not Returned</v>
      </c>
    </row>
    <row r="238" spans="1:30" ht="12.75" customHeight="1" thickTop="1" thickBot="1" x14ac:dyDescent="0.25">
      <c r="A238" s="10">
        <v>18536</v>
      </c>
      <c r="B238" s="11" t="s">
        <v>106</v>
      </c>
      <c r="C238" s="11">
        <v>0.01</v>
      </c>
      <c r="D238" s="11">
        <v>8.8800000000000008</v>
      </c>
      <c r="E238" s="11">
        <v>6.28</v>
      </c>
      <c r="F238" s="11">
        <v>451</v>
      </c>
      <c r="G238" s="6" t="str">
        <f>IF(COUNTIF(Table1[Customer ID],Table1[[#This Row],[Customer ID]])&gt;1,"Repeat Customer","One-Time Customer")</f>
        <v>Repeat Customer</v>
      </c>
      <c r="H238" s="11" t="s">
        <v>549</v>
      </c>
      <c r="I238" s="11" t="s">
        <v>49</v>
      </c>
      <c r="J238" s="11" t="s">
        <v>40</v>
      </c>
      <c r="K238" s="11" t="s">
        <v>29</v>
      </c>
      <c r="L238" s="11" t="s">
        <v>109</v>
      </c>
      <c r="M238" s="11" t="s">
        <v>59</v>
      </c>
      <c r="N238" s="11" t="s">
        <v>495</v>
      </c>
      <c r="O238" s="11">
        <v>0.35</v>
      </c>
      <c r="P238" s="6">
        <f>Table1[[#This Row],[Profit]]/Table1[[#This Row],[Sales]]</f>
        <v>-0.77824773413897286</v>
      </c>
      <c r="Q238" s="11" t="s">
        <v>33</v>
      </c>
      <c r="R238" s="11" t="s">
        <v>34</v>
      </c>
      <c r="S238" s="11" t="s">
        <v>45</v>
      </c>
      <c r="T238" s="11" t="s">
        <v>551</v>
      </c>
      <c r="U238" s="11">
        <v>94024</v>
      </c>
      <c r="V238" s="12">
        <v>42009</v>
      </c>
      <c r="W238" s="13" t="str">
        <f>TEXT(Table1[[#This Row],[Order Date]],"mmmm")</f>
        <v>January</v>
      </c>
      <c r="X238" s="7" t="str">
        <f>TEXT(Table1[[#This Row],[Order Date]],"yyyy")</f>
        <v>2015</v>
      </c>
      <c r="Y238" s="12">
        <v>42014</v>
      </c>
      <c r="Z238" s="11">
        <v>-15.456</v>
      </c>
      <c r="AA238" s="11">
        <v>2</v>
      </c>
      <c r="AB238" s="11">
        <v>19.86</v>
      </c>
      <c r="AC238" s="11">
        <v>86013</v>
      </c>
      <c r="AD238" s="6" t="str">
        <f>IF(COUNTIF(Returns!$A$2:$A$1635,Orders!AC238)&gt;0,"Returned","Not Returned")</f>
        <v>Not Returned</v>
      </c>
    </row>
    <row r="239" spans="1:30" ht="12.75" customHeight="1" thickTop="1" thickBot="1" x14ac:dyDescent="0.25">
      <c r="A239" s="8">
        <v>18537</v>
      </c>
      <c r="B239" s="1" t="s">
        <v>106</v>
      </c>
      <c r="C239" s="1">
        <v>0.06</v>
      </c>
      <c r="D239" s="1">
        <v>2.88</v>
      </c>
      <c r="E239" s="1">
        <v>0.99</v>
      </c>
      <c r="F239" s="1">
        <v>451</v>
      </c>
      <c r="G239" s="6" t="str">
        <f>IF(COUNTIF(Table1[Customer ID],Table1[[#This Row],[Customer ID]])&gt;1,"Repeat Customer","One-Time Customer")</f>
        <v>Repeat Customer</v>
      </c>
      <c r="H239" s="1" t="s">
        <v>549</v>
      </c>
      <c r="I239" s="1" t="s">
        <v>49</v>
      </c>
      <c r="J239" s="1" t="s">
        <v>40</v>
      </c>
      <c r="K239" s="1" t="s">
        <v>29</v>
      </c>
      <c r="L239" s="1" t="s">
        <v>134</v>
      </c>
      <c r="M239" s="1" t="s">
        <v>59</v>
      </c>
      <c r="N239" s="1" t="s">
        <v>349</v>
      </c>
      <c r="O239" s="1">
        <v>0.36</v>
      </c>
      <c r="P239" s="6">
        <f>Table1[[#This Row],[Profit]]/Table1[[#This Row],[Sales]]</f>
        <v>0.69</v>
      </c>
      <c r="Q239" s="1" t="s">
        <v>33</v>
      </c>
      <c r="R239" s="1" t="s">
        <v>34</v>
      </c>
      <c r="S239" s="1" t="s">
        <v>45</v>
      </c>
      <c r="T239" s="1" t="s">
        <v>551</v>
      </c>
      <c r="U239" s="1">
        <v>94024</v>
      </c>
      <c r="V239" s="9">
        <v>42009</v>
      </c>
      <c r="W239" s="13" t="str">
        <f>TEXT(Table1[[#This Row],[Order Date]],"mmmm")</f>
        <v>January</v>
      </c>
      <c r="X239" s="7" t="str">
        <f>TEXT(Table1[[#This Row],[Order Date]],"yyyy")</f>
        <v>2015</v>
      </c>
      <c r="Y239" s="9">
        <v>42018</v>
      </c>
      <c r="Z239" s="1">
        <v>16.049399999999999</v>
      </c>
      <c r="AA239" s="1">
        <v>8</v>
      </c>
      <c r="AB239" s="1">
        <v>23.26</v>
      </c>
      <c r="AC239" s="1">
        <v>86013</v>
      </c>
      <c r="AD239" s="6" t="str">
        <f>IF(COUNTIF(Returns!$A$2:$A$1635,Orders!AC239)&gt;0,"Returned","Not Returned")</f>
        <v>Not Returned</v>
      </c>
    </row>
    <row r="240" spans="1:30" ht="12.75" customHeight="1" thickTop="1" thickBot="1" x14ac:dyDescent="0.25">
      <c r="A240" s="10">
        <v>21118</v>
      </c>
      <c r="B240" s="11" t="s">
        <v>47</v>
      </c>
      <c r="C240" s="11">
        <v>0.01</v>
      </c>
      <c r="D240" s="11">
        <v>55.99</v>
      </c>
      <c r="E240" s="11">
        <v>5</v>
      </c>
      <c r="F240" s="11">
        <v>452</v>
      </c>
      <c r="G240" s="6" t="str">
        <f>IF(COUNTIF(Table1[Customer ID],Table1[[#This Row],[Customer ID]])&gt;1,"Repeat Customer","One-Time Customer")</f>
        <v>One-Time Customer</v>
      </c>
      <c r="H240" s="11" t="s">
        <v>553</v>
      </c>
      <c r="I240" s="11" t="s">
        <v>49</v>
      </c>
      <c r="J240" s="11" t="s">
        <v>40</v>
      </c>
      <c r="K240" s="11" t="s">
        <v>77</v>
      </c>
      <c r="L240" s="11" t="s">
        <v>78</v>
      </c>
      <c r="M240" s="11" t="s">
        <v>51</v>
      </c>
      <c r="N240" s="11" t="s">
        <v>398</v>
      </c>
      <c r="O240" s="11">
        <v>0.83</v>
      </c>
      <c r="P240" s="6">
        <f>Table1[[#This Row],[Profit]]/Table1[[#This Row],[Sales]]</f>
        <v>-4.5513216284005402</v>
      </c>
      <c r="Q240" s="11" t="s">
        <v>33</v>
      </c>
      <c r="R240" s="11" t="s">
        <v>34</v>
      </c>
      <c r="S240" s="11" t="s">
        <v>45</v>
      </c>
      <c r="T240" s="11" t="s">
        <v>554</v>
      </c>
      <c r="U240" s="11">
        <v>93635</v>
      </c>
      <c r="V240" s="12">
        <v>42151</v>
      </c>
      <c r="W240" s="13" t="str">
        <f>TEXT(Table1[[#This Row],[Order Date]],"mmmm")</f>
        <v>May</v>
      </c>
      <c r="X240" s="7" t="str">
        <f>TEXT(Table1[[#This Row],[Order Date]],"yyyy")</f>
        <v>2015</v>
      </c>
      <c r="Y240" s="12">
        <v>42152</v>
      </c>
      <c r="Z240" s="11">
        <v>-235.89500000000001</v>
      </c>
      <c r="AA240" s="11">
        <v>1</v>
      </c>
      <c r="AB240" s="11">
        <v>51.83</v>
      </c>
      <c r="AC240" s="11">
        <v>86012</v>
      </c>
      <c r="AD240" s="6" t="str">
        <f>IF(COUNTIF(Returns!$A$2:$A$1635,Orders!AC240)&gt;0,"Returned","Not Returned")</f>
        <v>Not Returned</v>
      </c>
    </row>
    <row r="241" spans="1:30" ht="12.75" customHeight="1" thickTop="1" thickBot="1" x14ac:dyDescent="0.25">
      <c r="A241" s="8">
        <v>22318</v>
      </c>
      <c r="B241" s="1" t="s">
        <v>37</v>
      </c>
      <c r="C241" s="1">
        <v>0.03</v>
      </c>
      <c r="D241" s="1">
        <v>29.34</v>
      </c>
      <c r="E241" s="1">
        <v>7.87</v>
      </c>
      <c r="F241" s="1">
        <v>453</v>
      </c>
      <c r="G241" s="6" t="str">
        <f>IF(COUNTIF(Table1[Customer ID],Table1[[#This Row],[Customer ID]])&gt;1,"Repeat Customer","One-Time Customer")</f>
        <v>One-Time Customer</v>
      </c>
      <c r="H241" s="1" t="s">
        <v>555</v>
      </c>
      <c r="I241" s="1" t="s">
        <v>49</v>
      </c>
      <c r="J241" s="1" t="s">
        <v>28</v>
      </c>
      <c r="K241" s="1" t="s">
        <v>41</v>
      </c>
      <c r="L241" s="1" t="s">
        <v>50</v>
      </c>
      <c r="M241" s="1" t="s">
        <v>59</v>
      </c>
      <c r="N241" s="1" t="s">
        <v>556</v>
      </c>
      <c r="O241" s="1">
        <v>0.54</v>
      </c>
      <c r="P241" s="6">
        <f>Table1[[#This Row],[Profit]]/Table1[[#This Row],[Sales]]</f>
        <v>-1.2753086419753088</v>
      </c>
      <c r="Q241" s="1" t="s">
        <v>33</v>
      </c>
      <c r="R241" s="1" t="s">
        <v>34</v>
      </c>
      <c r="S241" s="1" t="s">
        <v>45</v>
      </c>
      <c r="T241" s="1" t="s">
        <v>557</v>
      </c>
      <c r="U241" s="1">
        <v>95032</v>
      </c>
      <c r="V241" s="9">
        <v>42132</v>
      </c>
      <c r="W241" s="13" t="str">
        <f>TEXT(Table1[[#This Row],[Order Date]],"mmmm")</f>
        <v>May</v>
      </c>
      <c r="X241" s="7" t="str">
        <f>TEXT(Table1[[#This Row],[Order Date]],"yyyy")</f>
        <v>2015</v>
      </c>
      <c r="Y241" s="9">
        <v>42134</v>
      </c>
      <c r="Z241" s="1">
        <v>-41.32</v>
      </c>
      <c r="AA241" s="1">
        <v>1</v>
      </c>
      <c r="AB241" s="1">
        <v>32.4</v>
      </c>
      <c r="AC241" s="1">
        <v>86011</v>
      </c>
      <c r="AD241" s="6" t="str">
        <f>IF(COUNTIF(Returns!$A$2:$A$1635,Orders!AC241)&gt;0,"Returned","Not Returned")</f>
        <v>Not Returned</v>
      </c>
    </row>
    <row r="242" spans="1:30" ht="12.75" customHeight="1" thickTop="1" thickBot="1" x14ac:dyDescent="0.25">
      <c r="A242" s="10">
        <v>22874</v>
      </c>
      <c r="B242" s="11" t="s">
        <v>106</v>
      </c>
      <c r="C242" s="11">
        <v>7.0000000000000007E-2</v>
      </c>
      <c r="D242" s="11">
        <v>16.91</v>
      </c>
      <c r="E242" s="11">
        <v>6.25</v>
      </c>
      <c r="F242" s="11">
        <v>460</v>
      </c>
      <c r="G242" s="6" t="str">
        <f>IF(COUNTIF(Table1[Customer ID],Table1[[#This Row],[Customer ID]])&gt;1,"Repeat Customer","One-Time Customer")</f>
        <v>One-Time Customer</v>
      </c>
      <c r="H242" s="11" t="s">
        <v>558</v>
      </c>
      <c r="I242" s="11" t="s">
        <v>49</v>
      </c>
      <c r="J242" s="11" t="s">
        <v>40</v>
      </c>
      <c r="K242" s="11" t="s">
        <v>29</v>
      </c>
      <c r="L242" s="11" t="s">
        <v>141</v>
      </c>
      <c r="M242" s="11" t="s">
        <v>59</v>
      </c>
      <c r="N242" s="11" t="s">
        <v>559</v>
      </c>
      <c r="O242" s="11">
        <v>0.57999999999999996</v>
      </c>
      <c r="P242" s="6">
        <f>Table1[[#This Row],[Profit]]/Table1[[#This Row],[Sales]]</f>
        <v>1.6027591803611293E-2</v>
      </c>
      <c r="Q242" s="11" t="s">
        <v>33</v>
      </c>
      <c r="R242" s="11" t="s">
        <v>53</v>
      </c>
      <c r="S242" s="11" t="s">
        <v>54</v>
      </c>
      <c r="T242" s="11" t="s">
        <v>560</v>
      </c>
      <c r="U242" s="11">
        <v>8332</v>
      </c>
      <c r="V242" s="12">
        <v>42147</v>
      </c>
      <c r="W242" s="13" t="str">
        <f>TEXT(Table1[[#This Row],[Order Date]],"mmmm")</f>
        <v>May</v>
      </c>
      <c r="X242" s="7" t="str">
        <f>TEXT(Table1[[#This Row],[Order Date]],"yyyy")</f>
        <v>2015</v>
      </c>
      <c r="Y242" s="12">
        <v>42154</v>
      </c>
      <c r="Z242" s="11">
        <v>7.9000000000000057</v>
      </c>
      <c r="AA242" s="11">
        <v>31</v>
      </c>
      <c r="AB242" s="11">
        <v>492.9</v>
      </c>
      <c r="AC242" s="11">
        <v>86014</v>
      </c>
      <c r="AD242" s="6" t="str">
        <f>IF(COUNTIF(Returns!$A$2:$A$1635,Orders!AC242)&gt;0,"Returned","Not Returned")</f>
        <v>Not Returned</v>
      </c>
    </row>
    <row r="243" spans="1:30" ht="12.75" customHeight="1" thickTop="1" thickBot="1" x14ac:dyDescent="0.25">
      <c r="A243" s="8">
        <v>18467</v>
      </c>
      <c r="B243" s="1" t="s">
        <v>106</v>
      </c>
      <c r="C243" s="1">
        <v>7.0000000000000007E-2</v>
      </c>
      <c r="D243" s="1">
        <v>165.2</v>
      </c>
      <c r="E243" s="1">
        <v>19.989999999999998</v>
      </c>
      <c r="F243" s="1">
        <v>463</v>
      </c>
      <c r="G243" s="6" t="str">
        <f>IF(COUNTIF(Table1[Customer ID],Table1[[#This Row],[Customer ID]])&gt;1,"Repeat Customer","One-Time Customer")</f>
        <v>One-Time Customer</v>
      </c>
      <c r="H243" s="1" t="s">
        <v>561</v>
      </c>
      <c r="I243" s="1" t="s">
        <v>49</v>
      </c>
      <c r="J243" s="1" t="s">
        <v>58</v>
      </c>
      <c r="K243" s="1" t="s">
        <v>29</v>
      </c>
      <c r="L243" s="1" t="s">
        <v>141</v>
      </c>
      <c r="M243" s="1" t="s">
        <v>59</v>
      </c>
      <c r="N243" s="1" t="s">
        <v>562</v>
      </c>
      <c r="O243" s="1">
        <v>0.59</v>
      </c>
      <c r="P243" s="6">
        <f>Table1[[#This Row],[Profit]]/Table1[[#This Row],[Sales]]</f>
        <v>0.48235848882149535</v>
      </c>
      <c r="Q243" s="1" t="s">
        <v>33</v>
      </c>
      <c r="R243" s="1" t="s">
        <v>34</v>
      </c>
      <c r="S243" s="1" t="s">
        <v>45</v>
      </c>
      <c r="T243" s="1" t="s">
        <v>563</v>
      </c>
      <c r="U243" s="1">
        <v>90069</v>
      </c>
      <c r="V243" s="9">
        <v>42018</v>
      </c>
      <c r="W243" s="13" t="str">
        <f>TEXT(Table1[[#This Row],[Order Date]],"mmmm")</f>
        <v>January</v>
      </c>
      <c r="X243" s="7" t="str">
        <f>TEXT(Table1[[#This Row],[Order Date]],"yyyy")</f>
        <v>2015</v>
      </c>
      <c r="Y243" s="9">
        <v>42020</v>
      </c>
      <c r="Z243" s="1">
        <v>521.69000000000005</v>
      </c>
      <c r="AA243" s="1">
        <v>7</v>
      </c>
      <c r="AB243" s="1">
        <v>1081.54</v>
      </c>
      <c r="AC243" s="1">
        <v>88061</v>
      </c>
      <c r="AD243" s="6" t="str">
        <f>IF(COUNTIF(Returns!$A$2:$A$1635,Orders!AC243)&gt;0,"Returned","Not Returned")</f>
        <v>Not Returned</v>
      </c>
    </row>
    <row r="244" spans="1:30" ht="12.75" customHeight="1" thickTop="1" thickBot="1" x14ac:dyDescent="0.25">
      <c r="A244" s="10">
        <v>22754</v>
      </c>
      <c r="B244" s="11" t="s">
        <v>37</v>
      </c>
      <c r="C244" s="11">
        <v>0.08</v>
      </c>
      <c r="D244" s="11">
        <v>297.64</v>
      </c>
      <c r="E244" s="11">
        <v>14.7</v>
      </c>
      <c r="F244" s="11">
        <v>466</v>
      </c>
      <c r="G244" s="6" t="str">
        <f>IF(COUNTIF(Table1[Customer ID],Table1[[#This Row],[Customer ID]])&gt;1,"Repeat Customer","One-Time Customer")</f>
        <v>One-Time Customer</v>
      </c>
      <c r="H244" s="11" t="s">
        <v>564</v>
      </c>
      <c r="I244" s="11" t="s">
        <v>39</v>
      </c>
      <c r="J244" s="11" t="s">
        <v>58</v>
      </c>
      <c r="K244" s="11" t="s">
        <v>77</v>
      </c>
      <c r="L244" s="11" t="s">
        <v>85</v>
      </c>
      <c r="M244" s="11" t="s">
        <v>43</v>
      </c>
      <c r="N244" s="11" t="s">
        <v>565</v>
      </c>
      <c r="O244" s="11">
        <v>0.56999999999999995</v>
      </c>
      <c r="P244" s="6">
        <f>Table1[[#This Row],[Profit]]/Table1[[#This Row],[Sales]]</f>
        <v>0.43854101196991629</v>
      </c>
      <c r="Q244" s="11" t="s">
        <v>33</v>
      </c>
      <c r="R244" s="11" t="s">
        <v>53</v>
      </c>
      <c r="S244" s="11" t="s">
        <v>193</v>
      </c>
      <c r="T244" s="11" t="s">
        <v>566</v>
      </c>
      <c r="U244" s="11">
        <v>2019</v>
      </c>
      <c r="V244" s="12">
        <v>42015</v>
      </c>
      <c r="W244" s="13" t="str">
        <f>TEXT(Table1[[#This Row],[Order Date]],"mmmm")</f>
        <v>January</v>
      </c>
      <c r="X244" s="7" t="str">
        <f>TEXT(Table1[[#This Row],[Order Date]],"yyyy")</f>
        <v>2015</v>
      </c>
      <c r="Y244" s="12">
        <v>42015</v>
      </c>
      <c r="Z244" s="11">
        <v>496.79679999999996</v>
      </c>
      <c r="AA244" s="11">
        <v>5</v>
      </c>
      <c r="AB244" s="11">
        <v>1132.8399999999999</v>
      </c>
      <c r="AC244" s="11">
        <v>88060</v>
      </c>
      <c r="AD244" s="6" t="str">
        <f>IF(COUNTIF(Returns!$A$2:$A$1635,Orders!AC244)&gt;0,"Returned","Not Returned")</f>
        <v>Not Returned</v>
      </c>
    </row>
    <row r="245" spans="1:30" ht="12.75" customHeight="1" thickTop="1" thickBot="1" x14ac:dyDescent="0.25">
      <c r="A245" s="8">
        <v>22755</v>
      </c>
      <c r="B245" s="1" t="s">
        <v>37</v>
      </c>
      <c r="C245" s="1">
        <v>0.02</v>
      </c>
      <c r="D245" s="1">
        <v>12.99</v>
      </c>
      <c r="E245" s="1">
        <v>14.37</v>
      </c>
      <c r="F245" s="1">
        <v>467</v>
      </c>
      <c r="G245" s="6" t="str">
        <f>IF(COUNTIF(Table1[Customer ID],Table1[[#This Row],[Customer ID]])&gt;1,"Repeat Customer","One-Time Customer")</f>
        <v>One-Time Customer</v>
      </c>
      <c r="H245" s="1" t="s">
        <v>567</v>
      </c>
      <c r="I245" s="1" t="s">
        <v>49</v>
      </c>
      <c r="J245" s="1" t="s">
        <v>58</v>
      </c>
      <c r="K245" s="1" t="s">
        <v>41</v>
      </c>
      <c r="L245" s="1" t="s">
        <v>50</v>
      </c>
      <c r="M245" s="1" t="s">
        <v>236</v>
      </c>
      <c r="N245" s="1" t="s">
        <v>568</v>
      </c>
      <c r="O245" s="1">
        <v>0.73</v>
      </c>
      <c r="P245" s="6">
        <f>Table1[[#This Row],[Profit]]/Table1[[#This Row],[Sales]]</f>
        <v>-3.876694283923972</v>
      </c>
      <c r="Q245" s="1" t="s">
        <v>33</v>
      </c>
      <c r="R245" s="1" t="s">
        <v>53</v>
      </c>
      <c r="S245" s="1" t="s">
        <v>193</v>
      </c>
      <c r="T245" s="1" t="s">
        <v>569</v>
      </c>
      <c r="U245" s="1">
        <v>1915</v>
      </c>
      <c r="V245" s="9">
        <v>42015</v>
      </c>
      <c r="W245" s="13" t="str">
        <f>TEXT(Table1[[#This Row],[Order Date]],"mmmm")</f>
        <v>January</v>
      </c>
      <c r="X245" s="7" t="str">
        <f>TEXT(Table1[[#This Row],[Order Date]],"yyyy")</f>
        <v>2015</v>
      </c>
      <c r="Y245" s="9">
        <v>42016</v>
      </c>
      <c r="Z245" s="1">
        <v>-556.80960000000005</v>
      </c>
      <c r="AA245" s="1">
        <v>11</v>
      </c>
      <c r="AB245" s="1">
        <v>143.63</v>
      </c>
      <c r="AC245" s="1">
        <v>88060</v>
      </c>
      <c r="AD245" s="6" t="str">
        <f>IF(COUNTIF(Returns!$A$2:$A$1635,Orders!AC245)&gt;0,"Returned","Not Returned")</f>
        <v>Not Returned</v>
      </c>
    </row>
    <row r="246" spans="1:30" ht="12.75" customHeight="1" thickTop="1" thickBot="1" x14ac:dyDescent="0.25">
      <c r="A246" s="10">
        <v>22756</v>
      </c>
      <c r="B246" s="11" t="s">
        <v>37</v>
      </c>
      <c r="C246" s="11">
        <v>0.06</v>
      </c>
      <c r="D246" s="11">
        <v>14.42</v>
      </c>
      <c r="E246" s="11">
        <v>6.75</v>
      </c>
      <c r="F246" s="11">
        <v>468</v>
      </c>
      <c r="G246" s="6" t="str">
        <f>IF(COUNTIF(Table1[Customer ID],Table1[[#This Row],[Customer ID]])&gt;1,"Repeat Customer","One-Time Customer")</f>
        <v>One-Time Customer</v>
      </c>
      <c r="H246" s="11" t="s">
        <v>570</v>
      </c>
      <c r="I246" s="11" t="s">
        <v>49</v>
      </c>
      <c r="J246" s="11" t="s">
        <v>58</v>
      </c>
      <c r="K246" s="11" t="s">
        <v>29</v>
      </c>
      <c r="L246" s="11" t="s">
        <v>257</v>
      </c>
      <c r="M246" s="11" t="s">
        <v>86</v>
      </c>
      <c r="N246" s="11" t="s">
        <v>571</v>
      </c>
      <c r="O246" s="11">
        <v>0.52</v>
      </c>
      <c r="P246" s="6">
        <f>Table1[[#This Row],[Profit]]/Table1[[#This Row],[Sales]]</f>
        <v>-0.37977546549835706</v>
      </c>
      <c r="Q246" s="11" t="s">
        <v>33</v>
      </c>
      <c r="R246" s="11" t="s">
        <v>53</v>
      </c>
      <c r="S246" s="11" t="s">
        <v>193</v>
      </c>
      <c r="T246" s="11" t="s">
        <v>572</v>
      </c>
      <c r="U246" s="11">
        <v>2341</v>
      </c>
      <c r="V246" s="12">
        <v>42015</v>
      </c>
      <c r="W246" s="13" t="str">
        <f>TEXT(Table1[[#This Row],[Order Date]],"mmmm")</f>
        <v>January</v>
      </c>
      <c r="X246" s="7" t="str">
        <f>TEXT(Table1[[#This Row],[Order Date]],"yyyy")</f>
        <v>2015</v>
      </c>
      <c r="Y246" s="12">
        <v>42016</v>
      </c>
      <c r="Z246" s="11">
        <v>-27.738800000000001</v>
      </c>
      <c r="AA246" s="11">
        <v>5</v>
      </c>
      <c r="AB246" s="11">
        <v>73.040000000000006</v>
      </c>
      <c r="AC246" s="11">
        <v>88060</v>
      </c>
      <c r="AD246" s="6" t="str">
        <f>IF(COUNTIF(Returns!$A$2:$A$1635,Orders!AC246)&gt;0,"Returned","Not Returned")</f>
        <v>Not Returned</v>
      </c>
    </row>
    <row r="247" spans="1:30" ht="12.75" customHeight="1" thickTop="1" thickBot="1" x14ac:dyDescent="0.25">
      <c r="A247" s="8">
        <v>22757</v>
      </c>
      <c r="B247" s="1" t="s">
        <v>37</v>
      </c>
      <c r="C247" s="1">
        <v>0.05</v>
      </c>
      <c r="D247" s="1">
        <v>4.1399999999999997</v>
      </c>
      <c r="E247" s="1">
        <v>6.6</v>
      </c>
      <c r="F247" s="1">
        <v>469</v>
      </c>
      <c r="G247" s="6" t="str">
        <f>IF(COUNTIF(Table1[Customer ID],Table1[[#This Row],[Customer ID]])&gt;1,"Repeat Customer","One-Time Customer")</f>
        <v>One-Time Customer</v>
      </c>
      <c r="H247" s="1" t="s">
        <v>573</v>
      </c>
      <c r="I247" s="1" t="s">
        <v>27</v>
      </c>
      <c r="J247" s="1" t="s">
        <v>58</v>
      </c>
      <c r="K247" s="1" t="s">
        <v>41</v>
      </c>
      <c r="L247" s="1" t="s">
        <v>50</v>
      </c>
      <c r="M247" s="1" t="s">
        <v>59</v>
      </c>
      <c r="N247" s="1" t="s">
        <v>98</v>
      </c>
      <c r="O247" s="1">
        <v>0.49</v>
      </c>
      <c r="P247" s="6">
        <f>Table1[[#This Row],[Profit]]/Table1[[#This Row],[Sales]]</f>
        <v>-3.8586866566716638</v>
      </c>
      <c r="Q247" s="1" t="s">
        <v>33</v>
      </c>
      <c r="R247" s="1" t="s">
        <v>53</v>
      </c>
      <c r="S247" s="1" t="s">
        <v>54</v>
      </c>
      <c r="T247" s="1" t="s">
        <v>574</v>
      </c>
      <c r="U247" s="1">
        <v>7506</v>
      </c>
      <c r="V247" s="9">
        <v>42015</v>
      </c>
      <c r="W247" s="13" t="str">
        <f>TEXT(Table1[[#This Row],[Order Date]],"mmmm")</f>
        <v>January</v>
      </c>
      <c r="X247" s="7" t="str">
        <f>TEXT(Table1[[#This Row],[Order Date]],"yyyy")</f>
        <v>2015</v>
      </c>
      <c r="Y247" s="9">
        <v>42017</v>
      </c>
      <c r="Z247" s="1">
        <v>-128.68719999999999</v>
      </c>
      <c r="AA247" s="1">
        <v>7</v>
      </c>
      <c r="AB247" s="1">
        <v>33.35</v>
      </c>
      <c r="AC247" s="1">
        <v>88060</v>
      </c>
      <c r="AD247" s="6" t="str">
        <f>IF(COUNTIF(Returns!$A$2:$A$1635,Orders!AC247)&gt;0,"Returned","Not Returned")</f>
        <v>Not Returned</v>
      </c>
    </row>
    <row r="248" spans="1:30" ht="12.75" customHeight="1" thickTop="1" thickBot="1" x14ac:dyDescent="0.25">
      <c r="A248" s="10">
        <v>22758</v>
      </c>
      <c r="B248" s="11" t="s">
        <v>37</v>
      </c>
      <c r="C248" s="11">
        <v>0.03</v>
      </c>
      <c r="D248" s="11">
        <v>11.34</v>
      </c>
      <c r="E248" s="11">
        <v>5.01</v>
      </c>
      <c r="F248" s="11">
        <v>470</v>
      </c>
      <c r="G248" s="6" t="str">
        <f>IF(COUNTIF(Table1[Customer ID],Table1[[#This Row],[Customer ID]])&gt;1,"Repeat Customer","One-Time Customer")</f>
        <v>One-Time Customer</v>
      </c>
      <c r="H248" s="11" t="s">
        <v>575</v>
      </c>
      <c r="I248" s="11" t="s">
        <v>49</v>
      </c>
      <c r="J248" s="11" t="s">
        <v>58</v>
      </c>
      <c r="K248" s="11" t="s">
        <v>29</v>
      </c>
      <c r="L248" s="11" t="s">
        <v>93</v>
      </c>
      <c r="M248" s="11" t="s">
        <v>59</v>
      </c>
      <c r="N248" s="11" t="s">
        <v>576</v>
      </c>
      <c r="O248" s="11">
        <v>0.36</v>
      </c>
      <c r="P248" s="6">
        <f>Table1[[#This Row],[Profit]]/Table1[[#This Row],[Sales]]</f>
        <v>0.38517264276228419</v>
      </c>
      <c r="Q248" s="11" t="s">
        <v>33</v>
      </c>
      <c r="R248" s="11" t="s">
        <v>53</v>
      </c>
      <c r="S248" s="11" t="s">
        <v>54</v>
      </c>
      <c r="T248" s="11" t="s">
        <v>577</v>
      </c>
      <c r="U248" s="11">
        <v>8601</v>
      </c>
      <c r="V248" s="12">
        <v>42015</v>
      </c>
      <c r="W248" s="13" t="str">
        <f>TEXT(Table1[[#This Row],[Order Date]],"mmmm")</f>
        <v>January</v>
      </c>
      <c r="X248" s="7" t="str">
        <f>TEXT(Table1[[#This Row],[Order Date]],"yyyy")</f>
        <v>2015</v>
      </c>
      <c r="Y248" s="12">
        <v>42015</v>
      </c>
      <c r="Z248" s="11">
        <v>23.2028</v>
      </c>
      <c r="AA248" s="11">
        <v>5</v>
      </c>
      <c r="AB248" s="11">
        <v>60.24</v>
      </c>
      <c r="AC248" s="11">
        <v>88060</v>
      </c>
      <c r="AD248" s="6" t="str">
        <f>IF(COUNTIF(Returns!$A$2:$A$1635,Orders!AC248)&gt;0,"Returned","Not Returned")</f>
        <v>Not Returned</v>
      </c>
    </row>
    <row r="249" spans="1:30" ht="12.75" customHeight="1" thickTop="1" thickBot="1" x14ac:dyDescent="0.25">
      <c r="A249" s="8">
        <v>462</v>
      </c>
      <c r="B249" s="1" t="s">
        <v>37</v>
      </c>
      <c r="C249" s="1">
        <v>7.0000000000000007E-2</v>
      </c>
      <c r="D249" s="1">
        <v>179.99</v>
      </c>
      <c r="E249" s="1">
        <v>19.989999999999998</v>
      </c>
      <c r="F249" s="1">
        <v>471</v>
      </c>
      <c r="G249" s="6" t="str">
        <f>IF(COUNTIF(Table1[Customer ID],Table1[[#This Row],[Customer ID]])&gt;1,"Repeat Customer","One-Time Customer")</f>
        <v>One-Time Customer</v>
      </c>
      <c r="H249" s="1" t="s">
        <v>578</v>
      </c>
      <c r="I249" s="1" t="s">
        <v>27</v>
      </c>
      <c r="J249" s="1" t="s">
        <v>114</v>
      </c>
      <c r="K249" s="1" t="s">
        <v>77</v>
      </c>
      <c r="L249" s="1" t="s">
        <v>180</v>
      </c>
      <c r="M249" s="1" t="s">
        <v>59</v>
      </c>
      <c r="N249" s="1" t="s">
        <v>579</v>
      </c>
      <c r="O249" s="1">
        <v>0.48</v>
      </c>
      <c r="P249" s="6">
        <f>Table1[[#This Row],[Profit]]/Table1[[#This Row],[Sales]]</f>
        <v>-0.79179853209475937</v>
      </c>
      <c r="Q249" s="1" t="s">
        <v>33</v>
      </c>
      <c r="R249" s="1" t="s">
        <v>136</v>
      </c>
      <c r="S249" s="1" t="s">
        <v>387</v>
      </c>
      <c r="T249" s="1" t="s">
        <v>580</v>
      </c>
      <c r="U249" s="1">
        <v>30318</v>
      </c>
      <c r="V249" s="9">
        <v>42043</v>
      </c>
      <c r="W249" s="13" t="str">
        <f>TEXT(Table1[[#This Row],[Order Date]],"mmmm")</f>
        <v>February</v>
      </c>
      <c r="X249" s="7" t="str">
        <f>TEXT(Table1[[#This Row],[Order Date]],"yyyy")</f>
        <v>2015</v>
      </c>
      <c r="Y249" s="9">
        <v>42043</v>
      </c>
      <c r="Z249" s="1">
        <v>-568.53510000000006</v>
      </c>
      <c r="AA249" s="1">
        <v>4</v>
      </c>
      <c r="AB249" s="1">
        <v>718.03</v>
      </c>
      <c r="AC249" s="1">
        <v>3138</v>
      </c>
      <c r="AD249" s="6" t="str">
        <f>IF(COUNTIF(Returns!$A$2:$A$1635,Orders!AC249)&gt;0,"Returned","Not Returned")</f>
        <v>Not Returned</v>
      </c>
    </row>
    <row r="250" spans="1:30" ht="12.75" customHeight="1" thickTop="1" thickBot="1" x14ac:dyDescent="0.25">
      <c r="A250" s="10">
        <v>18462</v>
      </c>
      <c r="B250" s="11" t="s">
        <v>37</v>
      </c>
      <c r="C250" s="11">
        <v>7.0000000000000007E-2</v>
      </c>
      <c r="D250" s="11">
        <v>179.99</v>
      </c>
      <c r="E250" s="11">
        <v>19.989999999999998</v>
      </c>
      <c r="F250" s="11">
        <v>472</v>
      </c>
      <c r="G250" s="6" t="str">
        <f>IF(COUNTIF(Table1[Customer ID],Table1[[#This Row],[Customer ID]])&gt;1,"Repeat Customer","One-Time Customer")</f>
        <v>One-Time Customer</v>
      </c>
      <c r="H250" s="11" t="s">
        <v>581</v>
      </c>
      <c r="I250" s="11" t="s">
        <v>27</v>
      </c>
      <c r="J250" s="11" t="s">
        <v>114</v>
      </c>
      <c r="K250" s="11" t="s">
        <v>77</v>
      </c>
      <c r="L250" s="11" t="s">
        <v>180</v>
      </c>
      <c r="M250" s="11" t="s">
        <v>59</v>
      </c>
      <c r="N250" s="11" t="s">
        <v>579</v>
      </c>
      <c r="O250" s="11">
        <v>0.48</v>
      </c>
      <c r="P250" s="6">
        <f>Table1[[#This Row],[Profit]]/Table1[[#This Row],[Sales]]</f>
        <v>-2.3813158041334748</v>
      </c>
      <c r="Q250" s="11" t="s">
        <v>33</v>
      </c>
      <c r="R250" s="11" t="s">
        <v>53</v>
      </c>
      <c r="S250" s="11" t="s">
        <v>415</v>
      </c>
      <c r="T250" s="11" t="s">
        <v>582</v>
      </c>
      <c r="U250" s="11">
        <v>21133</v>
      </c>
      <c r="V250" s="12">
        <v>42043</v>
      </c>
      <c r="W250" s="13" t="str">
        <f>TEXT(Table1[[#This Row],[Order Date]],"mmmm")</f>
        <v>February</v>
      </c>
      <c r="X250" s="7" t="str">
        <f>TEXT(Table1[[#This Row],[Order Date]],"yyyy")</f>
        <v>2015</v>
      </c>
      <c r="Y250" s="12">
        <v>42043</v>
      </c>
      <c r="Z250" s="11">
        <v>-427.47</v>
      </c>
      <c r="AA250" s="11">
        <v>1</v>
      </c>
      <c r="AB250" s="11">
        <v>179.51</v>
      </c>
      <c r="AC250" s="11">
        <v>88023</v>
      </c>
      <c r="AD250" s="6" t="str">
        <f>IF(COUNTIF(Returns!$A$2:$A$1635,Orders!AC250)&gt;0,"Returned","Not Returned")</f>
        <v>Not Returned</v>
      </c>
    </row>
    <row r="251" spans="1:30" ht="12.75" customHeight="1" thickTop="1" thickBot="1" x14ac:dyDescent="0.25">
      <c r="A251" s="8">
        <v>20637</v>
      </c>
      <c r="B251" s="1" t="s">
        <v>47</v>
      </c>
      <c r="C251" s="1">
        <v>0.03</v>
      </c>
      <c r="D251" s="1">
        <v>11.97</v>
      </c>
      <c r="E251" s="1">
        <v>4.9800000000000004</v>
      </c>
      <c r="F251" s="1">
        <v>483</v>
      </c>
      <c r="G251" s="6" t="str">
        <f>IF(COUNTIF(Table1[Customer ID],Table1[[#This Row],[Customer ID]])&gt;1,"Repeat Customer","One-Time Customer")</f>
        <v>Repeat Customer</v>
      </c>
      <c r="H251" s="1" t="s">
        <v>583</v>
      </c>
      <c r="I251" s="1" t="s">
        <v>49</v>
      </c>
      <c r="J251" s="1" t="s">
        <v>28</v>
      </c>
      <c r="K251" s="1" t="s">
        <v>29</v>
      </c>
      <c r="L251" s="1" t="s">
        <v>257</v>
      </c>
      <c r="M251" s="1" t="s">
        <v>59</v>
      </c>
      <c r="N251" s="1" t="s">
        <v>584</v>
      </c>
      <c r="O251" s="1">
        <v>0.57999999999999996</v>
      </c>
      <c r="P251" s="6">
        <f>Table1[[#This Row],[Profit]]/Table1[[#This Row],[Sales]]</f>
        <v>-0.24856518174364581</v>
      </c>
      <c r="Q251" s="1" t="s">
        <v>33</v>
      </c>
      <c r="R251" s="1" t="s">
        <v>61</v>
      </c>
      <c r="S251" s="1" t="s">
        <v>178</v>
      </c>
      <c r="T251" s="1" t="s">
        <v>585</v>
      </c>
      <c r="U251" s="1">
        <v>60543</v>
      </c>
      <c r="V251" s="9">
        <v>42031</v>
      </c>
      <c r="W251" s="13" t="str">
        <f>TEXT(Table1[[#This Row],[Order Date]],"mmmm")</f>
        <v>January</v>
      </c>
      <c r="X251" s="7" t="str">
        <f>TEXT(Table1[[#This Row],[Order Date]],"yyyy")</f>
        <v>2015</v>
      </c>
      <c r="Y251" s="9">
        <v>42032</v>
      </c>
      <c r="Z251" s="1">
        <v>-18.190000000000001</v>
      </c>
      <c r="AA251" s="1">
        <v>6</v>
      </c>
      <c r="AB251" s="1">
        <v>73.180000000000007</v>
      </c>
      <c r="AC251" s="1">
        <v>90353</v>
      </c>
      <c r="AD251" s="6" t="str">
        <f>IF(COUNTIF(Returns!$A$2:$A$1635,Orders!AC251)&gt;0,"Returned","Not Returned")</f>
        <v>Not Returned</v>
      </c>
    </row>
    <row r="252" spans="1:30" ht="12.75" customHeight="1" thickTop="1" thickBot="1" x14ac:dyDescent="0.25">
      <c r="A252" s="10">
        <v>22864</v>
      </c>
      <c r="B252" s="11" t="s">
        <v>37</v>
      </c>
      <c r="C252" s="11">
        <v>0.06</v>
      </c>
      <c r="D252" s="11">
        <v>3.36</v>
      </c>
      <c r="E252" s="11">
        <v>6.27</v>
      </c>
      <c r="F252" s="11">
        <v>483</v>
      </c>
      <c r="G252" s="6" t="str">
        <f>IF(COUNTIF(Table1[Customer ID],Table1[[#This Row],[Customer ID]])&gt;1,"Repeat Customer","One-Time Customer")</f>
        <v>Repeat Customer</v>
      </c>
      <c r="H252" s="11" t="s">
        <v>583</v>
      </c>
      <c r="I252" s="11" t="s">
        <v>49</v>
      </c>
      <c r="J252" s="11" t="s">
        <v>28</v>
      </c>
      <c r="K252" s="11" t="s">
        <v>29</v>
      </c>
      <c r="L252" s="11" t="s">
        <v>109</v>
      </c>
      <c r="M252" s="11" t="s">
        <v>59</v>
      </c>
      <c r="N252" s="11" t="s">
        <v>586</v>
      </c>
      <c r="O252" s="11">
        <v>0.4</v>
      </c>
      <c r="P252" s="6">
        <f>Table1[[#This Row],[Profit]]/Table1[[#This Row],[Sales]]</f>
        <v>-2.7276122448979594</v>
      </c>
      <c r="Q252" s="11" t="s">
        <v>33</v>
      </c>
      <c r="R252" s="11" t="s">
        <v>61</v>
      </c>
      <c r="S252" s="11" t="s">
        <v>178</v>
      </c>
      <c r="T252" s="11" t="s">
        <v>585</v>
      </c>
      <c r="U252" s="11">
        <v>60543</v>
      </c>
      <c r="V252" s="12">
        <v>42117</v>
      </c>
      <c r="W252" s="13" t="str">
        <f>TEXT(Table1[[#This Row],[Order Date]],"mmmm")</f>
        <v>April</v>
      </c>
      <c r="X252" s="7" t="str">
        <f>TEXT(Table1[[#This Row],[Order Date]],"yyyy")</f>
        <v>2015</v>
      </c>
      <c r="Y252" s="12">
        <v>42118</v>
      </c>
      <c r="Z252" s="11">
        <v>-24.057540000000003</v>
      </c>
      <c r="AA252" s="11">
        <v>2</v>
      </c>
      <c r="AB252" s="11">
        <v>8.82</v>
      </c>
      <c r="AC252" s="11">
        <v>90354</v>
      </c>
      <c r="AD252" s="6" t="str">
        <f>IF(COUNTIF(Returns!$A$2:$A$1635,Orders!AC252)&gt;0,"Returned","Not Returned")</f>
        <v>Not Returned</v>
      </c>
    </row>
    <row r="253" spans="1:30" ht="12.75" customHeight="1" thickTop="1" thickBot="1" x14ac:dyDescent="0.25">
      <c r="A253" s="8">
        <v>22865</v>
      </c>
      <c r="B253" s="1" t="s">
        <v>37</v>
      </c>
      <c r="C253" s="1">
        <v>7.0000000000000007E-2</v>
      </c>
      <c r="D253" s="1">
        <v>699.99</v>
      </c>
      <c r="E253" s="1">
        <v>24.49</v>
      </c>
      <c r="F253" s="1">
        <v>483</v>
      </c>
      <c r="G253" s="6" t="str">
        <f>IF(COUNTIF(Table1[Customer ID],Table1[[#This Row],[Customer ID]])&gt;1,"Repeat Customer","One-Time Customer")</f>
        <v>Repeat Customer</v>
      </c>
      <c r="H253" s="1" t="s">
        <v>583</v>
      </c>
      <c r="I253" s="1" t="s">
        <v>49</v>
      </c>
      <c r="J253" s="1" t="s">
        <v>28</v>
      </c>
      <c r="K253" s="1" t="s">
        <v>77</v>
      </c>
      <c r="L253" s="1" t="s">
        <v>587</v>
      </c>
      <c r="M253" s="1" t="s">
        <v>236</v>
      </c>
      <c r="N253" s="1" t="s">
        <v>588</v>
      </c>
      <c r="O253" s="1">
        <v>0.41</v>
      </c>
      <c r="P253" s="6">
        <f>Table1[[#This Row],[Profit]]/Table1[[#This Row],[Sales]]</f>
        <v>0.432316360697379</v>
      </c>
      <c r="Q253" s="1" t="s">
        <v>33</v>
      </c>
      <c r="R253" s="1" t="s">
        <v>61</v>
      </c>
      <c r="S253" s="1" t="s">
        <v>178</v>
      </c>
      <c r="T253" s="1" t="s">
        <v>585</v>
      </c>
      <c r="U253" s="1">
        <v>60543</v>
      </c>
      <c r="V253" s="9">
        <v>42117</v>
      </c>
      <c r="W253" s="13" t="str">
        <f>TEXT(Table1[[#This Row],[Order Date]],"mmmm")</f>
        <v>April</v>
      </c>
      <c r="X253" s="7" t="str">
        <f>TEXT(Table1[[#This Row],[Order Date]],"yyyy")</f>
        <v>2015</v>
      </c>
      <c r="Y253" s="9">
        <v>42119</v>
      </c>
      <c r="Z253" s="1">
        <v>2583.5614799999998</v>
      </c>
      <c r="AA253" s="1">
        <v>9</v>
      </c>
      <c r="AB253" s="1">
        <v>5976.09</v>
      </c>
      <c r="AC253" s="1">
        <v>90354</v>
      </c>
      <c r="AD253" s="6" t="str">
        <f>IF(COUNTIF(Returns!$A$2:$A$1635,Orders!AC253)&gt;0,"Returned","Not Returned")</f>
        <v>Not Returned</v>
      </c>
    </row>
    <row r="254" spans="1:30" ht="12.75" customHeight="1" thickTop="1" thickBot="1" x14ac:dyDescent="0.25">
      <c r="A254" s="10">
        <v>20668</v>
      </c>
      <c r="B254" s="11" t="s">
        <v>37</v>
      </c>
      <c r="C254" s="11">
        <v>0.05</v>
      </c>
      <c r="D254" s="11">
        <v>2.88</v>
      </c>
      <c r="E254" s="11">
        <v>0.5</v>
      </c>
      <c r="F254" s="11">
        <v>485</v>
      </c>
      <c r="G254" s="6" t="str">
        <f>IF(COUNTIF(Table1[Customer ID],Table1[[#This Row],[Customer ID]])&gt;1,"Repeat Customer","One-Time Customer")</f>
        <v>One-Time Customer</v>
      </c>
      <c r="H254" s="11" t="s">
        <v>589</v>
      </c>
      <c r="I254" s="11" t="s">
        <v>49</v>
      </c>
      <c r="J254" s="11" t="s">
        <v>28</v>
      </c>
      <c r="K254" s="11" t="s">
        <v>29</v>
      </c>
      <c r="L254" s="11" t="s">
        <v>134</v>
      </c>
      <c r="M254" s="11" t="s">
        <v>59</v>
      </c>
      <c r="N254" s="11" t="s">
        <v>590</v>
      </c>
      <c r="O254" s="11">
        <v>0.36</v>
      </c>
      <c r="P254" s="6">
        <f>Table1[[#This Row],[Profit]]/Table1[[#This Row],[Sales]]</f>
        <v>0.69</v>
      </c>
      <c r="Q254" s="11" t="s">
        <v>33</v>
      </c>
      <c r="R254" s="11" t="s">
        <v>34</v>
      </c>
      <c r="S254" s="11" t="s">
        <v>45</v>
      </c>
      <c r="T254" s="11" t="s">
        <v>591</v>
      </c>
      <c r="U254" s="11">
        <v>93727</v>
      </c>
      <c r="V254" s="12">
        <v>42081</v>
      </c>
      <c r="W254" s="13" t="str">
        <f>TEXT(Table1[[#This Row],[Order Date]],"mmmm")</f>
        <v>March</v>
      </c>
      <c r="X254" s="7" t="str">
        <f>TEXT(Table1[[#This Row],[Order Date]],"yyyy")</f>
        <v>2015</v>
      </c>
      <c r="Y254" s="12">
        <v>42083</v>
      </c>
      <c r="Z254" s="11">
        <v>6.0512999999999995</v>
      </c>
      <c r="AA254" s="11">
        <v>3</v>
      </c>
      <c r="AB254" s="11">
        <v>8.77</v>
      </c>
      <c r="AC254" s="11">
        <v>91062</v>
      </c>
      <c r="AD254" s="6" t="str">
        <f>IF(COUNTIF(Returns!$A$2:$A$1635,Orders!AC254)&gt;0,"Returned","Not Returned")</f>
        <v>Not Returned</v>
      </c>
    </row>
    <row r="255" spans="1:30" ht="12.75" customHeight="1" thickTop="1" thickBot="1" x14ac:dyDescent="0.25">
      <c r="A255" s="8">
        <v>23394</v>
      </c>
      <c r="B255" s="1" t="s">
        <v>56</v>
      </c>
      <c r="C255" s="1">
        <v>0.1</v>
      </c>
      <c r="D255" s="1">
        <v>3.36</v>
      </c>
      <c r="E255" s="1">
        <v>6.27</v>
      </c>
      <c r="F255" s="1">
        <v>487</v>
      </c>
      <c r="G255" s="6" t="str">
        <f>IF(COUNTIF(Table1[Customer ID],Table1[[#This Row],[Customer ID]])&gt;1,"Repeat Customer","One-Time Customer")</f>
        <v>One-Time Customer</v>
      </c>
      <c r="H255" s="1" t="s">
        <v>592</v>
      </c>
      <c r="I255" s="1" t="s">
        <v>27</v>
      </c>
      <c r="J255" s="1" t="s">
        <v>28</v>
      </c>
      <c r="K255" s="1" t="s">
        <v>29</v>
      </c>
      <c r="L255" s="1" t="s">
        <v>109</v>
      </c>
      <c r="M255" s="1" t="s">
        <v>59</v>
      </c>
      <c r="N255" s="1" t="s">
        <v>586</v>
      </c>
      <c r="O255" s="1">
        <v>0.4</v>
      </c>
      <c r="P255" s="6">
        <f>Table1[[#This Row],[Profit]]/Table1[[#This Row],[Sales]]</f>
        <v>-3.213057019645424</v>
      </c>
      <c r="Q255" s="1" t="s">
        <v>33</v>
      </c>
      <c r="R255" s="1" t="s">
        <v>53</v>
      </c>
      <c r="S255" s="1" t="s">
        <v>188</v>
      </c>
      <c r="T255" s="1" t="s">
        <v>433</v>
      </c>
      <c r="U255" s="1">
        <v>4073</v>
      </c>
      <c r="V255" s="9">
        <v>42142</v>
      </c>
      <c r="W255" s="13" t="str">
        <f>TEXT(Table1[[#This Row],[Order Date]],"mmmm")</f>
        <v>May</v>
      </c>
      <c r="X255" s="7" t="str">
        <f>TEXT(Table1[[#This Row],[Order Date]],"yyyy")</f>
        <v>2015</v>
      </c>
      <c r="Y255" s="9">
        <v>42143</v>
      </c>
      <c r="Z255" s="1">
        <v>-67.0565</v>
      </c>
      <c r="AA255" s="1">
        <v>5</v>
      </c>
      <c r="AB255" s="1">
        <v>20.87</v>
      </c>
      <c r="AC255" s="1">
        <v>91063</v>
      </c>
      <c r="AD255" s="6" t="str">
        <f>IF(COUNTIF(Returns!$A$2:$A$1635,Orders!AC255)&gt;0,"Returned","Not Returned")</f>
        <v>Not Returned</v>
      </c>
    </row>
    <row r="256" spans="1:30" ht="12.75" customHeight="1" thickTop="1" thickBot="1" x14ac:dyDescent="0.25">
      <c r="A256" s="10">
        <v>23395</v>
      </c>
      <c r="B256" s="11" t="s">
        <v>56</v>
      </c>
      <c r="C256" s="11">
        <v>7.0000000000000007E-2</v>
      </c>
      <c r="D256" s="11">
        <v>12.28</v>
      </c>
      <c r="E256" s="11">
        <v>4.8600000000000003</v>
      </c>
      <c r="F256" s="11">
        <v>488</v>
      </c>
      <c r="G256" s="6" t="str">
        <f>IF(COUNTIF(Table1[Customer ID],Table1[[#This Row],[Customer ID]])&gt;1,"Repeat Customer","One-Time Customer")</f>
        <v>One-Time Customer</v>
      </c>
      <c r="H256" s="11" t="s">
        <v>593</v>
      </c>
      <c r="I256" s="11" t="s">
        <v>49</v>
      </c>
      <c r="J256" s="11" t="s">
        <v>28</v>
      </c>
      <c r="K256" s="11" t="s">
        <v>29</v>
      </c>
      <c r="L256" s="11" t="s">
        <v>93</v>
      </c>
      <c r="M256" s="11" t="s">
        <v>59</v>
      </c>
      <c r="N256" s="11" t="s">
        <v>303</v>
      </c>
      <c r="O256" s="11">
        <v>0.38</v>
      </c>
      <c r="P256" s="6">
        <f>Table1[[#This Row],[Profit]]/Table1[[#This Row],[Sales]]</f>
        <v>-0.30894941634241246</v>
      </c>
      <c r="Q256" s="11" t="s">
        <v>33</v>
      </c>
      <c r="R256" s="11" t="s">
        <v>53</v>
      </c>
      <c r="S256" s="11" t="s">
        <v>188</v>
      </c>
      <c r="T256" s="11" t="s">
        <v>594</v>
      </c>
      <c r="U256" s="11">
        <v>4106</v>
      </c>
      <c r="V256" s="12">
        <v>42142</v>
      </c>
      <c r="W256" s="13" t="str">
        <f>TEXT(Table1[[#This Row],[Order Date]],"mmmm")</f>
        <v>May</v>
      </c>
      <c r="X256" s="7" t="str">
        <f>TEXT(Table1[[#This Row],[Order Date]],"yyyy")</f>
        <v>2015</v>
      </c>
      <c r="Y256" s="12">
        <v>42144</v>
      </c>
      <c r="Z256" s="11">
        <v>-7.94</v>
      </c>
      <c r="AA256" s="11">
        <v>2</v>
      </c>
      <c r="AB256" s="11">
        <v>25.7</v>
      </c>
      <c r="AC256" s="11">
        <v>91063</v>
      </c>
      <c r="AD256" s="6" t="str">
        <f>IF(COUNTIF(Returns!$A$2:$A$1635,Orders!AC256)&gt;0,"Returned","Not Returned")</f>
        <v>Not Returned</v>
      </c>
    </row>
    <row r="257" spans="1:30" ht="12.75" customHeight="1" thickTop="1" thickBot="1" x14ac:dyDescent="0.25">
      <c r="A257" s="8">
        <v>23393</v>
      </c>
      <c r="B257" s="1" t="s">
        <v>56</v>
      </c>
      <c r="C257" s="1">
        <v>0.09</v>
      </c>
      <c r="D257" s="1">
        <v>20.99</v>
      </c>
      <c r="E257" s="1">
        <v>0.99</v>
      </c>
      <c r="F257" s="1">
        <v>489</v>
      </c>
      <c r="G257" s="6" t="str">
        <f>IF(COUNTIF(Table1[Customer ID],Table1[[#This Row],[Customer ID]])&gt;1,"Repeat Customer","One-Time Customer")</f>
        <v>One-Time Customer</v>
      </c>
      <c r="H257" s="1" t="s">
        <v>595</v>
      </c>
      <c r="I257" s="1" t="s">
        <v>49</v>
      </c>
      <c r="J257" s="1" t="s">
        <v>28</v>
      </c>
      <c r="K257" s="1" t="s">
        <v>77</v>
      </c>
      <c r="L257" s="1" t="s">
        <v>78</v>
      </c>
      <c r="M257" s="1" t="s">
        <v>31</v>
      </c>
      <c r="N257" s="1" t="s">
        <v>596</v>
      </c>
      <c r="O257" s="1">
        <v>0.56999999999999995</v>
      </c>
      <c r="P257" s="6">
        <f>Table1[[#This Row],[Profit]]/Table1[[#This Row],[Sales]]</f>
        <v>0.53270026571416129</v>
      </c>
      <c r="Q257" s="1" t="s">
        <v>33</v>
      </c>
      <c r="R257" s="1" t="s">
        <v>53</v>
      </c>
      <c r="S257" s="1" t="s">
        <v>193</v>
      </c>
      <c r="T257" s="1" t="s">
        <v>597</v>
      </c>
      <c r="U257" s="1">
        <v>2062</v>
      </c>
      <c r="V257" s="9">
        <v>42142</v>
      </c>
      <c r="W257" s="13" t="str">
        <f>TEXT(Table1[[#This Row],[Order Date]],"mmmm")</f>
        <v>May</v>
      </c>
      <c r="X257" s="7" t="str">
        <f>TEXT(Table1[[#This Row],[Order Date]],"yyyy")</f>
        <v>2015</v>
      </c>
      <c r="Y257" s="9">
        <v>42142</v>
      </c>
      <c r="Z257" s="1">
        <v>122.292</v>
      </c>
      <c r="AA257" s="1">
        <v>14</v>
      </c>
      <c r="AB257" s="1">
        <v>229.57</v>
      </c>
      <c r="AC257" s="1">
        <v>91063</v>
      </c>
      <c r="AD257" s="6" t="str">
        <f>IF(COUNTIF(Returns!$A$2:$A$1635,Orders!AC257)&gt;0,"Returned","Not Returned")</f>
        <v>Not Returned</v>
      </c>
    </row>
    <row r="258" spans="1:30" ht="12.75" customHeight="1" thickTop="1" thickBot="1" x14ac:dyDescent="0.25">
      <c r="A258" s="10">
        <v>1147</v>
      </c>
      <c r="B258" s="11" t="s">
        <v>56</v>
      </c>
      <c r="C258" s="11">
        <v>0.08</v>
      </c>
      <c r="D258" s="11">
        <v>2.94</v>
      </c>
      <c r="E258" s="11">
        <v>0.96</v>
      </c>
      <c r="F258" s="11">
        <v>491</v>
      </c>
      <c r="G258" s="6" t="str">
        <f>IF(COUNTIF(Table1[Customer ID],Table1[[#This Row],[Customer ID]])&gt;1,"Repeat Customer","One-Time Customer")</f>
        <v>Repeat Customer</v>
      </c>
      <c r="H258" s="11" t="s">
        <v>598</v>
      </c>
      <c r="I258" s="11" t="s">
        <v>49</v>
      </c>
      <c r="J258" s="11" t="s">
        <v>114</v>
      </c>
      <c r="K258" s="11" t="s">
        <v>29</v>
      </c>
      <c r="L258" s="11" t="s">
        <v>30</v>
      </c>
      <c r="M258" s="11" t="s">
        <v>31</v>
      </c>
      <c r="N258" s="11" t="s">
        <v>599</v>
      </c>
      <c r="O258" s="11">
        <v>0.57999999999999996</v>
      </c>
      <c r="P258" s="6">
        <f>Table1[[#This Row],[Profit]]/Table1[[#This Row],[Sales]]</f>
        <v>-3.1784107946026985E-2</v>
      </c>
      <c r="Q258" s="11" t="s">
        <v>33</v>
      </c>
      <c r="R258" s="11" t="s">
        <v>53</v>
      </c>
      <c r="S258" s="11" t="s">
        <v>71</v>
      </c>
      <c r="T258" s="11" t="s">
        <v>90</v>
      </c>
      <c r="U258" s="11">
        <v>10154</v>
      </c>
      <c r="V258" s="12">
        <v>42139</v>
      </c>
      <c r="W258" s="13" t="str">
        <f>TEXT(Table1[[#This Row],[Order Date]],"mmmm")</f>
        <v>May</v>
      </c>
      <c r="X258" s="7" t="str">
        <f>TEXT(Table1[[#This Row],[Order Date]],"yyyy")</f>
        <v>2015</v>
      </c>
      <c r="Y258" s="12">
        <v>42141</v>
      </c>
      <c r="Z258" s="11">
        <v>-2.12</v>
      </c>
      <c r="AA258" s="11">
        <v>23</v>
      </c>
      <c r="AB258" s="11">
        <v>66.7</v>
      </c>
      <c r="AC258" s="11">
        <v>8353</v>
      </c>
      <c r="AD258" s="6" t="str">
        <f>IF(COUNTIF(Returns!$A$2:$A$1635,Orders!AC258)&gt;0,"Returned","Not Returned")</f>
        <v>Returned</v>
      </c>
    </row>
    <row r="259" spans="1:30" ht="12.75" customHeight="1" thickTop="1" thickBot="1" x14ac:dyDescent="0.25">
      <c r="A259" s="8">
        <v>1450</v>
      </c>
      <c r="B259" s="1" t="s">
        <v>47</v>
      </c>
      <c r="C259" s="1">
        <v>0.01</v>
      </c>
      <c r="D259" s="1">
        <v>4.9800000000000004</v>
      </c>
      <c r="E259" s="1">
        <v>6.07</v>
      </c>
      <c r="F259" s="1">
        <v>491</v>
      </c>
      <c r="G259" s="6" t="str">
        <f>IF(COUNTIF(Table1[Customer ID],Table1[[#This Row],[Customer ID]])&gt;1,"Repeat Customer","One-Time Customer")</f>
        <v>Repeat Customer</v>
      </c>
      <c r="H259" s="1" t="s">
        <v>598</v>
      </c>
      <c r="I259" s="1" t="s">
        <v>49</v>
      </c>
      <c r="J259" s="1" t="s">
        <v>114</v>
      </c>
      <c r="K259" s="1" t="s">
        <v>29</v>
      </c>
      <c r="L259" s="1" t="s">
        <v>93</v>
      </c>
      <c r="M259" s="1" t="s">
        <v>59</v>
      </c>
      <c r="N259" s="1" t="s">
        <v>173</v>
      </c>
      <c r="O259" s="1">
        <v>0.36</v>
      </c>
      <c r="P259" s="6">
        <f>Table1[[#This Row],[Profit]]/Table1[[#This Row],[Sales]]</f>
        <v>-0.31829493087557603</v>
      </c>
      <c r="Q259" s="1" t="s">
        <v>33</v>
      </c>
      <c r="R259" s="1" t="s">
        <v>53</v>
      </c>
      <c r="S259" s="1" t="s">
        <v>71</v>
      </c>
      <c r="T259" s="1" t="s">
        <v>90</v>
      </c>
      <c r="U259" s="1">
        <v>10154</v>
      </c>
      <c r="V259" s="9">
        <v>42045</v>
      </c>
      <c r="W259" s="13" t="str">
        <f>TEXT(Table1[[#This Row],[Order Date]],"mmmm")</f>
        <v>February</v>
      </c>
      <c r="X259" s="7" t="str">
        <f>TEXT(Table1[[#This Row],[Order Date]],"yyyy")</f>
        <v>2015</v>
      </c>
      <c r="Y259" s="9">
        <v>42046</v>
      </c>
      <c r="Z259" s="1">
        <v>-69.069999999999993</v>
      </c>
      <c r="AA259" s="1">
        <v>41</v>
      </c>
      <c r="AB259" s="1">
        <v>217</v>
      </c>
      <c r="AC259" s="1">
        <v>10464</v>
      </c>
      <c r="AD259" s="6" t="str">
        <f>IF(COUNTIF(Returns!$A$2:$A$1635,Orders!AC259)&gt;0,"Returned","Not Returned")</f>
        <v>Not Returned</v>
      </c>
    </row>
    <row r="260" spans="1:30" ht="12.75" customHeight="1" thickTop="1" thickBot="1" x14ac:dyDescent="0.25">
      <c r="A260" s="10">
        <v>914</v>
      </c>
      <c r="B260" s="11" t="s">
        <v>47</v>
      </c>
      <c r="C260" s="11">
        <v>0.02</v>
      </c>
      <c r="D260" s="11">
        <v>1360.14</v>
      </c>
      <c r="E260" s="11">
        <v>14.7</v>
      </c>
      <c r="F260" s="11">
        <v>491</v>
      </c>
      <c r="G260" s="6" t="str">
        <f>IF(COUNTIF(Table1[Customer ID],Table1[[#This Row],[Customer ID]])&gt;1,"Repeat Customer","One-Time Customer")</f>
        <v>Repeat Customer</v>
      </c>
      <c r="H260" s="11" t="s">
        <v>598</v>
      </c>
      <c r="I260" s="11" t="s">
        <v>39</v>
      </c>
      <c r="J260" s="11" t="s">
        <v>114</v>
      </c>
      <c r="K260" s="11" t="s">
        <v>77</v>
      </c>
      <c r="L260" s="11" t="s">
        <v>85</v>
      </c>
      <c r="M260" s="11" t="s">
        <v>43</v>
      </c>
      <c r="N260" s="11" t="s">
        <v>600</v>
      </c>
      <c r="O260" s="11">
        <v>0.59</v>
      </c>
      <c r="P260" s="6">
        <f>Table1[[#This Row],[Profit]]/Table1[[#This Row],[Sales]]</f>
        <v>6.4037940550542141E-2</v>
      </c>
      <c r="Q260" s="11" t="s">
        <v>33</v>
      </c>
      <c r="R260" s="11" t="s">
        <v>53</v>
      </c>
      <c r="S260" s="11" t="s">
        <v>71</v>
      </c>
      <c r="T260" s="11" t="s">
        <v>90</v>
      </c>
      <c r="U260" s="11">
        <v>10154</v>
      </c>
      <c r="V260" s="12">
        <v>42175</v>
      </c>
      <c r="W260" s="13" t="str">
        <f>TEXT(Table1[[#This Row],[Order Date]],"mmmm")</f>
        <v>June</v>
      </c>
      <c r="X260" s="7" t="str">
        <f>TEXT(Table1[[#This Row],[Order Date]],"yyyy")</f>
        <v>2015</v>
      </c>
      <c r="Y260" s="12">
        <v>42177</v>
      </c>
      <c r="Z260" s="11">
        <v>2028.12</v>
      </c>
      <c r="AA260" s="11">
        <v>22</v>
      </c>
      <c r="AB260" s="11">
        <v>31670.6</v>
      </c>
      <c r="AC260" s="11">
        <v>6562</v>
      </c>
      <c r="AD260" s="6" t="str">
        <f>IF(COUNTIF(Returns!$A$2:$A$1635,Orders!AC260)&gt;0,"Returned","Not Returned")</f>
        <v>Not Returned</v>
      </c>
    </row>
    <row r="261" spans="1:30" ht="12.75" customHeight="1" thickTop="1" thickBot="1" x14ac:dyDescent="0.25">
      <c r="A261" s="8">
        <v>6046</v>
      </c>
      <c r="B261" s="1" t="s">
        <v>37</v>
      </c>
      <c r="C261" s="1">
        <v>0.02</v>
      </c>
      <c r="D261" s="1">
        <v>9.06</v>
      </c>
      <c r="E261" s="1">
        <v>9.86</v>
      </c>
      <c r="F261" s="1">
        <v>491</v>
      </c>
      <c r="G261" s="6" t="str">
        <f>IF(COUNTIF(Table1[Customer ID],Table1[[#This Row],[Customer ID]])&gt;1,"Repeat Customer","One-Time Customer")</f>
        <v>Repeat Customer</v>
      </c>
      <c r="H261" s="1" t="s">
        <v>598</v>
      </c>
      <c r="I261" s="1" t="s">
        <v>49</v>
      </c>
      <c r="J261" s="1" t="s">
        <v>114</v>
      </c>
      <c r="K261" s="1" t="s">
        <v>29</v>
      </c>
      <c r="L261" s="1" t="s">
        <v>93</v>
      </c>
      <c r="M261" s="1" t="s">
        <v>59</v>
      </c>
      <c r="N261" s="1" t="s">
        <v>601</v>
      </c>
      <c r="O261" s="1">
        <v>0.4</v>
      </c>
      <c r="P261" s="6">
        <f>Table1[[#This Row],[Profit]]/Table1[[#This Row],[Sales]]</f>
        <v>-0.26482361771328494</v>
      </c>
      <c r="Q261" s="1" t="s">
        <v>33</v>
      </c>
      <c r="R261" s="1" t="s">
        <v>53</v>
      </c>
      <c r="S261" s="1" t="s">
        <v>71</v>
      </c>
      <c r="T261" s="1" t="s">
        <v>90</v>
      </c>
      <c r="U261" s="1">
        <v>10154</v>
      </c>
      <c r="V261" s="9">
        <v>42175</v>
      </c>
      <c r="W261" s="13" t="str">
        <f>TEXT(Table1[[#This Row],[Order Date]],"mmmm")</f>
        <v>June</v>
      </c>
      <c r="X261" s="7" t="str">
        <f>TEXT(Table1[[#This Row],[Order Date]],"yyyy")</f>
        <v>2015</v>
      </c>
      <c r="Y261" s="9">
        <v>42177</v>
      </c>
      <c r="Z261" s="1">
        <v>-63.51</v>
      </c>
      <c r="AA261" s="1">
        <v>24</v>
      </c>
      <c r="AB261" s="1">
        <v>239.82</v>
      </c>
      <c r="AC261" s="1">
        <v>42852</v>
      </c>
      <c r="AD261" s="6" t="str">
        <f>IF(COUNTIF(Returns!$A$2:$A$1635,Orders!AC261)&gt;0,"Returned","Not Returned")</f>
        <v>Not Returned</v>
      </c>
    </row>
    <row r="262" spans="1:30" ht="12.75" customHeight="1" thickTop="1" thickBot="1" x14ac:dyDescent="0.25">
      <c r="A262" s="10">
        <v>18757</v>
      </c>
      <c r="B262" s="11" t="s">
        <v>37</v>
      </c>
      <c r="C262" s="11">
        <v>0.02</v>
      </c>
      <c r="D262" s="11">
        <v>6.48</v>
      </c>
      <c r="E262" s="11">
        <v>6.6</v>
      </c>
      <c r="F262" s="11">
        <v>493</v>
      </c>
      <c r="G262" s="6" t="str">
        <f>IF(COUNTIF(Table1[Customer ID],Table1[[#This Row],[Customer ID]])&gt;1,"Repeat Customer","One-Time Customer")</f>
        <v>Repeat Customer</v>
      </c>
      <c r="H262" s="11" t="s">
        <v>602</v>
      </c>
      <c r="I262" s="11" t="s">
        <v>49</v>
      </c>
      <c r="J262" s="11" t="s">
        <v>114</v>
      </c>
      <c r="K262" s="11" t="s">
        <v>29</v>
      </c>
      <c r="L262" s="11" t="s">
        <v>93</v>
      </c>
      <c r="M262" s="11" t="s">
        <v>59</v>
      </c>
      <c r="N262" s="11" t="s">
        <v>603</v>
      </c>
      <c r="O262" s="11">
        <v>0.37</v>
      </c>
      <c r="P262" s="6">
        <f>Table1[[#This Row],[Profit]]/Table1[[#This Row],[Sales]]</f>
        <v>-1.3798530954879329</v>
      </c>
      <c r="Q262" s="11" t="s">
        <v>33</v>
      </c>
      <c r="R262" s="11" t="s">
        <v>34</v>
      </c>
      <c r="S262" s="11" t="s">
        <v>35</v>
      </c>
      <c r="T262" s="11" t="s">
        <v>604</v>
      </c>
      <c r="U262" s="11">
        <v>98158</v>
      </c>
      <c r="V262" s="12">
        <v>42024</v>
      </c>
      <c r="W262" s="13" t="str">
        <f>TEXT(Table1[[#This Row],[Order Date]],"mmmm")</f>
        <v>January</v>
      </c>
      <c r="X262" s="7" t="str">
        <f>TEXT(Table1[[#This Row],[Order Date]],"yyyy")</f>
        <v>2015</v>
      </c>
      <c r="Y262" s="12">
        <v>42026</v>
      </c>
      <c r="Z262" s="11">
        <v>-92.05</v>
      </c>
      <c r="AA262" s="11">
        <v>10</v>
      </c>
      <c r="AB262" s="11">
        <v>66.709999999999994</v>
      </c>
      <c r="AC262" s="11">
        <v>88906</v>
      </c>
      <c r="AD262" s="6" t="str">
        <f>IF(COUNTIF(Returns!$A$2:$A$1635,Orders!AC262)&gt;0,"Returned","Not Returned")</f>
        <v>Not Returned</v>
      </c>
    </row>
    <row r="263" spans="1:30" ht="12.75" customHeight="1" thickTop="1" thickBot="1" x14ac:dyDescent="0.25">
      <c r="A263" s="8">
        <v>18758</v>
      </c>
      <c r="B263" s="1" t="s">
        <v>37</v>
      </c>
      <c r="C263" s="1">
        <v>0.04</v>
      </c>
      <c r="D263" s="1">
        <v>17.149999999999999</v>
      </c>
      <c r="E263" s="1">
        <v>4.96</v>
      </c>
      <c r="F263" s="1">
        <v>493</v>
      </c>
      <c r="G263" s="6" t="str">
        <f>IF(COUNTIF(Table1[Customer ID],Table1[[#This Row],[Customer ID]])&gt;1,"Repeat Customer","One-Time Customer")</f>
        <v>Repeat Customer</v>
      </c>
      <c r="H263" s="1" t="s">
        <v>602</v>
      </c>
      <c r="I263" s="1" t="s">
        <v>49</v>
      </c>
      <c r="J263" s="1" t="s">
        <v>114</v>
      </c>
      <c r="K263" s="1" t="s">
        <v>29</v>
      </c>
      <c r="L263" s="1" t="s">
        <v>141</v>
      </c>
      <c r="M263" s="1" t="s">
        <v>59</v>
      </c>
      <c r="N263" s="1" t="s">
        <v>605</v>
      </c>
      <c r="O263" s="1">
        <v>0.57999999999999996</v>
      </c>
      <c r="P263" s="6">
        <f>Table1[[#This Row],[Profit]]/Table1[[#This Row],[Sales]]</f>
        <v>7.0100963744837083E-2</v>
      </c>
      <c r="Q263" s="1" t="s">
        <v>33</v>
      </c>
      <c r="R263" s="1" t="s">
        <v>34</v>
      </c>
      <c r="S263" s="1" t="s">
        <v>35</v>
      </c>
      <c r="T263" s="1" t="s">
        <v>604</v>
      </c>
      <c r="U263" s="1">
        <v>98158</v>
      </c>
      <c r="V263" s="9">
        <v>42024</v>
      </c>
      <c r="W263" s="13" t="str">
        <f>TEXT(Table1[[#This Row],[Order Date]],"mmmm")</f>
        <v>January</v>
      </c>
      <c r="X263" s="7" t="str">
        <f>TEXT(Table1[[#This Row],[Order Date]],"yyyy")</f>
        <v>2015</v>
      </c>
      <c r="Y263" s="9">
        <v>42025</v>
      </c>
      <c r="Z263" s="1">
        <v>6.11</v>
      </c>
      <c r="AA263" s="1">
        <v>5</v>
      </c>
      <c r="AB263" s="1">
        <v>87.16</v>
      </c>
      <c r="AC263" s="1">
        <v>88906</v>
      </c>
      <c r="AD263" s="6" t="str">
        <f>IF(COUNTIF(Returns!$A$2:$A$1635,Orders!AC263)&gt;0,"Returned","Not Returned")</f>
        <v>Not Returned</v>
      </c>
    </row>
    <row r="264" spans="1:30" ht="12.75" customHeight="1" thickTop="1" thickBot="1" x14ac:dyDescent="0.25">
      <c r="A264" s="10">
        <v>19146</v>
      </c>
      <c r="B264" s="11" t="s">
        <v>56</v>
      </c>
      <c r="C264" s="11">
        <v>0.06</v>
      </c>
      <c r="D264" s="11">
        <v>8.32</v>
      </c>
      <c r="E264" s="11">
        <v>2.38</v>
      </c>
      <c r="F264" s="11">
        <v>494</v>
      </c>
      <c r="G264" s="6" t="str">
        <f>IF(COUNTIF(Table1[Customer ID],Table1[[#This Row],[Customer ID]])&gt;1,"Repeat Customer","One-Time Customer")</f>
        <v>Repeat Customer</v>
      </c>
      <c r="H264" s="11" t="s">
        <v>606</v>
      </c>
      <c r="I264" s="11" t="s">
        <v>49</v>
      </c>
      <c r="J264" s="11" t="s">
        <v>114</v>
      </c>
      <c r="K264" s="11" t="s">
        <v>77</v>
      </c>
      <c r="L264" s="11" t="s">
        <v>180</v>
      </c>
      <c r="M264" s="11" t="s">
        <v>51</v>
      </c>
      <c r="N264" s="11" t="s">
        <v>607</v>
      </c>
      <c r="O264" s="11">
        <v>0.74</v>
      </c>
      <c r="P264" s="6">
        <f>Table1[[#This Row],[Profit]]/Table1[[#This Row],[Sales]]</f>
        <v>-0.36174205016788469</v>
      </c>
      <c r="Q264" s="11" t="s">
        <v>33</v>
      </c>
      <c r="R264" s="11" t="s">
        <v>34</v>
      </c>
      <c r="S264" s="11" t="s">
        <v>35</v>
      </c>
      <c r="T264" s="11" t="s">
        <v>209</v>
      </c>
      <c r="U264" s="11">
        <v>98115</v>
      </c>
      <c r="V264" s="12">
        <v>42139</v>
      </c>
      <c r="W264" s="13" t="str">
        <f>TEXT(Table1[[#This Row],[Order Date]],"mmmm")</f>
        <v>May</v>
      </c>
      <c r="X264" s="7" t="str">
        <f>TEXT(Table1[[#This Row],[Order Date]],"yyyy")</f>
        <v>2015</v>
      </c>
      <c r="Y264" s="12">
        <v>42141</v>
      </c>
      <c r="Z264" s="11">
        <v>-36.630000000000003</v>
      </c>
      <c r="AA264" s="11">
        <v>12</v>
      </c>
      <c r="AB264" s="11">
        <v>101.26</v>
      </c>
      <c r="AC264" s="11">
        <v>88905</v>
      </c>
      <c r="AD264" s="6" t="str">
        <f>IF(COUNTIF(Returns!$A$2:$A$1635,Orders!AC264)&gt;0,"Returned","Not Returned")</f>
        <v>Not Returned</v>
      </c>
    </row>
    <row r="265" spans="1:30" ht="12.75" customHeight="1" thickTop="1" thickBot="1" x14ac:dyDescent="0.25">
      <c r="A265" s="8">
        <v>19147</v>
      </c>
      <c r="B265" s="1" t="s">
        <v>56</v>
      </c>
      <c r="C265" s="1">
        <v>0.08</v>
      </c>
      <c r="D265" s="1">
        <v>2.94</v>
      </c>
      <c r="E265" s="1">
        <v>0.96</v>
      </c>
      <c r="F265" s="1">
        <v>494</v>
      </c>
      <c r="G265" s="6" t="str">
        <f>IF(COUNTIF(Table1[Customer ID],Table1[[#This Row],[Customer ID]])&gt;1,"Repeat Customer","One-Time Customer")</f>
        <v>Repeat Customer</v>
      </c>
      <c r="H265" s="1" t="s">
        <v>606</v>
      </c>
      <c r="I265" s="1" t="s">
        <v>49</v>
      </c>
      <c r="J265" s="1" t="s">
        <v>114</v>
      </c>
      <c r="K265" s="1" t="s">
        <v>29</v>
      </c>
      <c r="L265" s="1" t="s">
        <v>30</v>
      </c>
      <c r="M265" s="1" t="s">
        <v>31</v>
      </c>
      <c r="N265" s="1" t="s">
        <v>599</v>
      </c>
      <c r="O265" s="1">
        <v>0.57999999999999996</v>
      </c>
      <c r="P265" s="6">
        <f>Table1[[#This Row],[Profit]]/Table1[[#This Row],[Sales]]</f>
        <v>-0.12183908045977013</v>
      </c>
      <c r="Q265" s="1" t="s">
        <v>33</v>
      </c>
      <c r="R265" s="1" t="s">
        <v>34</v>
      </c>
      <c r="S265" s="1" t="s">
        <v>35</v>
      </c>
      <c r="T265" s="1" t="s">
        <v>209</v>
      </c>
      <c r="U265" s="1">
        <v>98115</v>
      </c>
      <c r="V265" s="9">
        <v>42139</v>
      </c>
      <c r="W265" s="13" t="str">
        <f>TEXT(Table1[[#This Row],[Order Date]],"mmmm")</f>
        <v>May</v>
      </c>
      <c r="X265" s="7" t="str">
        <f>TEXT(Table1[[#This Row],[Order Date]],"yyyy")</f>
        <v>2015</v>
      </c>
      <c r="Y265" s="9">
        <v>42141</v>
      </c>
      <c r="Z265" s="1">
        <v>-2.12</v>
      </c>
      <c r="AA265" s="1">
        <v>6</v>
      </c>
      <c r="AB265" s="1">
        <v>17.399999999999999</v>
      </c>
      <c r="AC265" s="1">
        <v>88905</v>
      </c>
      <c r="AD265" s="6" t="str">
        <f>IF(COUNTIF(Returns!$A$2:$A$1635,Orders!AC265)&gt;0,"Returned","Not Returned")</f>
        <v>Not Returned</v>
      </c>
    </row>
    <row r="266" spans="1:30" ht="12.75" customHeight="1" thickTop="1" thickBot="1" x14ac:dyDescent="0.25">
      <c r="A266" s="10">
        <v>19450</v>
      </c>
      <c r="B266" s="11" t="s">
        <v>47</v>
      </c>
      <c r="C266" s="11">
        <v>0.01</v>
      </c>
      <c r="D266" s="11">
        <v>4.9800000000000004</v>
      </c>
      <c r="E266" s="11">
        <v>6.07</v>
      </c>
      <c r="F266" s="11">
        <v>494</v>
      </c>
      <c r="G266" s="6" t="str">
        <f>IF(COUNTIF(Table1[Customer ID],Table1[[#This Row],[Customer ID]])&gt;1,"Repeat Customer","One-Time Customer")</f>
        <v>Repeat Customer</v>
      </c>
      <c r="H266" s="11" t="s">
        <v>606</v>
      </c>
      <c r="I266" s="11" t="s">
        <v>49</v>
      </c>
      <c r="J266" s="11" t="s">
        <v>114</v>
      </c>
      <c r="K266" s="11" t="s">
        <v>29</v>
      </c>
      <c r="L266" s="11" t="s">
        <v>93</v>
      </c>
      <c r="M266" s="11" t="s">
        <v>59</v>
      </c>
      <c r="N266" s="11" t="s">
        <v>173</v>
      </c>
      <c r="O266" s="11">
        <v>0.36</v>
      </c>
      <c r="P266" s="6">
        <f>Table1[[#This Row],[Profit]]/Table1[[#This Row],[Sales]]</f>
        <v>-0.67856414131872278</v>
      </c>
      <c r="Q266" s="11" t="s">
        <v>33</v>
      </c>
      <c r="R266" s="11" t="s">
        <v>34</v>
      </c>
      <c r="S266" s="11" t="s">
        <v>35</v>
      </c>
      <c r="T266" s="11" t="s">
        <v>209</v>
      </c>
      <c r="U266" s="11">
        <v>98115</v>
      </c>
      <c r="V266" s="12">
        <v>42045</v>
      </c>
      <c r="W266" s="13" t="str">
        <f>TEXT(Table1[[#This Row],[Order Date]],"mmmm")</f>
        <v>February</v>
      </c>
      <c r="X266" s="7" t="str">
        <f>TEXT(Table1[[#This Row],[Order Date]],"yyyy")</f>
        <v>2015</v>
      </c>
      <c r="Y266" s="12">
        <v>42046</v>
      </c>
      <c r="Z266" s="11">
        <v>-35.916399999999996</v>
      </c>
      <c r="AA266" s="11">
        <v>10</v>
      </c>
      <c r="AB266" s="11">
        <v>52.93</v>
      </c>
      <c r="AC266" s="11">
        <v>88907</v>
      </c>
      <c r="AD266" s="6" t="str">
        <f>IF(COUNTIF(Returns!$A$2:$A$1635,Orders!AC266)&gt;0,"Returned","Not Returned")</f>
        <v>Not Returned</v>
      </c>
    </row>
    <row r="267" spans="1:30" ht="12.75" customHeight="1" thickTop="1" thickBot="1" x14ac:dyDescent="0.25">
      <c r="A267" s="8">
        <v>18914</v>
      </c>
      <c r="B267" s="1" t="s">
        <v>47</v>
      </c>
      <c r="C267" s="1">
        <v>0.02</v>
      </c>
      <c r="D267" s="1">
        <v>1360.14</v>
      </c>
      <c r="E267" s="1">
        <v>14.7</v>
      </c>
      <c r="F267" s="1">
        <v>494</v>
      </c>
      <c r="G267" s="6" t="str">
        <f>IF(COUNTIF(Table1[Customer ID],Table1[[#This Row],[Customer ID]])&gt;1,"Repeat Customer","One-Time Customer")</f>
        <v>Repeat Customer</v>
      </c>
      <c r="H267" s="1" t="s">
        <v>606</v>
      </c>
      <c r="I267" s="1" t="s">
        <v>39</v>
      </c>
      <c r="J267" s="1" t="s">
        <v>114</v>
      </c>
      <c r="K267" s="1" t="s">
        <v>77</v>
      </c>
      <c r="L267" s="1" t="s">
        <v>85</v>
      </c>
      <c r="M267" s="1" t="s">
        <v>43</v>
      </c>
      <c r="N267" s="1" t="s">
        <v>600</v>
      </c>
      <c r="O267" s="1">
        <v>0.59</v>
      </c>
      <c r="P267" s="6">
        <f>Table1[[#This Row],[Profit]]/Table1[[#This Row],[Sales]]</f>
        <v>0.35220852474807346</v>
      </c>
      <c r="Q267" s="1" t="s">
        <v>33</v>
      </c>
      <c r="R267" s="1" t="s">
        <v>34</v>
      </c>
      <c r="S267" s="1" t="s">
        <v>35</v>
      </c>
      <c r="T267" s="1" t="s">
        <v>209</v>
      </c>
      <c r="U267" s="1">
        <v>98115</v>
      </c>
      <c r="V267" s="9">
        <v>42175</v>
      </c>
      <c r="W267" s="13" t="str">
        <f>TEXT(Table1[[#This Row],[Order Date]],"mmmm")</f>
        <v>June</v>
      </c>
      <c r="X267" s="7" t="str">
        <f>TEXT(Table1[[#This Row],[Order Date]],"yyyy")</f>
        <v>2015</v>
      </c>
      <c r="Y267" s="9">
        <v>42177</v>
      </c>
      <c r="Z267" s="1">
        <v>3042.18</v>
      </c>
      <c r="AA267" s="1">
        <v>6</v>
      </c>
      <c r="AB267" s="1">
        <v>8637.44</v>
      </c>
      <c r="AC267" s="1">
        <v>88908</v>
      </c>
      <c r="AD267" s="6" t="str">
        <f>IF(COUNTIF(Returns!$A$2:$A$1635,Orders!AC267)&gt;0,"Returned","Not Returned")</f>
        <v>Not Returned</v>
      </c>
    </row>
    <row r="268" spans="1:30" ht="12.75" customHeight="1" thickTop="1" thickBot="1" x14ac:dyDescent="0.25">
      <c r="A268" s="10">
        <v>24046</v>
      </c>
      <c r="B268" s="11" t="s">
        <v>37</v>
      </c>
      <c r="C268" s="11">
        <v>0.02</v>
      </c>
      <c r="D268" s="11">
        <v>9.06</v>
      </c>
      <c r="E268" s="11">
        <v>9.86</v>
      </c>
      <c r="F268" s="11">
        <v>494</v>
      </c>
      <c r="G268" s="6" t="str">
        <f>IF(COUNTIF(Table1[Customer ID],Table1[[#This Row],[Customer ID]])&gt;1,"Repeat Customer","One-Time Customer")</f>
        <v>Repeat Customer</v>
      </c>
      <c r="H268" s="11" t="s">
        <v>606</v>
      </c>
      <c r="I268" s="11" t="s">
        <v>49</v>
      </c>
      <c r="J268" s="11" t="s">
        <v>114</v>
      </c>
      <c r="K268" s="11" t="s">
        <v>29</v>
      </c>
      <c r="L268" s="11" t="s">
        <v>93</v>
      </c>
      <c r="M268" s="11" t="s">
        <v>59</v>
      </c>
      <c r="N268" s="11" t="s">
        <v>601</v>
      </c>
      <c r="O268" s="11">
        <v>0.4</v>
      </c>
      <c r="P268" s="6">
        <f>Table1[[#This Row],[Profit]]/Table1[[#This Row],[Sales]]</f>
        <v>-0.52969140950792326</v>
      </c>
      <c r="Q268" s="11" t="s">
        <v>33</v>
      </c>
      <c r="R268" s="11" t="s">
        <v>34</v>
      </c>
      <c r="S268" s="11" t="s">
        <v>35</v>
      </c>
      <c r="T268" s="11" t="s">
        <v>209</v>
      </c>
      <c r="U268" s="11">
        <v>98115</v>
      </c>
      <c r="V268" s="12">
        <v>42175</v>
      </c>
      <c r="W268" s="13" t="str">
        <f>TEXT(Table1[[#This Row],[Order Date]],"mmmm")</f>
        <v>June</v>
      </c>
      <c r="X268" s="7" t="str">
        <f>TEXT(Table1[[#This Row],[Order Date]],"yyyy")</f>
        <v>2015</v>
      </c>
      <c r="Y268" s="12">
        <v>42177</v>
      </c>
      <c r="Z268" s="11">
        <v>-31.754999999999999</v>
      </c>
      <c r="AA268" s="11">
        <v>6</v>
      </c>
      <c r="AB268" s="11">
        <v>59.95</v>
      </c>
      <c r="AC268" s="11">
        <v>88908</v>
      </c>
      <c r="AD268" s="6" t="str">
        <f>IF(COUNTIF(Returns!$A$2:$A$1635,Orders!AC268)&gt;0,"Returned","Not Returned")</f>
        <v>Not Returned</v>
      </c>
    </row>
    <row r="269" spans="1:30" ht="12.75" customHeight="1" thickTop="1" thickBot="1" x14ac:dyDescent="0.25">
      <c r="A269" s="8">
        <v>26315</v>
      </c>
      <c r="B269" s="1" t="s">
        <v>47</v>
      </c>
      <c r="C269" s="1">
        <v>7.0000000000000007E-2</v>
      </c>
      <c r="D269" s="1">
        <v>152.47999999999999</v>
      </c>
      <c r="E269" s="1">
        <v>6.5</v>
      </c>
      <c r="F269" s="1">
        <v>497</v>
      </c>
      <c r="G269" s="6" t="str">
        <f>IF(COUNTIF(Table1[Customer ID],Table1[[#This Row],[Customer ID]])&gt;1,"Repeat Customer","One-Time Customer")</f>
        <v>One-Time Customer</v>
      </c>
      <c r="H269" s="1" t="s">
        <v>608</v>
      </c>
      <c r="I269" s="1" t="s">
        <v>49</v>
      </c>
      <c r="J269" s="1" t="s">
        <v>58</v>
      </c>
      <c r="K269" s="1" t="s">
        <v>77</v>
      </c>
      <c r="L269" s="1" t="s">
        <v>180</v>
      </c>
      <c r="M269" s="1" t="s">
        <v>59</v>
      </c>
      <c r="N269" s="1" t="s">
        <v>609</v>
      </c>
      <c r="O269" s="1">
        <v>0.74</v>
      </c>
      <c r="P269" s="6">
        <f>Table1[[#This Row],[Profit]]/Table1[[#This Row],[Sales]]</f>
        <v>3.3943533715622157E-2</v>
      </c>
      <c r="Q269" s="1" t="s">
        <v>33</v>
      </c>
      <c r="R269" s="1" t="s">
        <v>136</v>
      </c>
      <c r="S269" s="1" t="s">
        <v>244</v>
      </c>
      <c r="T269" s="1" t="s">
        <v>610</v>
      </c>
      <c r="U269" s="1">
        <v>37130</v>
      </c>
      <c r="V269" s="9">
        <v>42138</v>
      </c>
      <c r="W269" s="13" t="str">
        <f>TEXT(Table1[[#This Row],[Order Date]],"mmmm")</f>
        <v>May</v>
      </c>
      <c r="X269" s="7" t="str">
        <f>TEXT(Table1[[#This Row],[Order Date]],"yyyy")</f>
        <v>2015</v>
      </c>
      <c r="Y269" s="9">
        <v>42140</v>
      </c>
      <c r="Z269" s="1">
        <v>171.83879999999999</v>
      </c>
      <c r="AA269" s="1">
        <v>35</v>
      </c>
      <c r="AB269" s="1">
        <v>5062.49</v>
      </c>
      <c r="AC269" s="1">
        <v>90706</v>
      </c>
      <c r="AD269" s="6" t="str">
        <f>IF(COUNTIF(Returns!$A$2:$A$1635,Orders!AC269)&gt;0,"Returned","Not Returned")</f>
        <v>Not Returned</v>
      </c>
    </row>
    <row r="270" spans="1:30" ht="12.75" customHeight="1" thickTop="1" thickBot="1" x14ac:dyDescent="0.25">
      <c r="A270" s="10">
        <v>18303</v>
      </c>
      <c r="B270" s="11" t="s">
        <v>47</v>
      </c>
      <c r="C270" s="11">
        <v>0.01</v>
      </c>
      <c r="D270" s="11">
        <v>55.98</v>
      </c>
      <c r="E270" s="11">
        <v>4.8600000000000003</v>
      </c>
      <c r="F270" s="11">
        <v>507</v>
      </c>
      <c r="G270" s="6" t="str">
        <f>IF(COUNTIF(Table1[Customer ID],Table1[[#This Row],[Customer ID]])&gt;1,"Repeat Customer","One-Time Customer")</f>
        <v>Repeat Customer</v>
      </c>
      <c r="H270" s="11" t="s">
        <v>611</v>
      </c>
      <c r="I270" s="11" t="s">
        <v>27</v>
      </c>
      <c r="J270" s="11" t="s">
        <v>28</v>
      </c>
      <c r="K270" s="11" t="s">
        <v>29</v>
      </c>
      <c r="L270" s="11" t="s">
        <v>93</v>
      </c>
      <c r="M270" s="11" t="s">
        <v>59</v>
      </c>
      <c r="N270" s="11" t="s">
        <v>612</v>
      </c>
      <c r="O270" s="11">
        <v>0.36</v>
      </c>
      <c r="P270" s="6">
        <f>Table1[[#This Row],[Profit]]/Table1[[#This Row],[Sales]]</f>
        <v>5.0915652966907275E-2</v>
      </c>
      <c r="Q270" s="11" t="s">
        <v>33</v>
      </c>
      <c r="R270" s="11" t="s">
        <v>136</v>
      </c>
      <c r="S270" s="11" t="s">
        <v>613</v>
      </c>
      <c r="T270" s="11" t="s">
        <v>614</v>
      </c>
      <c r="U270" s="11">
        <v>42104</v>
      </c>
      <c r="V270" s="12">
        <v>42112</v>
      </c>
      <c r="W270" s="13" t="str">
        <f>TEXT(Table1[[#This Row],[Order Date]],"mmmm")</f>
        <v>April</v>
      </c>
      <c r="X270" s="7" t="str">
        <f>TEXT(Table1[[#This Row],[Order Date]],"yyyy")</f>
        <v>2015</v>
      </c>
      <c r="Y270" s="12">
        <v>42114</v>
      </c>
      <c r="Z270" s="11">
        <v>32.940899999999999</v>
      </c>
      <c r="AA270" s="11">
        <v>11</v>
      </c>
      <c r="AB270" s="11">
        <v>646.97</v>
      </c>
      <c r="AC270" s="11">
        <v>87357</v>
      </c>
      <c r="AD270" s="6" t="str">
        <f>IF(COUNTIF(Returns!$A$2:$A$1635,Orders!AC270)&gt;0,"Returned","Not Returned")</f>
        <v>Not Returned</v>
      </c>
    </row>
    <row r="271" spans="1:30" ht="12.75" customHeight="1" thickTop="1" thickBot="1" x14ac:dyDescent="0.25">
      <c r="A271" s="8">
        <v>18304</v>
      </c>
      <c r="B271" s="1" t="s">
        <v>47</v>
      </c>
      <c r="C271" s="1">
        <v>0.04</v>
      </c>
      <c r="D271" s="1">
        <v>65.989999999999995</v>
      </c>
      <c r="E271" s="1">
        <v>8.99</v>
      </c>
      <c r="F271" s="1">
        <v>507</v>
      </c>
      <c r="G271" s="6" t="str">
        <f>IF(COUNTIF(Table1[Customer ID],Table1[[#This Row],[Customer ID]])&gt;1,"Repeat Customer","One-Time Customer")</f>
        <v>Repeat Customer</v>
      </c>
      <c r="H271" s="1" t="s">
        <v>611</v>
      </c>
      <c r="I271" s="1" t="s">
        <v>49</v>
      </c>
      <c r="J271" s="1" t="s">
        <v>28</v>
      </c>
      <c r="K271" s="1" t="s">
        <v>77</v>
      </c>
      <c r="L271" s="1" t="s">
        <v>78</v>
      </c>
      <c r="M271" s="1" t="s">
        <v>59</v>
      </c>
      <c r="N271" s="1" t="s">
        <v>615</v>
      </c>
      <c r="O271" s="1">
        <v>0.56000000000000005</v>
      </c>
      <c r="P271" s="6">
        <f>Table1[[#This Row],[Profit]]/Table1[[#This Row],[Sales]]</f>
        <v>0.13878832070506927</v>
      </c>
      <c r="Q271" s="1" t="s">
        <v>33</v>
      </c>
      <c r="R271" s="1" t="s">
        <v>136</v>
      </c>
      <c r="S271" s="1" t="s">
        <v>613</v>
      </c>
      <c r="T271" s="1" t="s">
        <v>614</v>
      </c>
      <c r="U271" s="1">
        <v>42104</v>
      </c>
      <c r="V271" s="9">
        <v>42112</v>
      </c>
      <c r="W271" s="13" t="str">
        <f>TEXT(Table1[[#This Row],[Order Date]],"mmmm")</f>
        <v>April</v>
      </c>
      <c r="X271" s="7" t="str">
        <f>TEXT(Table1[[#This Row],[Order Date]],"yyyy")</f>
        <v>2015</v>
      </c>
      <c r="Y271" s="9">
        <v>42113</v>
      </c>
      <c r="Z271" s="1">
        <v>131.334</v>
      </c>
      <c r="AA271" s="1">
        <v>17</v>
      </c>
      <c r="AB271" s="1">
        <v>946.29</v>
      </c>
      <c r="AC271" s="1">
        <v>87357</v>
      </c>
      <c r="AD271" s="6" t="str">
        <f>IF(COUNTIF(Returns!$A$2:$A$1635,Orders!AC271)&gt;0,"Returned","Not Returned")</f>
        <v>Not Returned</v>
      </c>
    </row>
    <row r="272" spans="1:30" ht="12.75" customHeight="1" thickTop="1" thickBot="1" x14ac:dyDescent="0.25">
      <c r="A272" s="10">
        <v>21958</v>
      </c>
      <c r="B272" s="11" t="s">
        <v>25</v>
      </c>
      <c r="C272" s="11">
        <v>0.01</v>
      </c>
      <c r="D272" s="11">
        <v>20.98</v>
      </c>
      <c r="E272" s="11">
        <v>53.03</v>
      </c>
      <c r="F272" s="11">
        <v>508</v>
      </c>
      <c r="G272" s="6" t="str">
        <f>IF(COUNTIF(Table1[Customer ID],Table1[[#This Row],[Customer ID]])&gt;1,"Repeat Customer","One-Time Customer")</f>
        <v>Repeat Customer</v>
      </c>
      <c r="H272" s="11" t="s">
        <v>616</v>
      </c>
      <c r="I272" s="11" t="s">
        <v>39</v>
      </c>
      <c r="J272" s="11" t="s">
        <v>28</v>
      </c>
      <c r="K272" s="11" t="s">
        <v>29</v>
      </c>
      <c r="L272" s="11" t="s">
        <v>141</v>
      </c>
      <c r="M272" s="11" t="s">
        <v>43</v>
      </c>
      <c r="N272" s="11" t="s">
        <v>617</v>
      </c>
      <c r="O272" s="11">
        <v>0.78</v>
      </c>
      <c r="P272" s="6">
        <f>Table1[[#This Row],[Profit]]/Table1[[#This Row],[Sales]]</f>
        <v>-2.2933479674796748</v>
      </c>
      <c r="Q272" s="11" t="s">
        <v>33</v>
      </c>
      <c r="R272" s="11" t="s">
        <v>136</v>
      </c>
      <c r="S272" s="11" t="s">
        <v>613</v>
      </c>
      <c r="T272" s="11" t="s">
        <v>618</v>
      </c>
      <c r="U272" s="11">
        <v>41011</v>
      </c>
      <c r="V272" s="12">
        <v>42058</v>
      </c>
      <c r="W272" s="13" t="str">
        <f>TEXT(Table1[[#This Row],[Order Date]],"mmmm")</f>
        <v>February</v>
      </c>
      <c r="X272" s="7" t="str">
        <f>TEXT(Table1[[#This Row],[Order Date]],"yyyy")</f>
        <v>2015</v>
      </c>
      <c r="Y272" s="12">
        <v>42058</v>
      </c>
      <c r="Z272" s="11">
        <v>-282.08179999999999</v>
      </c>
      <c r="AA272" s="11">
        <v>5</v>
      </c>
      <c r="AB272" s="11">
        <v>123</v>
      </c>
      <c r="AC272" s="11">
        <v>87356</v>
      </c>
      <c r="AD272" s="6" t="str">
        <f>IF(COUNTIF(Returns!$A$2:$A$1635,Orders!AC272)&gt;0,"Returned","Not Returned")</f>
        <v>Not Returned</v>
      </c>
    </row>
    <row r="273" spans="1:30" ht="12.75" customHeight="1" thickTop="1" thickBot="1" x14ac:dyDescent="0.25">
      <c r="A273" s="8">
        <v>18305</v>
      </c>
      <c r="B273" s="1" t="s">
        <v>47</v>
      </c>
      <c r="C273" s="1">
        <v>0.01</v>
      </c>
      <c r="D273" s="1">
        <v>128.24</v>
      </c>
      <c r="E273" s="1">
        <v>12.65</v>
      </c>
      <c r="F273" s="1">
        <v>508</v>
      </c>
      <c r="G273" s="6" t="str">
        <f>IF(COUNTIF(Table1[Customer ID],Table1[[#This Row],[Customer ID]])&gt;1,"Repeat Customer","One-Time Customer")</f>
        <v>Repeat Customer</v>
      </c>
      <c r="H273" s="1" t="s">
        <v>616</v>
      </c>
      <c r="I273" s="1" t="s">
        <v>49</v>
      </c>
      <c r="J273" s="1" t="s">
        <v>28</v>
      </c>
      <c r="K273" s="1" t="s">
        <v>41</v>
      </c>
      <c r="L273" s="1" t="s">
        <v>42</v>
      </c>
      <c r="M273" s="1" t="s">
        <v>86</v>
      </c>
      <c r="N273" s="1" t="s">
        <v>619</v>
      </c>
      <c r="O273" s="1"/>
      <c r="P273" s="6">
        <f>Table1[[#This Row],[Profit]]/Table1[[#This Row],[Sales]]</f>
        <v>0.25291546347097893</v>
      </c>
      <c r="Q273" s="1" t="s">
        <v>33</v>
      </c>
      <c r="R273" s="1" t="s">
        <v>136</v>
      </c>
      <c r="S273" s="1" t="s">
        <v>613</v>
      </c>
      <c r="T273" s="1" t="s">
        <v>618</v>
      </c>
      <c r="U273" s="1">
        <v>41011</v>
      </c>
      <c r="V273" s="9">
        <v>42112</v>
      </c>
      <c r="W273" s="13" t="str">
        <f>TEXT(Table1[[#This Row],[Order Date]],"mmmm")</f>
        <v>April</v>
      </c>
      <c r="X273" s="7" t="str">
        <f>TEXT(Table1[[#This Row],[Order Date]],"yyyy")</f>
        <v>2015</v>
      </c>
      <c r="Y273" s="9">
        <v>42115</v>
      </c>
      <c r="Z273" s="1">
        <v>140.1354</v>
      </c>
      <c r="AA273" s="1">
        <v>4</v>
      </c>
      <c r="AB273" s="1">
        <v>554.08000000000004</v>
      </c>
      <c r="AC273" s="1">
        <v>87357</v>
      </c>
      <c r="AD273" s="6" t="str">
        <f>IF(COUNTIF(Returns!$A$2:$A$1635,Orders!AC273)&gt;0,"Returned","Not Returned")</f>
        <v>Not Returned</v>
      </c>
    </row>
    <row r="274" spans="1:30" ht="12.75" customHeight="1" thickTop="1" thickBot="1" x14ac:dyDescent="0.25">
      <c r="A274" s="10">
        <v>19895</v>
      </c>
      <c r="B274" s="11" t="s">
        <v>106</v>
      </c>
      <c r="C274" s="11">
        <v>0.02</v>
      </c>
      <c r="D274" s="11">
        <v>48.04</v>
      </c>
      <c r="E274" s="11">
        <v>5.09</v>
      </c>
      <c r="F274" s="11">
        <v>510</v>
      </c>
      <c r="G274" s="6" t="str">
        <f>IF(COUNTIF(Table1[Customer ID],Table1[[#This Row],[Customer ID]])&gt;1,"Repeat Customer","One-Time Customer")</f>
        <v>Repeat Customer</v>
      </c>
      <c r="H274" s="11" t="s">
        <v>620</v>
      </c>
      <c r="I274" s="11" t="s">
        <v>49</v>
      </c>
      <c r="J274" s="11" t="s">
        <v>28</v>
      </c>
      <c r="K274" s="11" t="s">
        <v>29</v>
      </c>
      <c r="L274" s="11" t="s">
        <v>93</v>
      </c>
      <c r="M274" s="11" t="s">
        <v>59</v>
      </c>
      <c r="N274" s="11" t="s">
        <v>621</v>
      </c>
      <c r="O274" s="11">
        <v>0.37</v>
      </c>
      <c r="P274" s="6">
        <f>Table1[[#This Row],[Profit]]/Table1[[#This Row],[Sales]]</f>
        <v>0.69</v>
      </c>
      <c r="Q274" s="11" t="s">
        <v>33</v>
      </c>
      <c r="R274" s="11" t="s">
        <v>34</v>
      </c>
      <c r="S274" s="11" t="s">
        <v>45</v>
      </c>
      <c r="T274" s="11" t="s">
        <v>622</v>
      </c>
      <c r="U274" s="11">
        <v>95336</v>
      </c>
      <c r="V274" s="12">
        <v>42017</v>
      </c>
      <c r="W274" s="13" t="str">
        <f>TEXT(Table1[[#This Row],[Order Date]],"mmmm")</f>
        <v>January</v>
      </c>
      <c r="X274" s="7" t="str">
        <f>TEXT(Table1[[#This Row],[Order Date]],"yyyy")</f>
        <v>2015</v>
      </c>
      <c r="Y274" s="12">
        <v>42017</v>
      </c>
      <c r="Z274" s="11">
        <v>105.25259999999999</v>
      </c>
      <c r="AA274" s="11">
        <v>3</v>
      </c>
      <c r="AB274" s="11">
        <v>152.54</v>
      </c>
      <c r="AC274" s="11">
        <v>90058</v>
      </c>
      <c r="AD274" s="6" t="str">
        <f>IF(COUNTIF(Returns!$A$2:$A$1635,Orders!AC274)&gt;0,"Returned","Not Returned")</f>
        <v>Not Returned</v>
      </c>
    </row>
    <row r="275" spans="1:30" ht="12.75" customHeight="1" thickTop="1" thickBot="1" x14ac:dyDescent="0.25">
      <c r="A275" s="8">
        <v>20007</v>
      </c>
      <c r="B275" s="1" t="s">
        <v>47</v>
      </c>
      <c r="C275" s="1">
        <v>0.03</v>
      </c>
      <c r="D275" s="1">
        <v>6.37</v>
      </c>
      <c r="E275" s="1">
        <v>5.19</v>
      </c>
      <c r="F275" s="1">
        <v>510</v>
      </c>
      <c r="G275" s="6" t="str">
        <f>IF(COUNTIF(Table1[Customer ID],Table1[[#This Row],[Customer ID]])&gt;1,"Repeat Customer","One-Time Customer")</f>
        <v>Repeat Customer</v>
      </c>
      <c r="H275" s="1" t="s">
        <v>620</v>
      </c>
      <c r="I275" s="1" t="s">
        <v>49</v>
      </c>
      <c r="J275" s="1" t="s">
        <v>28</v>
      </c>
      <c r="K275" s="1" t="s">
        <v>29</v>
      </c>
      <c r="L275" s="1" t="s">
        <v>109</v>
      </c>
      <c r="M275" s="1" t="s">
        <v>59</v>
      </c>
      <c r="N275" s="1" t="s">
        <v>623</v>
      </c>
      <c r="O275" s="1">
        <v>0.38</v>
      </c>
      <c r="P275" s="6">
        <f>Table1[[#This Row],[Profit]]/Table1[[#This Row],[Sales]]</f>
        <v>-0.32400824145227752</v>
      </c>
      <c r="Q275" s="1" t="s">
        <v>33</v>
      </c>
      <c r="R275" s="1" t="s">
        <v>34</v>
      </c>
      <c r="S275" s="1" t="s">
        <v>45</v>
      </c>
      <c r="T275" s="1" t="s">
        <v>622</v>
      </c>
      <c r="U275" s="1">
        <v>95336</v>
      </c>
      <c r="V275" s="9">
        <v>42036</v>
      </c>
      <c r="W275" s="13" t="str">
        <f>TEXT(Table1[[#This Row],[Order Date]],"mmmm")</f>
        <v>February</v>
      </c>
      <c r="X275" s="7" t="str">
        <f>TEXT(Table1[[#This Row],[Order Date]],"yyyy")</f>
        <v>2015</v>
      </c>
      <c r="Y275" s="9">
        <v>42037</v>
      </c>
      <c r="Z275" s="1">
        <v>-29.092700000000001</v>
      </c>
      <c r="AA275" s="1">
        <v>14</v>
      </c>
      <c r="AB275" s="1">
        <v>89.79</v>
      </c>
      <c r="AC275" s="1">
        <v>90059</v>
      </c>
      <c r="AD275" s="6" t="str">
        <f>IF(COUNTIF(Returns!$A$2:$A$1635,Orders!AC275)&gt;0,"Returned","Not Returned")</f>
        <v>Not Returned</v>
      </c>
    </row>
    <row r="276" spans="1:30" ht="12.75" customHeight="1" thickTop="1" thickBot="1" x14ac:dyDescent="0.25">
      <c r="A276" s="10">
        <v>20216</v>
      </c>
      <c r="B276" s="11" t="s">
        <v>106</v>
      </c>
      <c r="C276" s="11">
        <v>7.0000000000000007E-2</v>
      </c>
      <c r="D276" s="11">
        <v>12.64</v>
      </c>
      <c r="E276" s="11">
        <v>4.9800000000000004</v>
      </c>
      <c r="F276" s="11">
        <v>518</v>
      </c>
      <c r="G276" s="6" t="str">
        <f>IF(COUNTIF(Table1[Customer ID],Table1[[#This Row],[Customer ID]])&gt;1,"Repeat Customer","One-Time Customer")</f>
        <v>One-Time Customer</v>
      </c>
      <c r="H276" s="11" t="s">
        <v>624</v>
      </c>
      <c r="I276" s="11" t="s">
        <v>49</v>
      </c>
      <c r="J276" s="11" t="s">
        <v>40</v>
      </c>
      <c r="K276" s="11" t="s">
        <v>41</v>
      </c>
      <c r="L276" s="11" t="s">
        <v>50</v>
      </c>
      <c r="M276" s="11" t="s">
        <v>51</v>
      </c>
      <c r="N276" s="11" t="s">
        <v>625</v>
      </c>
      <c r="O276" s="11">
        <v>0.48</v>
      </c>
      <c r="P276" s="6">
        <f>Table1[[#This Row],[Profit]]/Table1[[#This Row],[Sales]]</f>
        <v>0.56775630756908291</v>
      </c>
      <c r="Q276" s="11" t="s">
        <v>33</v>
      </c>
      <c r="R276" s="11" t="s">
        <v>61</v>
      </c>
      <c r="S276" s="11" t="s">
        <v>506</v>
      </c>
      <c r="T276" s="11" t="s">
        <v>507</v>
      </c>
      <c r="U276" s="11">
        <v>63105</v>
      </c>
      <c r="V276" s="12">
        <v>42160</v>
      </c>
      <c r="W276" s="13" t="str">
        <f>TEXT(Table1[[#This Row],[Order Date]],"mmmm")</f>
        <v>June</v>
      </c>
      <c r="X276" s="7" t="str">
        <f>TEXT(Table1[[#This Row],[Order Date]],"yyyy")</f>
        <v>2015</v>
      </c>
      <c r="Y276" s="12">
        <v>42167</v>
      </c>
      <c r="Z276" s="11">
        <v>113.41499999999999</v>
      </c>
      <c r="AA276" s="11">
        <v>16</v>
      </c>
      <c r="AB276" s="11">
        <v>199.76</v>
      </c>
      <c r="AC276" s="11">
        <v>90867</v>
      </c>
      <c r="AD276" s="6" t="str">
        <f>IF(COUNTIF(Returns!$A$2:$A$1635,Orders!AC276)&gt;0,"Returned","Not Returned")</f>
        <v>Not Returned</v>
      </c>
    </row>
    <row r="277" spans="1:30" ht="12.75" customHeight="1" thickTop="1" thickBot="1" x14ac:dyDescent="0.25">
      <c r="A277" s="8">
        <v>23200</v>
      </c>
      <c r="B277" s="1" t="s">
        <v>56</v>
      </c>
      <c r="C277" s="1">
        <v>0.02</v>
      </c>
      <c r="D277" s="1">
        <v>150.97999999999999</v>
      </c>
      <c r="E277" s="1">
        <v>13.99</v>
      </c>
      <c r="F277" s="1">
        <v>522</v>
      </c>
      <c r="G277" s="6" t="str">
        <f>IF(COUNTIF(Table1[Customer ID],Table1[[#This Row],[Customer ID]])&gt;1,"Repeat Customer","One-Time Customer")</f>
        <v>Repeat Customer</v>
      </c>
      <c r="H277" s="1" t="s">
        <v>626</v>
      </c>
      <c r="I277" s="1" t="s">
        <v>27</v>
      </c>
      <c r="J277" s="1" t="s">
        <v>58</v>
      </c>
      <c r="K277" s="1" t="s">
        <v>77</v>
      </c>
      <c r="L277" s="1" t="s">
        <v>85</v>
      </c>
      <c r="M277" s="1" t="s">
        <v>86</v>
      </c>
      <c r="N277" s="1" t="s">
        <v>627</v>
      </c>
      <c r="O277" s="1">
        <v>0.38</v>
      </c>
      <c r="P277" s="6">
        <f>Table1[[#This Row],[Profit]]/Table1[[#This Row],[Sales]]</f>
        <v>5.4333118221371018E-2</v>
      </c>
      <c r="Q277" s="1" t="s">
        <v>33</v>
      </c>
      <c r="R277" s="1" t="s">
        <v>34</v>
      </c>
      <c r="S277" s="1" t="s">
        <v>102</v>
      </c>
      <c r="T277" s="1" t="s">
        <v>116</v>
      </c>
      <c r="U277" s="1">
        <v>97756</v>
      </c>
      <c r="V277" s="9">
        <v>42177</v>
      </c>
      <c r="W277" s="13" t="str">
        <f>TEXT(Table1[[#This Row],[Order Date]],"mmmm")</f>
        <v>June</v>
      </c>
      <c r="X277" s="7" t="str">
        <f>TEXT(Table1[[#This Row],[Order Date]],"yyyy")</f>
        <v>2015</v>
      </c>
      <c r="Y277" s="9">
        <v>42179</v>
      </c>
      <c r="Z277" s="1">
        <v>26.099999999999998</v>
      </c>
      <c r="AA277" s="1">
        <v>3</v>
      </c>
      <c r="AB277" s="1">
        <v>480.37</v>
      </c>
      <c r="AC277" s="1">
        <v>89327</v>
      </c>
      <c r="AD277" s="6" t="str">
        <f>IF(COUNTIF(Returns!$A$2:$A$1635,Orders!AC277)&gt;0,"Returned","Not Returned")</f>
        <v>Not Returned</v>
      </c>
    </row>
    <row r="278" spans="1:30" ht="12.75" customHeight="1" thickTop="1" thickBot="1" x14ac:dyDescent="0.25">
      <c r="A278" s="10">
        <v>23201</v>
      </c>
      <c r="B278" s="11" t="s">
        <v>56</v>
      </c>
      <c r="C278" s="11">
        <v>0.1</v>
      </c>
      <c r="D278" s="11">
        <v>5.43</v>
      </c>
      <c r="E278" s="11">
        <v>0.95</v>
      </c>
      <c r="F278" s="11">
        <v>522</v>
      </c>
      <c r="G278" s="6" t="str">
        <f>IF(COUNTIF(Table1[Customer ID],Table1[[#This Row],[Customer ID]])&gt;1,"Repeat Customer","One-Time Customer")</f>
        <v>Repeat Customer</v>
      </c>
      <c r="H278" s="11" t="s">
        <v>626</v>
      </c>
      <c r="I278" s="11" t="s">
        <v>49</v>
      </c>
      <c r="J278" s="11" t="s">
        <v>58</v>
      </c>
      <c r="K278" s="11" t="s">
        <v>29</v>
      </c>
      <c r="L278" s="11" t="s">
        <v>93</v>
      </c>
      <c r="M278" s="11" t="s">
        <v>31</v>
      </c>
      <c r="N278" s="11" t="s">
        <v>628</v>
      </c>
      <c r="O278" s="11">
        <v>0.36</v>
      </c>
      <c r="P278" s="6">
        <f>Table1[[#This Row],[Profit]]/Table1[[#This Row],[Sales]]</f>
        <v>-0.44791666666666669</v>
      </c>
      <c r="Q278" s="11" t="s">
        <v>33</v>
      </c>
      <c r="R278" s="11" t="s">
        <v>34</v>
      </c>
      <c r="S278" s="11" t="s">
        <v>102</v>
      </c>
      <c r="T278" s="11" t="s">
        <v>116</v>
      </c>
      <c r="U278" s="11">
        <v>97756</v>
      </c>
      <c r="V278" s="12">
        <v>42177</v>
      </c>
      <c r="W278" s="13" t="str">
        <f>TEXT(Table1[[#This Row],[Order Date]],"mmmm")</f>
        <v>June</v>
      </c>
      <c r="X278" s="7" t="str">
        <f>TEXT(Table1[[#This Row],[Order Date]],"yyyy")</f>
        <v>2015</v>
      </c>
      <c r="Y278" s="12">
        <v>42179</v>
      </c>
      <c r="Z278" s="11">
        <v>-2.58</v>
      </c>
      <c r="AA278" s="11">
        <v>1</v>
      </c>
      <c r="AB278" s="11">
        <v>5.76</v>
      </c>
      <c r="AC278" s="11">
        <v>89327</v>
      </c>
      <c r="AD278" s="6" t="str">
        <f>IF(COUNTIF(Returns!$A$2:$A$1635,Orders!AC278)&gt;0,"Returned","Not Returned")</f>
        <v>Not Returned</v>
      </c>
    </row>
    <row r="279" spans="1:30" ht="12.75" customHeight="1" thickTop="1" thickBot="1" x14ac:dyDescent="0.25">
      <c r="A279" s="8">
        <v>23202</v>
      </c>
      <c r="B279" s="1" t="s">
        <v>56</v>
      </c>
      <c r="C279" s="1">
        <v>0.01</v>
      </c>
      <c r="D279" s="1">
        <v>179.29</v>
      </c>
      <c r="E279" s="1">
        <v>29.21</v>
      </c>
      <c r="F279" s="1">
        <v>522</v>
      </c>
      <c r="G279" s="6" t="str">
        <f>IF(COUNTIF(Table1[Customer ID],Table1[[#This Row],[Customer ID]])&gt;1,"Repeat Customer","One-Time Customer")</f>
        <v>Repeat Customer</v>
      </c>
      <c r="H279" s="1" t="s">
        <v>626</v>
      </c>
      <c r="I279" s="1" t="s">
        <v>39</v>
      </c>
      <c r="J279" s="1" t="s">
        <v>58</v>
      </c>
      <c r="K279" s="1" t="s">
        <v>41</v>
      </c>
      <c r="L279" s="1" t="s">
        <v>152</v>
      </c>
      <c r="M279" s="1" t="s">
        <v>121</v>
      </c>
      <c r="N279" s="1" t="s">
        <v>629</v>
      </c>
      <c r="O279" s="1">
        <v>0.74</v>
      </c>
      <c r="P279" s="6">
        <f>Table1[[#This Row],[Profit]]/Table1[[#This Row],[Sales]]</f>
        <v>0.8997439052995857</v>
      </c>
      <c r="Q279" s="1" t="s">
        <v>33</v>
      </c>
      <c r="R279" s="1" t="s">
        <v>34</v>
      </c>
      <c r="S279" s="1" t="s">
        <v>102</v>
      </c>
      <c r="T279" s="1" t="s">
        <v>116</v>
      </c>
      <c r="U279" s="1">
        <v>97756</v>
      </c>
      <c r="V279" s="9">
        <v>42177</v>
      </c>
      <c r="W279" s="13" t="str">
        <f>TEXT(Table1[[#This Row],[Order Date]],"mmmm")</f>
        <v>June</v>
      </c>
      <c r="X279" s="7" t="str">
        <f>TEXT(Table1[[#This Row],[Order Date]],"yyyy")</f>
        <v>2015</v>
      </c>
      <c r="Y279" s="9">
        <v>42178</v>
      </c>
      <c r="Z279" s="1">
        <v>2800.12</v>
      </c>
      <c r="AA279" s="1">
        <v>21</v>
      </c>
      <c r="AB279" s="1">
        <v>3112.13</v>
      </c>
      <c r="AC279" s="1">
        <v>89327</v>
      </c>
      <c r="AD279" s="6" t="str">
        <f>IF(COUNTIF(Returns!$A$2:$A$1635,Orders!AC279)&gt;0,"Returned","Not Returned")</f>
        <v>Not Returned</v>
      </c>
    </row>
    <row r="280" spans="1:30" ht="12.75" customHeight="1" thickTop="1" thickBot="1" x14ac:dyDescent="0.25">
      <c r="A280" s="10">
        <v>21517</v>
      </c>
      <c r="B280" s="11" t="s">
        <v>37</v>
      </c>
      <c r="C280" s="11">
        <v>0.03</v>
      </c>
      <c r="D280" s="11">
        <v>1270.99</v>
      </c>
      <c r="E280" s="11">
        <v>19.989999999999998</v>
      </c>
      <c r="F280" s="11">
        <v>524</v>
      </c>
      <c r="G280" s="6" t="str">
        <f>IF(COUNTIF(Table1[Customer ID],Table1[[#This Row],[Customer ID]])&gt;1,"Repeat Customer","One-Time Customer")</f>
        <v>Repeat Customer</v>
      </c>
      <c r="H280" s="11" t="s">
        <v>630</v>
      </c>
      <c r="I280" s="11" t="s">
        <v>49</v>
      </c>
      <c r="J280" s="11" t="s">
        <v>114</v>
      </c>
      <c r="K280" s="11" t="s">
        <v>29</v>
      </c>
      <c r="L280" s="11" t="s">
        <v>109</v>
      </c>
      <c r="M280" s="11" t="s">
        <v>59</v>
      </c>
      <c r="N280" s="11" t="s">
        <v>631</v>
      </c>
      <c r="O280" s="11">
        <v>0.35</v>
      </c>
      <c r="P280" s="6">
        <f>Table1[[#This Row],[Profit]]/Table1[[#This Row],[Sales]]</f>
        <v>0.14042124209639975</v>
      </c>
      <c r="Q280" s="11" t="s">
        <v>33</v>
      </c>
      <c r="R280" s="11" t="s">
        <v>136</v>
      </c>
      <c r="S280" s="11" t="s">
        <v>244</v>
      </c>
      <c r="T280" s="11" t="s">
        <v>632</v>
      </c>
      <c r="U280" s="11">
        <v>37922</v>
      </c>
      <c r="V280" s="12">
        <v>42024</v>
      </c>
      <c r="W280" s="13" t="str">
        <f>TEXT(Table1[[#This Row],[Order Date]],"mmmm")</f>
        <v>January</v>
      </c>
      <c r="X280" s="7" t="str">
        <f>TEXT(Table1[[#This Row],[Order Date]],"yyyy")</f>
        <v>2015</v>
      </c>
      <c r="Y280" s="12">
        <v>42026</v>
      </c>
      <c r="Z280" s="11">
        <v>363.55199999999996</v>
      </c>
      <c r="AA280" s="11">
        <v>2</v>
      </c>
      <c r="AB280" s="11">
        <v>2589.0100000000002</v>
      </c>
      <c r="AC280" s="11">
        <v>91127</v>
      </c>
      <c r="AD280" s="6" t="str">
        <f>IF(COUNTIF(Returns!$A$2:$A$1635,Orders!AC280)&gt;0,"Returned","Not Returned")</f>
        <v>Not Returned</v>
      </c>
    </row>
    <row r="281" spans="1:30" ht="12.75" customHeight="1" thickTop="1" thickBot="1" x14ac:dyDescent="0.25">
      <c r="A281" s="8">
        <v>21518</v>
      </c>
      <c r="B281" s="1" t="s">
        <v>37</v>
      </c>
      <c r="C281" s="1">
        <v>7.0000000000000007E-2</v>
      </c>
      <c r="D281" s="1">
        <v>2036.48</v>
      </c>
      <c r="E281" s="1">
        <v>14.7</v>
      </c>
      <c r="F281" s="1">
        <v>524</v>
      </c>
      <c r="G281" s="6" t="str">
        <f>IF(COUNTIF(Table1[Customer ID],Table1[[#This Row],[Customer ID]])&gt;1,"Repeat Customer","One-Time Customer")</f>
        <v>Repeat Customer</v>
      </c>
      <c r="H281" s="1" t="s">
        <v>630</v>
      </c>
      <c r="I281" s="1" t="s">
        <v>39</v>
      </c>
      <c r="J281" s="1" t="s">
        <v>114</v>
      </c>
      <c r="K281" s="1" t="s">
        <v>77</v>
      </c>
      <c r="L281" s="1" t="s">
        <v>85</v>
      </c>
      <c r="M281" s="1" t="s">
        <v>43</v>
      </c>
      <c r="N281" s="1" t="s">
        <v>633</v>
      </c>
      <c r="O281" s="1">
        <v>0.55000000000000004</v>
      </c>
      <c r="P281" s="6">
        <f>Table1[[#This Row],[Profit]]/Table1[[#This Row],[Sales]]</f>
        <v>-6.0910382115495296E-3</v>
      </c>
      <c r="Q281" s="1" t="s">
        <v>33</v>
      </c>
      <c r="R281" s="1" t="s">
        <v>136</v>
      </c>
      <c r="S281" s="1" t="s">
        <v>244</v>
      </c>
      <c r="T281" s="1" t="s">
        <v>632</v>
      </c>
      <c r="U281" s="1">
        <v>37922</v>
      </c>
      <c r="V281" s="9">
        <v>42024</v>
      </c>
      <c r="W281" s="13" t="str">
        <f>TEXT(Table1[[#This Row],[Order Date]],"mmmm")</f>
        <v>January</v>
      </c>
      <c r="X281" s="7" t="str">
        <f>TEXT(Table1[[#This Row],[Order Date]],"yyyy")</f>
        <v>2015</v>
      </c>
      <c r="Y281" s="9">
        <v>42026</v>
      </c>
      <c r="Z281" s="1">
        <v>-11.536000000000001</v>
      </c>
      <c r="AA281" s="1">
        <v>1</v>
      </c>
      <c r="AB281" s="1">
        <v>1893.93</v>
      </c>
      <c r="AC281" s="1">
        <v>91127</v>
      </c>
      <c r="AD281" s="6" t="str">
        <f>IF(COUNTIF(Returns!$A$2:$A$1635,Orders!AC281)&gt;0,"Returned","Not Returned")</f>
        <v>Not Returned</v>
      </c>
    </row>
    <row r="282" spans="1:30" ht="14.25" thickTop="1" thickBot="1" x14ac:dyDescent="0.25">
      <c r="A282" s="10">
        <v>22176</v>
      </c>
      <c r="B282" s="11" t="s">
        <v>25</v>
      </c>
      <c r="C282" s="11">
        <v>0.09</v>
      </c>
      <c r="D282" s="11">
        <v>17.98</v>
      </c>
      <c r="E282" s="11">
        <v>8.51</v>
      </c>
      <c r="F282" s="11">
        <v>526</v>
      </c>
      <c r="G282" s="6" t="str">
        <f>IF(COUNTIF(Table1[Customer ID],Table1[[#This Row],[Customer ID]])&gt;1,"Repeat Customer","One-Time Customer")</f>
        <v>Repeat Customer</v>
      </c>
      <c r="H282" s="11" t="s">
        <v>634</v>
      </c>
      <c r="I282" s="11" t="s">
        <v>49</v>
      </c>
      <c r="J282" s="11" t="s">
        <v>40</v>
      </c>
      <c r="K282" s="11" t="s">
        <v>77</v>
      </c>
      <c r="L282" s="11" t="s">
        <v>85</v>
      </c>
      <c r="M282" s="11" t="s">
        <v>86</v>
      </c>
      <c r="N282" s="11" t="s">
        <v>104</v>
      </c>
      <c r="O282" s="11">
        <v>0.4</v>
      </c>
      <c r="P282" s="6">
        <f>Table1[[#This Row],[Profit]]/Table1[[#This Row],[Sales]]</f>
        <v>-3.1317197934921666E-2</v>
      </c>
      <c r="Q282" s="11" t="s">
        <v>33</v>
      </c>
      <c r="R282" s="11" t="s">
        <v>34</v>
      </c>
      <c r="S282" s="11" t="s">
        <v>378</v>
      </c>
      <c r="T282" s="11" t="s">
        <v>635</v>
      </c>
      <c r="U282" s="11">
        <v>85204</v>
      </c>
      <c r="V282" s="12">
        <v>42149</v>
      </c>
      <c r="W282" s="13" t="str">
        <f>TEXT(Table1[[#This Row],[Order Date]],"mmmm")</f>
        <v>May</v>
      </c>
      <c r="X282" s="7" t="str">
        <f>TEXT(Table1[[#This Row],[Order Date]],"yyyy")</f>
        <v>2015</v>
      </c>
      <c r="Y282" s="12">
        <v>42151</v>
      </c>
      <c r="Z282" s="11">
        <v>-6.6120000000000108</v>
      </c>
      <c r="AA282" s="11">
        <v>12</v>
      </c>
      <c r="AB282" s="11">
        <v>211.13</v>
      </c>
      <c r="AC282" s="11">
        <v>90026</v>
      </c>
      <c r="AD282" s="6" t="str">
        <f>IF(COUNTIF(Returns!$A$2:$A$1635,Orders!AC282)&gt;0,"Returned","Not Returned")</f>
        <v>Not Returned</v>
      </c>
    </row>
    <row r="283" spans="1:30" ht="14.25" thickTop="1" thickBot="1" x14ac:dyDescent="0.25">
      <c r="A283" s="8">
        <v>20494</v>
      </c>
      <c r="B283" s="1" t="s">
        <v>37</v>
      </c>
      <c r="C283" s="1">
        <v>0</v>
      </c>
      <c r="D283" s="1">
        <v>1.88</v>
      </c>
      <c r="E283" s="1">
        <v>1.49</v>
      </c>
      <c r="F283" s="1">
        <v>526</v>
      </c>
      <c r="G283" s="6" t="str">
        <f>IF(COUNTIF(Table1[Customer ID],Table1[[#This Row],[Customer ID]])&gt;1,"Repeat Customer","One-Time Customer")</f>
        <v>Repeat Customer</v>
      </c>
      <c r="H283" s="1" t="s">
        <v>634</v>
      </c>
      <c r="I283" s="1" t="s">
        <v>49</v>
      </c>
      <c r="J283" s="1" t="s">
        <v>40</v>
      </c>
      <c r="K283" s="1" t="s">
        <v>29</v>
      </c>
      <c r="L283" s="1" t="s">
        <v>109</v>
      </c>
      <c r="M283" s="1" t="s">
        <v>59</v>
      </c>
      <c r="N283" s="1" t="s">
        <v>272</v>
      </c>
      <c r="O283" s="1">
        <v>0.37</v>
      </c>
      <c r="P283" s="6">
        <f>Table1[[#This Row],[Profit]]/Table1[[#This Row],[Sales]]</f>
        <v>-0.61282000787711699</v>
      </c>
      <c r="Q283" s="1" t="s">
        <v>33</v>
      </c>
      <c r="R283" s="1" t="s">
        <v>34</v>
      </c>
      <c r="S283" s="1" t="s">
        <v>378</v>
      </c>
      <c r="T283" s="1" t="s">
        <v>635</v>
      </c>
      <c r="U283" s="1">
        <v>85204</v>
      </c>
      <c r="V283" s="9">
        <v>42021</v>
      </c>
      <c r="W283" s="13" t="str">
        <f>TEXT(Table1[[#This Row],[Order Date]],"mmmm")</f>
        <v>January</v>
      </c>
      <c r="X283" s="7" t="str">
        <f>TEXT(Table1[[#This Row],[Order Date]],"yyyy")</f>
        <v>2015</v>
      </c>
      <c r="Y283" s="9">
        <v>42022</v>
      </c>
      <c r="Z283" s="1">
        <v>-15.5595</v>
      </c>
      <c r="AA283" s="1">
        <v>13</v>
      </c>
      <c r="AB283" s="1">
        <v>25.39</v>
      </c>
      <c r="AC283" s="1">
        <v>90027</v>
      </c>
      <c r="AD283" s="6" t="str">
        <f>IF(COUNTIF(Returns!$A$2:$A$1635,Orders!AC283)&gt;0,"Returned","Not Returned")</f>
        <v>Not Returned</v>
      </c>
    </row>
    <row r="284" spans="1:30" ht="14.25" thickTop="1" thickBot="1" x14ac:dyDescent="0.25">
      <c r="A284" s="10">
        <v>20495</v>
      </c>
      <c r="B284" s="11" t="s">
        <v>37</v>
      </c>
      <c r="C284" s="11">
        <v>0.06</v>
      </c>
      <c r="D284" s="11">
        <v>5.78</v>
      </c>
      <c r="E284" s="11">
        <v>5.67</v>
      </c>
      <c r="F284" s="11">
        <v>526</v>
      </c>
      <c r="G284" s="6" t="str">
        <f>IF(COUNTIF(Table1[Customer ID],Table1[[#This Row],[Customer ID]])&gt;1,"Repeat Customer","One-Time Customer")</f>
        <v>Repeat Customer</v>
      </c>
      <c r="H284" s="11" t="s">
        <v>634</v>
      </c>
      <c r="I284" s="11" t="s">
        <v>49</v>
      </c>
      <c r="J284" s="11" t="s">
        <v>40</v>
      </c>
      <c r="K284" s="11" t="s">
        <v>29</v>
      </c>
      <c r="L284" s="11" t="s">
        <v>93</v>
      </c>
      <c r="M284" s="11" t="s">
        <v>59</v>
      </c>
      <c r="N284" s="11" t="s">
        <v>636</v>
      </c>
      <c r="O284" s="11">
        <v>0.36</v>
      </c>
      <c r="P284" s="6">
        <f>Table1[[#This Row],[Profit]]/Table1[[#This Row],[Sales]]</f>
        <v>-1.2397158244528474</v>
      </c>
      <c r="Q284" s="11" t="s">
        <v>33</v>
      </c>
      <c r="R284" s="11" t="s">
        <v>34</v>
      </c>
      <c r="S284" s="11" t="s">
        <v>378</v>
      </c>
      <c r="T284" s="11" t="s">
        <v>635</v>
      </c>
      <c r="U284" s="11">
        <v>85204</v>
      </c>
      <c r="V284" s="12">
        <v>42021</v>
      </c>
      <c r="W284" s="13" t="str">
        <f>TEXT(Table1[[#This Row],[Order Date]],"mmmm")</f>
        <v>January</v>
      </c>
      <c r="X284" s="7" t="str">
        <f>TEXT(Table1[[#This Row],[Order Date]],"yyyy")</f>
        <v>2015</v>
      </c>
      <c r="Y284" s="12">
        <v>42022</v>
      </c>
      <c r="Z284" s="11">
        <v>-108.19</v>
      </c>
      <c r="AA284" s="11">
        <v>15</v>
      </c>
      <c r="AB284" s="11">
        <v>87.27</v>
      </c>
      <c r="AC284" s="11">
        <v>90027</v>
      </c>
      <c r="AD284" s="6" t="str">
        <f>IF(COUNTIF(Returns!$A$2:$A$1635,Orders!AC284)&gt;0,"Returned","Not Returned")</f>
        <v>Not Returned</v>
      </c>
    </row>
    <row r="285" spans="1:30" ht="12.75" customHeight="1" thickTop="1" thickBot="1" x14ac:dyDescent="0.25">
      <c r="A285" s="8">
        <v>26210</v>
      </c>
      <c r="B285" s="1" t="s">
        <v>106</v>
      </c>
      <c r="C285" s="1">
        <v>0</v>
      </c>
      <c r="D285" s="1">
        <v>15.99</v>
      </c>
      <c r="E285" s="1">
        <v>13.18</v>
      </c>
      <c r="F285" s="1">
        <v>535</v>
      </c>
      <c r="G285" s="6" t="str">
        <f>IF(COUNTIF(Table1[Customer ID],Table1[[#This Row],[Customer ID]])&gt;1,"Repeat Customer","One-Time Customer")</f>
        <v>One-Time Customer</v>
      </c>
      <c r="H285" s="1" t="s">
        <v>637</v>
      </c>
      <c r="I285" s="1" t="s">
        <v>49</v>
      </c>
      <c r="J285" s="1" t="s">
        <v>28</v>
      </c>
      <c r="K285" s="1" t="s">
        <v>29</v>
      </c>
      <c r="L285" s="1" t="s">
        <v>109</v>
      </c>
      <c r="M285" s="1" t="s">
        <v>59</v>
      </c>
      <c r="N285" s="1" t="s">
        <v>638</v>
      </c>
      <c r="O285" s="1">
        <v>0.37</v>
      </c>
      <c r="P285" s="6">
        <f>Table1[[#This Row],[Profit]]/Table1[[#This Row],[Sales]]</f>
        <v>0.11528332300061996</v>
      </c>
      <c r="Q285" s="1" t="s">
        <v>33</v>
      </c>
      <c r="R285" s="1" t="s">
        <v>136</v>
      </c>
      <c r="S285" s="1" t="s">
        <v>137</v>
      </c>
      <c r="T285" s="1" t="s">
        <v>639</v>
      </c>
      <c r="U285" s="1">
        <v>22025</v>
      </c>
      <c r="V285" s="9">
        <v>42115</v>
      </c>
      <c r="W285" s="13" t="str">
        <f>TEXT(Table1[[#This Row],[Order Date]],"mmmm")</f>
        <v>April</v>
      </c>
      <c r="X285" s="7" t="str">
        <f>TEXT(Table1[[#This Row],[Order Date]],"yyyy")</f>
        <v>2015</v>
      </c>
      <c r="Y285" s="9">
        <v>42119</v>
      </c>
      <c r="Z285" s="1">
        <v>46.488</v>
      </c>
      <c r="AA285" s="1">
        <v>23</v>
      </c>
      <c r="AB285" s="1">
        <v>403.25</v>
      </c>
      <c r="AC285" s="1">
        <v>88511</v>
      </c>
      <c r="AD285" s="6" t="str">
        <f>IF(COUNTIF(Returns!$A$2:$A$1635,Orders!AC285)&gt;0,"Returned","Not Returned")</f>
        <v>Not Returned</v>
      </c>
    </row>
    <row r="286" spans="1:30" ht="12.75" customHeight="1" thickTop="1" thickBot="1" x14ac:dyDescent="0.25">
      <c r="A286" s="10">
        <v>20811</v>
      </c>
      <c r="B286" s="11" t="s">
        <v>56</v>
      </c>
      <c r="C286" s="11">
        <v>0.05</v>
      </c>
      <c r="D286" s="11">
        <v>59.78</v>
      </c>
      <c r="E286" s="11">
        <v>10.29</v>
      </c>
      <c r="F286" s="11">
        <v>539</v>
      </c>
      <c r="G286" s="6" t="str">
        <f>IF(COUNTIF(Table1[Customer ID],Table1[[#This Row],[Customer ID]])&gt;1,"Repeat Customer","One-Time Customer")</f>
        <v>One-Time Customer</v>
      </c>
      <c r="H286" s="11" t="s">
        <v>640</v>
      </c>
      <c r="I286" s="11" t="s">
        <v>49</v>
      </c>
      <c r="J286" s="11" t="s">
        <v>58</v>
      </c>
      <c r="K286" s="11" t="s">
        <v>29</v>
      </c>
      <c r="L286" s="11" t="s">
        <v>109</v>
      </c>
      <c r="M286" s="11" t="s">
        <v>59</v>
      </c>
      <c r="N286" s="11" t="s">
        <v>641</v>
      </c>
      <c r="O286" s="11">
        <v>0.39</v>
      </c>
      <c r="P286" s="6">
        <f>Table1[[#This Row],[Profit]]/Table1[[#This Row],[Sales]]</f>
        <v>0.38488190306159387</v>
      </c>
      <c r="Q286" s="11" t="s">
        <v>33</v>
      </c>
      <c r="R286" s="11" t="s">
        <v>61</v>
      </c>
      <c r="S286" s="11" t="s">
        <v>178</v>
      </c>
      <c r="T286" s="11" t="s">
        <v>540</v>
      </c>
      <c r="U286" s="11">
        <v>61801</v>
      </c>
      <c r="V286" s="12">
        <v>42138</v>
      </c>
      <c r="W286" s="13" t="str">
        <f>TEXT(Table1[[#This Row],[Order Date]],"mmmm")</f>
        <v>May</v>
      </c>
      <c r="X286" s="7" t="str">
        <f>TEXT(Table1[[#This Row],[Order Date]],"yyyy")</f>
        <v>2015</v>
      </c>
      <c r="Y286" s="12">
        <v>42139</v>
      </c>
      <c r="Z286" s="11">
        <v>159.52970000000005</v>
      </c>
      <c r="AA286" s="11">
        <v>7</v>
      </c>
      <c r="AB286" s="11">
        <v>414.49</v>
      </c>
      <c r="AC286" s="11">
        <v>91174</v>
      </c>
      <c r="AD286" s="6" t="str">
        <f>IF(COUNTIF(Returns!$A$2:$A$1635,Orders!AC286)&gt;0,"Returned","Not Returned")</f>
        <v>Not Returned</v>
      </c>
    </row>
    <row r="287" spans="1:30" ht="12.75" customHeight="1" thickTop="1" thickBot="1" x14ac:dyDescent="0.25">
      <c r="A287" s="8">
        <v>20812</v>
      </c>
      <c r="B287" s="1" t="s">
        <v>56</v>
      </c>
      <c r="C287" s="1">
        <v>0.08</v>
      </c>
      <c r="D287" s="1">
        <v>20.99</v>
      </c>
      <c r="E287" s="1">
        <v>1.25</v>
      </c>
      <c r="F287" s="1">
        <v>540</v>
      </c>
      <c r="G287" s="6" t="str">
        <f>IF(COUNTIF(Table1[Customer ID],Table1[[#This Row],[Customer ID]])&gt;1,"Repeat Customer","One-Time Customer")</f>
        <v>Repeat Customer</v>
      </c>
      <c r="H287" s="1" t="s">
        <v>642</v>
      </c>
      <c r="I287" s="1" t="s">
        <v>49</v>
      </c>
      <c r="J287" s="1" t="s">
        <v>58</v>
      </c>
      <c r="K287" s="1" t="s">
        <v>77</v>
      </c>
      <c r="L287" s="1" t="s">
        <v>78</v>
      </c>
      <c r="M287" s="1" t="s">
        <v>51</v>
      </c>
      <c r="N287" s="1" t="s">
        <v>643</v>
      </c>
      <c r="O287" s="1">
        <v>0.83</v>
      </c>
      <c r="P287" s="6">
        <f>Table1[[#This Row],[Profit]]/Table1[[#This Row],[Sales]]</f>
        <v>3.2726692073495302E-2</v>
      </c>
      <c r="Q287" s="1" t="s">
        <v>33</v>
      </c>
      <c r="R287" s="1" t="s">
        <v>61</v>
      </c>
      <c r="S287" s="1" t="s">
        <v>178</v>
      </c>
      <c r="T287" s="1" t="s">
        <v>644</v>
      </c>
      <c r="U287" s="1">
        <v>60061</v>
      </c>
      <c r="V287" s="9">
        <v>42138</v>
      </c>
      <c r="W287" s="13" t="str">
        <f>TEXT(Table1[[#This Row],[Order Date]],"mmmm")</f>
        <v>May</v>
      </c>
      <c r="X287" s="7" t="str">
        <f>TEXT(Table1[[#This Row],[Order Date]],"yyyy")</f>
        <v>2015</v>
      </c>
      <c r="Y287" s="9">
        <v>42140</v>
      </c>
      <c r="Z287" s="1">
        <v>15.371400000000008</v>
      </c>
      <c r="AA287" s="1">
        <v>28</v>
      </c>
      <c r="AB287" s="1">
        <v>469.69</v>
      </c>
      <c r="AC287" s="1">
        <v>91174</v>
      </c>
      <c r="AD287" s="6" t="str">
        <f>IF(COUNTIF(Returns!$A$2:$A$1635,Orders!AC287)&gt;0,"Returned","Not Returned")</f>
        <v>Not Returned</v>
      </c>
    </row>
    <row r="288" spans="1:30" ht="12.75" customHeight="1" thickTop="1" thickBot="1" x14ac:dyDescent="0.25">
      <c r="A288" s="10">
        <v>24783</v>
      </c>
      <c r="B288" s="11" t="s">
        <v>56</v>
      </c>
      <c r="C288" s="11">
        <v>0.05</v>
      </c>
      <c r="D288" s="11">
        <v>204.1</v>
      </c>
      <c r="E288" s="11">
        <v>13.99</v>
      </c>
      <c r="F288" s="11">
        <v>540</v>
      </c>
      <c r="G288" s="6" t="str">
        <f>IF(COUNTIF(Table1[Customer ID],Table1[[#This Row],[Customer ID]])&gt;1,"Repeat Customer","One-Time Customer")</f>
        <v>Repeat Customer</v>
      </c>
      <c r="H288" s="11" t="s">
        <v>642</v>
      </c>
      <c r="I288" s="11" t="s">
        <v>49</v>
      </c>
      <c r="J288" s="11" t="s">
        <v>58</v>
      </c>
      <c r="K288" s="11" t="s">
        <v>77</v>
      </c>
      <c r="L288" s="11" t="s">
        <v>85</v>
      </c>
      <c r="M288" s="11" t="s">
        <v>86</v>
      </c>
      <c r="N288" s="11" t="s">
        <v>645</v>
      </c>
      <c r="O288" s="11">
        <v>0.37</v>
      </c>
      <c r="P288" s="6">
        <f>Table1[[#This Row],[Profit]]/Table1[[#This Row],[Sales]]</f>
        <v>0.69</v>
      </c>
      <c r="Q288" s="11" t="s">
        <v>33</v>
      </c>
      <c r="R288" s="11" t="s">
        <v>61</v>
      </c>
      <c r="S288" s="11" t="s">
        <v>178</v>
      </c>
      <c r="T288" s="11" t="s">
        <v>644</v>
      </c>
      <c r="U288" s="11">
        <v>60061</v>
      </c>
      <c r="V288" s="12">
        <v>42147</v>
      </c>
      <c r="W288" s="13" t="str">
        <f>TEXT(Table1[[#This Row],[Order Date]],"mmmm")</f>
        <v>May</v>
      </c>
      <c r="X288" s="7" t="str">
        <f>TEXT(Table1[[#This Row],[Order Date]],"yyyy")</f>
        <v>2015</v>
      </c>
      <c r="Y288" s="12">
        <v>42149</v>
      </c>
      <c r="Z288" s="11">
        <v>5924.1122999999998</v>
      </c>
      <c r="AA288" s="11">
        <v>41</v>
      </c>
      <c r="AB288" s="11">
        <v>8585.67</v>
      </c>
      <c r="AC288" s="11">
        <v>91175</v>
      </c>
      <c r="AD288" s="6" t="str">
        <f>IF(COUNTIF(Returns!$A$2:$A$1635,Orders!AC288)&gt;0,"Returned","Not Returned")</f>
        <v>Not Returned</v>
      </c>
    </row>
    <row r="289" spans="1:30" ht="12.75" customHeight="1" thickTop="1" thickBot="1" x14ac:dyDescent="0.25">
      <c r="A289" s="8">
        <v>23401</v>
      </c>
      <c r="B289" s="1" t="s">
        <v>37</v>
      </c>
      <c r="C289" s="1">
        <v>0.03</v>
      </c>
      <c r="D289" s="1">
        <v>13.73</v>
      </c>
      <c r="E289" s="1">
        <v>6.85</v>
      </c>
      <c r="F289" s="1">
        <v>547</v>
      </c>
      <c r="G289" s="6" t="str">
        <f>IF(COUNTIF(Table1[Customer ID],Table1[[#This Row],[Customer ID]])&gt;1,"Repeat Customer","One-Time Customer")</f>
        <v>One-Time Customer</v>
      </c>
      <c r="H289" s="1" t="s">
        <v>646</v>
      </c>
      <c r="I289" s="1" t="s">
        <v>27</v>
      </c>
      <c r="J289" s="1" t="s">
        <v>28</v>
      </c>
      <c r="K289" s="1" t="s">
        <v>41</v>
      </c>
      <c r="L289" s="1" t="s">
        <v>50</v>
      </c>
      <c r="M289" s="1" t="s">
        <v>31</v>
      </c>
      <c r="N289" s="1" t="s">
        <v>647</v>
      </c>
      <c r="O289" s="1">
        <v>0.54</v>
      </c>
      <c r="P289" s="6">
        <f>Table1[[#This Row],[Profit]]/Table1[[#This Row],[Sales]]</f>
        <v>0.69</v>
      </c>
      <c r="Q289" s="1" t="s">
        <v>33</v>
      </c>
      <c r="R289" s="1" t="s">
        <v>53</v>
      </c>
      <c r="S289" s="1" t="s">
        <v>648</v>
      </c>
      <c r="T289" s="1" t="s">
        <v>649</v>
      </c>
      <c r="U289" s="1">
        <v>26501</v>
      </c>
      <c r="V289" s="9">
        <v>42169</v>
      </c>
      <c r="W289" s="13" t="str">
        <f>TEXT(Table1[[#This Row],[Order Date]],"mmmm")</f>
        <v>June</v>
      </c>
      <c r="X289" s="7" t="str">
        <f>TEXT(Table1[[#This Row],[Order Date]],"yyyy")</f>
        <v>2015</v>
      </c>
      <c r="Y289" s="9">
        <v>42170</v>
      </c>
      <c r="Z289" s="1">
        <v>39.585299999999997</v>
      </c>
      <c r="AA289" s="1">
        <v>4</v>
      </c>
      <c r="AB289" s="1">
        <v>57.37</v>
      </c>
      <c r="AC289" s="1">
        <v>86250</v>
      </c>
      <c r="AD289" s="6" t="str">
        <f>IF(COUNTIF(Returns!$A$2:$A$1635,Orders!AC289)&gt;0,"Returned","Not Returned")</f>
        <v>Not Returned</v>
      </c>
    </row>
    <row r="290" spans="1:30" ht="12.75" customHeight="1" thickTop="1" thickBot="1" x14ac:dyDescent="0.25">
      <c r="A290" s="10">
        <v>25806</v>
      </c>
      <c r="B290" s="11" t="s">
        <v>37</v>
      </c>
      <c r="C290" s="11">
        <v>0.02</v>
      </c>
      <c r="D290" s="11">
        <v>7.1</v>
      </c>
      <c r="E290" s="11">
        <v>6.05</v>
      </c>
      <c r="F290" s="11">
        <v>549</v>
      </c>
      <c r="G290" s="6" t="str">
        <f>IF(COUNTIF(Table1[Customer ID],Table1[[#This Row],[Customer ID]])&gt;1,"Repeat Customer","One-Time Customer")</f>
        <v>One-Time Customer</v>
      </c>
      <c r="H290" s="11" t="s">
        <v>650</v>
      </c>
      <c r="I290" s="11" t="s">
        <v>49</v>
      </c>
      <c r="J290" s="11" t="s">
        <v>28</v>
      </c>
      <c r="K290" s="11" t="s">
        <v>29</v>
      </c>
      <c r="L290" s="11" t="s">
        <v>109</v>
      </c>
      <c r="M290" s="11" t="s">
        <v>59</v>
      </c>
      <c r="N290" s="11" t="s">
        <v>651</v>
      </c>
      <c r="O290" s="11">
        <v>0.39</v>
      </c>
      <c r="P290" s="6">
        <f>Table1[[#This Row],[Profit]]/Table1[[#This Row],[Sales]]</f>
        <v>-1.0008745476477685</v>
      </c>
      <c r="Q290" s="11" t="s">
        <v>33</v>
      </c>
      <c r="R290" s="11" t="s">
        <v>34</v>
      </c>
      <c r="S290" s="11" t="s">
        <v>366</v>
      </c>
      <c r="T290" s="11" t="s">
        <v>652</v>
      </c>
      <c r="U290" s="11">
        <v>88201</v>
      </c>
      <c r="V290" s="12">
        <v>42024</v>
      </c>
      <c r="W290" s="13" t="str">
        <f>TEXT(Table1[[#This Row],[Order Date]],"mmmm")</f>
        <v>January</v>
      </c>
      <c r="X290" s="7" t="str">
        <f>TEXT(Table1[[#This Row],[Order Date]],"yyyy")</f>
        <v>2015</v>
      </c>
      <c r="Y290" s="12">
        <v>42024</v>
      </c>
      <c r="Z290" s="11">
        <v>-66.378</v>
      </c>
      <c r="AA290" s="11">
        <v>9</v>
      </c>
      <c r="AB290" s="11">
        <v>66.319999999999993</v>
      </c>
      <c r="AC290" s="11">
        <v>90908</v>
      </c>
      <c r="AD290" s="6" t="str">
        <f>IF(COUNTIF(Returns!$A$2:$A$1635,Orders!AC290)&gt;0,"Returned","Not Returned")</f>
        <v>Not Returned</v>
      </c>
    </row>
    <row r="291" spans="1:30" ht="12.75" customHeight="1" thickTop="1" thickBot="1" x14ac:dyDescent="0.25">
      <c r="A291" s="8">
        <v>24132</v>
      </c>
      <c r="B291" s="1" t="s">
        <v>25</v>
      </c>
      <c r="C291" s="1">
        <v>0.05</v>
      </c>
      <c r="D291" s="1">
        <v>1.68</v>
      </c>
      <c r="E291" s="1">
        <v>1.57</v>
      </c>
      <c r="F291" s="1">
        <v>550</v>
      </c>
      <c r="G291" s="6" t="str">
        <f>IF(COUNTIF(Table1[Customer ID],Table1[[#This Row],[Customer ID]])&gt;1,"Repeat Customer","One-Time Customer")</f>
        <v>Repeat Customer</v>
      </c>
      <c r="H291" s="1" t="s">
        <v>653</v>
      </c>
      <c r="I291" s="1" t="s">
        <v>49</v>
      </c>
      <c r="J291" s="1" t="s">
        <v>28</v>
      </c>
      <c r="K291" s="1" t="s">
        <v>29</v>
      </c>
      <c r="L291" s="1" t="s">
        <v>30</v>
      </c>
      <c r="M291" s="1" t="s">
        <v>31</v>
      </c>
      <c r="N291" s="1" t="s">
        <v>96</v>
      </c>
      <c r="O291" s="1">
        <v>0.59</v>
      </c>
      <c r="P291" s="6">
        <f>Table1[[#This Row],[Profit]]/Table1[[#This Row],[Sales]]</f>
        <v>-1.7781333333333336</v>
      </c>
      <c r="Q291" s="1" t="s">
        <v>33</v>
      </c>
      <c r="R291" s="1" t="s">
        <v>61</v>
      </c>
      <c r="S291" s="1" t="s">
        <v>130</v>
      </c>
      <c r="T291" s="1" t="s">
        <v>654</v>
      </c>
      <c r="U291" s="1">
        <v>78155</v>
      </c>
      <c r="V291" s="9">
        <v>42034</v>
      </c>
      <c r="W291" s="13" t="str">
        <f>TEXT(Table1[[#This Row],[Order Date]],"mmmm")</f>
        <v>January</v>
      </c>
      <c r="X291" s="7" t="str">
        <f>TEXT(Table1[[#This Row],[Order Date]],"yyyy")</f>
        <v>2015</v>
      </c>
      <c r="Y291" s="9">
        <v>42035</v>
      </c>
      <c r="Z291" s="1">
        <v>-33.340000000000003</v>
      </c>
      <c r="AA291" s="1">
        <v>11</v>
      </c>
      <c r="AB291" s="1">
        <v>18.75</v>
      </c>
      <c r="AC291" s="1">
        <v>90909</v>
      </c>
      <c r="AD291" s="6" t="str">
        <f>IF(COUNTIF(Returns!$A$2:$A$1635,Orders!AC291)&gt;0,"Returned","Not Returned")</f>
        <v>Not Returned</v>
      </c>
    </row>
    <row r="292" spans="1:30" ht="12.75" customHeight="1" thickTop="1" thickBot="1" x14ac:dyDescent="0.25">
      <c r="A292" s="10">
        <v>24133</v>
      </c>
      <c r="B292" s="11" t="s">
        <v>25</v>
      </c>
      <c r="C292" s="11">
        <v>0.1</v>
      </c>
      <c r="D292" s="11">
        <v>218.75</v>
      </c>
      <c r="E292" s="11">
        <v>69.64</v>
      </c>
      <c r="F292" s="11">
        <v>550</v>
      </c>
      <c r="G292" s="6" t="str">
        <f>IF(COUNTIF(Table1[Customer ID],Table1[[#This Row],[Customer ID]])&gt;1,"Repeat Customer","One-Time Customer")</f>
        <v>Repeat Customer</v>
      </c>
      <c r="H292" s="11" t="s">
        <v>653</v>
      </c>
      <c r="I292" s="11" t="s">
        <v>39</v>
      </c>
      <c r="J292" s="11" t="s">
        <v>28</v>
      </c>
      <c r="K292" s="11" t="s">
        <v>41</v>
      </c>
      <c r="L292" s="11" t="s">
        <v>152</v>
      </c>
      <c r="M292" s="11" t="s">
        <v>121</v>
      </c>
      <c r="N292" s="11" t="s">
        <v>655</v>
      </c>
      <c r="O292" s="11">
        <v>0.77</v>
      </c>
      <c r="P292" s="6">
        <f>Table1[[#This Row],[Profit]]/Table1[[#This Row],[Sales]]</f>
        <v>-1.0677205453291603</v>
      </c>
      <c r="Q292" s="11" t="s">
        <v>33</v>
      </c>
      <c r="R292" s="11" t="s">
        <v>61</v>
      </c>
      <c r="S292" s="11" t="s">
        <v>130</v>
      </c>
      <c r="T292" s="11" t="s">
        <v>654</v>
      </c>
      <c r="U292" s="11">
        <v>78155</v>
      </c>
      <c r="V292" s="12">
        <v>42034</v>
      </c>
      <c r="W292" s="13" t="str">
        <f>TEXT(Table1[[#This Row],[Order Date]],"mmmm")</f>
        <v>January</v>
      </c>
      <c r="X292" s="7" t="str">
        <f>TEXT(Table1[[#This Row],[Order Date]],"yyyy")</f>
        <v>2015</v>
      </c>
      <c r="Y292" s="12">
        <v>42036</v>
      </c>
      <c r="Z292" s="11">
        <v>-201.27599999999998</v>
      </c>
      <c r="AA292" s="11">
        <v>1</v>
      </c>
      <c r="AB292" s="11">
        <v>188.51</v>
      </c>
      <c r="AC292" s="11">
        <v>90909</v>
      </c>
      <c r="AD292" s="6" t="str">
        <f>IF(COUNTIF(Returns!$A$2:$A$1635,Orders!AC292)&gt;0,"Returned","Not Returned")</f>
        <v>Not Returned</v>
      </c>
    </row>
    <row r="293" spans="1:30" ht="12.75" customHeight="1" thickTop="1" thickBot="1" x14ac:dyDescent="0.25">
      <c r="A293" s="8">
        <v>23209</v>
      </c>
      <c r="B293" s="1" t="s">
        <v>56</v>
      </c>
      <c r="C293" s="1">
        <v>0.06</v>
      </c>
      <c r="D293" s="1">
        <v>549.99</v>
      </c>
      <c r="E293" s="1">
        <v>49</v>
      </c>
      <c r="F293" s="1">
        <v>550</v>
      </c>
      <c r="G293" s="6" t="str">
        <f>IF(COUNTIF(Table1[Customer ID],Table1[[#This Row],[Customer ID]])&gt;1,"Repeat Customer","One-Time Customer")</f>
        <v>Repeat Customer</v>
      </c>
      <c r="H293" s="1" t="s">
        <v>653</v>
      </c>
      <c r="I293" s="1" t="s">
        <v>39</v>
      </c>
      <c r="J293" s="1" t="s">
        <v>28</v>
      </c>
      <c r="K293" s="1" t="s">
        <v>77</v>
      </c>
      <c r="L293" s="1" t="s">
        <v>587</v>
      </c>
      <c r="M293" s="1" t="s">
        <v>43</v>
      </c>
      <c r="N293" s="1" t="s">
        <v>656</v>
      </c>
      <c r="O293" s="1">
        <v>0.35</v>
      </c>
      <c r="P293" s="6">
        <f>Table1[[#This Row],[Profit]]/Table1[[#This Row],[Sales]]</f>
        <v>0.69</v>
      </c>
      <c r="Q293" s="1" t="s">
        <v>33</v>
      </c>
      <c r="R293" s="1" t="s">
        <v>61</v>
      </c>
      <c r="S293" s="1" t="s">
        <v>130</v>
      </c>
      <c r="T293" s="1" t="s">
        <v>654</v>
      </c>
      <c r="U293" s="1">
        <v>78155</v>
      </c>
      <c r="V293" s="9">
        <v>42167</v>
      </c>
      <c r="W293" s="13" t="str">
        <f>TEXT(Table1[[#This Row],[Order Date]],"mmmm")</f>
        <v>June</v>
      </c>
      <c r="X293" s="7" t="str">
        <f>TEXT(Table1[[#This Row],[Order Date]],"yyyy")</f>
        <v>2015</v>
      </c>
      <c r="Y293" s="9">
        <v>42168</v>
      </c>
      <c r="Z293" s="1">
        <v>4637.4071999999996</v>
      </c>
      <c r="AA293" s="1">
        <v>13</v>
      </c>
      <c r="AB293" s="1">
        <v>6720.88</v>
      </c>
      <c r="AC293" s="1">
        <v>90910</v>
      </c>
      <c r="AD293" s="6" t="str">
        <f>IF(COUNTIF(Returns!$A$2:$A$1635,Orders!AC293)&gt;0,"Returned","Not Returned")</f>
        <v>Not Returned</v>
      </c>
    </row>
    <row r="294" spans="1:30" ht="12.75" customHeight="1" thickTop="1" thickBot="1" x14ac:dyDescent="0.25">
      <c r="A294" s="10">
        <v>23210</v>
      </c>
      <c r="B294" s="11" t="s">
        <v>56</v>
      </c>
      <c r="C294" s="11">
        <v>0.08</v>
      </c>
      <c r="D294" s="11">
        <v>115.99</v>
      </c>
      <c r="E294" s="11">
        <v>5.99</v>
      </c>
      <c r="F294" s="11">
        <v>550</v>
      </c>
      <c r="G294" s="6" t="str">
        <f>IF(COUNTIF(Table1[Customer ID],Table1[[#This Row],[Customer ID]])&gt;1,"Repeat Customer","One-Time Customer")</f>
        <v>Repeat Customer</v>
      </c>
      <c r="H294" s="11" t="s">
        <v>653</v>
      </c>
      <c r="I294" s="11" t="s">
        <v>27</v>
      </c>
      <c r="J294" s="11" t="s">
        <v>28</v>
      </c>
      <c r="K294" s="11" t="s">
        <v>77</v>
      </c>
      <c r="L294" s="11" t="s">
        <v>78</v>
      </c>
      <c r="M294" s="11" t="s">
        <v>59</v>
      </c>
      <c r="N294" s="11" t="s">
        <v>657</v>
      </c>
      <c r="O294" s="11">
        <v>0.56999999999999995</v>
      </c>
      <c r="P294" s="6">
        <f>Table1[[#This Row],[Profit]]/Table1[[#This Row],[Sales]]</f>
        <v>-2.3436209764210938</v>
      </c>
      <c r="Q294" s="11" t="s">
        <v>33</v>
      </c>
      <c r="R294" s="11" t="s">
        <v>61</v>
      </c>
      <c r="S294" s="11" t="s">
        <v>130</v>
      </c>
      <c r="T294" s="11" t="s">
        <v>654</v>
      </c>
      <c r="U294" s="11">
        <v>78155</v>
      </c>
      <c r="V294" s="12">
        <v>42167</v>
      </c>
      <c r="W294" s="13" t="str">
        <f>TEXT(Table1[[#This Row],[Order Date]],"mmmm")</f>
        <v>June</v>
      </c>
      <c r="X294" s="7" t="str">
        <f>TEXT(Table1[[#This Row],[Order Date]],"yyyy")</f>
        <v>2015</v>
      </c>
      <c r="Y294" s="12">
        <v>42168</v>
      </c>
      <c r="Z294" s="11">
        <v>-239.54149999999998</v>
      </c>
      <c r="AA294" s="11">
        <v>1</v>
      </c>
      <c r="AB294" s="11">
        <v>102.21</v>
      </c>
      <c r="AC294" s="11">
        <v>90910</v>
      </c>
      <c r="AD294" s="6" t="str">
        <f>IF(COUNTIF(Returns!$A$2:$A$1635,Orders!AC294)&gt;0,"Returned","Not Returned")</f>
        <v>Not Returned</v>
      </c>
    </row>
    <row r="295" spans="1:30" ht="12.75" customHeight="1" thickTop="1" thickBot="1" x14ac:dyDescent="0.25">
      <c r="A295" s="8">
        <v>24134</v>
      </c>
      <c r="B295" s="1" t="s">
        <v>25</v>
      </c>
      <c r="C295" s="1">
        <v>0</v>
      </c>
      <c r="D295" s="1">
        <v>15.04</v>
      </c>
      <c r="E295" s="1">
        <v>1.97</v>
      </c>
      <c r="F295" s="1">
        <v>551</v>
      </c>
      <c r="G295" s="6" t="str">
        <f>IF(COUNTIF(Table1[Customer ID],Table1[[#This Row],[Customer ID]])&gt;1,"Repeat Customer","One-Time Customer")</f>
        <v>One-Time Customer</v>
      </c>
      <c r="H295" s="1" t="s">
        <v>658</v>
      </c>
      <c r="I295" s="1" t="s">
        <v>49</v>
      </c>
      <c r="J295" s="1" t="s">
        <v>28</v>
      </c>
      <c r="K295" s="1" t="s">
        <v>29</v>
      </c>
      <c r="L295" s="1" t="s">
        <v>93</v>
      </c>
      <c r="M295" s="1" t="s">
        <v>31</v>
      </c>
      <c r="N295" s="1" t="s">
        <v>659</v>
      </c>
      <c r="O295" s="1">
        <v>0.39</v>
      </c>
      <c r="P295" s="6">
        <f>Table1[[#This Row],[Profit]]/Table1[[#This Row],[Sales]]</f>
        <v>0.69</v>
      </c>
      <c r="Q295" s="1" t="s">
        <v>33</v>
      </c>
      <c r="R295" s="1" t="s">
        <v>61</v>
      </c>
      <c r="S295" s="1" t="s">
        <v>130</v>
      </c>
      <c r="T295" s="1" t="s">
        <v>660</v>
      </c>
      <c r="U295" s="1">
        <v>75090</v>
      </c>
      <c r="V295" s="9">
        <v>42034</v>
      </c>
      <c r="W295" s="13" t="str">
        <f>TEXT(Table1[[#This Row],[Order Date]],"mmmm")</f>
        <v>January</v>
      </c>
      <c r="X295" s="7" t="str">
        <f>TEXT(Table1[[#This Row],[Order Date]],"yyyy")</f>
        <v>2015</v>
      </c>
      <c r="Y295" s="9">
        <v>42036</v>
      </c>
      <c r="Z295" s="1">
        <v>21.514199999999999</v>
      </c>
      <c r="AA295" s="1">
        <v>2</v>
      </c>
      <c r="AB295" s="1">
        <v>31.18</v>
      </c>
      <c r="AC295" s="1">
        <v>90909</v>
      </c>
      <c r="AD295" s="6" t="str">
        <f>IF(COUNTIF(Returns!$A$2:$A$1635,Orders!AC295)&gt;0,"Returned","Not Returned")</f>
        <v>Not Returned</v>
      </c>
    </row>
    <row r="296" spans="1:30" ht="12.75" customHeight="1" thickTop="1" thickBot="1" x14ac:dyDescent="0.25">
      <c r="A296" s="10">
        <v>2368</v>
      </c>
      <c r="B296" s="11" t="s">
        <v>56</v>
      </c>
      <c r="C296" s="11">
        <v>0</v>
      </c>
      <c r="D296" s="11">
        <v>6.88</v>
      </c>
      <c r="E296" s="11">
        <v>2</v>
      </c>
      <c r="F296" s="11">
        <v>553</v>
      </c>
      <c r="G296" s="6" t="str">
        <f>IF(COUNTIF(Table1[Customer ID],Table1[[#This Row],[Customer ID]])&gt;1,"Repeat Customer","One-Time Customer")</f>
        <v>Repeat Customer</v>
      </c>
      <c r="H296" s="11" t="s">
        <v>661</v>
      </c>
      <c r="I296" s="11" t="s">
        <v>27</v>
      </c>
      <c r="J296" s="11" t="s">
        <v>40</v>
      </c>
      <c r="K296" s="11" t="s">
        <v>29</v>
      </c>
      <c r="L296" s="11" t="s">
        <v>93</v>
      </c>
      <c r="M296" s="11" t="s">
        <v>31</v>
      </c>
      <c r="N296" s="11" t="s">
        <v>662</v>
      </c>
      <c r="O296" s="11">
        <v>0.39</v>
      </c>
      <c r="P296" s="6">
        <f>Table1[[#This Row],[Profit]]/Table1[[#This Row],[Sales]]</f>
        <v>0.12734272791836432</v>
      </c>
      <c r="Q296" s="11" t="s">
        <v>33</v>
      </c>
      <c r="R296" s="11" t="s">
        <v>34</v>
      </c>
      <c r="S296" s="11" t="s">
        <v>45</v>
      </c>
      <c r="T296" s="11" t="s">
        <v>663</v>
      </c>
      <c r="U296" s="11">
        <v>90008</v>
      </c>
      <c r="V296" s="12">
        <v>42032</v>
      </c>
      <c r="W296" s="13" t="str">
        <f>TEXT(Table1[[#This Row],[Order Date]],"mmmm")</f>
        <v>January</v>
      </c>
      <c r="X296" s="7" t="str">
        <f>TEXT(Table1[[#This Row],[Order Date]],"yyyy")</f>
        <v>2015</v>
      </c>
      <c r="Y296" s="12">
        <v>42033</v>
      </c>
      <c r="Z296" s="11">
        <v>34.068000000000005</v>
      </c>
      <c r="AA296" s="11">
        <v>36</v>
      </c>
      <c r="AB296" s="11">
        <v>267.52999999999997</v>
      </c>
      <c r="AC296" s="11">
        <v>17155</v>
      </c>
      <c r="AD296" s="6" t="str">
        <f>IF(COUNTIF(Returns!$A$2:$A$1635,Orders!AC296)&gt;0,"Returned","Not Returned")</f>
        <v>Returned</v>
      </c>
    </row>
    <row r="297" spans="1:30" ht="12.75" customHeight="1" thickTop="1" thickBot="1" x14ac:dyDescent="0.25">
      <c r="A297" s="8">
        <v>349</v>
      </c>
      <c r="B297" s="1" t="s">
        <v>37</v>
      </c>
      <c r="C297" s="1">
        <v>7.0000000000000007E-2</v>
      </c>
      <c r="D297" s="1">
        <v>2036.48</v>
      </c>
      <c r="E297" s="1">
        <v>14.7</v>
      </c>
      <c r="F297" s="1">
        <v>553</v>
      </c>
      <c r="G297" s="6" t="str">
        <f>IF(COUNTIF(Table1[Customer ID],Table1[[#This Row],[Customer ID]])&gt;1,"Repeat Customer","One-Time Customer")</f>
        <v>Repeat Customer</v>
      </c>
      <c r="H297" s="1" t="s">
        <v>661</v>
      </c>
      <c r="I297" s="1" t="s">
        <v>39</v>
      </c>
      <c r="J297" s="1" t="s">
        <v>28</v>
      </c>
      <c r="K297" s="1" t="s">
        <v>77</v>
      </c>
      <c r="L297" s="1" t="s">
        <v>85</v>
      </c>
      <c r="M297" s="1" t="s">
        <v>43</v>
      </c>
      <c r="N297" s="1" t="s">
        <v>633</v>
      </c>
      <c r="O297" s="1">
        <v>0.55000000000000004</v>
      </c>
      <c r="P297" s="6">
        <f>Table1[[#This Row],[Profit]]/Table1[[#This Row],[Sales]]</f>
        <v>9.4625077242590519E-2</v>
      </c>
      <c r="Q297" s="1" t="s">
        <v>33</v>
      </c>
      <c r="R297" s="1" t="s">
        <v>34</v>
      </c>
      <c r="S297" s="1" t="s">
        <v>45</v>
      </c>
      <c r="T297" s="1" t="s">
        <v>663</v>
      </c>
      <c r="U297" s="1">
        <v>90008</v>
      </c>
      <c r="V297" s="9">
        <v>42056</v>
      </c>
      <c r="W297" s="13" t="str">
        <f>TEXT(Table1[[#This Row],[Order Date]],"mmmm")</f>
        <v>February</v>
      </c>
      <c r="X297" s="7" t="str">
        <f>TEXT(Table1[[#This Row],[Order Date]],"yyyy")</f>
        <v>2015</v>
      </c>
      <c r="Y297" s="9">
        <v>42056</v>
      </c>
      <c r="Z297" s="1">
        <v>4073.25</v>
      </c>
      <c r="AA297" s="1">
        <v>25</v>
      </c>
      <c r="AB297" s="1">
        <v>43046.2</v>
      </c>
      <c r="AC297" s="1">
        <v>2433</v>
      </c>
      <c r="AD297" s="6" t="str">
        <f>IF(COUNTIF(Returns!$A$2:$A$1635,Orders!AC297)&gt;0,"Returned","Not Returned")</f>
        <v>Not Returned</v>
      </c>
    </row>
    <row r="298" spans="1:30" ht="12.75" customHeight="1" thickTop="1" thickBot="1" x14ac:dyDescent="0.25">
      <c r="A298" s="10">
        <v>1115</v>
      </c>
      <c r="B298" s="11" t="s">
        <v>106</v>
      </c>
      <c r="C298" s="11">
        <v>0.01</v>
      </c>
      <c r="D298" s="11">
        <v>4.9800000000000004</v>
      </c>
      <c r="E298" s="11">
        <v>7.44</v>
      </c>
      <c r="F298" s="11">
        <v>553</v>
      </c>
      <c r="G298" s="6" t="str">
        <f>IF(COUNTIF(Table1[Customer ID],Table1[[#This Row],[Customer ID]])&gt;1,"Repeat Customer","One-Time Customer")</f>
        <v>Repeat Customer</v>
      </c>
      <c r="H298" s="11" t="s">
        <v>661</v>
      </c>
      <c r="I298" s="11" t="s">
        <v>49</v>
      </c>
      <c r="J298" s="11" t="s">
        <v>28</v>
      </c>
      <c r="K298" s="11" t="s">
        <v>29</v>
      </c>
      <c r="L298" s="11" t="s">
        <v>93</v>
      </c>
      <c r="M298" s="11" t="s">
        <v>59</v>
      </c>
      <c r="N298" s="11" t="s">
        <v>384</v>
      </c>
      <c r="O298" s="11">
        <v>0.36</v>
      </c>
      <c r="P298" s="6">
        <f>Table1[[#This Row],[Profit]]/Table1[[#This Row],[Sales]]</f>
        <v>-0.54387208140274368</v>
      </c>
      <c r="Q298" s="11" t="s">
        <v>33</v>
      </c>
      <c r="R298" s="11" t="s">
        <v>34</v>
      </c>
      <c r="S298" s="11" t="s">
        <v>45</v>
      </c>
      <c r="T298" s="11" t="s">
        <v>663</v>
      </c>
      <c r="U298" s="11">
        <v>90008</v>
      </c>
      <c r="V298" s="12">
        <v>42109</v>
      </c>
      <c r="W298" s="13" t="str">
        <f>TEXT(Table1[[#This Row],[Order Date]],"mmmm")</f>
        <v>April</v>
      </c>
      <c r="X298" s="7" t="str">
        <f>TEXT(Table1[[#This Row],[Order Date]],"yyyy")</f>
        <v>2015</v>
      </c>
      <c r="Y298" s="12">
        <v>42118</v>
      </c>
      <c r="Z298" s="11">
        <v>-179.59199999999998</v>
      </c>
      <c r="AA298" s="11">
        <v>63</v>
      </c>
      <c r="AB298" s="11">
        <v>330.21</v>
      </c>
      <c r="AC298" s="11">
        <v>8165</v>
      </c>
      <c r="AD298" s="6" t="str">
        <f>IF(COUNTIF(Returns!$A$2:$A$1635,Orders!AC298)&gt;0,"Returned","Not Returned")</f>
        <v>Not Returned</v>
      </c>
    </row>
    <row r="299" spans="1:30" ht="12.75" customHeight="1" thickTop="1" thickBot="1" x14ac:dyDescent="0.25">
      <c r="A299" s="8">
        <v>64</v>
      </c>
      <c r="B299" s="1" t="s">
        <v>56</v>
      </c>
      <c r="C299" s="1">
        <v>0.08</v>
      </c>
      <c r="D299" s="1">
        <v>124.49</v>
      </c>
      <c r="E299" s="1">
        <v>51.94</v>
      </c>
      <c r="F299" s="1">
        <v>553</v>
      </c>
      <c r="G299" s="6" t="str">
        <f>IF(COUNTIF(Table1[Customer ID],Table1[[#This Row],[Customer ID]])&gt;1,"Repeat Customer","One-Time Customer")</f>
        <v>Repeat Customer</v>
      </c>
      <c r="H299" s="1" t="s">
        <v>661</v>
      </c>
      <c r="I299" s="1" t="s">
        <v>39</v>
      </c>
      <c r="J299" s="1" t="s">
        <v>28</v>
      </c>
      <c r="K299" s="1" t="s">
        <v>41</v>
      </c>
      <c r="L299" s="1" t="s">
        <v>152</v>
      </c>
      <c r="M299" s="1" t="s">
        <v>121</v>
      </c>
      <c r="N299" s="1" t="s">
        <v>462</v>
      </c>
      <c r="O299" s="1">
        <v>0.63</v>
      </c>
      <c r="P299" s="6">
        <f>Table1[[#This Row],[Profit]]/Table1[[#This Row],[Sales]]</f>
        <v>-7.3247386688175292E-2</v>
      </c>
      <c r="Q299" s="1" t="s">
        <v>33</v>
      </c>
      <c r="R299" s="1" t="s">
        <v>34</v>
      </c>
      <c r="S299" s="1" t="s">
        <v>45</v>
      </c>
      <c r="T299" s="1" t="s">
        <v>663</v>
      </c>
      <c r="U299" s="1">
        <v>90008</v>
      </c>
      <c r="V299" s="9">
        <v>42173</v>
      </c>
      <c r="W299" s="13" t="str">
        <f>TEXT(Table1[[#This Row],[Order Date]],"mmmm")</f>
        <v>June</v>
      </c>
      <c r="X299" s="7" t="str">
        <f>TEXT(Table1[[#This Row],[Order Date]],"yyyy")</f>
        <v>2015</v>
      </c>
      <c r="Y299" s="9">
        <v>42174</v>
      </c>
      <c r="Z299" s="1">
        <v>-500.38</v>
      </c>
      <c r="AA299" s="1">
        <v>56</v>
      </c>
      <c r="AB299" s="1">
        <v>6831.37</v>
      </c>
      <c r="AC299" s="1">
        <v>359</v>
      </c>
      <c r="AD299" s="6" t="str">
        <f>IF(COUNTIF(Returns!$A$2:$A$1635,Orders!AC299)&gt;0,"Returned","Not Returned")</f>
        <v>Not Returned</v>
      </c>
    </row>
    <row r="300" spans="1:30" ht="12.75" customHeight="1" thickTop="1" thickBot="1" x14ac:dyDescent="0.25">
      <c r="A300" s="10">
        <v>18349</v>
      </c>
      <c r="B300" s="11" t="s">
        <v>37</v>
      </c>
      <c r="C300" s="11">
        <v>7.0000000000000007E-2</v>
      </c>
      <c r="D300" s="11">
        <v>2036.48</v>
      </c>
      <c r="E300" s="11">
        <v>14.7</v>
      </c>
      <c r="F300" s="11">
        <v>555</v>
      </c>
      <c r="G300" s="6" t="str">
        <f>IF(COUNTIF(Table1[Customer ID],Table1[[#This Row],[Customer ID]])&gt;1,"Repeat Customer","One-Time Customer")</f>
        <v>Repeat Customer</v>
      </c>
      <c r="H300" s="11" t="s">
        <v>664</v>
      </c>
      <c r="I300" s="11" t="s">
        <v>39</v>
      </c>
      <c r="J300" s="11" t="s">
        <v>28</v>
      </c>
      <c r="K300" s="11" t="s">
        <v>77</v>
      </c>
      <c r="L300" s="11" t="s">
        <v>85</v>
      </c>
      <c r="M300" s="11" t="s">
        <v>43</v>
      </c>
      <c r="N300" s="11" t="s">
        <v>633</v>
      </c>
      <c r="O300" s="11">
        <v>0.55000000000000004</v>
      </c>
      <c r="P300" s="6">
        <f>Table1[[#This Row],[Profit]]/Table1[[#This Row],[Sales]]</f>
        <v>0.58352119669850899</v>
      </c>
      <c r="Q300" s="11" t="s">
        <v>33</v>
      </c>
      <c r="R300" s="11" t="s">
        <v>34</v>
      </c>
      <c r="S300" s="11" t="s">
        <v>212</v>
      </c>
      <c r="T300" s="11" t="s">
        <v>665</v>
      </c>
      <c r="U300" s="11">
        <v>84062</v>
      </c>
      <c r="V300" s="12">
        <v>42056</v>
      </c>
      <c r="W300" s="13" t="str">
        <f>TEXT(Table1[[#This Row],[Order Date]],"mmmm")</f>
        <v>February</v>
      </c>
      <c r="X300" s="7" t="str">
        <f>TEXT(Table1[[#This Row],[Order Date]],"yyyy")</f>
        <v>2015</v>
      </c>
      <c r="Y300" s="12">
        <v>42056</v>
      </c>
      <c r="Z300" s="11">
        <v>6028.41</v>
      </c>
      <c r="AA300" s="11">
        <v>6</v>
      </c>
      <c r="AB300" s="11">
        <v>10331.09</v>
      </c>
      <c r="AC300" s="11">
        <v>86190</v>
      </c>
      <c r="AD300" s="6" t="str">
        <f>IF(COUNTIF(Returns!$A$2:$A$1635,Orders!AC300)&gt;0,"Returned","Not Returned")</f>
        <v>Not Returned</v>
      </c>
    </row>
    <row r="301" spans="1:30" ht="12.75" customHeight="1" thickTop="1" thickBot="1" x14ac:dyDescent="0.25">
      <c r="A301" s="8">
        <v>19115</v>
      </c>
      <c r="B301" s="1" t="s">
        <v>106</v>
      </c>
      <c r="C301" s="1">
        <v>0.01</v>
      </c>
      <c r="D301" s="1">
        <v>4.9800000000000004</v>
      </c>
      <c r="E301" s="1">
        <v>7.44</v>
      </c>
      <c r="F301" s="1">
        <v>555</v>
      </c>
      <c r="G301" s="6" t="str">
        <f>IF(COUNTIF(Table1[Customer ID],Table1[[#This Row],[Customer ID]])&gt;1,"Repeat Customer","One-Time Customer")</f>
        <v>Repeat Customer</v>
      </c>
      <c r="H301" s="1" t="s">
        <v>664</v>
      </c>
      <c r="I301" s="1" t="s">
        <v>49</v>
      </c>
      <c r="J301" s="1" t="s">
        <v>28</v>
      </c>
      <c r="K301" s="1" t="s">
        <v>29</v>
      </c>
      <c r="L301" s="1" t="s">
        <v>93</v>
      </c>
      <c r="M301" s="1" t="s">
        <v>59</v>
      </c>
      <c r="N301" s="1" t="s">
        <v>384</v>
      </c>
      <c r="O301" s="1">
        <v>0.36</v>
      </c>
      <c r="P301" s="6">
        <f>Table1[[#This Row],[Profit]]/Table1[[#This Row],[Sales]]</f>
        <v>-1.9274123539232053</v>
      </c>
      <c r="Q301" s="1" t="s">
        <v>33</v>
      </c>
      <c r="R301" s="1" t="s">
        <v>34</v>
      </c>
      <c r="S301" s="1" t="s">
        <v>212</v>
      </c>
      <c r="T301" s="1" t="s">
        <v>665</v>
      </c>
      <c r="U301" s="1">
        <v>84062</v>
      </c>
      <c r="V301" s="9">
        <v>42109</v>
      </c>
      <c r="W301" s="13" t="str">
        <f>TEXT(Table1[[#This Row],[Order Date]],"mmmm")</f>
        <v>April</v>
      </c>
      <c r="X301" s="7" t="str">
        <f>TEXT(Table1[[#This Row],[Order Date]],"yyyy")</f>
        <v>2015</v>
      </c>
      <c r="Y301" s="9">
        <v>42118</v>
      </c>
      <c r="Z301" s="1">
        <v>-161.6328</v>
      </c>
      <c r="AA301" s="1">
        <v>16</v>
      </c>
      <c r="AB301" s="1">
        <v>83.86</v>
      </c>
      <c r="AC301" s="1">
        <v>86191</v>
      </c>
      <c r="AD301" s="6" t="str">
        <f>IF(COUNTIF(Returns!$A$2:$A$1635,Orders!AC301)&gt;0,"Returned","Not Returned")</f>
        <v>Not Returned</v>
      </c>
    </row>
    <row r="302" spans="1:30" ht="12.75" customHeight="1" thickTop="1" thickBot="1" x14ac:dyDescent="0.25">
      <c r="A302" s="10">
        <v>18064</v>
      </c>
      <c r="B302" s="11" t="s">
        <v>56</v>
      </c>
      <c r="C302" s="11">
        <v>0.08</v>
      </c>
      <c r="D302" s="11">
        <v>124.49</v>
      </c>
      <c r="E302" s="11">
        <v>51.94</v>
      </c>
      <c r="F302" s="11">
        <v>555</v>
      </c>
      <c r="G302" s="6" t="str">
        <f>IF(COUNTIF(Table1[Customer ID],Table1[[#This Row],[Customer ID]])&gt;1,"Repeat Customer","One-Time Customer")</f>
        <v>Repeat Customer</v>
      </c>
      <c r="H302" s="11" t="s">
        <v>664</v>
      </c>
      <c r="I302" s="11" t="s">
        <v>39</v>
      </c>
      <c r="J302" s="11" t="s">
        <v>28</v>
      </c>
      <c r="K302" s="11" t="s">
        <v>41</v>
      </c>
      <c r="L302" s="11" t="s">
        <v>152</v>
      </c>
      <c r="M302" s="11" t="s">
        <v>121</v>
      </c>
      <c r="N302" s="11" t="s">
        <v>462</v>
      </c>
      <c r="O302" s="11">
        <v>0.63</v>
      </c>
      <c r="P302" s="6">
        <f>Table1[[#This Row],[Profit]]/Table1[[#This Row],[Sales]]</f>
        <v>-0.14649498782087317</v>
      </c>
      <c r="Q302" s="11" t="s">
        <v>33</v>
      </c>
      <c r="R302" s="11" t="s">
        <v>34</v>
      </c>
      <c r="S302" s="11" t="s">
        <v>212</v>
      </c>
      <c r="T302" s="11" t="s">
        <v>665</v>
      </c>
      <c r="U302" s="11">
        <v>84062</v>
      </c>
      <c r="V302" s="12">
        <v>42173</v>
      </c>
      <c r="W302" s="13" t="str">
        <f>TEXT(Table1[[#This Row],[Order Date]],"mmmm")</f>
        <v>June</v>
      </c>
      <c r="X302" s="7" t="str">
        <f>TEXT(Table1[[#This Row],[Order Date]],"yyyy")</f>
        <v>2015</v>
      </c>
      <c r="Y302" s="12">
        <v>42174</v>
      </c>
      <c r="Z302" s="11">
        <v>-250.19</v>
      </c>
      <c r="AA302" s="11">
        <v>14</v>
      </c>
      <c r="AB302" s="11">
        <v>1707.84</v>
      </c>
      <c r="AC302" s="11">
        <v>86192</v>
      </c>
      <c r="AD302" s="6" t="str">
        <f>IF(COUNTIF(Returns!$A$2:$A$1635,Orders!AC302)&gt;0,"Returned","Not Returned")</f>
        <v>Not Returned</v>
      </c>
    </row>
    <row r="303" spans="1:30" ht="12.75" customHeight="1" thickTop="1" thickBot="1" x14ac:dyDescent="0.25">
      <c r="A303" s="8">
        <v>20368</v>
      </c>
      <c r="B303" s="1" t="s">
        <v>56</v>
      </c>
      <c r="C303" s="1">
        <v>0</v>
      </c>
      <c r="D303" s="1">
        <v>6.88</v>
      </c>
      <c r="E303" s="1">
        <v>2</v>
      </c>
      <c r="F303" s="1">
        <v>556</v>
      </c>
      <c r="G303" s="6" t="str">
        <f>IF(COUNTIF(Table1[Customer ID],Table1[[#This Row],[Customer ID]])&gt;1,"Repeat Customer","One-Time Customer")</f>
        <v>Repeat Customer</v>
      </c>
      <c r="H303" s="1" t="s">
        <v>666</v>
      </c>
      <c r="I303" s="1" t="s">
        <v>27</v>
      </c>
      <c r="J303" s="1" t="s">
        <v>40</v>
      </c>
      <c r="K303" s="1" t="s">
        <v>29</v>
      </c>
      <c r="L303" s="1" t="s">
        <v>93</v>
      </c>
      <c r="M303" s="1" t="s">
        <v>31</v>
      </c>
      <c r="N303" s="1" t="s">
        <v>662</v>
      </c>
      <c r="O303" s="1">
        <v>0.39</v>
      </c>
      <c r="P303" s="6">
        <f>Table1[[#This Row],[Profit]]/Table1[[#This Row],[Sales]]</f>
        <v>0.69</v>
      </c>
      <c r="Q303" s="1" t="s">
        <v>33</v>
      </c>
      <c r="R303" s="1" t="s">
        <v>34</v>
      </c>
      <c r="S303" s="1" t="s">
        <v>212</v>
      </c>
      <c r="T303" s="1" t="s">
        <v>667</v>
      </c>
      <c r="U303" s="1">
        <v>84604</v>
      </c>
      <c r="V303" s="9">
        <v>42032</v>
      </c>
      <c r="W303" s="13" t="str">
        <f>TEXT(Table1[[#This Row],[Order Date]],"mmmm")</f>
        <v>January</v>
      </c>
      <c r="X303" s="7" t="str">
        <f>TEXT(Table1[[#This Row],[Order Date]],"yyyy")</f>
        <v>2015</v>
      </c>
      <c r="Y303" s="9">
        <v>42033</v>
      </c>
      <c r="Z303" s="1">
        <v>46.147199999999991</v>
      </c>
      <c r="AA303" s="1">
        <v>9</v>
      </c>
      <c r="AB303" s="1">
        <v>66.88</v>
      </c>
      <c r="AC303" s="1">
        <v>86189</v>
      </c>
      <c r="AD303" s="6" t="str">
        <f>IF(COUNTIF(Returns!$A$2:$A$1635,Orders!AC303)&gt;0,"Returned","Not Returned")</f>
        <v>Not Returned</v>
      </c>
    </row>
    <row r="304" spans="1:30" ht="12.75" customHeight="1" thickTop="1" thickBot="1" x14ac:dyDescent="0.25">
      <c r="A304" s="10">
        <v>20369</v>
      </c>
      <c r="B304" s="11" t="s">
        <v>56</v>
      </c>
      <c r="C304" s="11">
        <v>0.03</v>
      </c>
      <c r="D304" s="11">
        <v>32.479999999999997</v>
      </c>
      <c r="E304" s="11">
        <v>35</v>
      </c>
      <c r="F304" s="11">
        <v>556</v>
      </c>
      <c r="G304" s="6" t="str">
        <f>IF(COUNTIF(Table1[Customer ID],Table1[[#This Row],[Customer ID]])&gt;1,"Repeat Customer","One-Time Customer")</f>
        <v>Repeat Customer</v>
      </c>
      <c r="H304" s="11" t="s">
        <v>666</v>
      </c>
      <c r="I304" s="11" t="s">
        <v>27</v>
      </c>
      <c r="J304" s="11" t="s">
        <v>40</v>
      </c>
      <c r="K304" s="11" t="s">
        <v>29</v>
      </c>
      <c r="L304" s="11" t="s">
        <v>141</v>
      </c>
      <c r="M304" s="11" t="s">
        <v>236</v>
      </c>
      <c r="N304" s="11" t="s">
        <v>668</v>
      </c>
      <c r="O304" s="11">
        <v>0.81</v>
      </c>
      <c r="P304" s="6">
        <f>Table1[[#This Row],[Profit]]/Table1[[#This Row],[Sales]]</f>
        <v>-4.0607282383325449</v>
      </c>
      <c r="Q304" s="11" t="s">
        <v>33</v>
      </c>
      <c r="R304" s="11" t="s">
        <v>34</v>
      </c>
      <c r="S304" s="11" t="s">
        <v>212</v>
      </c>
      <c r="T304" s="11" t="s">
        <v>667</v>
      </c>
      <c r="U304" s="11">
        <v>84604</v>
      </c>
      <c r="V304" s="12">
        <v>42032</v>
      </c>
      <c r="W304" s="13" t="str">
        <f>TEXT(Table1[[#This Row],[Order Date]],"mmmm")</f>
        <v>January</v>
      </c>
      <c r="X304" s="7" t="str">
        <f>TEXT(Table1[[#This Row],[Order Date]],"yyyy")</f>
        <v>2015</v>
      </c>
      <c r="Y304" s="12">
        <v>42032</v>
      </c>
      <c r="Z304" s="11">
        <v>-1116.3348000000001</v>
      </c>
      <c r="AA304" s="11">
        <v>8</v>
      </c>
      <c r="AB304" s="11">
        <v>274.91000000000003</v>
      </c>
      <c r="AC304" s="11">
        <v>86189</v>
      </c>
      <c r="AD304" s="6" t="str">
        <f>IF(COUNTIF(Returns!$A$2:$A$1635,Orders!AC304)&gt;0,"Returned","Not Returned")</f>
        <v>Not Returned</v>
      </c>
    </row>
    <row r="305" spans="1:30" ht="12.75" customHeight="1" thickTop="1" thickBot="1" x14ac:dyDescent="0.25">
      <c r="A305" s="8">
        <v>21966</v>
      </c>
      <c r="B305" s="1" t="s">
        <v>47</v>
      </c>
      <c r="C305" s="1">
        <v>0.02</v>
      </c>
      <c r="D305" s="1">
        <v>280.98</v>
      </c>
      <c r="E305" s="1">
        <v>57</v>
      </c>
      <c r="F305" s="1">
        <v>568</v>
      </c>
      <c r="G305" s="6" t="str">
        <f>IF(COUNTIF(Table1[Customer ID],Table1[[#This Row],[Customer ID]])&gt;1,"Repeat Customer","One-Time Customer")</f>
        <v>Repeat Customer</v>
      </c>
      <c r="H305" s="1" t="s">
        <v>669</v>
      </c>
      <c r="I305" s="1" t="s">
        <v>39</v>
      </c>
      <c r="J305" s="1" t="s">
        <v>114</v>
      </c>
      <c r="K305" s="1" t="s">
        <v>41</v>
      </c>
      <c r="L305" s="1" t="s">
        <v>42</v>
      </c>
      <c r="M305" s="1" t="s">
        <v>43</v>
      </c>
      <c r="N305" s="1" t="s">
        <v>670</v>
      </c>
      <c r="O305" s="1">
        <v>0.78</v>
      </c>
      <c r="P305" s="6">
        <f>Table1[[#This Row],[Profit]]/Table1[[#This Row],[Sales]]</f>
        <v>1.0115651079965269</v>
      </c>
      <c r="Q305" s="1" t="s">
        <v>33</v>
      </c>
      <c r="R305" s="1" t="s">
        <v>136</v>
      </c>
      <c r="S305" s="1" t="s">
        <v>671</v>
      </c>
      <c r="T305" s="1" t="s">
        <v>443</v>
      </c>
      <c r="U305" s="1">
        <v>39701</v>
      </c>
      <c r="V305" s="9">
        <v>42067</v>
      </c>
      <c r="W305" s="13" t="str">
        <f>TEXT(Table1[[#This Row],[Order Date]],"mmmm")</f>
        <v>March</v>
      </c>
      <c r="X305" s="7" t="str">
        <f>TEXT(Table1[[#This Row],[Order Date]],"yyyy")</f>
        <v>2015</v>
      </c>
      <c r="Y305" s="9">
        <v>42068</v>
      </c>
      <c r="Z305" s="1">
        <v>1141.7939999999999</v>
      </c>
      <c r="AA305" s="1">
        <v>4</v>
      </c>
      <c r="AB305" s="1">
        <v>1128.74</v>
      </c>
      <c r="AC305" s="1">
        <v>88879</v>
      </c>
      <c r="AD305" s="6" t="str">
        <f>IF(COUNTIF(Returns!$A$2:$A$1635,Orders!AC305)&gt;0,"Returned","Not Returned")</f>
        <v>Not Returned</v>
      </c>
    </row>
    <row r="306" spans="1:30" ht="12.75" customHeight="1" thickTop="1" thickBot="1" x14ac:dyDescent="0.25">
      <c r="A306" s="10">
        <v>22667</v>
      </c>
      <c r="B306" s="11" t="s">
        <v>37</v>
      </c>
      <c r="C306" s="11">
        <v>0.09</v>
      </c>
      <c r="D306" s="11">
        <v>70.97</v>
      </c>
      <c r="E306" s="11">
        <v>3.5</v>
      </c>
      <c r="F306" s="11">
        <v>568</v>
      </c>
      <c r="G306" s="6" t="str">
        <f>IF(COUNTIF(Table1[Customer ID],Table1[[#This Row],[Customer ID]])&gt;1,"Repeat Customer","One-Time Customer")</f>
        <v>Repeat Customer</v>
      </c>
      <c r="H306" s="11" t="s">
        <v>669</v>
      </c>
      <c r="I306" s="11" t="s">
        <v>49</v>
      </c>
      <c r="J306" s="11" t="s">
        <v>114</v>
      </c>
      <c r="K306" s="11" t="s">
        <v>29</v>
      </c>
      <c r="L306" s="11" t="s">
        <v>257</v>
      </c>
      <c r="M306" s="11" t="s">
        <v>59</v>
      </c>
      <c r="N306" s="11" t="s">
        <v>672</v>
      </c>
      <c r="O306" s="11">
        <v>0.59</v>
      </c>
      <c r="P306" s="6">
        <f>Table1[[#This Row],[Profit]]/Table1[[#This Row],[Sales]]</f>
        <v>-0.12353503145200315</v>
      </c>
      <c r="Q306" s="11" t="s">
        <v>33</v>
      </c>
      <c r="R306" s="11" t="s">
        <v>136</v>
      </c>
      <c r="S306" s="11" t="s">
        <v>671</v>
      </c>
      <c r="T306" s="11" t="s">
        <v>443</v>
      </c>
      <c r="U306" s="11">
        <v>39701</v>
      </c>
      <c r="V306" s="12">
        <v>42109</v>
      </c>
      <c r="W306" s="13" t="str">
        <f>TEXT(Table1[[#This Row],[Order Date]],"mmmm")</f>
        <v>April</v>
      </c>
      <c r="X306" s="7" t="str">
        <f>TEXT(Table1[[#This Row],[Order Date]],"yyyy")</f>
        <v>2015</v>
      </c>
      <c r="Y306" s="12">
        <v>42109</v>
      </c>
      <c r="Z306" s="11">
        <v>-99.568000000000012</v>
      </c>
      <c r="AA306" s="11">
        <v>12</v>
      </c>
      <c r="AB306" s="11">
        <v>805.99</v>
      </c>
      <c r="AC306" s="11">
        <v>88880</v>
      </c>
      <c r="AD306" s="6" t="str">
        <f>IF(COUNTIF(Returns!$A$2:$A$1635,Orders!AC306)&gt;0,"Returned","Not Returned")</f>
        <v>Not Returned</v>
      </c>
    </row>
    <row r="307" spans="1:30" ht="12.75" customHeight="1" thickTop="1" thickBot="1" x14ac:dyDescent="0.25">
      <c r="A307" s="8">
        <v>22736</v>
      </c>
      <c r="B307" s="1" t="s">
        <v>56</v>
      </c>
      <c r="C307" s="1">
        <v>0.08</v>
      </c>
      <c r="D307" s="1">
        <v>67.28</v>
      </c>
      <c r="E307" s="1">
        <v>19.989999999999998</v>
      </c>
      <c r="F307" s="1">
        <v>568</v>
      </c>
      <c r="G307" s="6" t="str">
        <f>IF(COUNTIF(Table1[Customer ID],Table1[[#This Row],[Customer ID]])&gt;1,"Repeat Customer","One-Time Customer")</f>
        <v>Repeat Customer</v>
      </c>
      <c r="H307" s="1" t="s">
        <v>669</v>
      </c>
      <c r="I307" s="1" t="s">
        <v>27</v>
      </c>
      <c r="J307" s="1" t="s">
        <v>114</v>
      </c>
      <c r="K307" s="1" t="s">
        <v>29</v>
      </c>
      <c r="L307" s="1" t="s">
        <v>109</v>
      </c>
      <c r="M307" s="1" t="s">
        <v>59</v>
      </c>
      <c r="N307" s="1" t="s">
        <v>673</v>
      </c>
      <c r="O307" s="1">
        <v>0.4</v>
      </c>
      <c r="P307" s="6">
        <f>Table1[[#This Row],[Profit]]/Table1[[#This Row],[Sales]]</f>
        <v>0.21082247266862938</v>
      </c>
      <c r="Q307" s="1" t="s">
        <v>33</v>
      </c>
      <c r="R307" s="1" t="s">
        <v>136</v>
      </c>
      <c r="S307" s="1" t="s">
        <v>671</v>
      </c>
      <c r="T307" s="1" t="s">
        <v>443</v>
      </c>
      <c r="U307" s="1">
        <v>39701</v>
      </c>
      <c r="V307" s="9">
        <v>42095</v>
      </c>
      <c r="W307" s="13" t="str">
        <f>TEXT(Table1[[#This Row],[Order Date]],"mmmm")</f>
        <v>April</v>
      </c>
      <c r="X307" s="7" t="str">
        <f>TEXT(Table1[[#This Row],[Order Date]],"yyyy")</f>
        <v>2015</v>
      </c>
      <c r="Y307" s="9">
        <v>42097</v>
      </c>
      <c r="Z307" s="1">
        <v>224.85059999999999</v>
      </c>
      <c r="AA307" s="1">
        <v>16</v>
      </c>
      <c r="AB307" s="1">
        <v>1066.54</v>
      </c>
      <c r="AC307" s="1">
        <v>88882</v>
      </c>
      <c r="AD307" s="6" t="str">
        <f>IF(COUNTIF(Returns!$A$2:$A$1635,Orders!AC307)&gt;0,"Returned","Not Returned")</f>
        <v>Not Returned</v>
      </c>
    </row>
    <row r="308" spans="1:30" ht="12.75" customHeight="1" thickTop="1" thickBot="1" x14ac:dyDescent="0.25">
      <c r="A308" s="10">
        <v>26038</v>
      </c>
      <c r="B308" s="11" t="s">
        <v>106</v>
      </c>
      <c r="C308" s="11">
        <v>0.06</v>
      </c>
      <c r="D308" s="11">
        <v>7.99</v>
      </c>
      <c r="E308" s="11">
        <v>5.03</v>
      </c>
      <c r="F308" s="11">
        <v>570</v>
      </c>
      <c r="G308" s="6" t="str">
        <f>IF(COUNTIF(Table1[Customer ID],Table1[[#This Row],[Customer ID]])&gt;1,"Repeat Customer","One-Time Customer")</f>
        <v>One-Time Customer</v>
      </c>
      <c r="H308" s="11" t="s">
        <v>674</v>
      </c>
      <c r="I308" s="11" t="s">
        <v>49</v>
      </c>
      <c r="J308" s="11" t="s">
        <v>114</v>
      </c>
      <c r="K308" s="11" t="s">
        <v>77</v>
      </c>
      <c r="L308" s="11" t="s">
        <v>78</v>
      </c>
      <c r="M308" s="11" t="s">
        <v>86</v>
      </c>
      <c r="N308" s="11" t="s">
        <v>430</v>
      </c>
      <c r="O308" s="11">
        <v>0.6</v>
      </c>
      <c r="P308" s="6">
        <f>Table1[[#This Row],[Profit]]/Table1[[#This Row],[Sales]]</f>
        <v>-1.857818679647095</v>
      </c>
      <c r="Q308" s="11" t="s">
        <v>33</v>
      </c>
      <c r="R308" s="11" t="s">
        <v>34</v>
      </c>
      <c r="S308" s="11" t="s">
        <v>533</v>
      </c>
      <c r="T308" s="11" t="s">
        <v>675</v>
      </c>
      <c r="U308" s="11">
        <v>89015</v>
      </c>
      <c r="V308" s="12">
        <v>42017</v>
      </c>
      <c r="W308" s="13" t="str">
        <f>TEXT(Table1[[#This Row],[Order Date]],"mmmm")</f>
        <v>January</v>
      </c>
      <c r="X308" s="7" t="str">
        <f>TEXT(Table1[[#This Row],[Order Date]],"yyyy")</f>
        <v>2015</v>
      </c>
      <c r="Y308" s="12">
        <v>42017</v>
      </c>
      <c r="Z308" s="11">
        <v>-122.13300000000001</v>
      </c>
      <c r="AA308" s="11">
        <v>10</v>
      </c>
      <c r="AB308" s="11">
        <v>65.739999999999995</v>
      </c>
      <c r="AC308" s="11">
        <v>88881</v>
      </c>
      <c r="AD308" s="6" t="str">
        <f>IF(COUNTIF(Returns!$A$2:$A$1635,Orders!AC308)&gt;0,"Returned","Not Returned")</f>
        <v>Not Returned</v>
      </c>
    </row>
    <row r="309" spans="1:30" ht="12.75" customHeight="1" thickTop="1" thickBot="1" x14ac:dyDescent="0.25">
      <c r="A309" s="8">
        <v>23719</v>
      </c>
      <c r="B309" s="1" t="s">
        <v>47</v>
      </c>
      <c r="C309" s="1">
        <v>0.05</v>
      </c>
      <c r="D309" s="1">
        <v>4.13</v>
      </c>
      <c r="E309" s="1">
        <v>5.04</v>
      </c>
      <c r="F309" s="1">
        <v>573</v>
      </c>
      <c r="G309" s="6" t="str">
        <f>IF(COUNTIF(Table1[Customer ID],Table1[[#This Row],[Customer ID]])&gt;1,"Repeat Customer","One-Time Customer")</f>
        <v>Repeat Customer</v>
      </c>
      <c r="H309" s="1" t="s">
        <v>676</v>
      </c>
      <c r="I309" s="1" t="s">
        <v>49</v>
      </c>
      <c r="J309" s="1" t="s">
        <v>40</v>
      </c>
      <c r="K309" s="1" t="s">
        <v>29</v>
      </c>
      <c r="L309" s="1" t="s">
        <v>109</v>
      </c>
      <c r="M309" s="1" t="s">
        <v>59</v>
      </c>
      <c r="N309" s="1" t="s">
        <v>677</v>
      </c>
      <c r="O309" s="1">
        <v>0.38</v>
      </c>
      <c r="P309" s="6">
        <f>Table1[[#This Row],[Profit]]/Table1[[#This Row],[Sales]]</f>
        <v>-2.0814212328767123</v>
      </c>
      <c r="Q309" s="1" t="s">
        <v>33</v>
      </c>
      <c r="R309" s="1" t="s">
        <v>61</v>
      </c>
      <c r="S309" s="1" t="s">
        <v>178</v>
      </c>
      <c r="T309" s="1" t="s">
        <v>678</v>
      </c>
      <c r="U309" s="1">
        <v>61554</v>
      </c>
      <c r="V309" s="9">
        <v>42076</v>
      </c>
      <c r="W309" s="13" t="str">
        <f>TEXT(Table1[[#This Row],[Order Date]],"mmmm")</f>
        <v>March</v>
      </c>
      <c r="X309" s="7" t="str">
        <f>TEXT(Table1[[#This Row],[Order Date]],"yyyy")</f>
        <v>2015</v>
      </c>
      <c r="Y309" s="9">
        <v>42077</v>
      </c>
      <c r="Z309" s="1">
        <v>-12.1555</v>
      </c>
      <c r="AA309" s="1">
        <v>1</v>
      </c>
      <c r="AB309" s="1">
        <v>5.84</v>
      </c>
      <c r="AC309" s="1">
        <v>86555</v>
      </c>
      <c r="AD309" s="6" t="str">
        <f>IF(COUNTIF(Returns!$A$2:$A$1635,Orders!AC309)&gt;0,"Returned","Not Returned")</f>
        <v>Not Returned</v>
      </c>
    </row>
    <row r="310" spans="1:30" ht="12.75" customHeight="1" thickTop="1" thickBot="1" x14ac:dyDescent="0.25">
      <c r="A310" s="10">
        <v>21992</v>
      </c>
      <c r="B310" s="11" t="s">
        <v>25</v>
      </c>
      <c r="C310" s="11">
        <v>0.08</v>
      </c>
      <c r="D310" s="11">
        <v>415.88</v>
      </c>
      <c r="E310" s="11">
        <v>11.37</v>
      </c>
      <c r="F310" s="11">
        <v>573</v>
      </c>
      <c r="G310" s="6" t="str">
        <f>IF(COUNTIF(Table1[Customer ID],Table1[[#This Row],[Customer ID]])&gt;1,"Repeat Customer","One-Time Customer")</f>
        <v>Repeat Customer</v>
      </c>
      <c r="H310" s="11" t="s">
        <v>676</v>
      </c>
      <c r="I310" s="11" t="s">
        <v>49</v>
      </c>
      <c r="J310" s="11" t="s">
        <v>28</v>
      </c>
      <c r="K310" s="11" t="s">
        <v>29</v>
      </c>
      <c r="L310" s="11" t="s">
        <v>141</v>
      </c>
      <c r="M310" s="11" t="s">
        <v>59</v>
      </c>
      <c r="N310" s="11" t="s">
        <v>488</v>
      </c>
      <c r="O310" s="11">
        <v>0.56999999999999995</v>
      </c>
      <c r="P310" s="6">
        <f>Table1[[#This Row],[Profit]]/Table1[[#This Row],[Sales]]</f>
        <v>-0.66347215030697537</v>
      </c>
      <c r="Q310" s="11" t="s">
        <v>33</v>
      </c>
      <c r="R310" s="11" t="s">
        <v>61</v>
      </c>
      <c r="S310" s="11" t="s">
        <v>178</v>
      </c>
      <c r="T310" s="11" t="s">
        <v>678</v>
      </c>
      <c r="U310" s="11">
        <v>61554</v>
      </c>
      <c r="V310" s="12">
        <v>42061</v>
      </c>
      <c r="W310" s="13" t="str">
        <f>TEXT(Table1[[#This Row],[Order Date]],"mmmm")</f>
        <v>February</v>
      </c>
      <c r="X310" s="7" t="str">
        <f>TEXT(Table1[[#This Row],[Order Date]],"yyyy")</f>
        <v>2015</v>
      </c>
      <c r="Y310" s="12">
        <v>42062</v>
      </c>
      <c r="Z310" s="11">
        <v>-269.08440000000002</v>
      </c>
      <c r="AA310" s="11">
        <v>1</v>
      </c>
      <c r="AB310" s="11">
        <v>405.57</v>
      </c>
      <c r="AC310" s="11">
        <v>86556</v>
      </c>
      <c r="AD310" s="6" t="str">
        <f>IF(COUNTIF(Returns!$A$2:$A$1635,Orders!AC310)&gt;0,"Returned","Not Returned")</f>
        <v>Not Returned</v>
      </c>
    </row>
    <row r="311" spans="1:30" ht="12.75" customHeight="1" thickTop="1" thickBot="1" x14ac:dyDescent="0.25">
      <c r="A311" s="8">
        <v>21325</v>
      </c>
      <c r="B311" s="1" t="s">
        <v>106</v>
      </c>
      <c r="C311" s="1">
        <v>0.06</v>
      </c>
      <c r="D311" s="1">
        <v>4.4800000000000004</v>
      </c>
      <c r="E311" s="1">
        <v>49</v>
      </c>
      <c r="F311" s="1">
        <v>576</v>
      </c>
      <c r="G311" s="6" t="str">
        <f>IF(COUNTIF(Table1[Customer ID],Table1[[#This Row],[Customer ID]])&gt;1,"Repeat Customer","One-Time Customer")</f>
        <v>One-Time Customer</v>
      </c>
      <c r="H311" s="1" t="s">
        <v>679</v>
      </c>
      <c r="I311" s="1" t="s">
        <v>49</v>
      </c>
      <c r="J311" s="1" t="s">
        <v>28</v>
      </c>
      <c r="K311" s="1" t="s">
        <v>29</v>
      </c>
      <c r="L311" s="1" t="s">
        <v>257</v>
      </c>
      <c r="M311" s="1" t="s">
        <v>236</v>
      </c>
      <c r="N311" s="1" t="s">
        <v>680</v>
      </c>
      <c r="O311" s="1">
        <v>0.6</v>
      </c>
      <c r="P311" s="6">
        <f>Table1[[#This Row],[Profit]]/Table1[[#This Row],[Sales]]</f>
        <v>-17.361963190184049</v>
      </c>
      <c r="Q311" s="1" t="s">
        <v>33</v>
      </c>
      <c r="R311" s="1" t="s">
        <v>34</v>
      </c>
      <c r="S311" s="1" t="s">
        <v>45</v>
      </c>
      <c r="T311" s="1" t="s">
        <v>681</v>
      </c>
      <c r="U311" s="1">
        <v>91767</v>
      </c>
      <c r="V311" s="9">
        <v>42017</v>
      </c>
      <c r="W311" s="13" t="str">
        <f>TEXT(Table1[[#This Row],[Order Date]],"mmmm")</f>
        <v>January</v>
      </c>
      <c r="X311" s="7" t="str">
        <f>TEXT(Table1[[#This Row],[Order Date]],"yyyy")</f>
        <v>2015</v>
      </c>
      <c r="Y311" s="9">
        <v>42021</v>
      </c>
      <c r="Z311" s="1">
        <v>-566</v>
      </c>
      <c r="AA311" s="1">
        <v>4</v>
      </c>
      <c r="AB311" s="1">
        <v>32.6</v>
      </c>
      <c r="AC311" s="1">
        <v>88645</v>
      </c>
      <c r="AD311" s="6" t="str">
        <f>IF(COUNTIF(Returns!$A$2:$A$1635,Orders!AC311)&gt;0,"Returned","Not Returned")</f>
        <v>Not Returned</v>
      </c>
    </row>
    <row r="312" spans="1:30" ht="12.75" customHeight="1" thickTop="1" thickBot="1" x14ac:dyDescent="0.25">
      <c r="A312" s="10">
        <v>18664</v>
      </c>
      <c r="B312" s="11" t="s">
        <v>56</v>
      </c>
      <c r="C312" s="11">
        <v>0.03</v>
      </c>
      <c r="D312" s="11">
        <v>162.93</v>
      </c>
      <c r="E312" s="11">
        <v>19.989999999999998</v>
      </c>
      <c r="F312" s="11">
        <v>578</v>
      </c>
      <c r="G312" s="6" t="str">
        <f>IF(COUNTIF(Table1[Customer ID],Table1[[#This Row],[Customer ID]])&gt;1,"Repeat Customer","One-Time Customer")</f>
        <v>One-Time Customer</v>
      </c>
      <c r="H312" s="11" t="s">
        <v>682</v>
      </c>
      <c r="I312" s="11" t="s">
        <v>49</v>
      </c>
      <c r="J312" s="11" t="s">
        <v>28</v>
      </c>
      <c r="K312" s="11" t="s">
        <v>29</v>
      </c>
      <c r="L312" s="11" t="s">
        <v>69</v>
      </c>
      <c r="M312" s="11" t="s">
        <v>59</v>
      </c>
      <c r="N312" s="11" t="s">
        <v>683</v>
      </c>
      <c r="O312" s="11">
        <v>0.39</v>
      </c>
      <c r="P312" s="6">
        <f>Table1[[#This Row],[Profit]]/Table1[[#This Row],[Sales]]</f>
        <v>0.56823292238505074</v>
      </c>
      <c r="Q312" s="11" t="s">
        <v>33</v>
      </c>
      <c r="R312" s="11" t="s">
        <v>53</v>
      </c>
      <c r="S312" s="11" t="s">
        <v>228</v>
      </c>
      <c r="T312" s="11" t="s">
        <v>684</v>
      </c>
      <c r="U312" s="11">
        <v>6770</v>
      </c>
      <c r="V312" s="12">
        <v>42137</v>
      </c>
      <c r="W312" s="13" t="str">
        <f>TEXT(Table1[[#This Row],[Order Date]],"mmmm")</f>
        <v>May</v>
      </c>
      <c r="X312" s="7" t="str">
        <f>TEXT(Table1[[#This Row],[Order Date]],"yyyy")</f>
        <v>2015</v>
      </c>
      <c r="Y312" s="12">
        <v>42138</v>
      </c>
      <c r="Z312" s="11">
        <v>293.14</v>
      </c>
      <c r="AA312" s="11">
        <v>3</v>
      </c>
      <c r="AB312" s="11">
        <v>515.88</v>
      </c>
      <c r="AC312" s="11">
        <v>88644</v>
      </c>
      <c r="AD312" s="6" t="str">
        <f>IF(COUNTIF(Returns!$A$2:$A$1635,Orders!AC312)&gt;0,"Returned","Not Returned")</f>
        <v>Not Returned</v>
      </c>
    </row>
    <row r="313" spans="1:30" ht="12.75" customHeight="1" thickTop="1" thickBot="1" x14ac:dyDescent="0.25">
      <c r="A313" s="8">
        <v>18665</v>
      </c>
      <c r="B313" s="1" t="s">
        <v>56</v>
      </c>
      <c r="C313" s="1">
        <v>0.01</v>
      </c>
      <c r="D313" s="1">
        <v>11.58</v>
      </c>
      <c r="E313" s="1">
        <v>5.72</v>
      </c>
      <c r="F313" s="1">
        <v>579</v>
      </c>
      <c r="G313" s="6" t="str">
        <f>IF(COUNTIF(Table1[Customer ID],Table1[[#This Row],[Customer ID]])&gt;1,"Repeat Customer","One-Time Customer")</f>
        <v>One-Time Customer</v>
      </c>
      <c r="H313" s="1" t="s">
        <v>685</v>
      </c>
      <c r="I313" s="1" t="s">
        <v>49</v>
      </c>
      <c r="J313" s="1" t="s">
        <v>28</v>
      </c>
      <c r="K313" s="1" t="s">
        <v>29</v>
      </c>
      <c r="L313" s="1" t="s">
        <v>69</v>
      </c>
      <c r="M313" s="1" t="s">
        <v>59</v>
      </c>
      <c r="N313" s="1" t="s">
        <v>686</v>
      </c>
      <c r="O313" s="1">
        <v>0.35</v>
      </c>
      <c r="P313" s="6">
        <f>Table1[[#This Row],[Profit]]/Table1[[#This Row],[Sales]]</f>
        <v>-0.26376695929768557</v>
      </c>
      <c r="Q313" s="1" t="s">
        <v>33</v>
      </c>
      <c r="R313" s="1" t="s">
        <v>53</v>
      </c>
      <c r="S313" s="1" t="s">
        <v>228</v>
      </c>
      <c r="T313" s="1" t="s">
        <v>687</v>
      </c>
      <c r="U313" s="1">
        <v>6478</v>
      </c>
      <c r="V313" s="9">
        <v>42137</v>
      </c>
      <c r="W313" s="13" t="str">
        <f>TEXT(Table1[[#This Row],[Order Date]],"mmmm")</f>
        <v>May</v>
      </c>
      <c r="X313" s="7" t="str">
        <f>TEXT(Table1[[#This Row],[Order Date]],"yyyy")</f>
        <v>2015</v>
      </c>
      <c r="Y313" s="9">
        <v>42139</v>
      </c>
      <c r="Z313" s="1">
        <v>-6.61</v>
      </c>
      <c r="AA313" s="1">
        <v>2</v>
      </c>
      <c r="AB313" s="1">
        <v>25.06</v>
      </c>
      <c r="AC313" s="1">
        <v>88644</v>
      </c>
      <c r="AD313" s="6" t="str">
        <f>IF(COUNTIF(Returns!$A$2:$A$1635,Orders!AC313)&gt;0,"Returned","Not Returned")</f>
        <v>Not Returned</v>
      </c>
    </row>
    <row r="314" spans="1:30" ht="12.75" customHeight="1" thickTop="1" thickBot="1" x14ac:dyDescent="0.25">
      <c r="A314" s="10">
        <v>18662</v>
      </c>
      <c r="B314" s="11" t="s">
        <v>56</v>
      </c>
      <c r="C314" s="11">
        <v>0.01</v>
      </c>
      <c r="D314" s="11">
        <v>55.99</v>
      </c>
      <c r="E314" s="11">
        <v>5</v>
      </c>
      <c r="F314" s="11">
        <v>580</v>
      </c>
      <c r="G314" s="6" t="str">
        <f>IF(COUNTIF(Table1[Customer ID],Table1[[#This Row],[Customer ID]])&gt;1,"Repeat Customer","One-Time Customer")</f>
        <v>One-Time Customer</v>
      </c>
      <c r="H314" s="11" t="s">
        <v>688</v>
      </c>
      <c r="I314" s="11" t="s">
        <v>49</v>
      </c>
      <c r="J314" s="11" t="s">
        <v>28</v>
      </c>
      <c r="K314" s="11" t="s">
        <v>77</v>
      </c>
      <c r="L314" s="11" t="s">
        <v>78</v>
      </c>
      <c r="M314" s="11" t="s">
        <v>51</v>
      </c>
      <c r="N314" s="11" t="s">
        <v>689</v>
      </c>
      <c r="O314" s="11">
        <v>0.8</v>
      </c>
      <c r="P314" s="6">
        <f>Table1[[#This Row],[Profit]]/Table1[[#This Row],[Sales]]</f>
        <v>-9.9510583840619823E-2</v>
      </c>
      <c r="Q314" s="11" t="s">
        <v>33</v>
      </c>
      <c r="R314" s="11" t="s">
        <v>53</v>
      </c>
      <c r="S314" s="11" t="s">
        <v>188</v>
      </c>
      <c r="T314" s="11" t="s">
        <v>511</v>
      </c>
      <c r="U314" s="11">
        <v>4210</v>
      </c>
      <c r="V314" s="12">
        <v>42137</v>
      </c>
      <c r="W314" s="13" t="str">
        <f>TEXT(Table1[[#This Row],[Order Date]],"mmmm")</f>
        <v>May</v>
      </c>
      <c r="X314" s="7" t="str">
        <f>TEXT(Table1[[#This Row],[Order Date]],"yyyy")</f>
        <v>2015</v>
      </c>
      <c r="Y314" s="12">
        <v>42138</v>
      </c>
      <c r="Z314" s="11">
        <v>-57.541000000000004</v>
      </c>
      <c r="AA314" s="11">
        <v>12</v>
      </c>
      <c r="AB314" s="11">
        <v>578.24</v>
      </c>
      <c r="AC314" s="11">
        <v>88644</v>
      </c>
      <c r="AD314" s="6" t="str">
        <f>IF(COUNTIF(Returns!$A$2:$A$1635,Orders!AC314)&gt;0,"Returned","Not Returned")</f>
        <v>Not Returned</v>
      </c>
    </row>
    <row r="315" spans="1:30" ht="12.75" customHeight="1" thickTop="1" thickBot="1" x14ac:dyDescent="0.25">
      <c r="A315" s="8">
        <v>24180</v>
      </c>
      <c r="B315" s="1" t="s">
        <v>37</v>
      </c>
      <c r="C315" s="1">
        <v>0.04</v>
      </c>
      <c r="D315" s="1">
        <v>15.51</v>
      </c>
      <c r="E315" s="1">
        <v>17.78</v>
      </c>
      <c r="F315" s="1">
        <v>584</v>
      </c>
      <c r="G315" s="6" t="str">
        <f>IF(COUNTIF(Table1[Customer ID],Table1[[#This Row],[Customer ID]])&gt;1,"Repeat Customer","One-Time Customer")</f>
        <v>One-Time Customer</v>
      </c>
      <c r="H315" s="1" t="s">
        <v>690</v>
      </c>
      <c r="I315" s="1" t="s">
        <v>49</v>
      </c>
      <c r="J315" s="1" t="s">
        <v>28</v>
      </c>
      <c r="K315" s="1" t="s">
        <v>29</v>
      </c>
      <c r="L315" s="1" t="s">
        <v>141</v>
      </c>
      <c r="M315" s="1" t="s">
        <v>59</v>
      </c>
      <c r="N315" s="1" t="s">
        <v>691</v>
      </c>
      <c r="O315" s="1">
        <v>0.59</v>
      </c>
      <c r="P315" s="6">
        <f>Table1[[#This Row],[Profit]]/Table1[[#This Row],[Sales]]</f>
        <v>-2.2767467715727361</v>
      </c>
      <c r="Q315" s="1" t="s">
        <v>33</v>
      </c>
      <c r="R315" s="1" t="s">
        <v>53</v>
      </c>
      <c r="S315" s="1" t="s">
        <v>193</v>
      </c>
      <c r="T315" s="1" t="s">
        <v>692</v>
      </c>
      <c r="U315" s="1">
        <v>1801</v>
      </c>
      <c r="V315" s="9">
        <v>42025</v>
      </c>
      <c r="W315" s="13" t="str">
        <f>TEXT(Table1[[#This Row],[Order Date]],"mmmm")</f>
        <v>January</v>
      </c>
      <c r="X315" s="7" t="str">
        <f>TEXT(Table1[[#This Row],[Order Date]],"yyyy")</f>
        <v>2015</v>
      </c>
      <c r="Y315" s="9">
        <v>42027</v>
      </c>
      <c r="Z315" s="1">
        <v>-266.22000000000003</v>
      </c>
      <c r="AA315" s="1">
        <v>7</v>
      </c>
      <c r="AB315" s="1">
        <v>116.93</v>
      </c>
      <c r="AC315" s="1">
        <v>88646</v>
      </c>
      <c r="AD315" s="6" t="str">
        <f>IF(COUNTIF(Returns!$A$2:$A$1635,Orders!AC315)&gt;0,"Returned","Not Returned")</f>
        <v>Not Returned</v>
      </c>
    </row>
    <row r="316" spans="1:30" ht="12.75" customHeight="1" thickTop="1" thickBot="1" x14ac:dyDescent="0.25">
      <c r="A316" s="10">
        <v>18663</v>
      </c>
      <c r="B316" s="11" t="s">
        <v>56</v>
      </c>
      <c r="C316" s="11">
        <v>0.06</v>
      </c>
      <c r="D316" s="11">
        <v>13.9</v>
      </c>
      <c r="E316" s="11">
        <v>7.59</v>
      </c>
      <c r="F316" s="11">
        <v>585</v>
      </c>
      <c r="G316" s="6" t="str">
        <f>IF(COUNTIF(Table1[Customer ID],Table1[[#This Row],[Customer ID]])&gt;1,"Repeat Customer","One-Time Customer")</f>
        <v>One-Time Customer</v>
      </c>
      <c r="H316" s="11" t="s">
        <v>693</v>
      </c>
      <c r="I316" s="11" t="s">
        <v>49</v>
      </c>
      <c r="J316" s="11" t="s">
        <v>28</v>
      </c>
      <c r="K316" s="11" t="s">
        <v>29</v>
      </c>
      <c r="L316" s="11" t="s">
        <v>174</v>
      </c>
      <c r="M316" s="11" t="s">
        <v>51</v>
      </c>
      <c r="N316" s="11" t="s">
        <v>694</v>
      </c>
      <c r="O316" s="11">
        <v>0.56000000000000005</v>
      </c>
      <c r="P316" s="6">
        <f>Table1[[#This Row],[Profit]]/Table1[[#This Row],[Sales]]</f>
        <v>-0.39653857436198303</v>
      </c>
      <c r="Q316" s="11" t="s">
        <v>33</v>
      </c>
      <c r="R316" s="11" t="s">
        <v>53</v>
      </c>
      <c r="S316" s="11" t="s">
        <v>197</v>
      </c>
      <c r="T316" s="11" t="s">
        <v>695</v>
      </c>
      <c r="U316" s="11">
        <v>3301</v>
      </c>
      <c r="V316" s="12">
        <v>42137</v>
      </c>
      <c r="W316" s="13" t="str">
        <f>TEXT(Table1[[#This Row],[Order Date]],"mmmm")</f>
        <v>May</v>
      </c>
      <c r="X316" s="7" t="str">
        <f>TEXT(Table1[[#This Row],[Order Date]],"yyyy")</f>
        <v>2015</v>
      </c>
      <c r="Y316" s="12">
        <v>42138</v>
      </c>
      <c r="Z316" s="11">
        <v>-67.59</v>
      </c>
      <c r="AA316" s="11">
        <v>12</v>
      </c>
      <c r="AB316" s="11">
        <v>170.45</v>
      </c>
      <c r="AC316" s="11">
        <v>88644</v>
      </c>
      <c r="AD316" s="6" t="str">
        <f>IF(COUNTIF(Returns!$A$2:$A$1635,Orders!AC316)&gt;0,"Returned","Not Returned")</f>
        <v>Not Returned</v>
      </c>
    </row>
    <row r="317" spans="1:30" ht="12.75" customHeight="1" thickTop="1" thickBot="1" x14ac:dyDescent="0.25">
      <c r="A317" s="8">
        <v>19781</v>
      </c>
      <c r="B317" s="1" t="s">
        <v>47</v>
      </c>
      <c r="C317" s="1">
        <v>0.08</v>
      </c>
      <c r="D317" s="1">
        <v>30.53</v>
      </c>
      <c r="E317" s="1">
        <v>19.989999999999998</v>
      </c>
      <c r="F317" s="1">
        <v>592</v>
      </c>
      <c r="G317" s="6" t="str">
        <f>IF(COUNTIF(Table1[Customer ID],Table1[[#This Row],[Customer ID]])&gt;1,"Repeat Customer","One-Time Customer")</f>
        <v>One-Time Customer</v>
      </c>
      <c r="H317" s="1" t="s">
        <v>696</v>
      </c>
      <c r="I317" s="1" t="s">
        <v>49</v>
      </c>
      <c r="J317" s="1" t="s">
        <v>58</v>
      </c>
      <c r="K317" s="1" t="s">
        <v>29</v>
      </c>
      <c r="L317" s="1" t="s">
        <v>134</v>
      </c>
      <c r="M317" s="1" t="s">
        <v>59</v>
      </c>
      <c r="N317" s="1" t="s">
        <v>697</v>
      </c>
      <c r="O317" s="1">
        <v>0.39</v>
      </c>
      <c r="P317" s="6">
        <f>Table1[[#This Row],[Profit]]/Table1[[#This Row],[Sales]]</f>
        <v>-0.83907230559345158</v>
      </c>
      <c r="Q317" s="1" t="s">
        <v>33</v>
      </c>
      <c r="R317" s="1" t="s">
        <v>61</v>
      </c>
      <c r="S317" s="1" t="s">
        <v>178</v>
      </c>
      <c r="T317" s="1" t="s">
        <v>698</v>
      </c>
      <c r="U317" s="1">
        <v>60091</v>
      </c>
      <c r="V317" s="9">
        <v>42021</v>
      </c>
      <c r="W317" s="13" t="str">
        <f>TEXT(Table1[[#This Row],[Order Date]],"mmmm")</f>
        <v>January</v>
      </c>
      <c r="X317" s="7" t="str">
        <f>TEXT(Table1[[#This Row],[Order Date]],"yyyy")</f>
        <v>2015</v>
      </c>
      <c r="Y317" s="9">
        <v>42021</v>
      </c>
      <c r="Z317" s="1">
        <v>-239.8656</v>
      </c>
      <c r="AA317" s="1">
        <v>10</v>
      </c>
      <c r="AB317" s="1">
        <v>285.87</v>
      </c>
      <c r="AC317" s="1">
        <v>86307</v>
      </c>
      <c r="AD317" s="6" t="str">
        <f>IF(COUNTIF(Returns!$A$2:$A$1635,Orders!AC317)&gt;0,"Returned","Not Returned")</f>
        <v>Not Returned</v>
      </c>
    </row>
    <row r="318" spans="1:30" ht="12.75" customHeight="1" thickTop="1" thickBot="1" x14ac:dyDescent="0.25">
      <c r="A318" s="10">
        <v>19782</v>
      </c>
      <c r="B318" s="11" t="s">
        <v>47</v>
      </c>
      <c r="C318" s="11">
        <v>0.01</v>
      </c>
      <c r="D318" s="11">
        <v>1.68</v>
      </c>
      <c r="E318" s="11">
        <v>1.57</v>
      </c>
      <c r="F318" s="11">
        <v>593</v>
      </c>
      <c r="G318" s="6" t="str">
        <f>IF(COUNTIF(Table1[Customer ID],Table1[[#This Row],[Customer ID]])&gt;1,"Repeat Customer","One-Time Customer")</f>
        <v>One-Time Customer</v>
      </c>
      <c r="H318" s="11" t="s">
        <v>699</v>
      </c>
      <c r="I318" s="11" t="s">
        <v>49</v>
      </c>
      <c r="J318" s="11" t="s">
        <v>58</v>
      </c>
      <c r="K318" s="11" t="s">
        <v>29</v>
      </c>
      <c r="L318" s="11" t="s">
        <v>30</v>
      </c>
      <c r="M318" s="11" t="s">
        <v>31</v>
      </c>
      <c r="N318" s="11" t="s">
        <v>96</v>
      </c>
      <c r="O318" s="11">
        <v>0.59</v>
      </c>
      <c r="P318" s="6">
        <f>Table1[[#This Row],[Profit]]/Table1[[#This Row],[Sales]]</f>
        <v>-2.6236622484045165</v>
      </c>
      <c r="Q318" s="11" t="s">
        <v>33</v>
      </c>
      <c r="R318" s="11" t="s">
        <v>61</v>
      </c>
      <c r="S318" s="11" t="s">
        <v>178</v>
      </c>
      <c r="T318" s="11" t="s">
        <v>700</v>
      </c>
      <c r="U318" s="11">
        <v>60517</v>
      </c>
      <c r="V318" s="12">
        <v>42021</v>
      </c>
      <c r="W318" s="13" t="str">
        <f>TEXT(Table1[[#This Row],[Order Date]],"mmmm")</f>
        <v>January</v>
      </c>
      <c r="X318" s="7" t="str">
        <f>TEXT(Table1[[#This Row],[Order Date]],"yyyy")</f>
        <v>2015</v>
      </c>
      <c r="Y318" s="12">
        <v>42023</v>
      </c>
      <c r="Z318" s="11">
        <v>-53.444000000000003</v>
      </c>
      <c r="AA318" s="11">
        <v>12</v>
      </c>
      <c r="AB318" s="11">
        <v>20.37</v>
      </c>
      <c r="AC318" s="11">
        <v>86307</v>
      </c>
      <c r="AD318" s="6" t="str">
        <f>IF(COUNTIF(Returns!$A$2:$A$1635,Orders!AC318)&gt;0,"Returned","Not Returned")</f>
        <v>Not Returned</v>
      </c>
    </row>
    <row r="319" spans="1:30" ht="12.75" customHeight="1" thickTop="1" thickBot="1" x14ac:dyDescent="0.25">
      <c r="A319" s="8">
        <v>22996</v>
      </c>
      <c r="B319" s="1" t="s">
        <v>47</v>
      </c>
      <c r="C319" s="1">
        <v>0.09</v>
      </c>
      <c r="D319" s="1">
        <v>13.79</v>
      </c>
      <c r="E319" s="1">
        <v>8.7799999999999994</v>
      </c>
      <c r="F319" s="1">
        <v>594</v>
      </c>
      <c r="G319" s="6" t="str">
        <f>IF(COUNTIF(Table1[Customer ID],Table1[[#This Row],[Customer ID]])&gt;1,"Repeat Customer","One-Time Customer")</f>
        <v>Repeat Customer</v>
      </c>
      <c r="H319" s="1" t="s">
        <v>701</v>
      </c>
      <c r="I319" s="1" t="s">
        <v>49</v>
      </c>
      <c r="J319" s="1" t="s">
        <v>114</v>
      </c>
      <c r="K319" s="1" t="s">
        <v>41</v>
      </c>
      <c r="L319" s="1" t="s">
        <v>50</v>
      </c>
      <c r="M319" s="1" t="s">
        <v>59</v>
      </c>
      <c r="N319" s="1" t="s">
        <v>702</v>
      </c>
      <c r="O319" s="1">
        <v>0.43</v>
      </c>
      <c r="P319" s="6">
        <f>Table1[[#This Row],[Profit]]/Table1[[#This Row],[Sales]]</f>
        <v>-1.2683486238532109</v>
      </c>
      <c r="Q319" s="1" t="s">
        <v>33</v>
      </c>
      <c r="R319" s="1" t="s">
        <v>61</v>
      </c>
      <c r="S319" s="1" t="s">
        <v>703</v>
      </c>
      <c r="T319" s="1" t="s">
        <v>704</v>
      </c>
      <c r="U319" s="1">
        <v>46016</v>
      </c>
      <c r="V319" s="9">
        <v>42078</v>
      </c>
      <c r="W319" s="13" t="str">
        <f>TEXT(Table1[[#This Row],[Order Date]],"mmmm")</f>
        <v>March</v>
      </c>
      <c r="X319" s="7" t="str">
        <f>TEXT(Table1[[#This Row],[Order Date]],"yyyy")</f>
        <v>2015</v>
      </c>
      <c r="Y319" s="9">
        <v>42080</v>
      </c>
      <c r="Z319" s="1">
        <v>-22.12</v>
      </c>
      <c r="AA319" s="1">
        <v>1</v>
      </c>
      <c r="AB319" s="1">
        <v>17.440000000000001</v>
      </c>
      <c r="AC319" s="1">
        <v>86309</v>
      </c>
      <c r="AD319" s="6" t="str">
        <f>IF(COUNTIF(Returns!$A$2:$A$1635,Orders!AC319)&gt;0,"Returned","Not Returned")</f>
        <v>Not Returned</v>
      </c>
    </row>
    <row r="320" spans="1:30" ht="12.75" customHeight="1" thickTop="1" thickBot="1" x14ac:dyDescent="0.25">
      <c r="A320" s="10">
        <v>21662</v>
      </c>
      <c r="B320" s="11" t="s">
        <v>47</v>
      </c>
      <c r="C320" s="11">
        <v>0.04</v>
      </c>
      <c r="D320" s="11">
        <v>39.479999999999997</v>
      </c>
      <c r="E320" s="11">
        <v>1.99</v>
      </c>
      <c r="F320" s="11">
        <v>594</v>
      </c>
      <c r="G320" s="6" t="str">
        <f>IF(COUNTIF(Table1[Customer ID],Table1[[#This Row],[Customer ID]])&gt;1,"Repeat Customer","One-Time Customer")</f>
        <v>Repeat Customer</v>
      </c>
      <c r="H320" s="11" t="s">
        <v>701</v>
      </c>
      <c r="I320" s="11" t="s">
        <v>49</v>
      </c>
      <c r="J320" s="11" t="s">
        <v>114</v>
      </c>
      <c r="K320" s="11" t="s">
        <v>77</v>
      </c>
      <c r="L320" s="11" t="s">
        <v>180</v>
      </c>
      <c r="M320" s="11" t="s">
        <v>51</v>
      </c>
      <c r="N320" s="11" t="s">
        <v>705</v>
      </c>
      <c r="O320" s="11">
        <v>0.54</v>
      </c>
      <c r="P320" s="6">
        <f>Table1[[#This Row],[Profit]]/Table1[[#This Row],[Sales]]</f>
        <v>0.69</v>
      </c>
      <c r="Q320" s="11" t="s">
        <v>33</v>
      </c>
      <c r="R320" s="11" t="s">
        <v>61</v>
      </c>
      <c r="S320" s="11" t="s">
        <v>703</v>
      </c>
      <c r="T320" s="11" t="s">
        <v>704</v>
      </c>
      <c r="U320" s="11">
        <v>46016</v>
      </c>
      <c r="V320" s="12">
        <v>42174</v>
      </c>
      <c r="W320" s="13" t="str">
        <f>TEXT(Table1[[#This Row],[Order Date]],"mmmm")</f>
        <v>June</v>
      </c>
      <c r="X320" s="7" t="str">
        <f>TEXT(Table1[[#This Row],[Order Date]],"yyyy")</f>
        <v>2015</v>
      </c>
      <c r="Y320" s="12">
        <v>42177</v>
      </c>
      <c r="Z320" s="11">
        <v>484.84919999999994</v>
      </c>
      <c r="AA320" s="11">
        <v>18</v>
      </c>
      <c r="AB320" s="11">
        <v>702.68</v>
      </c>
      <c r="AC320" s="11">
        <v>86311</v>
      </c>
      <c r="AD320" s="6" t="str">
        <f>IF(COUNTIF(Returns!$A$2:$A$1635,Orders!AC320)&gt;0,"Returned","Not Returned")</f>
        <v>Not Returned</v>
      </c>
    </row>
    <row r="321" spans="1:30" ht="12.75" customHeight="1" thickTop="1" thickBot="1" x14ac:dyDescent="0.25">
      <c r="A321" s="8">
        <v>21663</v>
      </c>
      <c r="B321" s="1" t="s">
        <v>47</v>
      </c>
      <c r="C321" s="1">
        <v>0.04</v>
      </c>
      <c r="D321" s="1">
        <v>3.7</v>
      </c>
      <c r="E321" s="1">
        <v>1.61</v>
      </c>
      <c r="F321" s="1">
        <v>594</v>
      </c>
      <c r="G321" s="6" t="str">
        <f>IF(COUNTIF(Table1[Customer ID],Table1[[#This Row],[Customer ID]])&gt;1,"Repeat Customer","One-Time Customer")</f>
        <v>Repeat Customer</v>
      </c>
      <c r="H321" s="1" t="s">
        <v>701</v>
      </c>
      <c r="I321" s="1" t="s">
        <v>49</v>
      </c>
      <c r="J321" s="1" t="s">
        <v>114</v>
      </c>
      <c r="K321" s="1" t="s">
        <v>41</v>
      </c>
      <c r="L321" s="1" t="s">
        <v>50</v>
      </c>
      <c r="M321" s="1" t="s">
        <v>31</v>
      </c>
      <c r="N321" s="1" t="s">
        <v>706</v>
      </c>
      <c r="O321" s="1">
        <v>0.44</v>
      </c>
      <c r="P321" s="6">
        <f>Table1[[#This Row],[Profit]]/Table1[[#This Row],[Sales]]</f>
        <v>0.26769779892920881</v>
      </c>
      <c r="Q321" s="1" t="s">
        <v>33</v>
      </c>
      <c r="R321" s="1" t="s">
        <v>61</v>
      </c>
      <c r="S321" s="1" t="s">
        <v>703</v>
      </c>
      <c r="T321" s="1" t="s">
        <v>704</v>
      </c>
      <c r="U321" s="1">
        <v>46016</v>
      </c>
      <c r="V321" s="9">
        <v>42174</v>
      </c>
      <c r="W321" s="13" t="str">
        <f>TEXT(Table1[[#This Row],[Order Date]],"mmmm")</f>
        <v>June</v>
      </c>
      <c r="X321" s="7" t="str">
        <f>TEXT(Table1[[#This Row],[Order Date]],"yyyy")</f>
        <v>2015</v>
      </c>
      <c r="Y321" s="9">
        <v>42175</v>
      </c>
      <c r="Z321" s="1">
        <v>18</v>
      </c>
      <c r="AA321" s="1">
        <v>18</v>
      </c>
      <c r="AB321" s="1">
        <v>67.239999999999995</v>
      </c>
      <c r="AC321" s="1">
        <v>86311</v>
      </c>
      <c r="AD321" s="6" t="str">
        <f>IF(COUNTIF(Returns!$A$2:$A$1635,Orders!AC321)&gt;0,"Returned","Not Returned")</f>
        <v>Not Returned</v>
      </c>
    </row>
    <row r="322" spans="1:30" ht="12.75" customHeight="1" thickTop="1" thickBot="1" x14ac:dyDescent="0.25">
      <c r="A322" s="10">
        <v>24480</v>
      </c>
      <c r="B322" s="11" t="s">
        <v>47</v>
      </c>
      <c r="C322" s="11">
        <v>0.03</v>
      </c>
      <c r="D322" s="11">
        <v>3.8</v>
      </c>
      <c r="E322" s="11">
        <v>1.49</v>
      </c>
      <c r="F322" s="11">
        <v>596</v>
      </c>
      <c r="G322" s="6" t="str">
        <f>IF(COUNTIF(Table1[Customer ID],Table1[[#This Row],[Customer ID]])&gt;1,"Repeat Customer","One-Time Customer")</f>
        <v>Repeat Customer</v>
      </c>
      <c r="H322" s="11" t="s">
        <v>707</v>
      </c>
      <c r="I322" s="11" t="s">
        <v>49</v>
      </c>
      <c r="J322" s="11" t="s">
        <v>114</v>
      </c>
      <c r="K322" s="11" t="s">
        <v>29</v>
      </c>
      <c r="L322" s="11" t="s">
        <v>109</v>
      </c>
      <c r="M322" s="11" t="s">
        <v>59</v>
      </c>
      <c r="N322" s="11" t="s">
        <v>125</v>
      </c>
      <c r="O322" s="11">
        <v>0.38</v>
      </c>
      <c r="P322" s="6">
        <f>Table1[[#This Row],[Profit]]/Table1[[#This Row],[Sales]]</f>
        <v>0.62935723114956732</v>
      </c>
      <c r="Q322" s="11" t="s">
        <v>33</v>
      </c>
      <c r="R322" s="11" t="s">
        <v>61</v>
      </c>
      <c r="S322" s="11" t="s">
        <v>703</v>
      </c>
      <c r="T322" s="11" t="s">
        <v>708</v>
      </c>
      <c r="U322" s="11">
        <v>46032</v>
      </c>
      <c r="V322" s="12">
        <v>42050</v>
      </c>
      <c r="W322" s="13" t="str">
        <f>TEXT(Table1[[#This Row],[Order Date]],"mmmm")</f>
        <v>February</v>
      </c>
      <c r="X322" s="7" t="str">
        <f>TEXT(Table1[[#This Row],[Order Date]],"yyyy")</f>
        <v>2015</v>
      </c>
      <c r="Y322" s="12">
        <v>42052</v>
      </c>
      <c r="Z322" s="11">
        <v>15.2745</v>
      </c>
      <c r="AA322" s="11">
        <v>6</v>
      </c>
      <c r="AB322" s="11">
        <v>24.27</v>
      </c>
      <c r="AC322" s="11">
        <v>86308</v>
      </c>
      <c r="AD322" s="6" t="str">
        <f>IF(COUNTIF(Returns!$A$2:$A$1635,Orders!AC322)&gt;0,"Returned","Not Returned")</f>
        <v>Not Returned</v>
      </c>
    </row>
    <row r="323" spans="1:30" ht="12.75" customHeight="1" thickTop="1" thickBot="1" x14ac:dyDescent="0.25">
      <c r="A323" s="8">
        <v>24481</v>
      </c>
      <c r="B323" s="1" t="s">
        <v>47</v>
      </c>
      <c r="C323" s="1">
        <v>7.0000000000000007E-2</v>
      </c>
      <c r="D323" s="1">
        <v>7.98</v>
      </c>
      <c r="E323" s="1">
        <v>1.25</v>
      </c>
      <c r="F323" s="1">
        <v>596</v>
      </c>
      <c r="G323" s="6" t="str">
        <f>IF(COUNTIF(Table1[Customer ID],Table1[[#This Row],[Customer ID]])&gt;1,"Repeat Customer","One-Time Customer")</f>
        <v>Repeat Customer</v>
      </c>
      <c r="H323" s="1" t="s">
        <v>707</v>
      </c>
      <c r="I323" s="1" t="s">
        <v>49</v>
      </c>
      <c r="J323" s="1" t="s">
        <v>114</v>
      </c>
      <c r="K323" s="1" t="s">
        <v>29</v>
      </c>
      <c r="L323" s="1" t="s">
        <v>93</v>
      </c>
      <c r="M323" s="1" t="s">
        <v>31</v>
      </c>
      <c r="N323" s="1" t="s">
        <v>709</v>
      </c>
      <c r="O323" s="1">
        <v>0.35</v>
      </c>
      <c r="P323" s="6">
        <f>Table1[[#This Row],[Profit]]/Table1[[#This Row],[Sales]]</f>
        <v>0.69</v>
      </c>
      <c r="Q323" s="1" t="s">
        <v>33</v>
      </c>
      <c r="R323" s="1" t="s">
        <v>61</v>
      </c>
      <c r="S323" s="1" t="s">
        <v>703</v>
      </c>
      <c r="T323" s="1" t="s">
        <v>708</v>
      </c>
      <c r="U323" s="1">
        <v>46032</v>
      </c>
      <c r="V323" s="9">
        <v>42050</v>
      </c>
      <c r="W323" s="13" t="str">
        <f>TEXT(Table1[[#This Row],[Order Date]],"mmmm")</f>
        <v>February</v>
      </c>
      <c r="X323" s="7" t="str">
        <f>TEXT(Table1[[#This Row],[Order Date]],"yyyy")</f>
        <v>2015</v>
      </c>
      <c r="Y323" s="9">
        <v>42052</v>
      </c>
      <c r="Z323" s="1">
        <v>26.585699999999999</v>
      </c>
      <c r="AA323" s="1">
        <v>5</v>
      </c>
      <c r="AB323" s="1">
        <v>38.53</v>
      </c>
      <c r="AC323" s="1">
        <v>86308</v>
      </c>
      <c r="AD323" s="6" t="str">
        <f>IF(COUNTIF(Returns!$A$2:$A$1635,Orders!AC323)&gt;0,"Returned","Not Returned")</f>
        <v>Not Returned</v>
      </c>
    </row>
    <row r="324" spans="1:30" ht="12.75" customHeight="1" thickTop="1" thickBot="1" x14ac:dyDescent="0.25">
      <c r="A324" s="10">
        <v>24482</v>
      </c>
      <c r="B324" s="11" t="s">
        <v>47</v>
      </c>
      <c r="C324" s="11">
        <v>7.0000000000000007E-2</v>
      </c>
      <c r="D324" s="11">
        <v>417.4</v>
      </c>
      <c r="E324" s="11">
        <v>75.23</v>
      </c>
      <c r="F324" s="11">
        <v>596</v>
      </c>
      <c r="G324" s="6" t="str">
        <f>IF(COUNTIF(Table1[Customer ID],Table1[[#This Row],[Customer ID]])&gt;1,"Repeat Customer","One-Time Customer")</f>
        <v>Repeat Customer</v>
      </c>
      <c r="H324" s="11" t="s">
        <v>707</v>
      </c>
      <c r="I324" s="11" t="s">
        <v>39</v>
      </c>
      <c r="J324" s="11" t="s">
        <v>114</v>
      </c>
      <c r="K324" s="11" t="s">
        <v>41</v>
      </c>
      <c r="L324" s="11" t="s">
        <v>152</v>
      </c>
      <c r="M324" s="11" t="s">
        <v>121</v>
      </c>
      <c r="N324" s="11" t="s">
        <v>710</v>
      </c>
      <c r="O324" s="11">
        <v>0.79</v>
      </c>
      <c r="P324" s="6">
        <f>Table1[[#This Row],[Profit]]/Table1[[#This Row],[Sales]]</f>
        <v>-0.11716245275641859</v>
      </c>
      <c r="Q324" s="11" t="s">
        <v>33</v>
      </c>
      <c r="R324" s="11" t="s">
        <v>61</v>
      </c>
      <c r="S324" s="11" t="s">
        <v>703</v>
      </c>
      <c r="T324" s="11" t="s">
        <v>708</v>
      </c>
      <c r="U324" s="11">
        <v>46032</v>
      </c>
      <c r="V324" s="12">
        <v>42050</v>
      </c>
      <c r="W324" s="13" t="str">
        <f>TEXT(Table1[[#This Row],[Order Date]],"mmmm")</f>
        <v>February</v>
      </c>
      <c r="X324" s="7" t="str">
        <f>TEXT(Table1[[#This Row],[Order Date]],"yyyy")</f>
        <v>2015</v>
      </c>
      <c r="Y324" s="12">
        <v>42051</v>
      </c>
      <c r="Z324" s="11">
        <v>-575.35199999999998</v>
      </c>
      <c r="AA324" s="11">
        <v>12</v>
      </c>
      <c r="AB324" s="11">
        <v>4910.72</v>
      </c>
      <c r="AC324" s="11">
        <v>86308</v>
      </c>
      <c r="AD324" s="6" t="str">
        <f>IF(COUNTIF(Returns!$A$2:$A$1635,Orders!AC324)&gt;0,"Returned","Not Returned")</f>
        <v>Not Returned</v>
      </c>
    </row>
    <row r="325" spans="1:30" ht="12.75" customHeight="1" thickTop="1" thickBot="1" x14ac:dyDescent="0.25">
      <c r="A325" s="8">
        <v>25949</v>
      </c>
      <c r="B325" s="1" t="s">
        <v>37</v>
      </c>
      <c r="C325" s="1">
        <v>0.1</v>
      </c>
      <c r="D325" s="1">
        <v>6.48</v>
      </c>
      <c r="E325" s="1">
        <v>5.9</v>
      </c>
      <c r="F325" s="1">
        <v>597</v>
      </c>
      <c r="G325" s="6" t="str">
        <f>IF(COUNTIF(Table1[Customer ID],Table1[[#This Row],[Customer ID]])&gt;1,"Repeat Customer","One-Time Customer")</f>
        <v>One-Time Customer</v>
      </c>
      <c r="H325" s="1" t="s">
        <v>711</v>
      </c>
      <c r="I325" s="1" t="s">
        <v>49</v>
      </c>
      <c r="J325" s="1" t="s">
        <v>58</v>
      </c>
      <c r="K325" s="1" t="s">
        <v>29</v>
      </c>
      <c r="L325" s="1" t="s">
        <v>93</v>
      </c>
      <c r="M325" s="1" t="s">
        <v>59</v>
      </c>
      <c r="N325" s="1" t="s">
        <v>712</v>
      </c>
      <c r="O325" s="1">
        <v>0.37</v>
      </c>
      <c r="P325" s="6">
        <f>Table1[[#This Row],[Profit]]/Table1[[#This Row],[Sales]]</f>
        <v>-0.44208047945205481</v>
      </c>
      <c r="Q325" s="1" t="s">
        <v>33</v>
      </c>
      <c r="R325" s="1" t="s">
        <v>61</v>
      </c>
      <c r="S325" s="1" t="s">
        <v>703</v>
      </c>
      <c r="T325" s="1" t="s">
        <v>443</v>
      </c>
      <c r="U325" s="1">
        <v>47201</v>
      </c>
      <c r="V325" s="9">
        <v>42165</v>
      </c>
      <c r="W325" s="13" t="str">
        <f>TEXT(Table1[[#This Row],[Order Date]],"mmmm")</f>
        <v>June</v>
      </c>
      <c r="X325" s="7" t="str">
        <f>TEXT(Table1[[#This Row],[Order Date]],"yyyy")</f>
        <v>2015</v>
      </c>
      <c r="Y325" s="9">
        <v>42165</v>
      </c>
      <c r="Z325" s="1">
        <v>-51.634999999999998</v>
      </c>
      <c r="AA325" s="1">
        <v>19</v>
      </c>
      <c r="AB325" s="1">
        <v>116.8</v>
      </c>
      <c r="AC325" s="1">
        <v>86310</v>
      </c>
      <c r="AD325" s="6" t="str">
        <f>IF(COUNTIF(Returns!$A$2:$A$1635,Orders!AC325)&gt;0,"Returned","Not Returned")</f>
        <v>Not Returned</v>
      </c>
    </row>
    <row r="326" spans="1:30" ht="12.75" customHeight="1" thickTop="1" thickBot="1" x14ac:dyDescent="0.25">
      <c r="A326" s="10">
        <v>21274</v>
      </c>
      <c r="B326" s="11" t="s">
        <v>56</v>
      </c>
      <c r="C326" s="11">
        <v>0.06</v>
      </c>
      <c r="D326" s="11">
        <v>6.48</v>
      </c>
      <c r="E326" s="11">
        <v>7.37</v>
      </c>
      <c r="F326" s="11">
        <v>600</v>
      </c>
      <c r="G326" s="6" t="str">
        <f>IF(COUNTIF(Table1[Customer ID],Table1[[#This Row],[Customer ID]])&gt;1,"Repeat Customer","One-Time Customer")</f>
        <v>One-Time Customer</v>
      </c>
      <c r="H326" s="11" t="s">
        <v>713</v>
      </c>
      <c r="I326" s="11" t="s">
        <v>49</v>
      </c>
      <c r="J326" s="11" t="s">
        <v>28</v>
      </c>
      <c r="K326" s="11" t="s">
        <v>29</v>
      </c>
      <c r="L326" s="11" t="s">
        <v>93</v>
      </c>
      <c r="M326" s="11" t="s">
        <v>59</v>
      </c>
      <c r="N326" s="11" t="s">
        <v>714</v>
      </c>
      <c r="O326" s="11">
        <v>0.37</v>
      </c>
      <c r="P326" s="6">
        <f>Table1[[#This Row],[Profit]]/Table1[[#This Row],[Sales]]</f>
        <v>-2.3291139240506329</v>
      </c>
      <c r="Q326" s="11" t="s">
        <v>33</v>
      </c>
      <c r="R326" s="11" t="s">
        <v>53</v>
      </c>
      <c r="S326" s="11" t="s">
        <v>415</v>
      </c>
      <c r="T326" s="11" t="s">
        <v>715</v>
      </c>
      <c r="U326" s="11">
        <v>21136</v>
      </c>
      <c r="V326" s="12">
        <v>42076</v>
      </c>
      <c r="W326" s="13" t="str">
        <f>TEXT(Table1[[#This Row],[Order Date]],"mmmm")</f>
        <v>March</v>
      </c>
      <c r="X326" s="7" t="str">
        <f>TEXT(Table1[[#This Row],[Order Date]],"yyyy")</f>
        <v>2015</v>
      </c>
      <c r="Y326" s="12">
        <v>42077</v>
      </c>
      <c r="Z326" s="11">
        <v>-75.44</v>
      </c>
      <c r="AA326" s="11">
        <v>5</v>
      </c>
      <c r="AB326" s="11">
        <v>32.39</v>
      </c>
      <c r="AC326" s="11">
        <v>87579</v>
      </c>
      <c r="AD326" s="6" t="str">
        <f>IF(COUNTIF(Returns!$A$2:$A$1635,Orders!AC326)&gt;0,"Returned","Not Returned")</f>
        <v>Not Returned</v>
      </c>
    </row>
    <row r="327" spans="1:30" ht="12.75" customHeight="1" thickTop="1" thickBot="1" x14ac:dyDescent="0.25">
      <c r="A327" s="8">
        <v>20929</v>
      </c>
      <c r="B327" s="1" t="s">
        <v>37</v>
      </c>
      <c r="C327" s="1">
        <v>0.02</v>
      </c>
      <c r="D327" s="1">
        <v>35.99</v>
      </c>
      <c r="E327" s="1">
        <v>5</v>
      </c>
      <c r="F327" s="1">
        <v>603</v>
      </c>
      <c r="G327" s="6" t="str">
        <f>IF(COUNTIF(Table1[Customer ID],Table1[[#This Row],[Customer ID]])&gt;1,"Repeat Customer","One-Time Customer")</f>
        <v>One-Time Customer</v>
      </c>
      <c r="H327" s="1" t="s">
        <v>716</v>
      </c>
      <c r="I327" s="1" t="s">
        <v>49</v>
      </c>
      <c r="J327" s="1" t="s">
        <v>40</v>
      </c>
      <c r="K327" s="1" t="s">
        <v>77</v>
      </c>
      <c r="L327" s="1" t="s">
        <v>78</v>
      </c>
      <c r="M327" s="1" t="s">
        <v>59</v>
      </c>
      <c r="N327" s="1" t="s">
        <v>717</v>
      </c>
      <c r="O327" s="1">
        <v>0.85</v>
      </c>
      <c r="P327" s="6">
        <f>Table1[[#This Row],[Profit]]/Table1[[#This Row],[Sales]]</f>
        <v>-0.53090126871241061</v>
      </c>
      <c r="Q327" s="1" t="s">
        <v>33</v>
      </c>
      <c r="R327" s="1" t="s">
        <v>34</v>
      </c>
      <c r="S327" s="1" t="s">
        <v>255</v>
      </c>
      <c r="T327" s="1" t="s">
        <v>718</v>
      </c>
      <c r="U327" s="1">
        <v>81001</v>
      </c>
      <c r="V327" s="9">
        <v>42038</v>
      </c>
      <c r="W327" s="13" t="str">
        <f>TEXT(Table1[[#This Row],[Order Date]],"mmmm")</f>
        <v>February</v>
      </c>
      <c r="X327" s="7" t="str">
        <f>TEXT(Table1[[#This Row],[Order Date]],"yyyy")</f>
        <v>2015</v>
      </c>
      <c r="Y327" s="9">
        <v>42040</v>
      </c>
      <c r="Z327" s="1">
        <v>-120.934</v>
      </c>
      <c r="AA327" s="1">
        <v>7</v>
      </c>
      <c r="AB327" s="1">
        <v>227.79</v>
      </c>
      <c r="AC327" s="1">
        <v>87020</v>
      </c>
      <c r="AD327" s="6" t="str">
        <f>IF(COUNTIF(Returns!$A$2:$A$1635,Orders!AC327)&gt;0,"Returned","Not Returned")</f>
        <v>Not Returned</v>
      </c>
    </row>
    <row r="328" spans="1:30" ht="12.75" customHeight="1" thickTop="1" thickBot="1" x14ac:dyDescent="0.25">
      <c r="A328" s="10">
        <v>4015</v>
      </c>
      <c r="B328" s="11" t="s">
        <v>47</v>
      </c>
      <c r="C328" s="11">
        <v>0.09</v>
      </c>
      <c r="D328" s="11">
        <v>154.13</v>
      </c>
      <c r="E328" s="11">
        <v>69</v>
      </c>
      <c r="F328" s="11">
        <v>604</v>
      </c>
      <c r="G328" s="6" t="str">
        <f>IF(COUNTIF(Table1[Customer ID],Table1[[#This Row],[Customer ID]])&gt;1,"Repeat Customer","One-Time Customer")</f>
        <v>Repeat Customer</v>
      </c>
      <c r="H328" s="11" t="s">
        <v>719</v>
      </c>
      <c r="I328" s="11" t="s">
        <v>27</v>
      </c>
      <c r="J328" s="11" t="s">
        <v>28</v>
      </c>
      <c r="K328" s="11" t="s">
        <v>41</v>
      </c>
      <c r="L328" s="11" t="s">
        <v>152</v>
      </c>
      <c r="M328" s="11" t="s">
        <v>236</v>
      </c>
      <c r="N328" s="11" t="s">
        <v>237</v>
      </c>
      <c r="O328" s="11">
        <v>0.68</v>
      </c>
      <c r="P328" s="6">
        <f>Table1[[#This Row],[Profit]]/Table1[[#This Row],[Sales]]</f>
        <v>-0.31054137710644614</v>
      </c>
      <c r="Q328" s="11" t="s">
        <v>33</v>
      </c>
      <c r="R328" s="11" t="s">
        <v>34</v>
      </c>
      <c r="S328" s="11" t="s">
        <v>45</v>
      </c>
      <c r="T328" s="11" t="s">
        <v>663</v>
      </c>
      <c r="U328" s="11">
        <v>90045</v>
      </c>
      <c r="V328" s="12">
        <v>42077</v>
      </c>
      <c r="W328" s="13" t="str">
        <f>TEXT(Table1[[#This Row],[Order Date]],"mmmm")</f>
        <v>March</v>
      </c>
      <c r="X328" s="7" t="str">
        <f>TEXT(Table1[[#This Row],[Order Date]],"yyyy")</f>
        <v>2015</v>
      </c>
      <c r="Y328" s="12">
        <v>42078</v>
      </c>
      <c r="Z328" s="11">
        <v>-1763.7477000000003</v>
      </c>
      <c r="AA328" s="11">
        <v>38</v>
      </c>
      <c r="AB328" s="11">
        <v>5679.59</v>
      </c>
      <c r="AC328" s="11">
        <v>28647</v>
      </c>
      <c r="AD328" s="6" t="str">
        <f>IF(COUNTIF(Returns!$A$2:$A$1635,Orders!AC328)&gt;0,"Returned","Not Returned")</f>
        <v>Not Returned</v>
      </c>
    </row>
    <row r="329" spans="1:30" ht="12.75" customHeight="1" thickTop="1" thickBot="1" x14ac:dyDescent="0.25">
      <c r="A329" s="8">
        <v>4903</v>
      </c>
      <c r="B329" s="1" t="s">
        <v>47</v>
      </c>
      <c r="C329" s="1">
        <v>0.03</v>
      </c>
      <c r="D329" s="1">
        <v>1.88</v>
      </c>
      <c r="E329" s="1">
        <v>1.49</v>
      </c>
      <c r="F329" s="1">
        <v>604</v>
      </c>
      <c r="G329" s="6" t="str">
        <f>IF(COUNTIF(Table1[Customer ID],Table1[[#This Row],[Customer ID]])&gt;1,"Repeat Customer","One-Time Customer")</f>
        <v>Repeat Customer</v>
      </c>
      <c r="H329" s="1" t="s">
        <v>719</v>
      </c>
      <c r="I329" s="1" t="s">
        <v>49</v>
      </c>
      <c r="J329" s="1" t="s">
        <v>40</v>
      </c>
      <c r="K329" s="1" t="s">
        <v>29</v>
      </c>
      <c r="L329" s="1" t="s">
        <v>109</v>
      </c>
      <c r="M329" s="1" t="s">
        <v>59</v>
      </c>
      <c r="N329" s="1" t="s">
        <v>272</v>
      </c>
      <c r="O329" s="1">
        <v>0.37</v>
      </c>
      <c r="P329" s="6">
        <f>Table1[[#This Row],[Profit]]/Table1[[#This Row],[Sales]]</f>
        <v>-0.1475713448006255</v>
      </c>
      <c r="Q329" s="1" t="s">
        <v>33</v>
      </c>
      <c r="R329" s="1" t="s">
        <v>34</v>
      </c>
      <c r="S329" s="1" t="s">
        <v>45</v>
      </c>
      <c r="T329" s="1" t="s">
        <v>663</v>
      </c>
      <c r="U329" s="1">
        <v>90045</v>
      </c>
      <c r="V329" s="9">
        <v>42028</v>
      </c>
      <c r="W329" s="13" t="str">
        <f>TEXT(Table1[[#This Row],[Order Date]],"mmmm")</f>
        <v>January</v>
      </c>
      <c r="X329" s="7" t="str">
        <f>TEXT(Table1[[#This Row],[Order Date]],"yyyy")</f>
        <v>2015</v>
      </c>
      <c r="Y329" s="9">
        <v>42029</v>
      </c>
      <c r="Z329" s="1">
        <v>-15.099500000000001</v>
      </c>
      <c r="AA329" s="1">
        <v>52</v>
      </c>
      <c r="AB329" s="1">
        <v>102.32</v>
      </c>
      <c r="AC329" s="1">
        <v>34882</v>
      </c>
      <c r="AD329" s="6" t="str">
        <f>IF(COUNTIF(Returns!$A$2:$A$1635,Orders!AC329)&gt;0,"Returned","Not Returned")</f>
        <v>Not Returned</v>
      </c>
    </row>
    <row r="330" spans="1:30" ht="12.75" customHeight="1" thickTop="1" thickBot="1" x14ac:dyDescent="0.25">
      <c r="A330" s="10">
        <v>22015</v>
      </c>
      <c r="B330" s="11" t="s">
        <v>47</v>
      </c>
      <c r="C330" s="11">
        <v>0.09</v>
      </c>
      <c r="D330" s="11">
        <v>154.13</v>
      </c>
      <c r="E330" s="11">
        <v>69</v>
      </c>
      <c r="F330" s="11">
        <v>605</v>
      </c>
      <c r="G330" s="6" t="str">
        <f>IF(COUNTIF(Table1[Customer ID],Table1[[#This Row],[Customer ID]])&gt;1,"Repeat Customer","One-Time Customer")</f>
        <v>One-Time Customer</v>
      </c>
      <c r="H330" s="11" t="s">
        <v>720</v>
      </c>
      <c r="I330" s="11" t="s">
        <v>27</v>
      </c>
      <c r="J330" s="11" t="s">
        <v>28</v>
      </c>
      <c r="K330" s="11" t="s">
        <v>41</v>
      </c>
      <c r="L330" s="11" t="s">
        <v>152</v>
      </c>
      <c r="M330" s="11" t="s">
        <v>236</v>
      </c>
      <c r="N330" s="11" t="s">
        <v>237</v>
      </c>
      <c r="O330" s="11">
        <v>0.68</v>
      </c>
      <c r="P330" s="6">
        <f>Table1[[#This Row],[Profit]]/Table1[[#This Row],[Sales]]</f>
        <v>-1.1800564019188697</v>
      </c>
      <c r="Q330" s="11" t="s">
        <v>33</v>
      </c>
      <c r="R330" s="11" t="s">
        <v>53</v>
      </c>
      <c r="S330" s="11" t="s">
        <v>71</v>
      </c>
      <c r="T330" s="11" t="s">
        <v>721</v>
      </c>
      <c r="U330" s="11">
        <v>11795</v>
      </c>
      <c r="V330" s="12">
        <v>42077</v>
      </c>
      <c r="W330" s="13" t="str">
        <f>TEXT(Table1[[#This Row],[Order Date]],"mmmm")</f>
        <v>March</v>
      </c>
      <c r="X330" s="7" t="str">
        <f>TEXT(Table1[[#This Row],[Order Date]],"yyyy")</f>
        <v>2015</v>
      </c>
      <c r="Y330" s="12">
        <v>42078</v>
      </c>
      <c r="Z330" s="11">
        <v>-1763.7477000000003</v>
      </c>
      <c r="AA330" s="11">
        <v>10</v>
      </c>
      <c r="AB330" s="11">
        <v>1494.63</v>
      </c>
      <c r="AC330" s="11">
        <v>91144</v>
      </c>
      <c r="AD330" s="6" t="str">
        <f>IF(COUNTIF(Returns!$A$2:$A$1635,Orders!AC330)&gt;0,"Returned","Not Returned")</f>
        <v>Not Returned</v>
      </c>
    </row>
    <row r="331" spans="1:30" ht="12.75" customHeight="1" thickTop="1" thickBot="1" x14ac:dyDescent="0.25">
      <c r="A331" s="8">
        <v>18492</v>
      </c>
      <c r="B331" s="1" t="s">
        <v>37</v>
      </c>
      <c r="C331" s="1">
        <v>0.02</v>
      </c>
      <c r="D331" s="1">
        <v>15.57</v>
      </c>
      <c r="E331" s="1">
        <v>1.39</v>
      </c>
      <c r="F331" s="1">
        <v>617</v>
      </c>
      <c r="G331" s="6" t="str">
        <f>IF(COUNTIF(Table1[Customer ID],Table1[[#This Row],[Customer ID]])&gt;1,"Repeat Customer","One-Time Customer")</f>
        <v>Repeat Customer</v>
      </c>
      <c r="H331" s="1" t="s">
        <v>722</v>
      </c>
      <c r="I331" s="1" t="s">
        <v>49</v>
      </c>
      <c r="J331" s="1" t="s">
        <v>114</v>
      </c>
      <c r="K331" s="1" t="s">
        <v>29</v>
      </c>
      <c r="L331" s="1" t="s">
        <v>69</v>
      </c>
      <c r="M331" s="1" t="s">
        <v>59</v>
      </c>
      <c r="N331" s="1" t="s">
        <v>723</v>
      </c>
      <c r="O331" s="1">
        <v>0.38</v>
      </c>
      <c r="P331" s="6">
        <f>Table1[[#This Row],[Profit]]/Table1[[#This Row],[Sales]]</f>
        <v>0.50925373134328356</v>
      </c>
      <c r="Q331" s="1" t="s">
        <v>33</v>
      </c>
      <c r="R331" s="1" t="s">
        <v>34</v>
      </c>
      <c r="S331" s="1" t="s">
        <v>255</v>
      </c>
      <c r="T331" s="1" t="s">
        <v>718</v>
      </c>
      <c r="U331" s="1">
        <v>81001</v>
      </c>
      <c r="V331" s="9">
        <v>42123</v>
      </c>
      <c r="W331" s="13" t="str">
        <f>TEXT(Table1[[#This Row],[Order Date]],"mmmm")</f>
        <v>April</v>
      </c>
      <c r="X331" s="7" t="str">
        <f>TEXT(Table1[[#This Row],[Order Date]],"yyyy")</f>
        <v>2015</v>
      </c>
      <c r="Y331" s="9">
        <v>42124</v>
      </c>
      <c r="Z331" s="1">
        <v>23.5428</v>
      </c>
      <c r="AA331" s="1">
        <v>3</v>
      </c>
      <c r="AB331" s="1">
        <v>46.23</v>
      </c>
      <c r="AC331" s="1">
        <v>88198</v>
      </c>
      <c r="AD331" s="6" t="str">
        <f>IF(COUNTIF(Returns!$A$2:$A$1635,Orders!AC331)&gt;0,"Returned","Not Returned")</f>
        <v>Not Returned</v>
      </c>
    </row>
    <row r="332" spans="1:30" ht="12.75" customHeight="1" thickTop="1" thickBot="1" x14ac:dyDescent="0.25">
      <c r="A332" s="10">
        <v>18493</v>
      </c>
      <c r="B332" s="11" t="s">
        <v>37</v>
      </c>
      <c r="C332" s="11">
        <v>0.02</v>
      </c>
      <c r="D332" s="11">
        <v>20.89</v>
      </c>
      <c r="E332" s="11">
        <v>11.52</v>
      </c>
      <c r="F332" s="11">
        <v>617</v>
      </c>
      <c r="G332" s="6" t="str">
        <f>IF(COUNTIF(Table1[Customer ID],Table1[[#This Row],[Customer ID]])&gt;1,"Repeat Customer","One-Time Customer")</f>
        <v>Repeat Customer</v>
      </c>
      <c r="H332" s="11" t="s">
        <v>722</v>
      </c>
      <c r="I332" s="11" t="s">
        <v>49</v>
      </c>
      <c r="J332" s="11" t="s">
        <v>114</v>
      </c>
      <c r="K332" s="11" t="s">
        <v>29</v>
      </c>
      <c r="L332" s="11" t="s">
        <v>141</v>
      </c>
      <c r="M332" s="11" t="s">
        <v>59</v>
      </c>
      <c r="N332" s="11" t="s">
        <v>724</v>
      </c>
      <c r="O332" s="11">
        <v>0.83</v>
      </c>
      <c r="P332" s="6">
        <f>Table1[[#This Row],[Profit]]/Table1[[#This Row],[Sales]]</f>
        <v>-0.98865940991120027</v>
      </c>
      <c r="Q332" s="11" t="s">
        <v>33</v>
      </c>
      <c r="R332" s="11" t="s">
        <v>34</v>
      </c>
      <c r="S332" s="11" t="s">
        <v>255</v>
      </c>
      <c r="T332" s="11" t="s">
        <v>718</v>
      </c>
      <c r="U332" s="11">
        <v>81001</v>
      </c>
      <c r="V332" s="12">
        <v>42123</v>
      </c>
      <c r="W332" s="13" t="str">
        <f>TEXT(Table1[[#This Row],[Order Date]],"mmmm")</f>
        <v>April</v>
      </c>
      <c r="X332" s="7" t="str">
        <f>TEXT(Table1[[#This Row],[Order Date]],"yyyy")</f>
        <v>2015</v>
      </c>
      <c r="Y332" s="12">
        <v>42124</v>
      </c>
      <c r="Z332" s="11">
        <v>-276.11279999999999</v>
      </c>
      <c r="AA332" s="11">
        <v>13</v>
      </c>
      <c r="AB332" s="11">
        <v>279.27999999999997</v>
      </c>
      <c r="AC332" s="11">
        <v>88198</v>
      </c>
      <c r="AD332" s="6" t="str">
        <f>IF(COUNTIF(Returns!$A$2:$A$1635,Orders!AC332)&gt;0,"Returned","Not Returned")</f>
        <v>Not Returned</v>
      </c>
    </row>
    <row r="333" spans="1:30" ht="12.75" customHeight="1" thickTop="1" thickBot="1" x14ac:dyDescent="0.25">
      <c r="A333" s="8">
        <v>22196</v>
      </c>
      <c r="B333" s="1" t="s">
        <v>47</v>
      </c>
      <c r="C333" s="1">
        <v>0.06</v>
      </c>
      <c r="D333" s="1">
        <v>17.98</v>
      </c>
      <c r="E333" s="1">
        <v>4</v>
      </c>
      <c r="F333" s="1">
        <v>618</v>
      </c>
      <c r="G333" s="6" t="str">
        <f>IF(COUNTIF(Table1[Customer ID],Table1[[#This Row],[Customer ID]])&gt;1,"Repeat Customer","One-Time Customer")</f>
        <v>Repeat Customer</v>
      </c>
      <c r="H333" s="1" t="s">
        <v>725</v>
      </c>
      <c r="I333" s="1" t="s">
        <v>49</v>
      </c>
      <c r="J333" s="1" t="s">
        <v>114</v>
      </c>
      <c r="K333" s="1" t="s">
        <v>77</v>
      </c>
      <c r="L333" s="1" t="s">
        <v>180</v>
      </c>
      <c r="M333" s="1" t="s">
        <v>59</v>
      </c>
      <c r="N333" s="1" t="s">
        <v>181</v>
      </c>
      <c r="O333" s="1">
        <v>0.79</v>
      </c>
      <c r="P333" s="6">
        <f>Table1[[#This Row],[Profit]]/Table1[[#This Row],[Sales]]</f>
        <v>-1.1151869825863545</v>
      </c>
      <c r="Q333" s="1" t="s">
        <v>33</v>
      </c>
      <c r="R333" s="1" t="s">
        <v>34</v>
      </c>
      <c r="S333" s="1" t="s">
        <v>255</v>
      </c>
      <c r="T333" s="1" t="s">
        <v>726</v>
      </c>
      <c r="U333" s="1">
        <v>81007</v>
      </c>
      <c r="V333" s="9">
        <v>42087</v>
      </c>
      <c r="W333" s="13" t="str">
        <f>TEXT(Table1[[#This Row],[Order Date]],"mmmm")</f>
        <v>March</v>
      </c>
      <c r="X333" s="7" t="str">
        <f>TEXT(Table1[[#This Row],[Order Date]],"yyyy")</f>
        <v>2015</v>
      </c>
      <c r="Y333" s="9">
        <v>42088</v>
      </c>
      <c r="Z333" s="1">
        <v>-78.13</v>
      </c>
      <c r="AA333" s="1">
        <v>4</v>
      </c>
      <c r="AB333" s="1">
        <v>70.06</v>
      </c>
      <c r="AC333" s="1">
        <v>88197</v>
      </c>
      <c r="AD333" s="6" t="str">
        <f>IF(COUNTIF(Returns!$A$2:$A$1635,Orders!AC333)&gt;0,"Returned","Not Returned")</f>
        <v>Not Returned</v>
      </c>
    </row>
    <row r="334" spans="1:30" ht="12.75" customHeight="1" thickTop="1" thickBot="1" x14ac:dyDescent="0.25">
      <c r="A334" s="10">
        <v>18490</v>
      </c>
      <c r="B334" s="11" t="s">
        <v>37</v>
      </c>
      <c r="C334" s="11">
        <v>0.06</v>
      </c>
      <c r="D334" s="11">
        <v>5.38</v>
      </c>
      <c r="E334" s="11">
        <v>5.24</v>
      </c>
      <c r="F334" s="11">
        <v>618</v>
      </c>
      <c r="G334" s="6" t="str">
        <f>IF(COUNTIF(Table1[Customer ID],Table1[[#This Row],[Customer ID]])&gt;1,"Repeat Customer","One-Time Customer")</f>
        <v>Repeat Customer</v>
      </c>
      <c r="H334" s="11" t="s">
        <v>725</v>
      </c>
      <c r="I334" s="11" t="s">
        <v>27</v>
      </c>
      <c r="J334" s="11" t="s">
        <v>114</v>
      </c>
      <c r="K334" s="11" t="s">
        <v>29</v>
      </c>
      <c r="L334" s="11" t="s">
        <v>109</v>
      </c>
      <c r="M334" s="11" t="s">
        <v>59</v>
      </c>
      <c r="N334" s="11" t="s">
        <v>727</v>
      </c>
      <c r="O334" s="11">
        <v>0.36</v>
      </c>
      <c r="P334" s="6">
        <f>Table1[[#This Row],[Profit]]/Table1[[#This Row],[Sales]]</f>
        <v>-0.79040503544365692</v>
      </c>
      <c r="Q334" s="11" t="s">
        <v>33</v>
      </c>
      <c r="R334" s="11" t="s">
        <v>34</v>
      </c>
      <c r="S334" s="11" t="s">
        <v>255</v>
      </c>
      <c r="T334" s="11" t="s">
        <v>726</v>
      </c>
      <c r="U334" s="11">
        <v>81007</v>
      </c>
      <c r="V334" s="12">
        <v>42123</v>
      </c>
      <c r="W334" s="13" t="str">
        <f>TEXT(Table1[[#This Row],[Order Date]],"mmmm")</f>
        <v>April</v>
      </c>
      <c r="X334" s="7" t="str">
        <f>TEXT(Table1[[#This Row],[Order Date]],"yyyy")</f>
        <v>2015</v>
      </c>
      <c r="Y334" s="12">
        <v>42124</v>
      </c>
      <c r="Z334" s="11">
        <v>-64.670940000000002</v>
      </c>
      <c r="AA334" s="11">
        <v>14</v>
      </c>
      <c r="AB334" s="11">
        <v>81.819999999999993</v>
      </c>
      <c r="AC334" s="11">
        <v>88198</v>
      </c>
      <c r="AD334" s="6" t="str">
        <f>IF(COUNTIF(Returns!$A$2:$A$1635,Orders!AC334)&gt;0,"Returned","Not Returned")</f>
        <v>Not Returned</v>
      </c>
    </row>
    <row r="335" spans="1:30" ht="12.75" customHeight="1" thickTop="1" thickBot="1" x14ac:dyDescent="0.25">
      <c r="A335" s="8">
        <v>18491</v>
      </c>
      <c r="B335" s="1" t="s">
        <v>37</v>
      </c>
      <c r="C335" s="1">
        <v>0.03</v>
      </c>
      <c r="D335" s="1">
        <v>7.35</v>
      </c>
      <c r="E335" s="1">
        <v>5.96</v>
      </c>
      <c r="F335" s="1">
        <v>618</v>
      </c>
      <c r="G335" s="6" t="str">
        <f>IF(COUNTIF(Table1[Customer ID],Table1[[#This Row],[Customer ID]])&gt;1,"Repeat Customer","One-Time Customer")</f>
        <v>Repeat Customer</v>
      </c>
      <c r="H335" s="1" t="s">
        <v>725</v>
      </c>
      <c r="I335" s="1" t="s">
        <v>49</v>
      </c>
      <c r="J335" s="1" t="s">
        <v>114</v>
      </c>
      <c r="K335" s="1" t="s">
        <v>29</v>
      </c>
      <c r="L335" s="1" t="s">
        <v>93</v>
      </c>
      <c r="M335" s="1" t="s">
        <v>59</v>
      </c>
      <c r="N335" s="1" t="s">
        <v>728</v>
      </c>
      <c r="O335" s="1">
        <v>0.38</v>
      </c>
      <c r="P335" s="6">
        <f>Table1[[#This Row],[Profit]]/Table1[[#This Row],[Sales]]</f>
        <v>-0.84446808510638294</v>
      </c>
      <c r="Q335" s="1" t="s">
        <v>33</v>
      </c>
      <c r="R335" s="1" t="s">
        <v>34</v>
      </c>
      <c r="S335" s="1" t="s">
        <v>255</v>
      </c>
      <c r="T335" s="1" t="s">
        <v>726</v>
      </c>
      <c r="U335" s="1">
        <v>81007</v>
      </c>
      <c r="V335" s="9">
        <v>42123</v>
      </c>
      <c r="W335" s="13" t="str">
        <f>TEXT(Table1[[#This Row],[Order Date]],"mmmm")</f>
        <v>April</v>
      </c>
      <c r="X335" s="7" t="str">
        <f>TEXT(Table1[[#This Row],[Order Date]],"yyyy")</f>
        <v>2015</v>
      </c>
      <c r="Y335" s="9">
        <v>42124</v>
      </c>
      <c r="Z335" s="1">
        <v>-11.113199999999999</v>
      </c>
      <c r="AA335" s="1">
        <v>1</v>
      </c>
      <c r="AB335" s="1">
        <v>13.16</v>
      </c>
      <c r="AC335" s="1">
        <v>88198</v>
      </c>
      <c r="AD335" s="6" t="str">
        <f>IF(COUNTIF(Returns!$A$2:$A$1635,Orders!AC335)&gt;0,"Returned","Not Returned")</f>
        <v>Not Returned</v>
      </c>
    </row>
    <row r="336" spans="1:30" ht="12.75" customHeight="1" thickTop="1" thickBot="1" x14ac:dyDescent="0.25">
      <c r="A336" s="10">
        <v>25539</v>
      </c>
      <c r="B336" s="11" t="s">
        <v>47</v>
      </c>
      <c r="C336" s="11">
        <v>0.03</v>
      </c>
      <c r="D336" s="11">
        <v>14.2</v>
      </c>
      <c r="E336" s="11">
        <v>5.3</v>
      </c>
      <c r="F336" s="11">
        <v>619</v>
      </c>
      <c r="G336" s="6" t="str">
        <f>IF(COUNTIF(Table1[Customer ID],Table1[[#This Row],[Customer ID]])&gt;1,"Repeat Customer","One-Time Customer")</f>
        <v>One-Time Customer</v>
      </c>
      <c r="H336" s="11" t="s">
        <v>729</v>
      </c>
      <c r="I336" s="11" t="s">
        <v>49</v>
      </c>
      <c r="J336" s="11" t="s">
        <v>114</v>
      </c>
      <c r="K336" s="11" t="s">
        <v>41</v>
      </c>
      <c r="L336" s="11" t="s">
        <v>50</v>
      </c>
      <c r="M336" s="11" t="s">
        <v>31</v>
      </c>
      <c r="N336" s="11" t="s">
        <v>730</v>
      </c>
      <c r="O336" s="11">
        <v>0.46</v>
      </c>
      <c r="P336" s="6">
        <f>Table1[[#This Row],[Profit]]/Table1[[#This Row],[Sales]]</f>
        <v>0.51956500631129232</v>
      </c>
      <c r="Q336" s="11" t="s">
        <v>33</v>
      </c>
      <c r="R336" s="11" t="s">
        <v>61</v>
      </c>
      <c r="S336" s="11" t="s">
        <v>300</v>
      </c>
      <c r="T336" s="11" t="s">
        <v>731</v>
      </c>
      <c r="U336" s="11">
        <v>48195</v>
      </c>
      <c r="V336" s="12">
        <v>42011</v>
      </c>
      <c r="W336" s="13" t="str">
        <f>TEXT(Table1[[#This Row],[Order Date]],"mmmm")</f>
        <v>January</v>
      </c>
      <c r="X336" s="7" t="str">
        <f>TEXT(Table1[[#This Row],[Order Date]],"yyyy")</f>
        <v>2015</v>
      </c>
      <c r="Y336" s="12">
        <v>42012</v>
      </c>
      <c r="Z336" s="11">
        <v>107.02</v>
      </c>
      <c r="AA336" s="11">
        <v>14</v>
      </c>
      <c r="AB336" s="11">
        <v>205.98</v>
      </c>
      <c r="AC336" s="11">
        <v>88196</v>
      </c>
      <c r="AD336" s="6" t="str">
        <f>IF(COUNTIF(Returns!$A$2:$A$1635,Orders!AC336)&gt;0,"Returned","Not Returned")</f>
        <v>Not Returned</v>
      </c>
    </row>
    <row r="337" spans="1:30" ht="12.75" customHeight="1" thickTop="1" thickBot="1" x14ac:dyDescent="0.25">
      <c r="A337" s="8">
        <v>22248</v>
      </c>
      <c r="B337" s="1" t="s">
        <v>56</v>
      </c>
      <c r="C337" s="1">
        <v>0.1</v>
      </c>
      <c r="D337" s="1">
        <v>6.88</v>
      </c>
      <c r="E337" s="1">
        <v>2</v>
      </c>
      <c r="F337" s="1">
        <v>621</v>
      </c>
      <c r="G337" s="6" t="str">
        <f>IF(COUNTIF(Table1[Customer ID],Table1[[#This Row],[Customer ID]])&gt;1,"Repeat Customer","One-Time Customer")</f>
        <v>One-Time Customer</v>
      </c>
      <c r="H337" s="1" t="s">
        <v>732</v>
      </c>
      <c r="I337" s="1" t="s">
        <v>49</v>
      </c>
      <c r="J337" s="1" t="s">
        <v>40</v>
      </c>
      <c r="K337" s="1" t="s">
        <v>29</v>
      </c>
      <c r="L337" s="1" t="s">
        <v>93</v>
      </c>
      <c r="M337" s="1" t="s">
        <v>31</v>
      </c>
      <c r="N337" s="1" t="s">
        <v>662</v>
      </c>
      <c r="O337" s="1">
        <v>0.39</v>
      </c>
      <c r="P337" s="6">
        <f>Table1[[#This Row],[Profit]]/Table1[[#This Row],[Sales]]</f>
        <v>0.58550540368722193</v>
      </c>
      <c r="Q337" s="1" t="s">
        <v>33</v>
      </c>
      <c r="R337" s="1" t="s">
        <v>53</v>
      </c>
      <c r="S337" s="1" t="s">
        <v>228</v>
      </c>
      <c r="T337" s="1" t="s">
        <v>396</v>
      </c>
      <c r="U337" s="1">
        <v>6111</v>
      </c>
      <c r="V337" s="9">
        <v>42061</v>
      </c>
      <c r="W337" s="13" t="str">
        <f>TEXT(Table1[[#This Row],[Order Date]],"mmmm")</f>
        <v>February</v>
      </c>
      <c r="X337" s="7" t="str">
        <f>TEXT(Table1[[#This Row],[Order Date]],"yyyy")</f>
        <v>2015</v>
      </c>
      <c r="Y337" s="9">
        <v>42062</v>
      </c>
      <c r="Z337" s="1">
        <v>18.420000000000002</v>
      </c>
      <c r="AA337" s="1">
        <v>5</v>
      </c>
      <c r="AB337" s="1">
        <v>31.46</v>
      </c>
      <c r="AC337" s="1">
        <v>91432</v>
      </c>
      <c r="AD337" s="6" t="str">
        <f>IF(COUNTIF(Returns!$A$2:$A$1635,Orders!AC337)&gt;0,"Returned","Not Returned")</f>
        <v>Not Returned</v>
      </c>
    </row>
    <row r="338" spans="1:30" ht="12.75" customHeight="1" thickTop="1" thickBot="1" x14ac:dyDescent="0.25">
      <c r="A338" s="10">
        <v>22247</v>
      </c>
      <c r="B338" s="11" t="s">
        <v>56</v>
      </c>
      <c r="C338" s="11">
        <v>0.06</v>
      </c>
      <c r="D338" s="11">
        <v>195.99</v>
      </c>
      <c r="E338" s="11">
        <v>8.99</v>
      </c>
      <c r="F338" s="11">
        <v>622</v>
      </c>
      <c r="G338" s="6" t="str">
        <f>IF(COUNTIF(Table1[Customer ID],Table1[[#This Row],[Customer ID]])&gt;1,"Repeat Customer","One-Time Customer")</f>
        <v>One-Time Customer</v>
      </c>
      <c r="H338" s="11" t="s">
        <v>733</v>
      </c>
      <c r="I338" s="11" t="s">
        <v>49</v>
      </c>
      <c r="J338" s="11" t="s">
        <v>40</v>
      </c>
      <c r="K338" s="11" t="s">
        <v>77</v>
      </c>
      <c r="L338" s="11" t="s">
        <v>78</v>
      </c>
      <c r="M338" s="11" t="s">
        <v>59</v>
      </c>
      <c r="N338" s="11" t="s">
        <v>734</v>
      </c>
      <c r="O338" s="11">
        <v>0.6</v>
      </c>
      <c r="P338" s="6">
        <f>Table1[[#This Row],[Profit]]/Table1[[#This Row],[Sales]]</f>
        <v>0.36826243189984931</v>
      </c>
      <c r="Q338" s="11" t="s">
        <v>33</v>
      </c>
      <c r="R338" s="11" t="s">
        <v>53</v>
      </c>
      <c r="S338" s="11" t="s">
        <v>188</v>
      </c>
      <c r="T338" s="11" t="s">
        <v>511</v>
      </c>
      <c r="U338" s="11">
        <v>4210</v>
      </c>
      <c r="V338" s="12">
        <v>42061</v>
      </c>
      <c r="W338" s="13" t="str">
        <f>TEXT(Table1[[#This Row],[Order Date]],"mmmm")</f>
        <v>February</v>
      </c>
      <c r="X338" s="7" t="str">
        <f>TEXT(Table1[[#This Row],[Order Date]],"yyyy")</f>
        <v>2015</v>
      </c>
      <c r="Y338" s="12">
        <v>42063</v>
      </c>
      <c r="Z338" s="11">
        <v>349.47</v>
      </c>
      <c r="AA338" s="11">
        <v>6</v>
      </c>
      <c r="AB338" s="11">
        <v>948.97</v>
      </c>
      <c r="AC338" s="11">
        <v>91432</v>
      </c>
      <c r="AD338" s="6" t="str">
        <f>IF(COUNTIF(Returns!$A$2:$A$1635,Orders!AC338)&gt;0,"Returned","Not Returned")</f>
        <v>Not Returned</v>
      </c>
    </row>
    <row r="339" spans="1:30" ht="12.75" customHeight="1" thickTop="1" thickBot="1" x14ac:dyDescent="0.25">
      <c r="A339" s="8">
        <v>24880</v>
      </c>
      <c r="B339" s="1" t="s">
        <v>25</v>
      </c>
      <c r="C339" s="1">
        <v>0.05</v>
      </c>
      <c r="D339" s="1">
        <v>6.48</v>
      </c>
      <c r="E339" s="1">
        <v>8.4</v>
      </c>
      <c r="F339" s="1">
        <v>623</v>
      </c>
      <c r="G339" s="6" t="str">
        <f>IF(COUNTIF(Table1[Customer ID],Table1[[#This Row],[Customer ID]])&gt;1,"Repeat Customer","One-Time Customer")</f>
        <v>One-Time Customer</v>
      </c>
      <c r="H339" s="1" t="s">
        <v>735</v>
      </c>
      <c r="I339" s="1" t="s">
        <v>49</v>
      </c>
      <c r="J339" s="1" t="s">
        <v>40</v>
      </c>
      <c r="K339" s="1" t="s">
        <v>29</v>
      </c>
      <c r="L339" s="1" t="s">
        <v>93</v>
      </c>
      <c r="M339" s="1" t="s">
        <v>59</v>
      </c>
      <c r="N339" s="1" t="s">
        <v>736</v>
      </c>
      <c r="O339" s="1">
        <v>0.37</v>
      </c>
      <c r="P339" s="6">
        <f>Table1[[#This Row],[Profit]]/Table1[[#This Row],[Sales]]</f>
        <v>-1.6522841083290751</v>
      </c>
      <c r="Q339" s="1" t="s">
        <v>33</v>
      </c>
      <c r="R339" s="1" t="s">
        <v>53</v>
      </c>
      <c r="S339" s="1" t="s">
        <v>197</v>
      </c>
      <c r="T339" s="1" t="s">
        <v>737</v>
      </c>
      <c r="U339" s="1">
        <v>3101</v>
      </c>
      <c r="V339" s="9">
        <v>42095</v>
      </c>
      <c r="W339" s="13" t="str">
        <f>TEXT(Table1[[#This Row],[Order Date]],"mmmm")</f>
        <v>April</v>
      </c>
      <c r="X339" s="7" t="str">
        <f>TEXT(Table1[[#This Row],[Order Date]],"yyyy")</f>
        <v>2015</v>
      </c>
      <c r="Y339" s="9">
        <v>42097</v>
      </c>
      <c r="Z339" s="1">
        <v>-226.34640000000002</v>
      </c>
      <c r="AA339" s="1">
        <v>21</v>
      </c>
      <c r="AB339" s="1">
        <v>136.99</v>
      </c>
      <c r="AC339" s="1">
        <v>91433</v>
      </c>
      <c r="AD339" s="6" t="str">
        <f>IF(COUNTIF(Returns!$A$2:$A$1635,Orders!AC339)&gt;0,"Returned","Not Returned")</f>
        <v>Not Returned</v>
      </c>
    </row>
    <row r="340" spans="1:30" ht="12.75" customHeight="1" thickTop="1" thickBot="1" x14ac:dyDescent="0.25">
      <c r="A340" s="10">
        <v>24881</v>
      </c>
      <c r="B340" s="11" t="s">
        <v>25</v>
      </c>
      <c r="C340" s="11">
        <v>0.05</v>
      </c>
      <c r="D340" s="11">
        <v>55.99</v>
      </c>
      <c r="E340" s="11">
        <v>5</v>
      </c>
      <c r="F340" s="11">
        <v>624</v>
      </c>
      <c r="G340" s="6" t="str">
        <f>IF(COUNTIF(Table1[Customer ID],Table1[[#This Row],[Customer ID]])&gt;1,"Repeat Customer","One-Time Customer")</f>
        <v>One-Time Customer</v>
      </c>
      <c r="H340" s="11" t="s">
        <v>738</v>
      </c>
      <c r="I340" s="11" t="s">
        <v>49</v>
      </c>
      <c r="J340" s="11" t="s">
        <v>40</v>
      </c>
      <c r="K340" s="11" t="s">
        <v>77</v>
      </c>
      <c r="L340" s="11" t="s">
        <v>78</v>
      </c>
      <c r="M340" s="11" t="s">
        <v>51</v>
      </c>
      <c r="N340" s="11" t="s">
        <v>689</v>
      </c>
      <c r="O340" s="11">
        <v>0.8</v>
      </c>
      <c r="P340" s="6">
        <f>Table1[[#This Row],[Profit]]/Table1[[#This Row],[Sales]]</f>
        <v>-2.8298695652173911</v>
      </c>
      <c r="Q340" s="11" t="s">
        <v>33</v>
      </c>
      <c r="R340" s="11" t="s">
        <v>53</v>
      </c>
      <c r="S340" s="11" t="s">
        <v>149</v>
      </c>
      <c r="T340" s="11" t="s">
        <v>739</v>
      </c>
      <c r="U340" s="11">
        <v>5701</v>
      </c>
      <c r="V340" s="12">
        <v>42095</v>
      </c>
      <c r="W340" s="13" t="str">
        <f>TEXT(Table1[[#This Row],[Order Date]],"mmmm")</f>
        <v>April</v>
      </c>
      <c r="X340" s="7" t="str">
        <f>TEXT(Table1[[#This Row],[Order Date]],"yyyy")</f>
        <v>2015</v>
      </c>
      <c r="Y340" s="12">
        <v>42095</v>
      </c>
      <c r="Z340" s="11">
        <v>-281.17583999999999</v>
      </c>
      <c r="AA340" s="11">
        <v>2</v>
      </c>
      <c r="AB340" s="11">
        <v>99.36</v>
      </c>
      <c r="AC340" s="11">
        <v>91433</v>
      </c>
      <c r="AD340" s="6" t="str">
        <f>IF(COUNTIF(Returns!$A$2:$A$1635,Orders!AC340)&gt;0,"Returned","Not Returned")</f>
        <v>Not Returned</v>
      </c>
    </row>
    <row r="341" spans="1:30" ht="12.75" customHeight="1" thickTop="1" thickBot="1" x14ac:dyDescent="0.25">
      <c r="A341" s="8">
        <v>21718</v>
      </c>
      <c r="B341" s="1" t="s">
        <v>56</v>
      </c>
      <c r="C341" s="1">
        <v>0.02</v>
      </c>
      <c r="D341" s="1">
        <v>419.19</v>
      </c>
      <c r="E341" s="1">
        <v>19.989999999999998</v>
      </c>
      <c r="F341" s="1">
        <v>627</v>
      </c>
      <c r="G341" s="6" t="str">
        <f>IF(COUNTIF(Table1[Customer ID],Table1[[#This Row],[Customer ID]])&gt;1,"Repeat Customer","One-Time Customer")</f>
        <v>One-Time Customer</v>
      </c>
      <c r="H341" s="1" t="s">
        <v>740</v>
      </c>
      <c r="I341" s="1" t="s">
        <v>49</v>
      </c>
      <c r="J341" s="1" t="s">
        <v>28</v>
      </c>
      <c r="K341" s="1" t="s">
        <v>29</v>
      </c>
      <c r="L341" s="1" t="s">
        <v>141</v>
      </c>
      <c r="M341" s="1" t="s">
        <v>59</v>
      </c>
      <c r="N341" s="1" t="s">
        <v>741</v>
      </c>
      <c r="O341" s="1">
        <v>0.57999999999999996</v>
      </c>
      <c r="P341" s="6">
        <f>Table1[[#This Row],[Profit]]/Table1[[#This Row],[Sales]]</f>
        <v>0.69</v>
      </c>
      <c r="Q341" s="1" t="s">
        <v>33</v>
      </c>
      <c r="R341" s="1" t="s">
        <v>53</v>
      </c>
      <c r="S341" s="1" t="s">
        <v>154</v>
      </c>
      <c r="T341" s="1" t="s">
        <v>742</v>
      </c>
      <c r="U341" s="1">
        <v>43952</v>
      </c>
      <c r="V341" s="9">
        <v>42115</v>
      </c>
      <c r="W341" s="13" t="str">
        <f>TEXT(Table1[[#This Row],[Order Date]],"mmmm")</f>
        <v>April</v>
      </c>
      <c r="X341" s="7" t="str">
        <f>TEXT(Table1[[#This Row],[Order Date]],"yyyy")</f>
        <v>2015</v>
      </c>
      <c r="Y341" s="9">
        <v>42116</v>
      </c>
      <c r="Z341" s="1">
        <v>6610.2</v>
      </c>
      <c r="AA341" s="1">
        <v>22</v>
      </c>
      <c r="AB341" s="1">
        <v>9580</v>
      </c>
      <c r="AC341" s="1">
        <v>90469</v>
      </c>
      <c r="AD341" s="6" t="str">
        <f>IF(COUNTIF(Returns!$A$2:$A$1635,Orders!AC341)&gt;0,"Returned","Not Returned")</f>
        <v>Not Returned</v>
      </c>
    </row>
    <row r="342" spans="1:30" ht="12.75" customHeight="1" thickTop="1" thickBot="1" x14ac:dyDescent="0.25">
      <c r="A342" s="10">
        <v>19364</v>
      </c>
      <c r="B342" s="11" t="s">
        <v>25</v>
      </c>
      <c r="C342" s="11">
        <v>0.01</v>
      </c>
      <c r="D342" s="11">
        <v>2.08</v>
      </c>
      <c r="E342" s="11">
        <v>5.33</v>
      </c>
      <c r="F342" s="11">
        <v>635</v>
      </c>
      <c r="G342" s="6" t="str">
        <f>IF(COUNTIF(Table1[Customer ID],Table1[[#This Row],[Customer ID]])&gt;1,"Repeat Customer","One-Time Customer")</f>
        <v>Repeat Customer</v>
      </c>
      <c r="H342" s="11" t="s">
        <v>743</v>
      </c>
      <c r="I342" s="11" t="s">
        <v>49</v>
      </c>
      <c r="J342" s="11" t="s">
        <v>28</v>
      </c>
      <c r="K342" s="11" t="s">
        <v>41</v>
      </c>
      <c r="L342" s="11" t="s">
        <v>50</v>
      </c>
      <c r="M342" s="11" t="s">
        <v>59</v>
      </c>
      <c r="N342" s="11" t="s">
        <v>744</v>
      </c>
      <c r="O342" s="11">
        <v>0.43</v>
      </c>
      <c r="P342" s="6">
        <f>Table1[[#This Row],[Profit]]/Table1[[#This Row],[Sales]]</f>
        <v>-3.6621610169491525</v>
      </c>
      <c r="Q342" s="11" t="s">
        <v>33</v>
      </c>
      <c r="R342" s="11" t="s">
        <v>61</v>
      </c>
      <c r="S342" s="11" t="s">
        <v>62</v>
      </c>
      <c r="T342" s="11" t="s">
        <v>745</v>
      </c>
      <c r="U342" s="11">
        <v>55106</v>
      </c>
      <c r="V342" s="12">
        <v>42099</v>
      </c>
      <c r="W342" s="13" t="str">
        <f>TEXT(Table1[[#This Row],[Order Date]],"mmmm")</f>
        <v>April</v>
      </c>
      <c r="X342" s="7" t="str">
        <f>TEXT(Table1[[#This Row],[Order Date]],"yyyy")</f>
        <v>2015</v>
      </c>
      <c r="Y342" s="12">
        <v>42099</v>
      </c>
      <c r="Z342" s="11">
        <v>-103.7124</v>
      </c>
      <c r="AA342" s="11">
        <v>12</v>
      </c>
      <c r="AB342" s="11">
        <v>28.32</v>
      </c>
      <c r="AC342" s="11">
        <v>89284</v>
      </c>
      <c r="AD342" s="6" t="str">
        <f>IF(COUNTIF(Returns!$A$2:$A$1635,Orders!AC342)&gt;0,"Returned","Not Returned")</f>
        <v>Not Returned</v>
      </c>
    </row>
    <row r="343" spans="1:30" ht="12.75" customHeight="1" thickTop="1" thickBot="1" x14ac:dyDescent="0.25">
      <c r="A343" s="8">
        <v>19365</v>
      </c>
      <c r="B343" s="1" t="s">
        <v>25</v>
      </c>
      <c r="C343" s="1">
        <v>0.03</v>
      </c>
      <c r="D343" s="1">
        <v>370.98</v>
      </c>
      <c r="E343" s="1">
        <v>99</v>
      </c>
      <c r="F343" s="1">
        <v>635</v>
      </c>
      <c r="G343" s="6" t="str">
        <f>IF(COUNTIF(Table1[Customer ID],Table1[[#This Row],[Customer ID]])&gt;1,"Repeat Customer","One-Time Customer")</f>
        <v>Repeat Customer</v>
      </c>
      <c r="H343" s="1" t="s">
        <v>743</v>
      </c>
      <c r="I343" s="1" t="s">
        <v>39</v>
      </c>
      <c r="J343" s="1" t="s">
        <v>28</v>
      </c>
      <c r="K343" s="1" t="s">
        <v>29</v>
      </c>
      <c r="L343" s="1" t="s">
        <v>141</v>
      </c>
      <c r="M343" s="1" t="s">
        <v>43</v>
      </c>
      <c r="N343" s="1" t="s">
        <v>746</v>
      </c>
      <c r="O343" s="1">
        <v>0.65</v>
      </c>
      <c r="P343" s="6">
        <f>Table1[[#This Row],[Profit]]/Table1[[#This Row],[Sales]]</f>
        <v>-5.3815517711702586E-2</v>
      </c>
      <c r="Q343" s="1" t="s">
        <v>33</v>
      </c>
      <c r="R343" s="1" t="s">
        <v>61</v>
      </c>
      <c r="S343" s="1" t="s">
        <v>62</v>
      </c>
      <c r="T343" s="1" t="s">
        <v>745</v>
      </c>
      <c r="U343" s="1">
        <v>55106</v>
      </c>
      <c r="V343" s="9">
        <v>42099</v>
      </c>
      <c r="W343" s="13" t="str">
        <f>TEXT(Table1[[#This Row],[Order Date]],"mmmm")</f>
        <v>April</v>
      </c>
      <c r="X343" s="7" t="str">
        <f>TEXT(Table1[[#This Row],[Order Date]],"yyyy")</f>
        <v>2015</v>
      </c>
      <c r="Y343" s="9">
        <v>42100</v>
      </c>
      <c r="Z343" s="1">
        <v>-124.2864</v>
      </c>
      <c r="AA343" s="1">
        <v>6</v>
      </c>
      <c r="AB343" s="1">
        <v>2309.4899999999998</v>
      </c>
      <c r="AC343" s="1">
        <v>89284</v>
      </c>
      <c r="AD343" s="6" t="str">
        <f>IF(COUNTIF(Returns!$A$2:$A$1635,Orders!AC343)&gt;0,"Returned","Not Returned")</f>
        <v>Not Returned</v>
      </c>
    </row>
    <row r="344" spans="1:30" ht="12.75" customHeight="1" thickTop="1" thickBot="1" x14ac:dyDescent="0.25">
      <c r="A344" s="10">
        <v>19539</v>
      </c>
      <c r="B344" s="11" t="s">
        <v>106</v>
      </c>
      <c r="C344" s="11">
        <v>0.06</v>
      </c>
      <c r="D344" s="11">
        <v>160.97999999999999</v>
      </c>
      <c r="E344" s="11">
        <v>35.020000000000003</v>
      </c>
      <c r="F344" s="11">
        <v>637</v>
      </c>
      <c r="G344" s="6" t="str">
        <f>IF(COUNTIF(Table1[Customer ID],Table1[[#This Row],[Customer ID]])&gt;1,"Repeat Customer","One-Time Customer")</f>
        <v>One-Time Customer</v>
      </c>
      <c r="H344" s="11" t="s">
        <v>747</v>
      </c>
      <c r="I344" s="11" t="s">
        <v>39</v>
      </c>
      <c r="J344" s="11" t="s">
        <v>114</v>
      </c>
      <c r="K344" s="11" t="s">
        <v>41</v>
      </c>
      <c r="L344" s="11" t="s">
        <v>191</v>
      </c>
      <c r="M344" s="11" t="s">
        <v>121</v>
      </c>
      <c r="N344" s="11" t="s">
        <v>748</v>
      </c>
      <c r="O344" s="11">
        <v>0.72</v>
      </c>
      <c r="P344" s="6">
        <f>Table1[[#This Row],[Profit]]/Table1[[#This Row],[Sales]]</f>
        <v>-0.18642705822193004</v>
      </c>
      <c r="Q344" s="11" t="s">
        <v>33</v>
      </c>
      <c r="R344" s="11" t="s">
        <v>34</v>
      </c>
      <c r="S344" s="11" t="s">
        <v>45</v>
      </c>
      <c r="T344" s="11" t="s">
        <v>749</v>
      </c>
      <c r="U344" s="11">
        <v>95051</v>
      </c>
      <c r="V344" s="12">
        <v>42083</v>
      </c>
      <c r="W344" s="13" t="str">
        <f>TEXT(Table1[[#This Row],[Order Date]],"mmmm")</f>
        <v>March</v>
      </c>
      <c r="X344" s="7" t="str">
        <f>TEXT(Table1[[#This Row],[Order Date]],"yyyy")</f>
        <v>2015</v>
      </c>
      <c r="Y344" s="12">
        <v>42087</v>
      </c>
      <c r="Z344" s="11">
        <v>-229.68</v>
      </c>
      <c r="AA344" s="11">
        <v>8</v>
      </c>
      <c r="AB344" s="11">
        <v>1232.01</v>
      </c>
      <c r="AC344" s="11">
        <v>87953</v>
      </c>
      <c r="AD344" s="6" t="str">
        <f>IF(COUNTIF(Returns!$A$2:$A$1635,Orders!AC344)&gt;0,"Returned","Not Returned")</f>
        <v>Not Returned</v>
      </c>
    </row>
    <row r="345" spans="1:30" ht="12.75" customHeight="1" thickTop="1" thickBot="1" x14ac:dyDescent="0.25">
      <c r="A345" s="8">
        <v>24387</v>
      </c>
      <c r="B345" s="1" t="s">
        <v>47</v>
      </c>
      <c r="C345" s="1">
        <v>0.06</v>
      </c>
      <c r="D345" s="1">
        <v>65.989999999999995</v>
      </c>
      <c r="E345" s="1">
        <v>8.8000000000000007</v>
      </c>
      <c r="F345" s="1">
        <v>638</v>
      </c>
      <c r="G345" s="6" t="str">
        <f>IF(COUNTIF(Table1[Customer ID],Table1[[#This Row],[Customer ID]])&gt;1,"Repeat Customer","One-Time Customer")</f>
        <v>Repeat Customer</v>
      </c>
      <c r="H345" s="1" t="s">
        <v>750</v>
      </c>
      <c r="I345" s="1" t="s">
        <v>27</v>
      </c>
      <c r="J345" s="1" t="s">
        <v>114</v>
      </c>
      <c r="K345" s="1" t="s">
        <v>77</v>
      </c>
      <c r="L345" s="1" t="s">
        <v>78</v>
      </c>
      <c r="M345" s="1" t="s">
        <v>59</v>
      </c>
      <c r="N345" s="1" t="s">
        <v>751</v>
      </c>
      <c r="O345" s="1">
        <v>0.57999999999999996</v>
      </c>
      <c r="P345" s="6">
        <f>Table1[[#This Row],[Profit]]/Table1[[#This Row],[Sales]]</f>
        <v>0.56892057348236502</v>
      </c>
      <c r="Q345" s="1" t="s">
        <v>33</v>
      </c>
      <c r="R345" s="1" t="s">
        <v>34</v>
      </c>
      <c r="S345" s="1" t="s">
        <v>45</v>
      </c>
      <c r="T345" s="1" t="s">
        <v>752</v>
      </c>
      <c r="U345" s="1">
        <v>95062</v>
      </c>
      <c r="V345" s="9">
        <v>42124</v>
      </c>
      <c r="W345" s="13" t="str">
        <f>TEXT(Table1[[#This Row],[Order Date]],"mmmm")</f>
        <v>April</v>
      </c>
      <c r="X345" s="7" t="str">
        <f>TEXT(Table1[[#This Row],[Order Date]],"yyyy")</f>
        <v>2015</v>
      </c>
      <c r="Y345" s="9">
        <v>42125</v>
      </c>
      <c r="Z345" s="1">
        <v>288.08999999999997</v>
      </c>
      <c r="AA345" s="1">
        <v>9</v>
      </c>
      <c r="AB345" s="1">
        <v>506.38</v>
      </c>
      <c r="AC345" s="1">
        <v>87954</v>
      </c>
      <c r="AD345" s="6" t="str">
        <f>IF(COUNTIF(Returns!$A$2:$A$1635,Orders!AC345)&gt;0,"Returned","Not Returned")</f>
        <v>Not Returned</v>
      </c>
    </row>
    <row r="346" spans="1:30" ht="12.75" customHeight="1" thickTop="1" thickBot="1" x14ac:dyDescent="0.25">
      <c r="A346" s="10">
        <v>24388</v>
      </c>
      <c r="B346" s="11" t="s">
        <v>47</v>
      </c>
      <c r="C346" s="11">
        <v>0</v>
      </c>
      <c r="D346" s="11">
        <v>195.99</v>
      </c>
      <c r="E346" s="11">
        <v>4.2</v>
      </c>
      <c r="F346" s="11">
        <v>638</v>
      </c>
      <c r="G346" s="6" t="str">
        <f>IF(COUNTIF(Table1[Customer ID],Table1[[#This Row],[Customer ID]])&gt;1,"Repeat Customer","One-Time Customer")</f>
        <v>Repeat Customer</v>
      </c>
      <c r="H346" s="11" t="s">
        <v>750</v>
      </c>
      <c r="I346" s="11" t="s">
        <v>27</v>
      </c>
      <c r="J346" s="11" t="s">
        <v>114</v>
      </c>
      <c r="K346" s="11" t="s">
        <v>77</v>
      </c>
      <c r="L346" s="11" t="s">
        <v>78</v>
      </c>
      <c r="M346" s="11" t="s">
        <v>59</v>
      </c>
      <c r="N346" s="11" t="s">
        <v>753</v>
      </c>
      <c r="O346" s="11">
        <v>0.56999999999999995</v>
      </c>
      <c r="P346" s="6">
        <f>Table1[[#This Row],[Profit]]/Table1[[#This Row],[Sales]]</f>
        <v>0.69</v>
      </c>
      <c r="Q346" s="11" t="s">
        <v>33</v>
      </c>
      <c r="R346" s="11" t="s">
        <v>34</v>
      </c>
      <c r="S346" s="11" t="s">
        <v>45</v>
      </c>
      <c r="T346" s="11" t="s">
        <v>752</v>
      </c>
      <c r="U346" s="11">
        <v>95062</v>
      </c>
      <c r="V346" s="12">
        <v>42124</v>
      </c>
      <c r="W346" s="13" t="str">
        <f>TEXT(Table1[[#This Row],[Order Date]],"mmmm")</f>
        <v>April</v>
      </c>
      <c r="X346" s="7" t="str">
        <f>TEXT(Table1[[#This Row],[Order Date]],"yyyy")</f>
        <v>2015</v>
      </c>
      <c r="Y346" s="12">
        <v>42126</v>
      </c>
      <c r="Z346" s="11">
        <v>719.47679999999991</v>
      </c>
      <c r="AA346" s="11">
        <v>6</v>
      </c>
      <c r="AB346" s="11">
        <v>1042.72</v>
      </c>
      <c r="AC346" s="11">
        <v>87954</v>
      </c>
      <c r="AD346" s="6" t="str">
        <f>IF(COUNTIF(Returns!$A$2:$A$1635,Orders!AC346)&gt;0,"Returned","Not Returned")</f>
        <v>Not Returned</v>
      </c>
    </row>
    <row r="347" spans="1:30" ht="12.75" customHeight="1" thickTop="1" thickBot="1" x14ac:dyDescent="0.25">
      <c r="A347" s="8">
        <v>25893</v>
      </c>
      <c r="B347" s="1" t="s">
        <v>37</v>
      </c>
      <c r="C347" s="1">
        <v>0</v>
      </c>
      <c r="D347" s="1">
        <v>236.97</v>
      </c>
      <c r="E347" s="1">
        <v>59.24</v>
      </c>
      <c r="F347" s="1">
        <v>639</v>
      </c>
      <c r="G347" s="6" t="str">
        <f>IF(COUNTIF(Table1[Customer ID],Table1[[#This Row],[Customer ID]])&gt;1,"Repeat Customer","One-Time Customer")</f>
        <v>One-Time Customer</v>
      </c>
      <c r="H347" s="1" t="s">
        <v>754</v>
      </c>
      <c r="I347" s="1" t="s">
        <v>39</v>
      </c>
      <c r="J347" s="1" t="s">
        <v>114</v>
      </c>
      <c r="K347" s="1" t="s">
        <v>41</v>
      </c>
      <c r="L347" s="1" t="s">
        <v>152</v>
      </c>
      <c r="M347" s="1" t="s">
        <v>121</v>
      </c>
      <c r="N347" s="1" t="s">
        <v>755</v>
      </c>
      <c r="O347" s="1">
        <v>0.61</v>
      </c>
      <c r="P347" s="6">
        <f>Table1[[#This Row],[Profit]]/Table1[[#This Row],[Sales]]</f>
        <v>0.67350317247769653</v>
      </c>
      <c r="Q347" s="1" t="s">
        <v>33</v>
      </c>
      <c r="R347" s="1" t="s">
        <v>34</v>
      </c>
      <c r="S347" s="1" t="s">
        <v>45</v>
      </c>
      <c r="T347" s="1" t="s">
        <v>756</v>
      </c>
      <c r="U347" s="1">
        <v>93454</v>
      </c>
      <c r="V347" s="9">
        <v>42049</v>
      </c>
      <c r="W347" s="13" t="str">
        <f>TEXT(Table1[[#This Row],[Order Date]],"mmmm")</f>
        <v>February</v>
      </c>
      <c r="X347" s="7" t="str">
        <f>TEXT(Table1[[#This Row],[Order Date]],"yyyy")</f>
        <v>2015</v>
      </c>
      <c r="Y347" s="9">
        <v>42050</v>
      </c>
      <c r="Z347" s="1">
        <v>1192.04</v>
      </c>
      <c r="AA347" s="1">
        <v>9</v>
      </c>
      <c r="AB347" s="1">
        <v>1769.91</v>
      </c>
      <c r="AC347" s="1">
        <v>87952</v>
      </c>
      <c r="AD347" s="6" t="str">
        <f>IF(COUNTIF(Returns!$A$2:$A$1635,Orders!AC347)&gt;0,"Returned","Not Returned")</f>
        <v>Not Returned</v>
      </c>
    </row>
    <row r="348" spans="1:30" ht="12.75" customHeight="1" thickTop="1" thickBot="1" x14ac:dyDescent="0.25">
      <c r="A348" s="10">
        <v>7893</v>
      </c>
      <c r="B348" s="11" t="s">
        <v>37</v>
      </c>
      <c r="C348" s="11">
        <v>0</v>
      </c>
      <c r="D348" s="11">
        <v>236.97</v>
      </c>
      <c r="E348" s="11">
        <v>59.24</v>
      </c>
      <c r="F348" s="11">
        <v>640</v>
      </c>
      <c r="G348" s="6" t="str">
        <f>IF(COUNTIF(Table1[Customer ID],Table1[[#This Row],[Customer ID]])&gt;1,"Repeat Customer","One-Time Customer")</f>
        <v>Repeat Customer</v>
      </c>
      <c r="H348" s="11" t="s">
        <v>757</v>
      </c>
      <c r="I348" s="11" t="s">
        <v>39</v>
      </c>
      <c r="J348" s="11" t="s">
        <v>114</v>
      </c>
      <c r="K348" s="11" t="s">
        <v>41</v>
      </c>
      <c r="L348" s="11" t="s">
        <v>152</v>
      </c>
      <c r="M348" s="11" t="s">
        <v>121</v>
      </c>
      <c r="N348" s="11" t="s">
        <v>755</v>
      </c>
      <c r="O348" s="11">
        <v>0.61</v>
      </c>
      <c r="P348" s="6">
        <f>Table1[[#This Row],[Profit]]/Table1[[#This Row],[Sales]]</f>
        <v>0.17827989602682484</v>
      </c>
      <c r="Q348" s="11" t="s">
        <v>33</v>
      </c>
      <c r="R348" s="11" t="s">
        <v>34</v>
      </c>
      <c r="S348" s="11" t="s">
        <v>35</v>
      </c>
      <c r="T348" s="11" t="s">
        <v>209</v>
      </c>
      <c r="U348" s="11">
        <v>98119</v>
      </c>
      <c r="V348" s="12">
        <v>42049</v>
      </c>
      <c r="W348" s="13" t="str">
        <f>TEXT(Table1[[#This Row],[Order Date]],"mmmm")</f>
        <v>February</v>
      </c>
      <c r="X348" s="7" t="str">
        <f>TEXT(Table1[[#This Row],[Order Date]],"yyyy")</f>
        <v>2015</v>
      </c>
      <c r="Y348" s="12">
        <v>42050</v>
      </c>
      <c r="Z348" s="11">
        <v>1192.04</v>
      </c>
      <c r="AA348" s="11">
        <v>34</v>
      </c>
      <c r="AB348" s="11">
        <v>6686.34</v>
      </c>
      <c r="AC348" s="11">
        <v>56452</v>
      </c>
      <c r="AD348" s="6" t="str">
        <f>IF(COUNTIF(Returns!$A$2:$A$1635,Orders!AC348)&gt;0,"Returned","Not Returned")</f>
        <v>Returned</v>
      </c>
    </row>
    <row r="349" spans="1:30" ht="12.75" customHeight="1" thickTop="1" thickBot="1" x14ac:dyDescent="0.25">
      <c r="A349" s="8">
        <v>1539</v>
      </c>
      <c r="B349" s="1" t="s">
        <v>106</v>
      </c>
      <c r="C349" s="1">
        <v>0.06</v>
      </c>
      <c r="D349" s="1">
        <v>160.97999999999999</v>
      </c>
      <c r="E349" s="1">
        <v>35.020000000000003</v>
      </c>
      <c r="F349" s="1">
        <v>640</v>
      </c>
      <c r="G349" s="6" t="str">
        <f>IF(COUNTIF(Table1[Customer ID],Table1[[#This Row],[Customer ID]])&gt;1,"Repeat Customer","One-Time Customer")</f>
        <v>Repeat Customer</v>
      </c>
      <c r="H349" s="1" t="s">
        <v>757</v>
      </c>
      <c r="I349" s="1" t="s">
        <v>39</v>
      </c>
      <c r="J349" s="1" t="s">
        <v>114</v>
      </c>
      <c r="K349" s="1" t="s">
        <v>41</v>
      </c>
      <c r="L349" s="1" t="s">
        <v>191</v>
      </c>
      <c r="M349" s="1" t="s">
        <v>121</v>
      </c>
      <c r="N349" s="1" t="s">
        <v>748</v>
      </c>
      <c r="O349" s="1">
        <v>0.72</v>
      </c>
      <c r="P349" s="6">
        <f>Table1[[#This Row],[Profit]]/Table1[[#This Row],[Sales]]</f>
        <v>-4.9713747686713348E-2</v>
      </c>
      <c r="Q349" s="1" t="s">
        <v>33</v>
      </c>
      <c r="R349" s="1" t="s">
        <v>34</v>
      </c>
      <c r="S349" s="1" t="s">
        <v>35</v>
      </c>
      <c r="T349" s="1" t="s">
        <v>209</v>
      </c>
      <c r="U349" s="1">
        <v>98119</v>
      </c>
      <c r="V349" s="9">
        <v>42083</v>
      </c>
      <c r="W349" s="13" t="str">
        <f>TEXT(Table1[[#This Row],[Order Date]],"mmmm")</f>
        <v>March</v>
      </c>
      <c r="X349" s="7" t="str">
        <f>TEXT(Table1[[#This Row],[Order Date]],"yyyy")</f>
        <v>2015</v>
      </c>
      <c r="Y349" s="9">
        <v>42087</v>
      </c>
      <c r="Z349" s="1">
        <v>-229.68</v>
      </c>
      <c r="AA349" s="1">
        <v>30</v>
      </c>
      <c r="AB349" s="1">
        <v>4620.05</v>
      </c>
      <c r="AC349" s="1">
        <v>11077</v>
      </c>
      <c r="AD349" s="6" t="str">
        <f>IF(COUNTIF(Returns!$A$2:$A$1635,Orders!AC349)&gt;0,"Returned","Not Returned")</f>
        <v>Not Returned</v>
      </c>
    </row>
    <row r="350" spans="1:30" ht="12.75" customHeight="1" thickTop="1" thickBot="1" x14ac:dyDescent="0.25">
      <c r="A350" s="10">
        <v>6387</v>
      </c>
      <c r="B350" s="11" t="s">
        <v>47</v>
      </c>
      <c r="C350" s="11">
        <v>0.06</v>
      </c>
      <c r="D350" s="11">
        <v>65.989999999999995</v>
      </c>
      <c r="E350" s="11">
        <v>8.8000000000000007</v>
      </c>
      <c r="F350" s="11">
        <v>640</v>
      </c>
      <c r="G350" s="6" t="str">
        <f>IF(COUNTIF(Table1[Customer ID],Table1[[#This Row],[Customer ID]])&gt;1,"Repeat Customer","One-Time Customer")</f>
        <v>Repeat Customer</v>
      </c>
      <c r="H350" s="11" t="s">
        <v>757</v>
      </c>
      <c r="I350" s="11" t="s">
        <v>27</v>
      </c>
      <c r="J350" s="11" t="s">
        <v>114</v>
      </c>
      <c r="K350" s="11" t="s">
        <v>77</v>
      </c>
      <c r="L350" s="11" t="s">
        <v>78</v>
      </c>
      <c r="M350" s="11" t="s">
        <v>59</v>
      </c>
      <c r="N350" s="11" t="s">
        <v>751</v>
      </c>
      <c r="O350" s="11">
        <v>0.57999999999999996</v>
      </c>
      <c r="P350" s="6">
        <f>Table1[[#This Row],[Profit]]/Table1[[#This Row],[Sales]]</f>
        <v>0.15059749709876735</v>
      </c>
      <c r="Q350" s="11" t="s">
        <v>33</v>
      </c>
      <c r="R350" s="11" t="s">
        <v>34</v>
      </c>
      <c r="S350" s="11" t="s">
        <v>35</v>
      </c>
      <c r="T350" s="11" t="s">
        <v>209</v>
      </c>
      <c r="U350" s="11">
        <v>98119</v>
      </c>
      <c r="V350" s="12">
        <v>42124</v>
      </c>
      <c r="W350" s="13" t="str">
        <f>TEXT(Table1[[#This Row],[Order Date]],"mmmm")</f>
        <v>April</v>
      </c>
      <c r="X350" s="7" t="str">
        <f>TEXT(Table1[[#This Row],[Order Date]],"yyyy")</f>
        <v>2015</v>
      </c>
      <c r="Y350" s="12">
        <v>42125</v>
      </c>
      <c r="Z350" s="11">
        <v>288.08999999999997</v>
      </c>
      <c r="AA350" s="11">
        <v>34</v>
      </c>
      <c r="AB350" s="11">
        <v>1912.98</v>
      </c>
      <c r="AC350" s="11">
        <v>45380</v>
      </c>
      <c r="AD350" s="6" t="str">
        <f>IF(COUNTIF(Returns!$A$2:$A$1635,Orders!AC350)&gt;0,"Returned","Not Returned")</f>
        <v>Not Returned</v>
      </c>
    </row>
    <row r="351" spans="1:30" ht="12.75" customHeight="1" thickTop="1" thickBot="1" x14ac:dyDescent="0.25">
      <c r="A351" s="8">
        <v>6388</v>
      </c>
      <c r="B351" s="1" t="s">
        <v>47</v>
      </c>
      <c r="C351" s="1">
        <v>0</v>
      </c>
      <c r="D351" s="1">
        <v>195.99</v>
      </c>
      <c r="E351" s="1">
        <v>4.2</v>
      </c>
      <c r="F351" s="1">
        <v>640</v>
      </c>
      <c r="G351" s="6" t="str">
        <f>IF(COUNTIF(Table1[Customer ID],Table1[[#This Row],[Customer ID]])&gt;1,"Repeat Customer","One-Time Customer")</f>
        <v>Repeat Customer</v>
      </c>
      <c r="H351" s="1" t="s">
        <v>757</v>
      </c>
      <c r="I351" s="1" t="s">
        <v>27</v>
      </c>
      <c r="J351" s="1" t="s">
        <v>114</v>
      </c>
      <c r="K351" s="1" t="s">
        <v>77</v>
      </c>
      <c r="L351" s="1" t="s">
        <v>78</v>
      </c>
      <c r="M351" s="1" t="s">
        <v>59</v>
      </c>
      <c r="N351" s="1" t="s">
        <v>753</v>
      </c>
      <c r="O351" s="1">
        <v>0.56999999999999995</v>
      </c>
      <c r="P351" s="6">
        <f>Table1[[#This Row],[Profit]]/Table1[[#This Row],[Sales]]</f>
        <v>0.24707291284552144</v>
      </c>
      <c r="Q351" s="1" t="s">
        <v>33</v>
      </c>
      <c r="R351" s="1" t="s">
        <v>34</v>
      </c>
      <c r="S351" s="1" t="s">
        <v>35</v>
      </c>
      <c r="T351" s="1" t="s">
        <v>209</v>
      </c>
      <c r="U351" s="1">
        <v>98119</v>
      </c>
      <c r="V351" s="9">
        <v>42124</v>
      </c>
      <c r="W351" s="13" t="str">
        <f>TEXT(Table1[[#This Row],[Order Date]],"mmmm")</f>
        <v>April</v>
      </c>
      <c r="X351" s="7" t="str">
        <f>TEXT(Table1[[#This Row],[Order Date]],"yyyy")</f>
        <v>2015</v>
      </c>
      <c r="Y351" s="9">
        <v>42126</v>
      </c>
      <c r="Z351" s="1">
        <v>1030.509</v>
      </c>
      <c r="AA351" s="1">
        <v>24</v>
      </c>
      <c r="AB351" s="1">
        <v>4170.87</v>
      </c>
      <c r="AC351" s="1">
        <v>45380</v>
      </c>
      <c r="AD351" s="6" t="str">
        <f>IF(COUNTIF(Returns!$A$2:$A$1635,Orders!AC351)&gt;0,"Returned","Not Returned")</f>
        <v>Not Returned</v>
      </c>
    </row>
    <row r="352" spans="1:30" ht="12.75" customHeight="1" thickTop="1" thickBot="1" x14ac:dyDescent="0.25">
      <c r="A352" s="10">
        <v>24869</v>
      </c>
      <c r="B352" s="11" t="s">
        <v>106</v>
      </c>
      <c r="C352" s="11">
        <v>0.03</v>
      </c>
      <c r="D352" s="11">
        <v>51.75</v>
      </c>
      <c r="E352" s="11">
        <v>19.989999999999998</v>
      </c>
      <c r="F352" s="11">
        <v>646</v>
      </c>
      <c r="G352" s="6" t="str">
        <f>IF(COUNTIF(Table1[Customer ID],Table1[[#This Row],[Customer ID]])&gt;1,"Repeat Customer","One-Time Customer")</f>
        <v>One-Time Customer</v>
      </c>
      <c r="H352" s="11" t="s">
        <v>758</v>
      </c>
      <c r="I352" s="11" t="s">
        <v>49</v>
      </c>
      <c r="J352" s="11" t="s">
        <v>28</v>
      </c>
      <c r="K352" s="11" t="s">
        <v>41</v>
      </c>
      <c r="L352" s="11" t="s">
        <v>50</v>
      </c>
      <c r="M352" s="11" t="s">
        <v>59</v>
      </c>
      <c r="N352" s="11" t="s">
        <v>759</v>
      </c>
      <c r="O352" s="11">
        <v>0.55000000000000004</v>
      </c>
      <c r="P352" s="6">
        <f>Table1[[#This Row],[Profit]]/Table1[[#This Row],[Sales]]</f>
        <v>0.31929751712851584</v>
      </c>
      <c r="Q352" s="11" t="s">
        <v>33</v>
      </c>
      <c r="R352" s="11" t="s">
        <v>61</v>
      </c>
      <c r="S352" s="11" t="s">
        <v>62</v>
      </c>
      <c r="T352" s="11" t="s">
        <v>760</v>
      </c>
      <c r="U352" s="11">
        <v>55379</v>
      </c>
      <c r="V352" s="12">
        <v>42172</v>
      </c>
      <c r="W352" s="13" t="str">
        <f>TEXT(Table1[[#This Row],[Order Date]],"mmmm")</f>
        <v>June</v>
      </c>
      <c r="X352" s="7" t="str">
        <f>TEXT(Table1[[#This Row],[Order Date]],"yyyy")</f>
        <v>2015</v>
      </c>
      <c r="Y352" s="12">
        <v>42177</v>
      </c>
      <c r="Z352" s="11">
        <v>261.44400000000002</v>
      </c>
      <c r="AA352" s="11">
        <v>16</v>
      </c>
      <c r="AB352" s="11">
        <v>818.81</v>
      </c>
      <c r="AC352" s="11">
        <v>90735</v>
      </c>
      <c r="AD352" s="6" t="str">
        <f>IF(COUNTIF(Returns!$A$2:$A$1635,Orders!AC352)&gt;0,"Returned","Not Returned")</f>
        <v>Not Returned</v>
      </c>
    </row>
    <row r="353" spans="1:30" ht="12.75" customHeight="1" thickTop="1" thickBot="1" x14ac:dyDescent="0.25">
      <c r="A353" s="8">
        <v>21760</v>
      </c>
      <c r="B353" s="1" t="s">
        <v>37</v>
      </c>
      <c r="C353" s="1">
        <v>0.02</v>
      </c>
      <c r="D353" s="1">
        <v>25.38</v>
      </c>
      <c r="E353" s="1">
        <v>8.99</v>
      </c>
      <c r="F353" s="1">
        <v>648</v>
      </c>
      <c r="G353" s="6" t="str">
        <f>IF(COUNTIF(Table1[Customer ID],Table1[[#This Row],[Customer ID]])&gt;1,"Repeat Customer","One-Time Customer")</f>
        <v>One-Time Customer</v>
      </c>
      <c r="H353" s="1" t="s">
        <v>761</v>
      </c>
      <c r="I353" s="1" t="s">
        <v>49</v>
      </c>
      <c r="J353" s="1" t="s">
        <v>40</v>
      </c>
      <c r="K353" s="1" t="s">
        <v>41</v>
      </c>
      <c r="L353" s="1" t="s">
        <v>50</v>
      </c>
      <c r="M353" s="1" t="s">
        <v>51</v>
      </c>
      <c r="N353" s="1" t="s">
        <v>762</v>
      </c>
      <c r="O353" s="1">
        <v>0.5</v>
      </c>
      <c r="P353" s="6">
        <f>Table1[[#This Row],[Profit]]/Table1[[#This Row],[Sales]]</f>
        <v>-0.30372324831427733</v>
      </c>
      <c r="Q353" s="1" t="s">
        <v>33</v>
      </c>
      <c r="R353" s="1" t="s">
        <v>61</v>
      </c>
      <c r="S353" s="1" t="s">
        <v>178</v>
      </c>
      <c r="T353" s="1" t="s">
        <v>763</v>
      </c>
      <c r="U353" s="1">
        <v>60440</v>
      </c>
      <c r="V353" s="9">
        <v>42176</v>
      </c>
      <c r="W353" s="13" t="str">
        <f>TEXT(Table1[[#This Row],[Order Date]],"mmmm")</f>
        <v>June</v>
      </c>
      <c r="X353" s="7" t="str">
        <f>TEXT(Table1[[#This Row],[Order Date]],"yyyy")</f>
        <v>2015</v>
      </c>
      <c r="Y353" s="9">
        <v>42177</v>
      </c>
      <c r="Z353" s="1">
        <v>-10.36</v>
      </c>
      <c r="AA353" s="1">
        <v>1</v>
      </c>
      <c r="AB353" s="1">
        <v>34.11</v>
      </c>
      <c r="AC353" s="1">
        <v>91365</v>
      </c>
      <c r="AD353" s="6" t="str">
        <f>IF(COUNTIF(Returns!$A$2:$A$1635,Orders!AC353)&gt;0,"Returned","Not Returned")</f>
        <v>Not Returned</v>
      </c>
    </row>
    <row r="354" spans="1:30" ht="12.75" customHeight="1" thickTop="1" thickBot="1" x14ac:dyDescent="0.25">
      <c r="A354" s="10">
        <v>23154</v>
      </c>
      <c r="B354" s="11" t="s">
        <v>56</v>
      </c>
      <c r="C354" s="11">
        <v>0.02</v>
      </c>
      <c r="D354" s="11">
        <v>3.78</v>
      </c>
      <c r="E354" s="11">
        <v>0.71</v>
      </c>
      <c r="F354" s="11">
        <v>649</v>
      </c>
      <c r="G354" s="6" t="str">
        <f>IF(COUNTIF(Table1[Customer ID],Table1[[#This Row],[Customer ID]])&gt;1,"Repeat Customer","One-Time Customer")</f>
        <v>One-Time Customer</v>
      </c>
      <c r="H354" s="11" t="s">
        <v>764</v>
      </c>
      <c r="I354" s="11" t="s">
        <v>49</v>
      </c>
      <c r="J354" s="11" t="s">
        <v>40</v>
      </c>
      <c r="K354" s="11" t="s">
        <v>29</v>
      </c>
      <c r="L354" s="11" t="s">
        <v>66</v>
      </c>
      <c r="M354" s="11" t="s">
        <v>31</v>
      </c>
      <c r="N354" s="11" t="s">
        <v>765</v>
      </c>
      <c r="O354" s="11">
        <v>0.39</v>
      </c>
      <c r="P354" s="6">
        <f>Table1[[#This Row],[Profit]]/Table1[[#This Row],[Sales]]</f>
        <v>0.69</v>
      </c>
      <c r="Q354" s="11" t="s">
        <v>33</v>
      </c>
      <c r="R354" s="11" t="s">
        <v>61</v>
      </c>
      <c r="S354" s="11" t="s">
        <v>178</v>
      </c>
      <c r="T354" s="11" t="s">
        <v>766</v>
      </c>
      <c r="U354" s="11">
        <v>60089</v>
      </c>
      <c r="V354" s="12">
        <v>42153</v>
      </c>
      <c r="W354" s="13" t="str">
        <f>TEXT(Table1[[#This Row],[Order Date]],"mmmm")</f>
        <v>May</v>
      </c>
      <c r="X354" s="7" t="str">
        <f>TEXT(Table1[[#This Row],[Order Date]],"yyyy")</f>
        <v>2015</v>
      </c>
      <c r="Y354" s="12">
        <v>42154</v>
      </c>
      <c r="Z354" s="11">
        <v>106.7499</v>
      </c>
      <c r="AA354" s="11">
        <v>40</v>
      </c>
      <c r="AB354" s="11">
        <v>154.71</v>
      </c>
      <c r="AC354" s="11">
        <v>91366</v>
      </c>
      <c r="AD354" s="6" t="str">
        <f>IF(COUNTIF(Returns!$A$2:$A$1635,Orders!AC354)&gt;0,"Returned","Not Returned")</f>
        <v>Not Returned</v>
      </c>
    </row>
    <row r="355" spans="1:30" ht="12.75" customHeight="1" thickTop="1" thickBot="1" x14ac:dyDescent="0.25">
      <c r="A355" s="8">
        <v>24199</v>
      </c>
      <c r="B355" s="1" t="s">
        <v>25</v>
      </c>
      <c r="C355" s="1">
        <v>0.08</v>
      </c>
      <c r="D355" s="1">
        <v>15.99</v>
      </c>
      <c r="E355" s="1">
        <v>13.18</v>
      </c>
      <c r="F355" s="1">
        <v>651</v>
      </c>
      <c r="G355" s="6" t="str">
        <f>IF(COUNTIF(Table1[Customer ID],Table1[[#This Row],[Customer ID]])&gt;1,"Repeat Customer","One-Time Customer")</f>
        <v>Repeat Customer</v>
      </c>
      <c r="H355" s="1" t="s">
        <v>767</v>
      </c>
      <c r="I355" s="1" t="s">
        <v>49</v>
      </c>
      <c r="J355" s="1" t="s">
        <v>114</v>
      </c>
      <c r="K355" s="1" t="s">
        <v>29</v>
      </c>
      <c r="L355" s="1" t="s">
        <v>109</v>
      </c>
      <c r="M355" s="1" t="s">
        <v>59</v>
      </c>
      <c r="N355" s="1" t="s">
        <v>638</v>
      </c>
      <c r="O355" s="1">
        <v>0.37</v>
      </c>
      <c r="P355" s="6">
        <f>Table1[[#This Row],[Profit]]/Table1[[#This Row],[Sales]]</f>
        <v>-1.2838671034160036</v>
      </c>
      <c r="Q355" s="1" t="s">
        <v>33</v>
      </c>
      <c r="R355" s="1" t="s">
        <v>34</v>
      </c>
      <c r="S355" s="1" t="s">
        <v>533</v>
      </c>
      <c r="T355" s="1" t="s">
        <v>768</v>
      </c>
      <c r="U355" s="1">
        <v>89115</v>
      </c>
      <c r="V355" s="9">
        <v>42011</v>
      </c>
      <c r="W355" s="13" t="str">
        <f>TEXT(Table1[[#This Row],[Order Date]],"mmmm")</f>
        <v>January</v>
      </c>
      <c r="X355" s="7" t="str">
        <f>TEXT(Table1[[#This Row],[Order Date]],"yyyy")</f>
        <v>2015</v>
      </c>
      <c r="Y355" s="9">
        <v>42012</v>
      </c>
      <c r="Z355" s="1">
        <v>-246.92615999999998</v>
      </c>
      <c r="AA355" s="1">
        <v>12</v>
      </c>
      <c r="AB355" s="1">
        <v>192.33</v>
      </c>
      <c r="AC355" s="1">
        <v>91575</v>
      </c>
      <c r="AD355" s="6" t="str">
        <f>IF(COUNTIF(Returns!$A$2:$A$1635,Orders!AC355)&gt;0,"Returned","Not Returned")</f>
        <v>Not Returned</v>
      </c>
    </row>
    <row r="356" spans="1:30" ht="12.75" customHeight="1" thickTop="1" thickBot="1" x14ac:dyDescent="0.25">
      <c r="A356" s="10">
        <v>23433</v>
      </c>
      <c r="B356" s="11" t="s">
        <v>106</v>
      </c>
      <c r="C356" s="11">
        <v>0.04</v>
      </c>
      <c r="D356" s="11">
        <v>880.98</v>
      </c>
      <c r="E356" s="11">
        <v>44.55</v>
      </c>
      <c r="F356" s="11">
        <v>651</v>
      </c>
      <c r="G356" s="6" t="str">
        <f>IF(COUNTIF(Table1[Customer ID],Table1[[#This Row],[Customer ID]])&gt;1,"Repeat Customer","One-Time Customer")</f>
        <v>Repeat Customer</v>
      </c>
      <c r="H356" s="11" t="s">
        <v>767</v>
      </c>
      <c r="I356" s="11" t="s">
        <v>39</v>
      </c>
      <c r="J356" s="11" t="s">
        <v>114</v>
      </c>
      <c r="K356" s="11" t="s">
        <v>41</v>
      </c>
      <c r="L356" s="11" t="s">
        <v>191</v>
      </c>
      <c r="M356" s="11" t="s">
        <v>121</v>
      </c>
      <c r="N356" s="11" t="s">
        <v>769</v>
      </c>
      <c r="O356" s="11">
        <v>0.62</v>
      </c>
      <c r="P356" s="6">
        <f>Table1[[#This Row],[Profit]]/Table1[[#This Row],[Sales]]</f>
        <v>0.6134046440862162</v>
      </c>
      <c r="Q356" s="11" t="s">
        <v>33</v>
      </c>
      <c r="R356" s="11" t="s">
        <v>34</v>
      </c>
      <c r="S356" s="11" t="s">
        <v>533</v>
      </c>
      <c r="T356" s="11" t="s">
        <v>768</v>
      </c>
      <c r="U356" s="11">
        <v>89115</v>
      </c>
      <c r="V356" s="12">
        <v>42050</v>
      </c>
      <c r="W356" s="13" t="str">
        <f>TEXT(Table1[[#This Row],[Order Date]],"mmmm")</f>
        <v>February</v>
      </c>
      <c r="X356" s="7" t="str">
        <f>TEXT(Table1[[#This Row],[Order Date]],"yyyy")</f>
        <v>2015</v>
      </c>
      <c r="Y356" s="12">
        <v>42054</v>
      </c>
      <c r="Z356" s="11">
        <v>4233.2587999999996</v>
      </c>
      <c r="AA356" s="11">
        <v>8</v>
      </c>
      <c r="AB356" s="11">
        <v>6901.25</v>
      </c>
      <c r="AC356" s="11">
        <v>91576</v>
      </c>
      <c r="AD356" s="6" t="str">
        <f>IF(COUNTIF(Returns!$A$2:$A$1635,Orders!AC356)&gt;0,"Returned","Not Returned")</f>
        <v>Not Returned</v>
      </c>
    </row>
    <row r="357" spans="1:30" ht="12.75" customHeight="1" thickTop="1" thickBot="1" x14ac:dyDescent="0.25">
      <c r="A357" s="8">
        <v>23434</v>
      </c>
      <c r="B357" s="1" t="s">
        <v>106</v>
      </c>
      <c r="C357" s="1">
        <v>7.0000000000000007E-2</v>
      </c>
      <c r="D357" s="1">
        <v>13.4</v>
      </c>
      <c r="E357" s="1">
        <v>4.95</v>
      </c>
      <c r="F357" s="1">
        <v>651</v>
      </c>
      <c r="G357" s="6" t="str">
        <f>IF(COUNTIF(Table1[Customer ID],Table1[[#This Row],[Customer ID]])&gt;1,"Repeat Customer","One-Time Customer")</f>
        <v>Repeat Customer</v>
      </c>
      <c r="H357" s="1" t="s">
        <v>767</v>
      </c>
      <c r="I357" s="1" t="s">
        <v>49</v>
      </c>
      <c r="J357" s="1" t="s">
        <v>114</v>
      </c>
      <c r="K357" s="1" t="s">
        <v>41</v>
      </c>
      <c r="L357" s="1" t="s">
        <v>50</v>
      </c>
      <c r="M357" s="1" t="s">
        <v>51</v>
      </c>
      <c r="N357" s="1" t="s">
        <v>770</v>
      </c>
      <c r="O357" s="1">
        <v>0.37</v>
      </c>
      <c r="P357" s="6">
        <f>Table1[[#This Row],[Profit]]/Table1[[#This Row],[Sales]]</f>
        <v>0.69</v>
      </c>
      <c r="Q357" s="1" t="s">
        <v>33</v>
      </c>
      <c r="R357" s="1" t="s">
        <v>34</v>
      </c>
      <c r="S357" s="1" t="s">
        <v>533</v>
      </c>
      <c r="T357" s="1" t="s">
        <v>768</v>
      </c>
      <c r="U357" s="1">
        <v>89115</v>
      </c>
      <c r="V357" s="9">
        <v>42050</v>
      </c>
      <c r="W357" s="13" t="str">
        <f>TEXT(Table1[[#This Row],[Order Date]],"mmmm")</f>
        <v>February</v>
      </c>
      <c r="X357" s="7" t="str">
        <f>TEXT(Table1[[#This Row],[Order Date]],"yyyy")</f>
        <v>2015</v>
      </c>
      <c r="Y357" s="9">
        <v>42055</v>
      </c>
      <c r="Z357" s="1">
        <v>102.76859999999999</v>
      </c>
      <c r="AA357" s="1">
        <v>11</v>
      </c>
      <c r="AB357" s="1">
        <v>148.94</v>
      </c>
      <c r="AC357" s="1">
        <v>91576</v>
      </c>
      <c r="AD357" s="6" t="str">
        <f>IF(COUNTIF(Returns!$A$2:$A$1635,Orders!AC357)&gt;0,"Returned","Not Returned")</f>
        <v>Not Returned</v>
      </c>
    </row>
    <row r="358" spans="1:30" ht="12.75" customHeight="1" thickTop="1" thickBot="1" x14ac:dyDescent="0.25">
      <c r="A358" s="10">
        <v>23435</v>
      </c>
      <c r="B358" s="11" t="s">
        <v>106</v>
      </c>
      <c r="C358" s="11">
        <v>0.01</v>
      </c>
      <c r="D358" s="11">
        <v>15.99</v>
      </c>
      <c r="E358" s="11">
        <v>11.28</v>
      </c>
      <c r="F358" s="11">
        <v>651</v>
      </c>
      <c r="G358" s="6" t="str">
        <f>IF(COUNTIF(Table1[Customer ID],Table1[[#This Row],[Customer ID]])&gt;1,"Repeat Customer","One-Time Customer")</f>
        <v>Repeat Customer</v>
      </c>
      <c r="H358" s="11" t="s">
        <v>767</v>
      </c>
      <c r="I358" s="11" t="s">
        <v>49</v>
      </c>
      <c r="J358" s="11" t="s">
        <v>114</v>
      </c>
      <c r="K358" s="11" t="s">
        <v>77</v>
      </c>
      <c r="L358" s="11" t="s">
        <v>85</v>
      </c>
      <c r="M358" s="11" t="s">
        <v>86</v>
      </c>
      <c r="N358" s="11" t="s">
        <v>550</v>
      </c>
      <c r="O358" s="11">
        <v>0.38</v>
      </c>
      <c r="P358" s="6">
        <f>Table1[[#This Row],[Profit]]/Table1[[#This Row],[Sales]]</f>
        <v>-0.18273641618497108</v>
      </c>
      <c r="Q358" s="11" t="s">
        <v>33</v>
      </c>
      <c r="R358" s="11" t="s">
        <v>34</v>
      </c>
      <c r="S358" s="11" t="s">
        <v>533</v>
      </c>
      <c r="T358" s="11" t="s">
        <v>768</v>
      </c>
      <c r="U358" s="11">
        <v>89115</v>
      </c>
      <c r="V358" s="12">
        <v>42050</v>
      </c>
      <c r="W358" s="13" t="str">
        <f>TEXT(Table1[[#This Row],[Order Date]],"mmmm")</f>
        <v>February</v>
      </c>
      <c r="X358" s="7" t="str">
        <f>TEXT(Table1[[#This Row],[Order Date]],"yyyy")</f>
        <v>2015</v>
      </c>
      <c r="Y358" s="12">
        <v>42057</v>
      </c>
      <c r="Z358" s="11">
        <v>-36.671543999999997</v>
      </c>
      <c r="AA358" s="11">
        <v>12</v>
      </c>
      <c r="AB358" s="11">
        <v>200.68</v>
      </c>
      <c r="AC358" s="11">
        <v>91576</v>
      </c>
      <c r="AD358" s="6" t="str">
        <f>IF(COUNTIF(Returns!$A$2:$A$1635,Orders!AC358)&gt;0,"Returned","Not Returned")</f>
        <v>Not Returned</v>
      </c>
    </row>
    <row r="359" spans="1:30" ht="12.75" customHeight="1" thickTop="1" thickBot="1" x14ac:dyDescent="0.25">
      <c r="A359" s="8">
        <v>25055</v>
      </c>
      <c r="B359" s="1" t="s">
        <v>37</v>
      </c>
      <c r="C359" s="1">
        <v>0</v>
      </c>
      <c r="D359" s="1">
        <v>2.78</v>
      </c>
      <c r="E359" s="1">
        <v>1.49</v>
      </c>
      <c r="F359" s="1">
        <v>653</v>
      </c>
      <c r="G359" s="6" t="str">
        <f>IF(COUNTIF(Table1[Customer ID],Table1[[#This Row],[Customer ID]])&gt;1,"Repeat Customer","One-Time Customer")</f>
        <v>One-Time Customer</v>
      </c>
      <c r="H359" s="1" t="s">
        <v>771</v>
      </c>
      <c r="I359" s="1" t="s">
        <v>27</v>
      </c>
      <c r="J359" s="1" t="s">
        <v>114</v>
      </c>
      <c r="K359" s="1" t="s">
        <v>29</v>
      </c>
      <c r="L359" s="1" t="s">
        <v>109</v>
      </c>
      <c r="M359" s="1" t="s">
        <v>59</v>
      </c>
      <c r="N359" s="1" t="s">
        <v>772</v>
      </c>
      <c r="O359" s="1">
        <v>0.36</v>
      </c>
      <c r="P359" s="6">
        <f>Table1[[#This Row],[Profit]]/Table1[[#This Row],[Sales]]</f>
        <v>0.69</v>
      </c>
      <c r="Q359" s="1" t="s">
        <v>33</v>
      </c>
      <c r="R359" s="1" t="s">
        <v>34</v>
      </c>
      <c r="S359" s="1" t="s">
        <v>45</v>
      </c>
      <c r="T359" s="1" t="s">
        <v>773</v>
      </c>
      <c r="U359" s="1">
        <v>91730</v>
      </c>
      <c r="V359" s="9">
        <v>42110</v>
      </c>
      <c r="W359" s="13" t="str">
        <f>TEXT(Table1[[#This Row],[Order Date]],"mmmm")</f>
        <v>April</v>
      </c>
      <c r="X359" s="7" t="str">
        <f>TEXT(Table1[[#This Row],[Order Date]],"yyyy")</f>
        <v>2015</v>
      </c>
      <c r="Y359" s="9">
        <v>42111</v>
      </c>
      <c r="Z359" s="1">
        <v>20.6448</v>
      </c>
      <c r="AA359" s="1">
        <v>9</v>
      </c>
      <c r="AB359" s="1">
        <v>29.92</v>
      </c>
      <c r="AC359" s="1">
        <v>91213</v>
      </c>
      <c r="AD359" s="6" t="str">
        <f>IF(COUNTIF(Returns!$A$2:$A$1635,Orders!AC359)&gt;0,"Returned","Not Returned")</f>
        <v>Not Returned</v>
      </c>
    </row>
    <row r="360" spans="1:30" ht="12.75" customHeight="1" thickTop="1" thickBot="1" x14ac:dyDescent="0.25">
      <c r="A360" s="10">
        <v>20874</v>
      </c>
      <c r="B360" s="11" t="s">
        <v>47</v>
      </c>
      <c r="C360" s="11">
        <v>0.1</v>
      </c>
      <c r="D360" s="11">
        <v>18.97</v>
      </c>
      <c r="E360" s="11">
        <v>9.0299999999999994</v>
      </c>
      <c r="F360" s="11">
        <v>657</v>
      </c>
      <c r="G360" s="6" t="str">
        <f>IF(COUNTIF(Table1[Customer ID],Table1[[#This Row],[Customer ID]])&gt;1,"Repeat Customer","One-Time Customer")</f>
        <v>One-Time Customer</v>
      </c>
      <c r="H360" s="11" t="s">
        <v>774</v>
      </c>
      <c r="I360" s="11" t="s">
        <v>49</v>
      </c>
      <c r="J360" s="11" t="s">
        <v>114</v>
      </c>
      <c r="K360" s="11" t="s">
        <v>29</v>
      </c>
      <c r="L360" s="11" t="s">
        <v>93</v>
      </c>
      <c r="M360" s="11" t="s">
        <v>59</v>
      </c>
      <c r="N360" s="11" t="s">
        <v>775</v>
      </c>
      <c r="O360" s="11">
        <v>0.37</v>
      </c>
      <c r="P360" s="6">
        <f>Table1[[#This Row],[Profit]]/Table1[[#This Row],[Sales]]</f>
        <v>-1.2268018246325392</v>
      </c>
      <c r="Q360" s="11" t="s">
        <v>33</v>
      </c>
      <c r="R360" s="11" t="s">
        <v>53</v>
      </c>
      <c r="S360" s="11" t="s">
        <v>193</v>
      </c>
      <c r="T360" s="11" t="s">
        <v>776</v>
      </c>
      <c r="U360" s="11">
        <v>1540</v>
      </c>
      <c r="V360" s="12">
        <v>42023</v>
      </c>
      <c r="W360" s="13" t="str">
        <f>TEXT(Table1[[#This Row],[Order Date]],"mmmm")</f>
        <v>January</v>
      </c>
      <c r="X360" s="7" t="str">
        <f>TEXT(Table1[[#This Row],[Order Date]],"yyyy")</f>
        <v>2015</v>
      </c>
      <c r="Y360" s="12">
        <v>42025</v>
      </c>
      <c r="Z360" s="11">
        <v>-24.204799999999999</v>
      </c>
      <c r="AA360" s="11">
        <v>1</v>
      </c>
      <c r="AB360" s="11">
        <v>19.73</v>
      </c>
      <c r="AC360" s="11">
        <v>91212</v>
      </c>
      <c r="AD360" s="6" t="str">
        <f>IF(COUNTIF(Returns!$A$2:$A$1635,Orders!AC360)&gt;0,"Returned","Not Returned")</f>
        <v>Not Returned</v>
      </c>
    </row>
    <row r="361" spans="1:30" ht="12.75" customHeight="1" thickTop="1" thickBot="1" x14ac:dyDescent="0.25">
      <c r="A361" s="8">
        <v>20875</v>
      </c>
      <c r="B361" s="1" t="s">
        <v>47</v>
      </c>
      <c r="C361" s="1">
        <v>0</v>
      </c>
      <c r="D361" s="1">
        <v>119.99</v>
      </c>
      <c r="E361" s="1">
        <v>56.14</v>
      </c>
      <c r="F361" s="1">
        <v>659</v>
      </c>
      <c r="G361" s="6" t="str">
        <f>IF(COUNTIF(Table1[Customer ID],Table1[[#This Row],[Customer ID]])&gt;1,"Repeat Customer","One-Time Customer")</f>
        <v>One-Time Customer</v>
      </c>
      <c r="H361" s="1" t="s">
        <v>777</v>
      </c>
      <c r="I361" s="1" t="s">
        <v>39</v>
      </c>
      <c r="J361" s="1" t="s">
        <v>114</v>
      </c>
      <c r="K361" s="1" t="s">
        <v>77</v>
      </c>
      <c r="L361" s="1" t="s">
        <v>85</v>
      </c>
      <c r="M361" s="1" t="s">
        <v>121</v>
      </c>
      <c r="N361" s="1" t="s">
        <v>318</v>
      </c>
      <c r="O361" s="1">
        <v>0.39</v>
      </c>
      <c r="P361" s="6">
        <f>Table1[[#This Row],[Profit]]/Table1[[#This Row],[Sales]]</f>
        <v>-0.20479218247392533</v>
      </c>
      <c r="Q361" s="1" t="s">
        <v>33</v>
      </c>
      <c r="R361" s="1" t="s">
        <v>53</v>
      </c>
      <c r="S361" s="1" t="s">
        <v>149</v>
      </c>
      <c r="T361" s="1" t="s">
        <v>778</v>
      </c>
      <c r="U361" s="1">
        <v>5403</v>
      </c>
      <c r="V361" s="9">
        <v>42023</v>
      </c>
      <c r="W361" s="13" t="str">
        <f>TEXT(Table1[[#This Row],[Order Date]],"mmmm")</f>
        <v>January</v>
      </c>
      <c r="X361" s="7" t="str">
        <f>TEXT(Table1[[#This Row],[Order Date]],"yyyy")</f>
        <v>2015</v>
      </c>
      <c r="Y361" s="9">
        <v>42024</v>
      </c>
      <c r="Z361" s="1">
        <v>-126.05777999999999</v>
      </c>
      <c r="AA361" s="1">
        <v>5</v>
      </c>
      <c r="AB361" s="1">
        <v>615.54</v>
      </c>
      <c r="AC361" s="1">
        <v>91212</v>
      </c>
      <c r="AD361" s="6" t="str">
        <f>IF(COUNTIF(Returns!$A$2:$A$1635,Orders!AC361)&gt;0,"Returned","Not Returned")</f>
        <v>Not Returned</v>
      </c>
    </row>
    <row r="362" spans="1:30" ht="12.75" customHeight="1" thickTop="1" thickBot="1" x14ac:dyDescent="0.25">
      <c r="A362" s="10">
        <v>23487</v>
      </c>
      <c r="B362" s="11" t="s">
        <v>47</v>
      </c>
      <c r="C362" s="11">
        <v>0.02</v>
      </c>
      <c r="D362" s="11">
        <v>14.58</v>
      </c>
      <c r="E362" s="11">
        <v>7.4</v>
      </c>
      <c r="F362" s="11">
        <v>663</v>
      </c>
      <c r="G362" s="6" t="str">
        <f>IF(COUNTIF(Table1[Customer ID],Table1[[#This Row],[Customer ID]])&gt;1,"Repeat Customer","One-Time Customer")</f>
        <v>One-Time Customer</v>
      </c>
      <c r="H362" s="11" t="s">
        <v>779</v>
      </c>
      <c r="I362" s="11" t="s">
        <v>49</v>
      </c>
      <c r="J362" s="11" t="s">
        <v>40</v>
      </c>
      <c r="K362" s="11" t="s">
        <v>41</v>
      </c>
      <c r="L362" s="11" t="s">
        <v>50</v>
      </c>
      <c r="M362" s="11" t="s">
        <v>59</v>
      </c>
      <c r="N362" s="11" t="s">
        <v>780</v>
      </c>
      <c r="O362" s="11">
        <v>0.48</v>
      </c>
      <c r="P362" s="6">
        <f>Table1[[#This Row],[Profit]]/Table1[[#This Row],[Sales]]</f>
        <v>4.1333129256906721E-2</v>
      </c>
      <c r="Q362" s="11" t="s">
        <v>33</v>
      </c>
      <c r="R362" s="11" t="s">
        <v>53</v>
      </c>
      <c r="S362" s="11" t="s">
        <v>154</v>
      </c>
      <c r="T362" s="11" t="s">
        <v>742</v>
      </c>
      <c r="U362" s="11">
        <v>43952</v>
      </c>
      <c r="V362" s="12">
        <v>42153</v>
      </c>
      <c r="W362" s="13" t="str">
        <f>TEXT(Table1[[#This Row],[Order Date]],"mmmm")</f>
        <v>May</v>
      </c>
      <c r="X362" s="7" t="str">
        <f>TEXT(Table1[[#This Row],[Order Date]],"yyyy")</f>
        <v>2015</v>
      </c>
      <c r="Y362" s="12">
        <v>42156</v>
      </c>
      <c r="Z362" s="11">
        <v>10.802000000000001</v>
      </c>
      <c r="AA362" s="11">
        <v>17</v>
      </c>
      <c r="AB362" s="11">
        <v>261.33999999999997</v>
      </c>
      <c r="AC362" s="11">
        <v>90922</v>
      </c>
      <c r="AD362" s="6" t="str">
        <f>IF(COUNTIF(Returns!$A$2:$A$1635,Orders!AC362)&gt;0,"Returned","Not Returned")</f>
        <v>Not Returned</v>
      </c>
    </row>
    <row r="363" spans="1:30" ht="12.75" customHeight="1" thickTop="1" thickBot="1" x14ac:dyDescent="0.25">
      <c r="A363" s="8">
        <v>21086</v>
      </c>
      <c r="B363" s="1" t="s">
        <v>106</v>
      </c>
      <c r="C363" s="1">
        <v>0.04</v>
      </c>
      <c r="D363" s="1">
        <v>22.72</v>
      </c>
      <c r="E363" s="1">
        <v>8.99</v>
      </c>
      <c r="F363" s="1">
        <v>665</v>
      </c>
      <c r="G363" s="6" t="str">
        <f>IF(COUNTIF(Table1[Customer ID],Table1[[#This Row],[Customer ID]])&gt;1,"Repeat Customer","One-Time Customer")</f>
        <v>Repeat Customer</v>
      </c>
      <c r="H363" s="1" t="s">
        <v>781</v>
      </c>
      <c r="I363" s="1" t="s">
        <v>49</v>
      </c>
      <c r="J363" s="1" t="s">
        <v>28</v>
      </c>
      <c r="K363" s="1" t="s">
        <v>41</v>
      </c>
      <c r="L363" s="1" t="s">
        <v>50</v>
      </c>
      <c r="M363" s="1" t="s">
        <v>51</v>
      </c>
      <c r="N363" s="1" t="s">
        <v>782</v>
      </c>
      <c r="O363" s="1">
        <v>0.44</v>
      </c>
      <c r="P363" s="6">
        <f>Table1[[#This Row],[Profit]]/Table1[[#This Row],[Sales]]</f>
        <v>-3.3520873474630699</v>
      </c>
      <c r="Q363" s="1" t="s">
        <v>33</v>
      </c>
      <c r="R363" s="1" t="s">
        <v>136</v>
      </c>
      <c r="S363" s="1" t="s">
        <v>244</v>
      </c>
      <c r="T363" s="1" t="s">
        <v>610</v>
      </c>
      <c r="U363" s="1">
        <v>37130</v>
      </c>
      <c r="V363" s="9">
        <v>42020</v>
      </c>
      <c r="W363" s="13" t="str">
        <f>TEXT(Table1[[#This Row],[Order Date]],"mmmm")</f>
        <v>January</v>
      </c>
      <c r="X363" s="7" t="str">
        <f>TEXT(Table1[[#This Row],[Order Date]],"yyyy")</f>
        <v>2015</v>
      </c>
      <c r="Y363" s="9">
        <v>42024</v>
      </c>
      <c r="Z363" s="1">
        <v>-678.49599999999998</v>
      </c>
      <c r="AA363" s="1">
        <v>9</v>
      </c>
      <c r="AB363" s="1">
        <v>202.41</v>
      </c>
      <c r="AC363" s="1">
        <v>88677</v>
      </c>
      <c r="AD363" s="6" t="str">
        <f>IF(COUNTIF(Returns!$A$2:$A$1635,Orders!AC363)&gt;0,"Returned","Not Returned")</f>
        <v>Not Returned</v>
      </c>
    </row>
    <row r="364" spans="1:30" ht="12.75" customHeight="1" thickTop="1" thickBot="1" x14ac:dyDescent="0.25">
      <c r="A364" s="10">
        <v>18667</v>
      </c>
      <c r="B364" s="11" t="s">
        <v>47</v>
      </c>
      <c r="C364" s="11">
        <v>0.02</v>
      </c>
      <c r="D364" s="11">
        <v>130.97999999999999</v>
      </c>
      <c r="E364" s="11">
        <v>30</v>
      </c>
      <c r="F364" s="11">
        <v>665</v>
      </c>
      <c r="G364" s="6" t="str">
        <f>IF(COUNTIF(Table1[Customer ID],Table1[[#This Row],[Customer ID]])&gt;1,"Repeat Customer","One-Time Customer")</f>
        <v>Repeat Customer</v>
      </c>
      <c r="H364" s="11" t="s">
        <v>781</v>
      </c>
      <c r="I364" s="11" t="s">
        <v>39</v>
      </c>
      <c r="J364" s="11" t="s">
        <v>28</v>
      </c>
      <c r="K364" s="11" t="s">
        <v>41</v>
      </c>
      <c r="L364" s="11" t="s">
        <v>42</v>
      </c>
      <c r="M364" s="11" t="s">
        <v>43</v>
      </c>
      <c r="N364" s="11" t="s">
        <v>546</v>
      </c>
      <c r="O364" s="11">
        <v>0.78</v>
      </c>
      <c r="P364" s="6">
        <f>Table1[[#This Row],[Profit]]/Table1[[#This Row],[Sales]]</f>
        <v>0.11439771108786348</v>
      </c>
      <c r="Q364" s="11" t="s">
        <v>33</v>
      </c>
      <c r="R364" s="11" t="s">
        <v>136</v>
      </c>
      <c r="S364" s="11" t="s">
        <v>244</v>
      </c>
      <c r="T364" s="11" t="s">
        <v>610</v>
      </c>
      <c r="U364" s="11">
        <v>37130</v>
      </c>
      <c r="V364" s="12">
        <v>42112</v>
      </c>
      <c r="W364" s="13" t="str">
        <f>TEXT(Table1[[#This Row],[Order Date]],"mmmm")</f>
        <v>April</v>
      </c>
      <c r="X364" s="7" t="str">
        <f>TEXT(Table1[[#This Row],[Order Date]],"yyyy")</f>
        <v>2015</v>
      </c>
      <c r="Y364" s="12">
        <v>42113</v>
      </c>
      <c r="Z364" s="11">
        <v>90.762</v>
      </c>
      <c r="AA364" s="11">
        <v>6</v>
      </c>
      <c r="AB364" s="11">
        <v>793.39</v>
      </c>
      <c r="AC364" s="11">
        <v>88678</v>
      </c>
      <c r="AD364" s="6" t="str">
        <f>IF(COUNTIF(Returns!$A$2:$A$1635,Orders!AC364)&gt;0,"Returned","Not Returned")</f>
        <v>Not Returned</v>
      </c>
    </row>
    <row r="365" spans="1:30" ht="12.75" customHeight="1" thickTop="1" thickBot="1" x14ac:dyDescent="0.25">
      <c r="A365" s="8">
        <v>24776</v>
      </c>
      <c r="B365" s="1" t="s">
        <v>106</v>
      </c>
      <c r="C365" s="1">
        <v>0.02</v>
      </c>
      <c r="D365" s="1">
        <v>4.57</v>
      </c>
      <c r="E365" s="1">
        <v>5.42</v>
      </c>
      <c r="F365" s="1">
        <v>666</v>
      </c>
      <c r="G365" s="6" t="str">
        <f>IF(COUNTIF(Table1[Customer ID],Table1[[#This Row],[Customer ID]])&gt;1,"Repeat Customer","One-Time Customer")</f>
        <v>One-Time Customer</v>
      </c>
      <c r="H365" s="1" t="s">
        <v>783</v>
      </c>
      <c r="I365" s="1" t="s">
        <v>49</v>
      </c>
      <c r="J365" s="1" t="s">
        <v>28</v>
      </c>
      <c r="K365" s="1" t="s">
        <v>29</v>
      </c>
      <c r="L365" s="1" t="s">
        <v>109</v>
      </c>
      <c r="M365" s="1" t="s">
        <v>59</v>
      </c>
      <c r="N365" s="1" t="s">
        <v>784</v>
      </c>
      <c r="O365" s="1">
        <v>0.37</v>
      </c>
      <c r="P365" s="6">
        <f>Table1[[#This Row],[Profit]]/Table1[[#This Row],[Sales]]</f>
        <v>-6.5287564766839372</v>
      </c>
      <c r="Q365" s="1" t="s">
        <v>33</v>
      </c>
      <c r="R365" s="1" t="s">
        <v>136</v>
      </c>
      <c r="S365" s="1" t="s">
        <v>244</v>
      </c>
      <c r="T365" s="1" t="s">
        <v>785</v>
      </c>
      <c r="U365" s="1">
        <v>37211</v>
      </c>
      <c r="V365" s="9">
        <v>42116</v>
      </c>
      <c r="W365" s="13" t="str">
        <f>TEXT(Table1[[#This Row],[Order Date]],"mmmm")</f>
        <v>April</v>
      </c>
      <c r="X365" s="7" t="str">
        <f>TEXT(Table1[[#This Row],[Order Date]],"yyyy")</f>
        <v>2015</v>
      </c>
      <c r="Y365" s="9">
        <v>42120</v>
      </c>
      <c r="Z365" s="1">
        <v>-352.81399999999996</v>
      </c>
      <c r="AA365" s="1">
        <v>11</v>
      </c>
      <c r="AB365" s="1">
        <v>54.04</v>
      </c>
      <c r="AC365" s="1">
        <v>88679</v>
      </c>
      <c r="AD365" s="6" t="str">
        <f>IF(COUNTIF(Returns!$A$2:$A$1635,Orders!AC365)&gt;0,"Returned","Not Returned")</f>
        <v>Not Returned</v>
      </c>
    </row>
    <row r="366" spans="1:30" ht="12.75" customHeight="1" thickTop="1" thickBot="1" x14ac:dyDescent="0.25">
      <c r="A366" s="10">
        <v>3086</v>
      </c>
      <c r="B366" s="11" t="s">
        <v>106</v>
      </c>
      <c r="C366" s="11">
        <v>0.04</v>
      </c>
      <c r="D366" s="11">
        <v>22.72</v>
      </c>
      <c r="E366" s="11">
        <v>8.99</v>
      </c>
      <c r="F366" s="11">
        <v>667</v>
      </c>
      <c r="G366" s="6" t="str">
        <f>IF(COUNTIF(Table1[Customer ID],Table1[[#This Row],[Customer ID]])&gt;1,"Repeat Customer","One-Time Customer")</f>
        <v>Repeat Customer</v>
      </c>
      <c r="H366" s="11" t="s">
        <v>786</v>
      </c>
      <c r="I366" s="11" t="s">
        <v>49</v>
      </c>
      <c r="J366" s="11" t="s">
        <v>28</v>
      </c>
      <c r="K366" s="11" t="s">
        <v>41</v>
      </c>
      <c r="L366" s="11" t="s">
        <v>50</v>
      </c>
      <c r="M366" s="11" t="s">
        <v>51</v>
      </c>
      <c r="N366" s="11" t="s">
        <v>782</v>
      </c>
      <c r="O366" s="11">
        <v>0.44</v>
      </c>
      <c r="P366" s="6">
        <f>Table1[[#This Row],[Profit]]/Table1[[#This Row],[Sales]]</f>
        <v>8.4154108683634973E-2</v>
      </c>
      <c r="Q366" s="11" t="s">
        <v>33</v>
      </c>
      <c r="R366" s="11" t="s">
        <v>61</v>
      </c>
      <c r="S366" s="11" t="s">
        <v>130</v>
      </c>
      <c r="T366" s="11" t="s">
        <v>787</v>
      </c>
      <c r="U366" s="11">
        <v>75203</v>
      </c>
      <c r="V366" s="12">
        <v>42020</v>
      </c>
      <c r="W366" s="13" t="str">
        <f>TEXT(Table1[[#This Row],[Order Date]],"mmmm")</f>
        <v>January</v>
      </c>
      <c r="X366" s="7" t="str">
        <f>TEXT(Table1[[#This Row],[Order Date]],"yyyy")</f>
        <v>2015</v>
      </c>
      <c r="Y366" s="12">
        <v>42024</v>
      </c>
      <c r="Z366" s="11">
        <v>70.028000000000006</v>
      </c>
      <c r="AA366" s="11">
        <v>37</v>
      </c>
      <c r="AB366" s="11">
        <v>832.14</v>
      </c>
      <c r="AC366" s="11">
        <v>22147</v>
      </c>
      <c r="AD366" s="6" t="str">
        <f>IF(COUNTIF(Returns!$A$2:$A$1635,Orders!AC366)&gt;0,"Returned","Not Returned")</f>
        <v>Not Returned</v>
      </c>
    </row>
    <row r="367" spans="1:30" ht="12.75" customHeight="1" thickTop="1" thickBot="1" x14ac:dyDescent="0.25">
      <c r="A367" s="8">
        <v>6776</v>
      </c>
      <c r="B367" s="1" t="s">
        <v>106</v>
      </c>
      <c r="C367" s="1">
        <v>0.02</v>
      </c>
      <c r="D367" s="1">
        <v>4.57</v>
      </c>
      <c r="E367" s="1">
        <v>5.42</v>
      </c>
      <c r="F367" s="1">
        <v>667</v>
      </c>
      <c r="G367" s="6" t="str">
        <f>IF(COUNTIF(Table1[Customer ID],Table1[[#This Row],[Customer ID]])&gt;1,"Repeat Customer","One-Time Customer")</f>
        <v>Repeat Customer</v>
      </c>
      <c r="H367" s="1" t="s">
        <v>786</v>
      </c>
      <c r="I367" s="1" t="s">
        <v>49</v>
      </c>
      <c r="J367" s="1" t="s">
        <v>28</v>
      </c>
      <c r="K367" s="1" t="s">
        <v>29</v>
      </c>
      <c r="L367" s="1" t="s">
        <v>109</v>
      </c>
      <c r="M367" s="1" t="s">
        <v>59</v>
      </c>
      <c r="N367" s="1" t="s">
        <v>784</v>
      </c>
      <c r="O367" s="1">
        <v>0.37</v>
      </c>
      <c r="P367" s="6">
        <f>Table1[[#This Row],[Profit]]/Table1[[#This Row],[Sales]]</f>
        <v>-0.56220256943816149</v>
      </c>
      <c r="Q367" s="1" t="s">
        <v>33</v>
      </c>
      <c r="R367" s="1" t="s">
        <v>61</v>
      </c>
      <c r="S367" s="1" t="s">
        <v>130</v>
      </c>
      <c r="T367" s="1" t="s">
        <v>787</v>
      </c>
      <c r="U367" s="1">
        <v>75203</v>
      </c>
      <c r="V367" s="9">
        <v>42116</v>
      </c>
      <c r="W367" s="13" t="str">
        <f>TEXT(Table1[[#This Row],[Order Date]],"mmmm")</f>
        <v>April</v>
      </c>
      <c r="X367" s="7" t="str">
        <f>TEXT(Table1[[#This Row],[Order Date]],"yyyy")</f>
        <v>2015</v>
      </c>
      <c r="Y367" s="9">
        <v>42120</v>
      </c>
      <c r="Z367" s="1">
        <v>-124.28049999999999</v>
      </c>
      <c r="AA367" s="1">
        <v>45</v>
      </c>
      <c r="AB367" s="1">
        <v>221.06</v>
      </c>
      <c r="AC367" s="1">
        <v>48257</v>
      </c>
      <c r="AD367" s="6" t="str">
        <f>IF(COUNTIF(Returns!$A$2:$A$1635,Orders!AC367)&gt;0,"Returned","Not Returned")</f>
        <v>Not Returned</v>
      </c>
    </row>
    <row r="368" spans="1:30" ht="12.75" customHeight="1" thickTop="1" thickBot="1" x14ac:dyDescent="0.25">
      <c r="A368" s="10">
        <v>24882</v>
      </c>
      <c r="B368" s="11" t="s">
        <v>56</v>
      </c>
      <c r="C368" s="11">
        <v>0.09</v>
      </c>
      <c r="D368" s="11">
        <v>2.89</v>
      </c>
      <c r="E368" s="11">
        <v>0.5</v>
      </c>
      <c r="F368" s="11">
        <v>669</v>
      </c>
      <c r="G368" s="6" t="str">
        <f>IF(COUNTIF(Table1[Customer ID],Table1[[#This Row],[Customer ID]])&gt;1,"Repeat Customer","One-Time Customer")</f>
        <v>Repeat Customer</v>
      </c>
      <c r="H368" s="11" t="s">
        <v>788</v>
      </c>
      <c r="I368" s="11" t="s">
        <v>49</v>
      </c>
      <c r="J368" s="11" t="s">
        <v>40</v>
      </c>
      <c r="K368" s="11" t="s">
        <v>29</v>
      </c>
      <c r="L368" s="11" t="s">
        <v>134</v>
      </c>
      <c r="M368" s="11" t="s">
        <v>59</v>
      </c>
      <c r="N368" s="11" t="s">
        <v>789</v>
      </c>
      <c r="O368" s="11">
        <v>0.38</v>
      </c>
      <c r="P368" s="6">
        <f>Table1[[#This Row],[Profit]]/Table1[[#This Row],[Sales]]</f>
        <v>0.69</v>
      </c>
      <c r="Q368" s="11" t="s">
        <v>33</v>
      </c>
      <c r="R368" s="11" t="s">
        <v>61</v>
      </c>
      <c r="S368" s="11" t="s">
        <v>330</v>
      </c>
      <c r="T368" s="11" t="s">
        <v>790</v>
      </c>
      <c r="U368" s="11">
        <v>52501</v>
      </c>
      <c r="V368" s="12">
        <v>42083</v>
      </c>
      <c r="W368" s="13" t="str">
        <f>TEXT(Table1[[#This Row],[Order Date]],"mmmm")</f>
        <v>March</v>
      </c>
      <c r="X368" s="7" t="str">
        <f>TEXT(Table1[[#This Row],[Order Date]],"yyyy")</f>
        <v>2015</v>
      </c>
      <c r="Y368" s="12">
        <v>42085</v>
      </c>
      <c r="Z368" s="11">
        <v>40.482299999999995</v>
      </c>
      <c r="AA368" s="11">
        <v>22</v>
      </c>
      <c r="AB368" s="11">
        <v>58.67</v>
      </c>
      <c r="AC368" s="11">
        <v>88475</v>
      </c>
      <c r="AD368" s="6" t="str">
        <f>IF(COUNTIF(Returns!$A$2:$A$1635,Orders!AC368)&gt;0,"Returned","Not Returned")</f>
        <v>Not Returned</v>
      </c>
    </row>
    <row r="369" spans="1:30" ht="12.75" customHeight="1" thickTop="1" thickBot="1" x14ac:dyDescent="0.25">
      <c r="A369" s="8">
        <v>24883</v>
      </c>
      <c r="B369" s="1" t="s">
        <v>56</v>
      </c>
      <c r="C369" s="1">
        <v>0.02</v>
      </c>
      <c r="D369" s="1">
        <v>48.91</v>
      </c>
      <c r="E369" s="1">
        <v>5.81</v>
      </c>
      <c r="F369" s="1">
        <v>669</v>
      </c>
      <c r="G369" s="6" t="str">
        <f>IF(COUNTIF(Table1[Customer ID],Table1[[#This Row],[Customer ID]])&gt;1,"Repeat Customer","One-Time Customer")</f>
        <v>Repeat Customer</v>
      </c>
      <c r="H369" s="1" t="s">
        <v>788</v>
      </c>
      <c r="I369" s="1" t="s">
        <v>49</v>
      </c>
      <c r="J369" s="1" t="s">
        <v>40</v>
      </c>
      <c r="K369" s="1" t="s">
        <v>29</v>
      </c>
      <c r="L369" s="1" t="s">
        <v>93</v>
      </c>
      <c r="M369" s="1" t="s">
        <v>59</v>
      </c>
      <c r="N369" s="1" t="s">
        <v>791</v>
      </c>
      <c r="O369" s="1">
        <v>0.38</v>
      </c>
      <c r="P369" s="6">
        <f>Table1[[#This Row],[Profit]]/Table1[[#This Row],[Sales]]</f>
        <v>0.32515337423312884</v>
      </c>
      <c r="Q369" s="1" t="s">
        <v>33</v>
      </c>
      <c r="R369" s="1" t="s">
        <v>61</v>
      </c>
      <c r="S369" s="1" t="s">
        <v>330</v>
      </c>
      <c r="T369" s="1" t="s">
        <v>790</v>
      </c>
      <c r="U369" s="1">
        <v>52501</v>
      </c>
      <c r="V369" s="9">
        <v>42083</v>
      </c>
      <c r="W369" s="13" t="str">
        <f>TEXT(Table1[[#This Row],[Order Date]],"mmmm")</f>
        <v>March</v>
      </c>
      <c r="X369" s="7" t="str">
        <f>TEXT(Table1[[#This Row],[Order Date]],"yyyy")</f>
        <v>2015</v>
      </c>
      <c r="Y369" s="9">
        <v>42084</v>
      </c>
      <c r="Z369" s="1">
        <v>32.86</v>
      </c>
      <c r="AA369" s="1">
        <v>2</v>
      </c>
      <c r="AB369" s="1">
        <v>101.06</v>
      </c>
      <c r="AC369" s="1">
        <v>88475</v>
      </c>
      <c r="AD369" s="6" t="str">
        <f>IF(COUNTIF(Returns!$A$2:$A$1635,Orders!AC369)&gt;0,"Returned","Not Returned")</f>
        <v>Not Returned</v>
      </c>
    </row>
    <row r="370" spans="1:30" ht="12.75" customHeight="1" thickTop="1" thickBot="1" x14ac:dyDescent="0.25">
      <c r="A370" s="10">
        <v>18808</v>
      </c>
      <c r="B370" s="11" t="s">
        <v>106</v>
      </c>
      <c r="C370" s="11">
        <v>0.08</v>
      </c>
      <c r="D370" s="11">
        <v>296.18</v>
      </c>
      <c r="E370" s="11">
        <v>54.12</v>
      </c>
      <c r="F370" s="11">
        <v>670</v>
      </c>
      <c r="G370" s="6" t="str">
        <f>IF(COUNTIF(Table1[Customer ID],Table1[[#This Row],[Customer ID]])&gt;1,"Repeat Customer","One-Time Customer")</f>
        <v>One-Time Customer</v>
      </c>
      <c r="H370" s="11" t="s">
        <v>792</v>
      </c>
      <c r="I370" s="11" t="s">
        <v>39</v>
      </c>
      <c r="J370" s="11" t="s">
        <v>40</v>
      </c>
      <c r="K370" s="11" t="s">
        <v>41</v>
      </c>
      <c r="L370" s="11" t="s">
        <v>152</v>
      </c>
      <c r="M370" s="11" t="s">
        <v>121</v>
      </c>
      <c r="N370" s="11" t="s">
        <v>153</v>
      </c>
      <c r="O370" s="11">
        <v>0.76</v>
      </c>
      <c r="P370" s="6">
        <f>Table1[[#This Row],[Profit]]/Table1[[#This Row],[Sales]]</f>
        <v>-0.13094187339576585</v>
      </c>
      <c r="Q370" s="11" t="s">
        <v>33</v>
      </c>
      <c r="R370" s="11" t="s">
        <v>136</v>
      </c>
      <c r="S370" s="11" t="s">
        <v>137</v>
      </c>
      <c r="T370" s="11" t="s">
        <v>639</v>
      </c>
      <c r="U370" s="11">
        <v>22025</v>
      </c>
      <c r="V370" s="12">
        <v>42068</v>
      </c>
      <c r="W370" s="13" t="str">
        <f>TEXT(Table1[[#This Row],[Order Date]],"mmmm")</f>
        <v>March</v>
      </c>
      <c r="X370" s="7" t="str">
        <f>TEXT(Table1[[#This Row],[Order Date]],"yyyy")</f>
        <v>2015</v>
      </c>
      <c r="Y370" s="12">
        <v>42075</v>
      </c>
      <c r="Z370" s="11">
        <v>-187.22199999999998</v>
      </c>
      <c r="AA370" s="11">
        <v>5</v>
      </c>
      <c r="AB370" s="11">
        <v>1429.81</v>
      </c>
      <c r="AC370" s="11">
        <v>88474</v>
      </c>
      <c r="AD370" s="6" t="str">
        <f>IF(COUNTIF(Returns!$A$2:$A$1635,Orders!AC370)&gt;0,"Returned","Not Returned")</f>
        <v>Not Returned</v>
      </c>
    </row>
    <row r="371" spans="1:30" ht="12.75" customHeight="1" thickTop="1" thickBot="1" x14ac:dyDescent="0.25">
      <c r="A371" s="8">
        <v>19423</v>
      </c>
      <c r="B371" s="1" t="s">
        <v>106</v>
      </c>
      <c r="C371" s="1">
        <v>7.0000000000000007E-2</v>
      </c>
      <c r="D371" s="1">
        <v>2.88</v>
      </c>
      <c r="E371" s="1">
        <v>1.01</v>
      </c>
      <c r="F371" s="1">
        <v>672</v>
      </c>
      <c r="G371" s="6" t="str">
        <f>IF(COUNTIF(Table1[Customer ID],Table1[[#This Row],[Customer ID]])&gt;1,"Repeat Customer","One-Time Customer")</f>
        <v>Repeat Customer</v>
      </c>
      <c r="H371" s="1" t="s">
        <v>793</v>
      </c>
      <c r="I371" s="1" t="s">
        <v>49</v>
      </c>
      <c r="J371" s="1" t="s">
        <v>58</v>
      </c>
      <c r="K371" s="1" t="s">
        <v>29</v>
      </c>
      <c r="L371" s="1" t="s">
        <v>30</v>
      </c>
      <c r="M371" s="1" t="s">
        <v>31</v>
      </c>
      <c r="N371" s="1" t="s">
        <v>794</v>
      </c>
      <c r="O371" s="1">
        <v>0.55000000000000004</v>
      </c>
      <c r="P371" s="6">
        <f>Table1[[#This Row],[Profit]]/Table1[[#This Row],[Sales]]</f>
        <v>0.27423505862167574</v>
      </c>
      <c r="Q371" s="1" t="s">
        <v>33</v>
      </c>
      <c r="R371" s="1" t="s">
        <v>61</v>
      </c>
      <c r="S371" s="1" t="s">
        <v>330</v>
      </c>
      <c r="T371" s="1" t="s">
        <v>331</v>
      </c>
      <c r="U371" s="1">
        <v>50208</v>
      </c>
      <c r="V371" s="9">
        <v>42040</v>
      </c>
      <c r="W371" s="13" t="str">
        <f>TEXT(Table1[[#This Row],[Order Date]],"mmmm")</f>
        <v>February</v>
      </c>
      <c r="X371" s="7" t="str">
        <f>TEXT(Table1[[#This Row],[Order Date]],"yyyy")</f>
        <v>2015</v>
      </c>
      <c r="Y371" s="9">
        <v>42044</v>
      </c>
      <c r="Z371" s="1">
        <v>9.59</v>
      </c>
      <c r="AA371" s="1">
        <v>12</v>
      </c>
      <c r="AB371" s="1">
        <v>34.97</v>
      </c>
      <c r="AC371" s="1">
        <v>88173</v>
      </c>
      <c r="AD371" s="6" t="str">
        <f>IF(COUNTIF(Returns!$A$2:$A$1635,Orders!AC371)&gt;0,"Returned","Not Returned")</f>
        <v>Not Returned</v>
      </c>
    </row>
    <row r="372" spans="1:30" ht="12.75" customHeight="1" thickTop="1" thickBot="1" x14ac:dyDescent="0.25">
      <c r="A372" s="10">
        <v>19424</v>
      </c>
      <c r="B372" s="11" t="s">
        <v>106</v>
      </c>
      <c r="C372" s="11">
        <v>0.1</v>
      </c>
      <c r="D372" s="11">
        <v>195.99</v>
      </c>
      <c r="E372" s="11">
        <v>3.99</v>
      </c>
      <c r="F372" s="11">
        <v>672</v>
      </c>
      <c r="G372" s="6" t="str">
        <f>IF(COUNTIF(Table1[Customer ID],Table1[[#This Row],[Customer ID]])&gt;1,"Repeat Customer","One-Time Customer")</f>
        <v>Repeat Customer</v>
      </c>
      <c r="H372" s="11" t="s">
        <v>793</v>
      </c>
      <c r="I372" s="11" t="s">
        <v>49</v>
      </c>
      <c r="J372" s="11" t="s">
        <v>58</v>
      </c>
      <c r="K372" s="11" t="s">
        <v>77</v>
      </c>
      <c r="L372" s="11" t="s">
        <v>78</v>
      </c>
      <c r="M372" s="11" t="s">
        <v>59</v>
      </c>
      <c r="N372" s="11" t="s">
        <v>795</v>
      </c>
      <c r="O372" s="11">
        <v>0.57999999999999996</v>
      </c>
      <c r="P372" s="6">
        <f>Table1[[#This Row],[Profit]]/Table1[[#This Row],[Sales]]</f>
        <v>-2.1220747264132616</v>
      </c>
      <c r="Q372" s="11" t="s">
        <v>33</v>
      </c>
      <c r="R372" s="11" t="s">
        <v>61</v>
      </c>
      <c r="S372" s="11" t="s">
        <v>330</v>
      </c>
      <c r="T372" s="11" t="s">
        <v>331</v>
      </c>
      <c r="U372" s="11">
        <v>50208</v>
      </c>
      <c r="V372" s="12">
        <v>42040</v>
      </c>
      <c r="W372" s="13" t="str">
        <f>TEXT(Table1[[#This Row],[Order Date]],"mmmm")</f>
        <v>February</v>
      </c>
      <c r="X372" s="7" t="str">
        <f>TEXT(Table1[[#This Row],[Order Date]],"yyyy")</f>
        <v>2015</v>
      </c>
      <c r="Y372" s="12">
        <v>42047</v>
      </c>
      <c r="Z372" s="11">
        <v>-655.42399999999998</v>
      </c>
      <c r="AA372" s="11">
        <v>2</v>
      </c>
      <c r="AB372" s="11">
        <v>308.86</v>
      </c>
      <c r="AC372" s="11">
        <v>88173</v>
      </c>
      <c r="AD372" s="6" t="str">
        <f>IF(COUNTIF(Returns!$A$2:$A$1635,Orders!AC372)&gt;0,"Returned","Not Returned")</f>
        <v>Not Returned</v>
      </c>
    </row>
    <row r="373" spans="1:30" ht="12.75" customHeight="1" thickTop="1" thickBot="1" x14ac:dyDescent="0.25">
      <c r="A373" s="8">
        <v>25059</v>
      </c>
      <c r="B373" s="1" t="s">
        <v>47</v>
      </c>
      <c r="C373" s="1">
        <v>0.06</v>
      </c>
      <c r="D373" s="1">
        <v>161.55000000000001</v>
      </c>
      <c r="E373" s="1">
        <v>19.989999999999998</v>
      </c>
      <c r="F373" s="1">
        <v>674</v>
      </c>
      <c r="G373" s="6" t="str">
        <f>IF(COUNTIF(Table1[Customer ID],Table1[[#This Row],[Customer ID]])&gt;1,"Repeat Customer","One-Time Customer")</f>
        <v>One-Time Customer</v>
      </c>
      <c r="H373" s="1" t="s">
        <v>796</v>
      </c>
      <c r="I373" s="1" t="s">
        <v>49</v>
      </c>
      <c r="J373" s="1" t="s">
        <v>58</v>
      </c>
      <c r="K373" s="1" t="s">
        <v>29</v>
      </c>
      <c r="L373" s="1" t="s">
        <v>141</v>
      </c>
      <c r="M373" s="1" t="s">
        <v>59</v>
      </c>
      <c r="N373" s="1" t="s">
        <v>161</v>
      </c>
      <c r="O373" s="1">
        <v>0.66</v>
      </c>
      <c r="P373" s="6">
        <f>Table1[[#This Row],[Profit]]/Table1[[#This Row],[Sales]]</f>
        <v>-1.5628543741366241E-2</v>
      </c>
      <c r="Q373" s="1" t="s">
        <v>33</v>
      </c>
      <c r="R373" s="1" t="s">
        <v>61</v>
      </c>
      <c r="S373" s="1" t="s">
        <v>506</v>
      </c>
      <c r="T373" s="1" t="s">
        <v>797</v>
      </c>
      <c r="U373" s="1">
        <v>64133</v>
      </c>
      <c r="V373" s="9">
        <v>42006</v>
      </c>
      <c r="W373" s="13" t="str">
        <f>TEXT(Table1[[#This Row],[Order Date]],"mmmm")</f>
        <v>January</v>
      </c>
      <c r="X373" s="7" t="str">
        <f>TEXT(Table1[[#This Row],[Order Date]],"yyyy")</f>
        <v>2015</v>
      </c>
      <c r="Y373" s="9">
        <v>42007</v>
      </c>
      <c r="Z373" s="1">
        <v>-7.5800000000000409</v>
      </c>
      <c r="AA373" s="1">
        <v>3</v>
      </c>
      <c r="AB373" s="1">
        <v>485.01</v>
      </c>
      <c r="AC373" s="1">
        <v>88174</v>
      </c>
      <c r="AD373" s="6" t="str">
        <f>IF(COUNTIF(Returns!$A$2:$A$1635,Orders!AC373)&gt;0,"Returned","Not Returned")</f>
        <v>Not Returned</v>
      </c>
    </row>
    <row r="374" spans="1:30" ht="12.75" customHeight="1" thickTop="1" thickBot="1" x14ac:dyDescent="0.25">
      <c r="A374" s="10">
        <v>19326</v>
      </c>
      <c r="B374" s="11" t="s">
        <v>56</v>
      </c>
      <c r="C374" s="11">
        <v>0.04</v>
      </c>
      <c r="D374" s="11">
        <v>15.42</v>
      </c>
      <c r="E374" s="11">
        <v>10.68</v>
      </c>
      <c r="F374" s="11">
        <v>678</v>
      </c>
      <c r="G374" s="6" t="str">
        <f>IF(COUNTIF(Table1[Customer ID],Table1[[#This Row],[Customer ID]])&gt;1,"Repeat Customer","One-Time Customer")</f>
        <v>One-Time Customer</v>
      </c>
      <c r="H374" s="11" t="s">
        <v>798</v>
      </c>
      <c r="I374" s="11" t="s">
        <v>27</v>
      </c>
      <c r="J374" s="11" t="s">
        <v>28</v>
      </c>
      <c r="K374" s="11" t="s">
        <v>29</v>
      </c>
      <c r="L374" s="11" t="s">
        <v>141</v>
      </c>
      <c r="M374" s="11" t="s">
        <v>59</v>
      </c>
      <c r="N374" s="11" t="s">
        <v>426</v>
      </c>
      <c r="O374" s="11">
        <v>0.57999999999999996</v>
      </c>
      <c r="P374" s="6">
        <f>Table1[[#This Row],[Profit]]/Table1[[#This Row],[Sales]]</f>
        <v>-1.3520335223071236</v>
      </c>
      <c r="Q374" s="11" t="s">
        <v>33</v>
      </c>
      <c r="R374" s="11" t="s">
        <v>136</v>
      </c>
      <c r="S374" s="11" t="s">
        <v>137</v>
      </c>
      <c r="T374" s="11" t="s">
        <v>799</v>
      </c>
      <c r="U374" s="11">
        <v>24281</v>
      </c>
      <c r="V374" s="12">
        <v>42116</v>
      </c>
      <c r="W374" s="13" t="str">
        <f>TEXT(Table1[[#This Row],[Order Date]],"mmmm")</f>
        <v>April</v>
      </c>
      <c r="X374" s="7" t="str">
        <f>TEXT(Table1[[#This Row],[Order Date]],"yyyy")</f>
        <v>2015</v>
      </c>
      <c r="Y374" s="12">
        <v>42117</v>
      </c>
      <c r="Z374" s="11">
        <v>-109.70400000000001</v>
      </c>
      <c r="AA374" s="11">
        <v>5</v>
      </c>
      <c r="AB374" s="11">
        <v>81.14</v>
      </c>
      <c r="AC374" s="11">
        <v>88889</v>
      </c>
      <c r="AD374" s="6" t="str">
        <f>IF(COUNTIF(Returns!$A$2:$A$1635,Orders!AC374)&gt;0,"Returned","Not Returned")</f>
        <v>Not Returned</v>
      </c>
    </row>
    <row r="375" spans="1:30" ht="12.75" customHeight="1" thickTop="1" thickBot="1" x14ac:dyDescent="0.25">
      <c r="A375" s="8">
        <v>21609</v>
      </c>
      <c r="B375" s="1" t="s">
        <v>56</v>
      </c>
      <c r="C375" s="1">
        <v>0.01</v>
      </c>
      <c r="D375" s="1">
        <v>3.95</v>
      </c>
      <c r="E375" s="1">
        <v>5.13</v>
      </c>
      <c r="F375" s="1">
        <v>679</v>
      </c>
      <c r="G375" s="6" t="str">
        <f>IF(COUNTIF(Table1[Customer ID],Table1[[#This Row],[Customer ID]])&gt;1,"Repeat Customer","One-Time Customer")</f>
        <v>Repeat Customer</v>
      </c>
      <c r="H375" s="1" t="s">
        <v>800</v>
      </c>
      <c r="I375" s="1" t="s">
        <v>49</v>
      </c>
      <c r="J375" s="1" t="s">
        <v>28</v>
      </c>
      <c r="K375" s="1" t="s">
        <v>29</v>
      </c>
      <c r="L375" s="1" t="s">
        <v>257</v>
      </c>
      <c r="M375" s="1" t="s">
        <v>59</v>
      </c>
      <c r="N375" s="1" t="s">
        <v>801</v>
      </c>
      <c r="O375" s="1">
        <v>0.59</v>
      </c>
      <c r="P375" s="6">
        <f>Table1[[#This Row],[Profit]]/Table1[[#This Row],[Sales]]</f>
        <v>-1.9713155291790307</v>
      </c>
      <c r="Q375" s="1" t="s">
        <v>33</v>
      </c>
      <c r="R375" s="1" t="s">
        <v>34</v>
      </c>
      <c r="S375" s="1" t="s">
        <v>35</v>
      </c>
      <c r="T375" s="1" t="s">
        <v>802</v>
      </c>
      <c r="U375" s="1">
        <v>98387</v>
      </c>
      <c r="V375" s="9">
        <v>42067</v>
      </c>
      <c r="W375" s="13" t="str">
        <f>TEXT(Table1[[#This Row],[Order Date]],"mmmm")</f>
        <v>March</v>
      </c>
      <c r="X375" s="7" t="str">
        <f>TEXT(Table1[[#This Row],[Order Date]],"yyyy")</f>
        <v>2015</v>
      </c>
      <c r="Y375" s="9">
        <v>42068</v>
      </c>
      <c r="Z375" s="1">
        <v>-19.93</v>
      </c>
      <c r="AA375" s="1">
        <v>2</v>
      </c>
      <c r="AB375" s="1">
        <v>10.11</v>
      </c>
      <c r="AC375" s="1">
        <v>88890</v>
      </c>
      <c r="AD375" s="6" t="str">
        <f>IF(COUNTIF(Returns!$A$2:$A$1635,Orders!AC375)&gt;0,"Returned","Not Returned")</f>
        <v>Not Returned</v>
      </c>
    </row>
    <row r="376" spans="1:30" ht="12.75" customHeight="1" thickTop="1" thickBot="1" x14ac:dyDescent="0.25">
      <c r="A376" s="10">
        <v>21610</v>
      </c>
      <c r="B376" s="11" t="s">
        <v>56</v>
      </c>
      <c r="C376" s="11">
        <v>0.02</v>
      </c>
      <c r="D376" s="11">
        <v>367.99</v>
      </c>
      <c r="E376" s="11">
        <v>19.989999999999998</v>
      </c>
      <c r="F376" s="11">
        <v>679</v>
      </c>
      <c r="G376" s="6" t="str">
        <f>IF(COUNTIF(Table1[Customer ID],Table1[[#This Row],[Customer ID]])&gt;1,"Repeat Customer","One-Time Customer")</f>
        <v>Repeat Customer</v>
      </c>
      <c r="H376" s="11" t="s">
        <v>800</v>
      </c>
      <c r="I376" s="11" t="s">
        <v>49</v>
      </c>
      <c r="J376" s="11" t="s">
        <v>28</v>
      </c>
      <c r="K376" s="11" t="s">
        <v>29</v>
      </c>
      <c r="L376" s="11" t="s">
        <v>109</v>
      </c>
      <c r="M376" s="11" t="s">
        <v>59</v>
      </c>
      <c r="N376" s="11" t="s">
        <v>803</v>
      </c>
      <c r="O376" s="11">
        <v>0.4</v>
      </c>
      <c r="P376" s="6">
        <f>Table1[[#This Row],[Profit]]/Table1[[#This Row],[Sales]]</f>
        <v>0.69</v>
      </c>
      <c r="Q376" s="11" t="s">
        <v>33</v>
      </c>
      <c r="R376" s="11" t="s">
        <v>34</v>
      </c>
      <c r="S376" s="11" t="s">
        <v>35</v>
      </c>
      <c r="T376" s="11" t="s">
        <v>802</v>
      </c>
      <c r="U376" s="11">
        <v>98387</v>
      </c>
      <c r="V376" s="12">
        <v>42067</v>
      </c>
      <c r="W376" s="13" t="str">
        <f>TEXT(Table1[[#This Row],[Order Date]],"mmmm")</f>
        <v>March</v>
      </c>
      <c r="X376" s="7" t="str">
        <f>TEXT(Table1[[#This Row],[Order Date]],"yyyy")</f>
        <v>2015</v>
      </c>
      <c r="Y376" s="12">
        <v>42068</v>
      </c>
      <c r="Z376" s="11">
        <v>4568.6072999999997</v>
      </c>
      <c r="AA376" s="11">
        <v>17</v>
      </c>
      <c r="AB376" s="11">
        <v>6621.17</v>
      </c>
      <c r="AC376" s="11">
        <v>88890</v>
      </c>
      <c r="AD376" s="6" t="str">
        <f>IF(COUNTIF(Returns!$A$2:$A$1635,Orders!AC376)&gt;0,"Returned","Not Returned")</f>
        <v>Not Returned</v>
      </c>
    </row>
    <row r="377" spans="1:30" ht="12.75" customHeight="1" thickTop="1" thickBot="1" x14ac:dyDescent="0.25">
      <c r="A377" s="8">
        <v>21612</v>
      </c>
      <c r="B377" s="1" t="s">
        <v>56</v>
      </c>
      <c r="C377" s="1">
        <v>0.04</v>
      </c>
      <c r="D377" s="1">
        <v>95.99</v>
      </c>
      <c r="E377" s="1">
        <v>4.9000000000000004</v>
      </c>
      <c r="F377" s="1">
        <v>680</v>
      </c>
      <c r="G377" s="6" t="str">
        <f>IF(COUNTIF(Table1[Customer ID],Table1[[#This Row],[Customer ID]])&gt;1,"Repeat Customer","One-Time Customer")</f>
        <v>One-Time Customer</v>
      </c>
      <c r="H377" s="1" t="s">
        <v>804</v>
      </c>
      <c r="I377" s="1" t="s">
        <v>49</v>
      </c>
      <c r="J377" s="1" t="s">
        <v>28</v>
      </c>
      <c r="K377" s="1" t="s">
        <v>77</v>
      </c>
      <c r="L377" s="1" t="s">
        <v>78</v>
      </c>
      <c r="M377" s="1" t="s">
        <v>59</v>
      </c>
      <c r="N377" s="1" t="s">
        <v>254</v>
      </c>
      <c r="O377" s="1">
        <v>0.56000000000000005</v>
      </c>
      <c r="P377" s="6">
        <f>Table1[[#This Row],[Profit]]/Table1[[#This Row],[Sales]]</f>
        <v>-1.0175151706202223</v>
      </c>
      <c r="Q377" s="1" t="s">
        <v>33</v>
      </c>
      <c r="R377" s="1" t="s">
        <v>34</v>
      </c>
      <c r="S377" s="1" t="s">
        <v>35</v>
      </c>
      <c r="T377" s="1" t="s">
        <v>805</v>
      </c>
      <c r="U377" s="1">
        <v>99207</v>
      </c>
      <c r="V377" s="9">
        <v>42067</v>
      </c>
      <c r="W377" s="13" t="str">
        <f>TEXT(Table1[[#This Row],[Order Date]],"mmmm")</f>
        <v>March</v>
      </c>
      <c r="X377" s="7" t="str">
        <f>TEXT(Table1[[#This Row],[Order Date]],"yyyy")</f>
        <v>2015</v>
      </c>
      <c r="Y377" s="9">
        <v>42069</v>
      </c>
      <c r="Z377" s="1">
        <v>-258.22500000000002</v>
      </c>
      <c r="AA377" s="1">
        <v>3</v>
      </c>
      <c r="AB377" s="1">
        <v>253.78</v>
      </c>
      <c r="AC377" s="1">
        <v>88890</v>
      </c>
      <c r="AD377" s="6" t="str">
        <f>IF(COUNTIF(Returns!$A$2:$A$1635,Orders!AC377)&gt;0,"Returned","Not Returned")</f>
        <v>Not Returned</v>
      </c>
    </row>
    <row r="378" spans="1:30" ht="12.75" customHeight="1" thickTop="1" thickBot="1" x14ac:dyDescent="0.25">
      <c r="A378" s="10">
        <v>18555</v>
      </c>
      <c r="B378" s="11" t="s">
        <v>56</v>
      </c>
      <c r="C378" s="11">
        <v>0.06</v>
      </c>
      <c r="D378" s="11">
        <v>17.670000000000002</v>
      </c>
      <c r="E378" s="11">
        <v>8.99</v>
      </c>
      <c r="F378" s="11">
        <v>683</v>
      </c>
      <c r="G378" s="6" t="str">
        <f>IF(COUNTIF(Table1[Customer ID],Table1[[#This Row],[Customer ID]])&gt;1,"Repeat Customer","One-Time Customer")</f>
        <v>One-Time Customer</v>
      </c>
      <c r="H378" s="11" t="s">
        <v>806</v>
      </c>
      <c r="I378" s="11" t="s">
        <v>27</v>
      </c>
      <c r="J378" s="11" t="s">
        <v>58</v>
      </c>
      <c r="K378" s="11" t="s">
        <v>41</v>
      </c>
      <c r="L378" s="11" t="s">
        <v>50</v>
      </c>
      <c r="M378" s="11" t="s">
        <v>51</v>
      </c>
      <c r="N378" s="11" t="s">
        <v>807</v>
      </c>
      <c r="O378" s="11">
        <v>0.47</v>
      </c>
      <c r="P378" s="6">
        <f>Table1[[#This Row],[Profit]]/Table1[[#This Row],[Sales]]</f>
        <v>0.5440251572327045</v>
      </c>
      <c r="Q378" s="11" t="s">
        <v>33</v>
      </c>
      <c r="R378" s="11" t="s">
        <v>61</v>
      </c>
      <c r="S378" s="11" t="s">
        <v>496</v>
      </c>
      <c r="T378" s="11" t="s">
        <v>808</v>
      </c>
      <c r="U378" s="11">
        <v>68046</v>
      </c>
      <c r="V378" s="12">
        <v>42101</v>
      </c>
      <c r="W378" s="13" t="str">
        <f>TEXT(Table1[[#This Row],[Order Date]],"mmmm")</f>
        <v>April</v>
      </c>
      <c r="X378" s="7" t="str">
        <f>TEXT(Table1[[#This Row],[Order Date]],"yyyy")</f>
        <v>2015</v>
      </c>
      <c r="Y378" s="12">
        <v>42102</v>
      </c>
      <c r="Z378" s="11">
        <v>38.06</v>
      </c>
      <c r="AA378" s="11">
        <v>4</v>
      </c>
      <c r="AB378" s="11">
        <v>69.959999999999994</v>
      </c>
      <c r="AC378" s="11">
        <v>87765</v>
      </c>
      <c r="AD378" s="6" t="str">
        <f>IF(COUNTIF(Returns!$A$2:$A$1635,Orders!AC378)&gt;0,"Returned","Not Returned")</f>
        <v>Not Returned</v>
      </c>
    </row>
    <row r="379" spans="1:30" ht="12.75" customHeight="1" thickTop="1" thickBot="1" x14ac:dyDescent="0.25">
      <c r="A379" s="8">
        <v>21411</v>
      </c>
      <c r="B379" s="1" t="s">
        <v>47</v>
      </c>
      <c r="C379" s="1">
        <v>7.0000000000000007E-2</v>
      </c>
      <c r="D379" s="1">
        <v>279.48</v>
      </c>
      <c r="E379" s="1">
        <v>35</v>
      </c>
      <c r="F379" s="1">
        <v>688</v>
      </c>
      <c r="G379" s="6" t="str">
        <f>IF(COUNTIF(Table1[Customer ID],Table1[[#This Row],[Customer ID]])&gt;1,"Repeat Customer","One-Time Customer")</f>
        <v>Repeat Customer</v>
      </c>
      <c r="H379" s="1" t="s">
        <v>809</v>
      </c>
      <c r="I379" s="1" t="s">
        <v>49</v>
      </c>
      <c r="J379" s="1" t="s">
        <v>58</v>
      </c>
      <c r="K379" s="1" t="s">
        <v>29</v>
      </c>
      <c r="L379" s="1" t="s">
        <v>141</v>
      </c>
      <c r="M379" s="1" t="s">
        <v>236</v>
      </c>
      <c r="N379" s="1" t="s">
        <v>810</v>
      </c>
      <c r="O379" s="1">
        <v>0.8</v>
      </c>
      <c r="P379" s="6">
        <f>Table1[[#This Row],[Profit]]/Table1[[#This Row],[Sales]]</f>
        <v>-7.6315586007827424E-2</v>
      </c>
      <c r="Q379" s="1" t="s">
        <v>33</v>
      </c>
      <c r="R379" s="1" t="s">
        <v>61</v>
      </c>
      <c r="S379" s="1" t="s">
        <v>506</v>
      </c>
      <c r="T379" s="1" t="s">
        <v>811</v>
      </c>
      <c r="U379" s="1">
        <v>63116</v>
      </c>
      <c r="V379" s="9">
        <v>42140</v>
      </c>
      <c r="W379" s="13" t="str">
        <f>TEXT(Table1[[#This Row],[Order Date]],"mmmm")</f>
        <v>May</v>
      </c>
      <c r="X379" s="7" t="str">
        <f>TEXT(Table1[[#This Row],[Order Date]],"yyyy")</f>
        <v>2015</v>
      </c>
      <c r="Y379" s="9">
        <v>42140</v>
      </c>
      <c r="Z379" s="1">
        <v>-207.28</v>
      </c>
      <c r="AA379" s="1">
        <v>10</v>
      </c>
      <c r="AB379" s="1">
        <v>2716.09</v>
      </c>
      <c r="AC379" s="1">
        <v>88503</v>
      </c>
      <c r="AD379" s="6" t="str">
        <f>IF(COUNTIF(Returns!$A$2:$A$1635,Orders!AC379)&gt;0,"Returned","Not Returned")</f>
        <v>Not Returned</v>
      </c>
    </row>
    <row r="380" spans="1:30" ht="12.75" customHeight="1" thickTop="1" thickBot="1" x14ac:dyDescent="0.25">
      <c r="A380" s="10">
        <v>19325</v>
      </c>
      <c r="B380" s="11" t="s">
        <v>106</v>
      </c>
      <c r="C380" s="11">
        <v>0.06</v>
      </c>
      <c r="D380" s="11">
        <v>4.18</v>
      </c>
      <c r="E380" s="11">
        <v>2.99</v>
      </c>
      <c r="F380" s="11">
        <v>688</v>
      </c>
      <c r="G380" s="6" t="str">
        <f>IF(COUNTIF(Table1[Customer ID],Table1[[#This Row],[Customer ID]])&gt;1,"Repeat Customer","One-Time Customer")</f>
        <v>Repeat Customer</v>
      </c>
      <c r="H380" s="11" t="s">
        <v>809</v>
      </c>
      <c r="I380" s="11" t="s">
        <v>49</v>
      </c>
      <c r="J380" s="11" t="s">
        <v>58</v>
      </c>
      <c r="K380" s="11" t="s">
        <v>29</v>
      </c>
      <c r="L380" s="11" t="s">
        <v>109</v>
      </c>
      <c r="M380" s="11" t="s">
        <v>59</v>
      </c>
      <c r="N380" s="11" t="s">
        <v>812</v>
      </c>
      <c r="O380" s="11">
        <v>0.37</v>
      </c>
      <c r="P380" s="6">
        <f>Table1[[#This Row],[Profit]]/Table1[[#This Row],[Sales]]</f>
        <v>-0.59601686972821</v>
      </c>
      <c r="Q380" s="11" t="s">
        <v>33</v>
      </c>
      <c r="R380" s="11" t="s">
        <v>61</v>
      </c>
      <c r="S380" s="11" t="s">
        <v>506</v>
      </c>
      <c r="T380" s="11" t="s">
        <v>811</v>
      </c>
      <c r="U380" s="11">
        <v>63116</v>
      </c>
      <c r="V380" s="12">
        <v>42069</v>
      </c>
      <c r="W380" s="13" t="str">
        <f>TEXT(Table1[[#This Row],[Order Date]],"mmmm")</f>
        <v>March</v>
      </c>
      <c r="X380" s="7" t="str">
        <f>TEXT(Table1[[#This Row],[Order Date]],"yyyy")</f>
        <v>2015</v>
      </c>
      <c r="Y380" s="12">
        <v>42071</v>
      </c>
      <c r="Z380" s="11">
        <v>-12.719000000000001</v>
      </c>
      <c r="AA380" s="11">
        <v>5</v>
      </c>
      <c r="AB380" s="11">
        <v>21.34</v>
      </c>
      <c r="AC380" s="11">
        <v>88504</v>
      </c>
      <c r="AD380" s="6" t="str">
        <f>IF(COUNTIF(Returns!$A$2:$A$1635,Orders!AC380)&gt;0,"Returned","Not Returned")</f>
        <v>Not Returned</v>
      </c>
    </row>
    <row r="381" spans="1:30" ht="12.75" customHeight="1" thickTop="1" thickBot="1" x14ac:dyDescent="0.25">
      <c r="A381" s="8">
        <v>26321</v>
      </c>
      <c r="B381" s="1" t="s">
        <v>56</v>
      </c>
      <c r="C381" s="1">
        <v>7.0000000000000007E-2</v>
      </c>
      <c r="D381" s="1">
        <v>1.7</v>
      </c>
      <c r="E381" s="1">
        <v>1.99</v>
      </c>
      <c r="F381" s="1">
        <v>689</v>
      </c>
      <c r="G381" s="6" t="str">
        <f>IF(COUNTIF(Table1[Customer ID],Table1[[#This Row],[Customer ID]])&gt;1,"Repeat Customer","One-Time Customer")</f>
        <v>One-Time Customer</v>
      </c>
      <c r="H381" s="1" t="s">
        <v>813</v>
      </c>
      <c r="I381" s="1" t="s">
        <v>49</v>
      </c>
      <c r="J381" s="1" t="s">
        <v>58</v>
      </c>
      <c r="K381" s="1" t="s">
        <v>77</v>
      </c>
      <c r="L381" s="1" t="s">
        <v>180</v>
      </c>
      <c r="M381" s="1" t="s">
        <v>51</v>
      </c>
      <c r="N381" s="1" t="s">
        <v>814</v>
      </c>
      <c r="O381" s="1">
        <v>0.51</v>
      </c>
      <c r="P381" s="6">
        <f>Table1[[#This Row],[Profit]]/Table1[[#This Row],[Sales]]</f>
        <v>-2.9517795637198621</v>
      </c>
      <c r="Q381" s="1" t="s">
        <v>33</v>
      </c>
      <c r="R381" s="1" t="s">
        <v>61</v>
      </c>
      <c r="S381" s="1" t="s">
        <v>506</v>
      </c>
      <c r="T381" s="1" t="s">
        <v>815</v>
      </c>
      <c r="U381" s="1">
        <v>63376</v>
      </c>
      <c r="V381" s="9">
        <v>42039</v>
      </c>
      <c r="W381" s="13" t="str">
        <f>TEXT(Table1[[#This Row],[Order Date]],"mmmm")</f>
        <v>February</v>
      </c>
      <c r="X381" s="7" t="str">
        <f>TEXT(Table1[[#This Row],[Order Date]],"yyyy")</f>
        <v>2015</v>
      </c>
      <c r="Y381" s="9">
        <v>42040</v>
      </c>
      <c r="Z381" s="1">
        <v>-51.42</v>
      </c>
      <c r="AA381" s="1">
        <v>10</v>
      </c>
      <c r="AB381" s="1">
        <v>17.420000000000002</v>
      </c>
      <c r="AC381" s="1">
        <v>88502</v>
      </c>
      <c r="AD381" s="6" t="str">
        <f>IF(COUNTIF(Returns!$A$2:$A$1635,Orders!AC381)&gt;0,"Returned","Not Returned")</f>
        <v>Not Returned</v>
      </c>
    </row>
    <row r="382" spans="1:30" ht="12.75" customHeight="1" thickTop="1" thickBot="1" x14ac:dyDescent="0.25">
      <c r="A382" s="10">
        <v>19933</v>
      </c>
      <c r="B382" s="11" t="s">
        <v>25</v>
      </c>
      <c r="C382" s="11">
        <v>0.09</v>
      </c>
      <c r="D382" s="11">
        <v>6.48</v>
      </c>
      <c r="E382" s="11">
        <v>6.35</v>
      </c>
      <c r="F382" s="11">
        <v>691</v>
      </c>
      <c r="G382" s="6" t="str">
        <f>IF(COUNTIF(Table1[Customer ID],Table1[[#This Row],[Customer ID]])&gt;1,"Repeat Customer","One-Time Customer")</f>
        <v>One-Time Customer</v>
      </c>
      <c r="H382" s="11" t="s">
        <v>816</v>
      </c>
      <c r="I382" s="11" t="s">
        <v>49</v>
      </c>
      <c r="J382" s="11" t="s">
        <v>40</v>
      </c>
      <c r="K382" s="11" t="s">
        <v>29</v>
      </c>
      <c r="L382" s="11" t="s">
        <v>93</v>
      </c>
      <c r="M382" s="11" t="s">
        <v>59</v>
      </c>
      <c r="N382" s="11" t="s">
        <v>817</v>
      </c>
      <c r="O382" s="11">
        <v>0.37</v>
      </c>
      <c r="P382" s="6">
        <f>Table1[[#This Row],[Profit]]/Table1[[#This Row],[Sales]]</f>
        <v>-1.7787592852840792</v>
      </c>
      <c r="Q382" s="11" t="s">
        <v>33</v>
      </c>
      <c r="R382" s="11" t="s">
        <v>34</v>
      </c>
      <c r="S382" s="11" t="s">
        <v>35</v>
      </c>
      <c r="T382" s="11" t="s">
        <v>818</v>
      </c>
      <c r="U382" s="11">
        <v>98408</v>
      </c>
      <c r="V382" s="12">
        <v>42084</v>
      </c>
      <c r="W382" s="13" t="str">
        <f>TEXT(Table1[[#This Row],[Order Date]],"mmmm")</f>
        <v>March</v>
      </c>
      <c r="X382" s="7" t="str">
        <f>TEXT(Table1[[#This Row],[Order Date]],"yyyy")</f>
        <v>2015</v>
      </c>
      <c r="Y382" s="12">
        <v>42085</v>
      </c>
      <c r="Z382" s="11">
        <v>-88.6</v>
      </c>
      <c r="AA382" s="11">
        <v>8</v>
      </c>
      <c r="AB382" s="11">
        <v>49.81</v>
      </c>
      <c r="AC382" s="11">
        <v>89915</v>
      </c>
      <c r="AD382" s="6" t="str">
        <f>IF(COUNTIF(Returns!$A$2:$A$1635,Orders!AC382)&gt;0,"Returned","Not Returned")</f>
        <v>Not Returned</v>
      </c>
    </row>
    <row r="383" spans="1:30" ht="12.75" customHeight="1" thickTop="1" thickBot="1" x14ac:dyDescent="0.25">
      <c r="A383" s="8">
        <v>19400</v>
      </c>
      <c r="B383" s="1" t="s">
        <v>106</v>
      </c>
      <c r="C383" s="1">
        <v>0.02</v>
      </c>
      <c r="D383" s="1">
        <v>500.98</v>
      </c>
      <c r="E383" s="1">
        <v>41.44</v>
      </c>
      <c r="F383" s="1">
        <v>693</v>
      </c>
      <c r="G383" s="6" t="str">
        <f>IF(COUNTIF(Table1[Customer ID],Table1[[#This Row],[Customer ID]])&gt;1,"Repeat Customer","One-Time Customer")</f>
        <v>Repeat Customer</v>
      </c>
      <c r="H383" s="1" t="s">
        <v>819</v>
      </c>
      <c r="I383" s="1" t="s">
        <v>39</v>
      </c>
      <c r="J383" s="1" t="s">
        <v>58</v>
      </c>
      <c r="K383" s="1" t="s">
        <v>41</v>
      </c>
      <c r="L383" s="1" t="s">
        <v>191</v>
      </c>
      <c r="M383" s="1" t="s">
        <v>121</v>
      </c>
      <c r="N383" s="1" t="s">
        <v>820</v>
      </c>
      <c r="O383" s="1">
        <v>0.66</v>
      </c>
      <c r="P383" s="6">
        <f>Table1[[#This Row],[Profit]]/Table1[[#This Row],[Sales]]</f>
        <v>0.69</v>
      </c>
      <c r="Q383" s="1" t="s">
        <v>33</v>
      </c>
      <c r="R383" s="1" t="s">
        <v>34</v>
      </c>
      <c r="S383" s="1" t="s">
        <v>255</v>
      </c>
      <c r="T383" s="1" t="s">
        <v>821</v>
      </c>
      <c r="U383" s="1">
        <v>80229</v>
      </c>
      <c r="V383" s="9">
        <v>42088</v>
      </c>
      <c r="W383" s="13" t="str">
        <f>TEXT(Table1[[#This Row],[Order Date]],"mmmm")</f>
        <v>March</v>
      </c>
      <c r="X383" s="7" t="str">
        <f>TEXT(Table1[[#This Row],[Order Date]],"yyyy")</f>
        <v>2015</v>
      </c>
      <c r="Y383" s="9">
        <v>42088</v>
      </c>
      <c r="Z383" s="1">
        <v>2568.4628999999995</v>
      </c>
      <c r="AA383" s="1">
        <v>7</v>
      </c>
      <c r="AB383" s="1">
        <v>3722.41</v>
      </c>
      <c r="AC383" s="1">
        <v>87811</v>
      </c>
      <c r="AD383" s="6" t="str">
        <f>IF(COUNTIF(Returns!$A$2:$A$1635,Orders!AC383)&gt;0,"Returned","Not Returned")</f>
        <v>Not Returned</v>
      </c>
    </row>
    <row r="384" spans="1:30" ht="12.75" customHeight="1" thickTop="1" thickBot="1" x14ac:dyDescent="0.25">
      <c r="A384" s="10">
        <v>18736</v>
      </c>
      <c r="B384" s="11" t="s">
        <v>106</v>
      </c>
      <c r="C384" s="11">
        <v>0.09</v>
      </c>
      <c r="D384" s="11">
        <v>5.34</v>
      </c>
      <c r="E384" s="11">
        <v>2.99</v>
      </c>
      <c r="F384" s="11">
        <v>693</v>
      </c>
      <c r="G384" s="6" t="str">
        <f>IF(COUNTIF(Table1[Customer ID],Table1[[#This Row],[Customer ID]])&gt;1,"Repeat Customer","One-Time Customer")</f>
        <v>Repeat Customer</v>
      </c>
      <c r="H384" s="11" t="s">
        <v>819</v>
      </c>
      <c r="I384" s="11" t="s">
        <v>27</v>
      </c>
      <c r="J384" s="11" t="s">
        <v>58</v>
      </c>
      <c r="K384" s="11" t="s">
        <v>29</v>
      </c>
      <c r="L384" s="11" t="s">
        <v>109</v>
      </c>
      <c r="M384" s="11" t="s">
        <v>59</v>
      </c>
      <c r="N384" s="11" t="s">
        <v>822</v>
      </c>
      <c r="O384" s="11">
        <v>0.38</v>
      </c>
      <c r="P384" s="6">
        <f>Table1[[#This Row],[Profit]]/Table1[[#This Row],[Sales]]</f>
        <v>9.974763406940064E-2</v>
      </c>
      <c r="Q384" s="11" t="s">
        <v>33</v>
      </c>
      <c r="R384" s="11" t="s">
        <v>34</v>
      </c>
      <c r="S384" s="11" t="s">
        <v>255</v>
      </c>
      <c r="T384" s="11" t="s">
        <v>821</v>
      </c>
      <c r="U384" s="11">
        <v>80229</v>
      </c>
      <c r="V384" s="12">
        <v>42071</v>
      </c>
      <c r="W384" s="13" t="str">
        <f>TEXT(Table1[[#This Row],[Order Date]],"mmmm")</f>
        <v>March</v>
      </c>
      <c r="X384" s="7" t="str">
        <f>TEXT(Table1[[#This Row],[Order Date]],"yyyy")</f>
        <v>2015</v>
      </c>
      <c r="Y384" s="12">
        <v>42078</v>
      </c>
      <c r="Z384" s="11">
        <v>9.4860000000000007</v>
      </c>
      <c r="AA384" s="11">
        <v>17</v>
      </c>
      <c r="AB384" s="11">
        <v>95.1</v>
      </c>
      <c r="AC384" s="11">
        <v>87812</v>
      </c>
      <c r="AD384" s="6" t="str">
        <f>IF(COUNTIF(Returns!$A$2:$A$1635,Orders!AC384)&gt;0,"Returned","Not Returned")</f>
        <v>Not Returned</v>
      </c>
    </row>
    <row r="385" spans="1:30" ht="12.75" customHeight="1" thickTop="1" thickBot="1" x14ac:dyDescent="0.25">
      <c r="A385" s="8">
        <v>18737</v>
      </c>
      <c r="B385" s="1" t="s">
        <v>106</v>
      </c>
      <c r="C385" s="1">
        <v>7.0000000000000007E-2</v>
      </c>
      <c r="D385" s="1">
        <v>140.97999999999999</v>
      </c>
      <c r="E385" s="1">
        <v>53.48</v>
      </c>
      <c r="F385" s="1">
        <v>693</v>
      </c>
      <c r="G385" s="6" t="str">
        <f>IF(COUNTIF(Table1[Customer ID],Table1[[#This Row],[Customer ID]])&gt;1,"Repeat Customer","One-Time Customer")</f>
        <v>Repeat Customer</v>
      </c>
      <c r="H385" s="1" t="s">
        <v>819</v>
      </c>
      <c r="I385" s="1" t="s">
        <v>39</v>
      </c>
      <c r="J385" s="1" t="s">
        <v>58</v>
      </c>
      <c r="K385" s="1" t="s">
        <v>41</v>
      </c>
      <c r="L385" s="1" t="s">
        <v>191</v>
      </c>
      <c r="M385" s="1" t="s">
        <v>121</v>
      </c>
      <c r="N385" s="1" t="s">
        <v>823</v>
      </c>
      <c r="O385" s="1">
        <v>0.65</v>
      </c>
      <c r="P385" s="6">
        <f>Table1[[#This Row],[Profit]]/Table1[[#This Row],[Sales]]</f>
        <v>-0.35883441761711621</v>
      </c>
      <c r="Q385" s="1" t="s">
        <v>33</v>
      </c>
      <c r="R385" s="1" t="s">
        <v>34</v>
      </c>
      <c r="S385" s="1" t="s">
        <v>255</v>
      </c>
      <c r="T385" s="1" t="s">
        <v>821</v>
      </c>
      <c r="U385" s="1">
        <v>80229</v>
      </c>
      <c r="V385" s="9">
        <v>42071</v>
      </c>
      <c r="W385" s="13" t="str">
        <f>TEXT(Table1[[#This Row],[Order Date]],"mmmm")</f>
        <v>March</v>
      </c>
      <c r="X385" s="7" t="str">
        <f>TEXT(Table1[[#This Row],[Order Date]],"yyyy")</f>
        <v>2015</v>
      </c>
      <c r="Y385" s="9">
        <v>42078</v>
      </c>
      <c r="Z385" s="1">
        <v>-263.64999999999998</v>
      </c>
      <c r="AA385" s="1">
        <v>5</v>
      </c>
      <c r="AB385" s="1">
        <v>734.74</v>
      </c>
      <c r="AC385" s="1">
        <v>87812</v>
      </c>
      <c r="AD385" s="6" t="str">
        <f>IF(COUNTIF(Returns!$A$2:$A$1635,Orders!AC385)&gt;0,"Returned","Not Returned")</f>
        <v>Not Returned</v>
      </c>
    </row>
    <row r="386" spans="1:30" ht="12.75" customHeight="1" thickTop="1" thickBot="1" x14ac:dyDescent="0.25">
      <c r="A386" s="10">
        <v>18738</v>
      </c>
      <c r="B386" s="11" t="s">
        <v>106</v>
      </c>
      <c r="C386" s="11">
        <v>0.06</v>
      </c>
      <c r="D386" s="11">
        <v>205.99</v>
      </c>
      <c r="E386" s="11">
        <v>5.26</v>
      </c>
      <c r="F386" s="11">
        <v>693</v>
      </c>
      <c r="G386" s="6" t="str">
        <f>IF(COUNTIF(Table1[Customer ID],Table1[[#This Row],[Customer ID]])&gt;1,"Repeat Customer","One-Time Customer")</f>
        <v>Repeat Customer</v>
      </c>
      <c r="H386" s="11" t="s">
        <v>819</v>
      </c>
      <c r="I386" s="11" t="s">
        <v>49</v>
      </c>
      <c r="J386" s="11" t="s">
        <v>58</v>
      </c>
      <c r="K386" s="11" t="s">
        <v>77</v>
      </c>
      <c r="L386" s="11" t="s">
        <v>78</v>
      </c>
      <c r="M386" s="11" t="s">
        <v>59</v>
      </c>
      <c r="N386" s="11" t="s">
        <v>824</v>
      </c>
      <c r="O386" s="11">
        <v>0.56000000000000005</v>
      </c>
      <c r="P386" s="6">
        <f>Table1[[#This Row],[Profit]]/Table1[[#This Row],[Sales]]</f>
        <v>0.47277878982616967</v>
      </c>
      <c r="Q386" s="11" t="s">
        <v>33</v>
      </c>
      <c r="R386" s="11" t="s">
        <v>34</v>
      </c>
      <c r="S386" s="11" t="s">
        <v>255</v>
      </c>
      <c r="T386" s="11" t="s">
        <v>821</v>
      </c>
      <c r="U386" s="11">
        <v>80229</v>
      </c>
      <c r="V386" s="12">
        <v>42071</v>
      </c>
      <c r="W386" s="13" t="str">
        <f>TEXT(Table1[[#This Row],[Order Date]],"mmmm")</f>
        <v>March</v>
      </c>
      <c r="X386" s="7" t="str">
        <f>TEXT(Table1[[#This Row],[Order Date]],"yyyy")</f>
        <v>2015</v>
      </c>
      <c r="Y386" s="12">
        <v>42078</v>
      </c>
      <c r="Z386" s="11">
        <v>890.18100000000004</v>
      </c>
      <c r="AA386" s="11">
        <v>11</v>
      </c>
      <c r="AB386" s="11">
        <v>1882.87</v>
      </c>
      <c r="AC386" s="11">
        <v>87812</v>
      </c>
      <c r="AD386" s="6" t="str">
        <f>IF(COUNTIF(Returns!$A$2:$A$1635,Orders!AC386)&gt;0,"Returned","Not Returned")</f>
        <v>Not Returned</v>
      </c>
    </row>
    <row r="387" spans="1:30" ht="12.75" customHeight="1" thickTop="1" thickBot="1" x14ac:dyDescent="0.25">
      <c r="A387" s="8">
        <v>18810</v>
      </c>
      <c r="B387" s="1" t="s">
        <v>25</v>
      </c>
      <c r="C387" s="1">
        <v>0</v>
      </c>
      <c r="D387" s="1">
        <v>230.98</v>
      </c>
      <c r="E387" s="1">
        <v>23.78</v>
      </c>
      <c r="F387" s="1">
        <v>693</v>
      </c>
      <c r="G387" s="6" t="str">
        <f>IF(COUNTIF(Table1[Customer ID],Table1[[#This Row],[Customer ID]])&gt;1,"Repeat Customer","One-Time Customer")</f>
        <v>Repeat Customer</v>
      </c>
      <c r="H387" s="1" t="s">
        <v>819</v>
      </c>
      <c r="I387" s="1" t="s">
        <v>39</v>
      </c>
      <c r="J387" s="1" t="s">
        <v>58</v>
      </c>
      <c r="K387" s="1" t="s">
        <v>41</v>
      </c>
      <c r="L387" s="1" t="s">
        <v>152</v>
      </c>
      <c r="M387" s="1" t="s">
        <v>121</v>
      </c>
      <c r="N387" s="1" t="s">
        <v>825</v>
      </c>
      <c r="O387" s="1">
        <v>0.6</v>
      </c>
      <c r="P387" s="6">
        <f>Table1[[#This Row],[Profit]]/Table1[[#This Row],[Sales]]</f>
        <v>0.69</v>
      </c>
      <c r="Q387" s="1" t="s">
        <v>33</v>
      </c>
      <c r="R387" s="1" t="s">
        <v>34</v>
      </c>
      <c r="S387" s="1" t="s">
        <v>255</v>
      </c>
      <c r="T387" s="1" t="s">
        <v>821</v>
      </c>
      <c r="U387" s="1">
        <v>80229</v>
      </c>
      <c r="V387" s="9">
        <v>42129</v>
      </c>
      <c r="W387" s="13" t="str">
        <f>TEXT(Table1[[#This Row],[Order Date]],"mmmm")</f>
        <v>May</v>
      </c>
      <c r="X387" s="7" t="str">
        <f>TEXT(Table1[[#This Row],[Order Date]],"yyyy")</f>
        <v>2015</v>
      </c>
      <c r="Y387" s="9">
        <v>42131</v>
      </c>
      <c r="Z387" s="1">
        <v>6095.8601999999992</v>
      </c>
      <c r="AA387" s="1">
        <v>36</v>
      </c>
      <c r="AB387" s="1">
        <v>8834.58</v>
      </c>
      <c r="AC387" s="1">
        <v>87813</v>
      </c>
      <c r="AD387" s="6" t="str">
        <f>IF(COUNTIF(Returns!$A$2:$A$1635,Orders!AC387)&gt;0,"Returned","Not Returned")</f>
        <v>Not Returned</v>
      </c>
    </row>
    <row r="388" spans="1:30" ht="12.75" customHeight="1" thickTop="1" thickBot="1" x14ac:dyDescent="0.25">
      <c r="A388" s="10">
        <v>22613</v>
      </c>
      <c r="B388" s="11" t="s">
        <v>56</v>
      </c>
      <c r="C388" s="11">
        <v>0.06</v>
      </c>
      <c r="D388" s="11">
        <v>8.1199999999999992</v>
      </c>
      <c r="E388" s="11">
        <v>2.83</v>
      </c>
      <c r="F388" s="11">
        <v>696</v>
      </c>
      <c r="G388" s="6" t="str">
        <f>IF(COUNTIF(Table1[Customer ID],Table1[[#This Row],[Customer ID]])&gt;1,"Repeat Customer","One-Time Customer")</f>
        <v>Repeat Customer</v>
      </c>
      <c r="H388" s="11" t="s">
        <v>826</v>
      </c>
      <c r="I388" s="11" t="s">
        <v>49</v>
      </c>
      <c r="J388" s="11" t="s">
        <v>28</v>
      </c>
      <c r="K388" s="11" t="s">
        <v>77</v>
      </c>
      <c r="L388" s="11" t="s">
        <v>180</v>
      </c>
      <c r="M388" s="11" t="s">
        <v>51</v>
      </c>
      <c r="N388" s="11" t="s">
        <v>827</v>
      </c>
      <c r="O388" s="11">
        <v>0.77</v>
      </c>
      <c r="P388" s="6">
        <f>Table1[[#This Row],[Profit]]/Table1[[#This Row],[Sales]]</f>
        <v>-1.0546218487394956</v>
      </c>
      <c r="Q388" s="11" t="s">
        <v>33</v>
      </c>
      <c r="R388" s="11" t="s">
        <v>61</v>
      </c>
      <c r="S388" s="11" t="s">
        <v>703</v>
      </c>
      <c r="T388" s="11" t="s">
        <v>828</v>
      </c>
      <c r="U388" s="11">
        <v>46307</v>
      </c>
      <c r="V388" s="12">
        <v>42090</v>
      </c>
      <c r="W388" s="13" t="str">
        <f>TEXT(Table1[[#This Row],[Order Date]],"mmmm")</f>
        <v>March</v>
      </c>
      <c r="X388" s="7" t="str">
        <f>TEXT(Table1[[#This Row],[Order Date]],"yyyy")</f>
        <v>2015</v>
      </c>
      <c r="Y388" s="12">
        <v>42091</v>
      </c>
      <c r="Z388" s="11">
        <v>-82.83</v>
      </c>
      <c r="AA388" s="11">
        <v>10</v>
      </c>
      <c r="AB388" s="11">
        <v>78.540000000000006</v>
      </c>
      <c r="AC388" s="11">
        <v>89847</v>
      </c>
      <c r="AD388" s="6" t="str">
        <f>IF(COUNTIF(Returns!$A$2:$A$1635,Orders!AC388)&gt;0,"Returned","Not Returned")</f>
        <v>Not Returned</v>
      </c>
    </row>
    <row r="389" spans="1:30" ht="12.75" customHeight="1" thickTop="1" thickBot="1" x14ac:dyDescent="0.25">
      <c r="A389" s="8">
        <v>22614</v>
      </c>
      <c r="B389" s="1" t="s">
        <v>56</v>
      </c>
      <c r="C389" s="1">
        <v>0.05</v>
      </c>
      <c r="D389" s="1">
        <v>51.65</v>
      </c>
      <c r="E389" s="1">
        <v>18.45</v>
      </c>
      <c r="F389" s="1">
        <v>696</v>
      </c>
      <c r="G389" s="6" t="str">
        <f>IF(COUNTIF(Table1[Customer ID],Table1[[#This Row],[Customer ID]])&gt;1,"Repeat Customer","One-Time Customer")</f>
        <v>Repeat Customer</v>
      </c>
      <c r="H389" s="1" t="s">
        <v>826</v>
      </c>
      <c r="I389" s="1" t="s">
        <v>49</v>
      </c>
      <c r="J389" s="1" t="s">
        <v>28</v>
      </c>
      <c r="K389" s="1" t="s">
        <v>41</v>
      </c>
      <c r="L389" s="1" t="s">
        <v>50</v>
      </c>
      <c r="M389" s="1" t="s">
        <v>86</v>
      </c>
      <c r="N389" s="1" t="s">
        <v>829</v>
      </c>
      <c r="O389" s="1">
        <v>0.65</v>
      </c>
      <c r="P389" s="6">
        <f>Table1[[#This Row],[Profit]]/Table1[[#This Row],[Sales]]</f>
        <v>4.1381589819864485E-2</v>
      </c>
      <c r="Q389" s="1" t="s">
        <v>33</v>
      </c>
      <c r="R389" s="1" t="s">
        <v>61</v>
      </c>
      <c r="S389" s="1" t="s">
        <v>703</v>
      </c>
      <c r="T389" s="1" t="s">
        <v>828</v>
      </c>
      <c r="U389" s="1">
        <v>46307</v>
      </c>
      <c r="V389" s="9">
        <v>42090</v>
      </c>
      <c r="W389" s="13" t="str">
        <f>TEXT(Table1[[#This Row],[Order Date]],"mmmm")</f>
        <v>March</v>
      </c>
      <c r="X389" s="7" t="str">
        <f>TEXT(Table1[[#This Row],[Order Date]],"yyyy")</f>
        <v>2015</v>
      </c>
      <c r="Y389" s="9">
        <v>42091</v>
      </c>
      <c r="Z389" s="1">
        <v>25.04</v>
      </c>
      <c r="AA389" s="1">
        <v>12</v>
      </c>
      <c r="AB389" s="1">
        <v>605.1</v>
      </c>
      <c r="AC389" s="1">
        <v>89847</v>
      </c>
      <c r="AD389" s="6" t="str">
        <f>IF(COUNTIF(Returns!$A$2:$A$1635,Orders!AC389)&gt;0,"Returned","Not Returned")</f>
        <v>Not Returned</v>
      </c>
    </row>
    <row r="390" spans="1:30" ht="12.75" customHeight="1" thickTop="1" thickBot="1" x14ac:dyDescent="0.25">
      <c r="A390" s="10">
        <v>19225</v>
      </c>
      <c r="B390" s="11" t="s">
        <v>106</v>
      </c>
      <c r="C390" s="11">
        <v>0.1</v>
      </c>
      <c r="D390" s="11">
        <v>40.479999999999997</v>
      </c>
      <c r="E390" s="11">
        <v>19.989999999999998</v>
      </c>
      <c r="F390" s="11">
        <v>696</v>
      </c>
      <c r="G390" s="6" t="str">
        <f>IF(COUNTIF(Table1[Customer ID],Table1[[#This Row],[Customer ID]])&gt;1,"Repeat Customer","One-Time Customer")</f>
        <v>Repeat Customer</v>
      </c>
      <c r="H390" s="11" t="s">
        <v>826</v>
      </c>
      <c r="I390" s="11" t="s">
        <v>49</v>
      </c>
      <c r="J390" s="11" t="s">
        <v>28</v>
      </c>
      <c r="K390" s="11" t="s">
        <v>77</v>
      </c>
      <c r="L390" s="11" t="s">
        <v>180</v>
      </c>
      <c r="M390" s="11" t="s">
        <v>59</v>
      </c>
      <c r="N390" s="11" t="s">
        <v>830</v>
      </c>
      <c r="O390" s="11">
        <v>0.77</v>
      </c>
      <c r="P390" s="6">
        <f>Table1[[#This Row],[Profit]]/Table1[[#This Row],[Sales]]</f>
        <v>-1.6308453237410074</v>
      </c>
      <c r="Q390" s="11" t="s">
        <v>33</v>
      </c>
      <c r="R390" s="11" t="s">
        <v>61</v>
      </c>
      <c r="S390" s="11" t="s">
        <v>703</v>
      </c>
      <c r="T390" s="11" t="s">
        <v>828</v>
      </c>
      <c r="U390" s="11">
        <v>46307</v>
      </c>
      <c r="V390" s="12">
        <v>42101</v>
      </c>
      <c r="W390" s="13" t="str">
        <f>TEXT(Table1[[#This Row],[Order Date]],"mmmm")</f>
        <v>April</v>
      </c>
      <c r="X390" s="7" t="str">
        <f>TEXT(Table1[[#This Row],[Order Date]],"yyyy")</f>
        <v>2015</v>
      </c>
      <c r="Y390" s="12">
        <v>42103</v>
      </c>
      <c r="Z390" s="11">
        <v>-580.32000000000005</v>
      </c>
      <c r="AA390" s="11">
        <v>9</v>
      </c>
      <c r="AB390" s="11">
        <v>355.84</v>
      </c>
      <c r="AC390" s="11">
        <v>89848</v>
      </c>
      <c r="AD390" s="6" t="str">
        <f>IF(COUNTIF(Returns!$A$2:$A$1635,Orders!AC390)&gt;0,"Returned","Not Returned")</f>
        <v>Not Returned</v>
      </c>
    </row>
    <row r="391" spans="1:30" ht="12.75" customHeight="1" thickTop="1" thickBot="1" x14ac:dyDescent="0.25">
      <c r="A391" s="8">
        <v>22616</v>
      </c>
      <c r="B391" s="1" t="s">
        <v>56</v>
      </c>
      <c r="C391" s="1">
        <v>0.1</v>
      </c>
      <c r="D391" s="1">
        <v>175.99</v>
      </c>
      <c r="E391" s="1">
        <v>8.99</v>
      </c>
      <c r="F391" s="1">
        <v>697</v>
      </c>
      <c r="G391" s="6" t="str">
        <f>IF(COUNTIF(Table1[Customer ID],Table1[[#This Row],[Customer ID]])&gt;1,"Repeat Customer","One-Time Customer")</f>
        <v>Repeat Customer</v>
      </c>
      <c r="H391" s="1" t="s">
        <v>831</v>
      </c>
      <c r="I391" s="1" t="s">
        <v>49</v>
      </c>
      <c r="J391" s="1" t="s">
        <v>28</v>
      </c>
      <c r="K391" s="1" t="s">
        <v>77</v>
      </c>
      <c r="L391" s="1" t="s">
        <v>78</v>
      </c>
      <c r="M391" s="1" t="s">
        <v>59</v>
      </c>
      <c r="N391" s="1" t="s">
        <v>168</v>
      </c>
      <c r="O391" s="1">
        <v>0.56999999999999995</v>
      </c>
      <c r="P391" s="6">
        <f>Table1[[#This Row],[Profit]]/Table1[[#This Row],[Sales]]</f>
        <v>0.69</v>
      </c>
      <c r="Q391" s="1" t="s">
        <v>33</v>
      </c>
      <c r="R391" s="1" t="s">
        <v>61</v>
      </c>
      <c r="S391" s="1" t="s">
        <v>703</v>
      </c>
      <c r="T391" s="1" t="s">
        <v>832</v>
      </c>
      <c r="U391" s="1">
        <v>46312</v>
      </c>
      <c r="V391" s="9">
        <v>42090</v>
      </c>
      <c r="W391" s="13" t="str">
        <f>TEXT(Table1[[#This Row],[Order Date]],"mmmm")</f>
        <v>March</v>
      </c>
      <c r="X391" s="7" t="str">
        <f>TEXT(Table1[[#This Row],[Order Date]],"yyyy")</f>
        <v>2015</v>
      </c>
      <c r="Y391" s="9">
        <v>42091</v>
      </c>
      <c r="Z391" s="1">
        <v>928.96079999999984</v>
      </c>
      <c r="AA391" s="1">
        <v>10</v>
      </c>
      <c r="AB391" s="1">
        <v>1346.32</v>
      </c>
      <c r="AC391" s="1">
        <v>89847</v>
      </c>
      <c r="AD391" s="6" t="str">
        <f>IF(COUNTIF(Returns!$A$2:$A$1635,Orders!AC391)&gt;0,"Returned","Not Returned")</f>
        <v>Not Returned</v>
      </c>
    </row>
    <row r="392" spans="1:30" ht="12.75" customHeight="1" thickTop="1" thickBot="1" x14ac:dyDescent="0.25">
      <c r="A392" s="10">
        <v>25480</v>
      </c>
      <c r="B392" s="11" t="s">
        <v>47</v>
      </c>
      <c r="C392" s="11">
        <v>0.08</v>
      </c>
      <c r="D392" s="11">
        <v>14.81</v>
      </c>
      <c r="E392" s="11">
        <v>13.32</v>
      </c>
      <c r="F392" s="11">
        <v>697</v>
      </c>
      <c r="G392" s="6" t="str">
        <f>IF(COUNTIF(Table1[Customer ID],Table1[[#This Row],[Customer ID]])&gt;1,"Repeat Customer","One-Time Customer")</f>
        <v>Repeat Customer</v>
      </c>
      <c r="H392" s="11" t="s">
        <v>831</v>
      </c>
      <c r="I392" s="11" t="s">
        <v>49</v>
      </c>
      <c r="J392" s="11" t="s">
        <v>28</v>
      </c>
      <c r="K392" s="11" t="s">
        <v>29</v>
      </c>
      <c r="L392" s="11" t="s">
        <v>257</v>
      </c>
      <c r="M392" s="11" t="s">
        <v>59</v>
      </c>
      <c r="N392" s="11" t="s">
        <v>833</v>
      </c>
      <c r="O392" s="11">
        <v>0.43</v>
      </c>
      <c r="P392" s="6">
        <f>Table1[[#This Row],[Profit]]/Table1[[#This Row],[Sales]]</f>
        <v>-0.45046615100280657</v>
      </c>
      <c r="Q392" s="11" t="s">
        <v>33</v>
      </c>
      <c r="R392" s="11" t="s">
        <v>61</v>
      </c>
      <c r="S392" s="11" t="s">
        <v>703</v>
      </c>
      <c r="T392" s="11" t="s">
        <v>832</v>
      </c>
      <c r="U392" s="11">
        <v>46312</v>
      </c>
      <c r="V392" s="12">
        <v>42042</v>
      </c>
      <c r="W392" s="13" t="str">
        <f>TEXT(Table1[[#This Row],[Order Date]],"mmmm")</f>
        <v>February</v>
      </c>
      <c r="X392" s="7" t="str">
        <f>TEXT(Table1[[#This Row],[Order Date]],"yyyy")</f>
        <v>2015</v>
      </c>
      <c r="Y392" s="12">
        <v>42044</v>
      </c>
      <c r="Z392" s="11">
        <v>-131.61720000000003</v>
      </c>
      <c r="AA392" s="11">
        <v>20</v>
      </c>
      <c r="AB392" s="11">
        <v>292.18</v>
      </c>
      <c r="AC392" s="11">
        <v>89849</v>
      </c>
      <c r="AD392" s="6" t="str">
        <f>IF(COUNTIF(Returns!$A$2:$A$1635,Orders!AC392)&gt;0,"Returned","Not Returned")</f>
        <v>Not Returned</v>
      </c>
    </row>
    <row r="393" spans="1:30" ht="12.75" customHeight="1" thickTop="1" thickBot="1" x14ac:dyDescent="0.25">
      <c r="A393" s="8">
        <v>4613</v>
      </c>
      <c r="B393" s="1" t="s">
        <v>56</v>
      </c>
      <c r="C393" s="1">
        <v>0.06</v>
      </c>
      <c r="D393" s="1">
        <v>8.1199999999999992</v>
      </c>
      <c r="E393" s="1">
        <v>2.83</v>
      </c>
      <c r="F393" s="1">
        <v>698</v>
      </c>
      <c r="G393" s="6" t="str">
        <f>IF(COUNTIF(Table1[Customer ID],Table1[[#This Row],[Customer ID]])&gt;1,"Repeat Customer","One-Time Customer")</f>
        <v>Repeat Customer</v>
      </c>
      <c r="H393" s="1" t="s">
        <v>834</v>
      </c>
      <c r="I393" s="1" t="s">
        <v>49</v>
      </c>
      <c r="J393" s="1" t="s">
        <v>28</v>
      </c>
      <c r="K393" s="1" t="s">
        <v>77</v>
      </c>
      <c r="L393" s="1" t="s">
        <v>180</v>
      </c>
      <c r="M393" s="1" t="s">
        <v>51</v>
      </c>
      <c r="N393" s="1" t="s">
        <v>827</v>
      </c>
      <c r="O393" s="1">
        <v>0.77</v>
      </c>
      <c r="P393" s="6">
        <f>Table1[[#This Row],[Profit]]/Table1[[#This Row],[Sales]]</f>
        <v>-0.25721206098810673</v>
      </c>
      <c r="Q393" s="1" t="s">
        <v>33</v>
      </c>
      <c r="R393" s="1" t="s">
        <v>34</v>
      </c>
      <c r="S393" s="1" t="s">
        <v>35</v>
      </c>
      <c r="T393" s="1" t="s">
        <v>209</v>
      </c>
      <c r="U393" s="1">
        <v>98105</v>
      </c>
      <c r="V393" s="9">
        <v>42090</v>
      </c>
      <c r="W393" s="13" t="str">
        <f>TEXT(Table1[[#This Row],[Order Date]],"mmmm")</f>
        <v>March</v>
      </c>
      <c r="X393" s="7" t="str">
        <f>TEXT(Table1[[#This Row],[Order Date]],"yyyy")</f>
        <v>2015</v>
      </c>
      <c r="Y393" s="9">
        <v>42091</v>
      </c>
      <c r="Z393" s="1">
        <v>-82.83</v>
      </c>
      <c r="AA393" s="1">
        <v>41</v>
      </c>
      <c r="AB393" s="1">
        <v>322.02999999999997</v>
      </c>
      <c r="AC393" s="1">
        <v>32869</v>
      </c>
      <c r="AD393" s="6" t="str">
        <f>IF(COUNTIF(Returns!$A$2:$A$1635,Orders!AC393)&gt;0,"Returned","Not Returned")</f>
        <v>Not Returned</v>
      </c>
    </row>
    <row r="394" spans="1:30" ht="12.75" customHeight="1" thickTop="1" thickBot="1" x14ac:dyDescent="0.25">
      <c r="A394" s="10">
        <v>4614</v>
      </c>
      <c r="B394" s="11" t="s">
        <v>56</v>
      </c>
      <c r="C394" s="11">
        <v>0.05</v>
      </c>
      <c r="D394" s="11">
        <v>51.65</v>
      </c>
      <c r="E394" s="11">
        <v>18.45</v>
      </c>
      <c r="F394" s="11">
        <v>698</v>
      </c>
      <c r="G394" s="6" t="str">
        <f>IF(COUNTIF(Table1[Customer ID],Table1[[#This Row],[Customer ID]])&gt;1,"Repeat Customer","One-Time Customer")</f>
        <v>Repeat Customer</v>
      </c>
      <c r="H394" s="11" t="s">
        <v>834</v>
      </c>
      <c r="I394" s="11" t="s">
        <v>49</v>
      </c>
      <c r="J394" s="11" t="s">
        <v>28</v>
      </c>
      <c r="K394" s="11" t="s">
        <v>41</v>
      </c>
      <c r="L394" s="11" t="s">
        <v>50</v>
      </c>
      <c r="M394" s="11" t="s">
        <v>86</v>
      </c>
      <c r="N394" s="11" t="s">
        <v>829</v>
      </c>
      <c r="O394" s="11">
        <v>0.65</v>
      </c>
      <c r="P394" s="6">
        <f>Table1[[#This Row],[Profit]]/Table1[[#This Row],[Sales]]</f>
        <v>1.0134205371452622E-2</v>
      </c>
      <c r="Q394" s="11" t="s">
        <v>33</v>
      </c>
      <c r="R394" s="11" t="s">
        <v>34</v>
      </c>
      <c r="S394" s="11" t="s">
        <v>35</v>
      </c>
      <c r="T394" s="11" t="s">
        <v>209</v>
      </c>
      <c r="U394" s="11">
        <v>98105</v>
      </c>
      <c r="V394" s="12">
        <v>42090</v>
      </c>
      <c r="W394" s="13" t="str">
        <f>TEXT(Table1[[#This Row],[Order Date]],"mmmm")</f>
        <v>March</v>
      </c>
      <c r="X394" s="7" t="str">
        <f>TEXT(Table1[[#This Row],[Order Date]],"yyyy")</f>
        <v>2015</v>
      </c>
      <c r="Y394" s="12">
        <v>42091</v>
      </c>
      <c r="Z394" s="11">
        <v>25.04</v>
      </c>
      <c r="AA394" s="11">
        <v>49</v>
      </c>
      <c r="AB394" s="11">
        <v>2470.84</v>
      </c>
      <c r="AC394" s="11">
        <v>32869</v>
      </c>
      <c r="AD394" s="6" t="str">
        <f>IF(COUNTIF(Returns!$A$2:$A$1635,Orders!AC394)&gt;0,"Returned","Not Returned")</f>
        <v>Not Returned</v>
      </c>
    </row>
    <row r="395" spans="1:30" ht="12.75" customHeight="1" thickTop="1" thickBot="1" x14ac:dyDescent="0.25">
      <c r="A395" s="8">
        <v>4616</v>
      </c>
      <c r="B395" s="1" t="s">
        <v>56</v>
      </c>
      <c r="C395" s="1">
        <v>0.1</v>
      </c>
      <c r="D395" s="1">
        <v>175.99</v>
      </c>
      <c r="E395" s="1">
        <v>8.99</v>
      </c>
      <c r="F395" s="1">
        <v>698</v>
      </c>
      <c r="G395" s="6" t="str">
        <f>IF(COUNTIF(Table1[Customer ID],Table1[[#This Row],[Customer ID]])&gt;1,"Repeat Customer","One-Time Customer")</f>
        <v>Repeat Customer</v>
      </c>
      <c r="H395" s="1" t="s">
        <v>834</v>
      </c>
      <c r="I395" s="1" t="s">
        <v>49</v>
      </c>
      <c r="J395" s="1" t="s">
        <v>28</v>
      </c>
      <c r="K395" s="1" t="s">
        <v>77</v>
      </c>
      <c r="L395" s="1" t="s">
        <v>78</v>
      </c>
      <c r="M395" s="1" t="s">
        <v>59</v>
      </c>
      <c r="N395" s="1" t="s">
        <v>168</v>
      </c>
      <c r="O395" s="1">
        <v>0.56999999999999995</v>
      </c>
      <c r="P395" s="6">
        <f>Table1[[#This Row],[Profit]]/Table1[[#This Row],[Sales]]</f>
        <v>0.17730856692301541</v>
      </c>
      <c r="Q395" s="1" t="s">
        <v>33</v>
      </c>
      <c r="R395" s="1" t="s">
        <v>34</v>
      </c>
      <c r="S395" s="1" t="s">
        <v>35</v>
      </c>
      <c r="T395" s="1" t="s">
        <v>209</v>
      </c>
      <c r="U395" s="1">
        <v>98105</v>
      </c>
      <c r="V395" s="9">
        <v>42090</v>
      </c>
      <c r="W395" s="13" t="str">
        <f>TEXT(Table1[[#This Row],[Order Date]],"mmmm")</f>
        <v>March</v>
      </c>
      <c r="X395" s="7" t="str">
        <f>TEXT(Table1[[#This Row],[Order Date]],"yyyy")</f>
        <v>2015</v>
      </c>
      <c r="Y395" s="9">
        <v>42091</v>
      </c>
      <c r="Z395" s="1">
        <v>930.98700000000008</v>
      </c>
      <c r="AA395" s="1">
        <v>39</v>
      </c>
      <c r="AB395" s="1">
        <v>5250.66</v>
      </c>
      <c r="AC395" s="1">
        <v>32869</v>
      </c>
      <c r="AD395" s="6" t="str">
        <f>IF(COUNTIF(Returns!$A$2:$A$1635,Orders!AC395)&gt;0,"Returned","Not Returned")</f>
        <v>Not Returned</v>
      </c>
    </row>
    <row r="396" spans="1:30" ht="12.75" customHeight="1" thickTop="1" thickBot="1" x14ac:dyDescent="0.25">
      <c r="A396" s="10">
        <v>1225</v>
      </c>
      <c r="B396" s="11" t="s">
        <v>106</v>
      </c>
      <c r="C396" s="11">
        <v>0.1</v>
      </c>
      <c r="D396" s="11">
        <v>40.479999999999997</v>
      </c>
      <c r="E396" s="11">
        <v>19.989999999999998</v>
      </c>
      <c r="F396" s="11">
        <v>698</v>
      </c>
      <c r="G396" s="6" t="str">
        <f>IF(COUNTIF(Table1[Customer ID],Table1[[#This Row],[Customer ID]])&gt;1,"Repeat Customer","One-Time Customer")</f>
        <v>Repeat Customer</v>
      </c>
      <c r="H396" s="11" t="s">
        <v>834</v>
      </c>
      <c r="I396" s="11" t="s">
        <v>49</v>
      </c>
      <c r="J396" s="11" t="s">
        <v>28</v>
      </c>
      <c r="K396" s="11" t="s">
        <v>77</v>
      </c>
      <c r="L396" s="11" t="s">
        <v>180</v>
      </c>
      <c r="M396" s="11" t="s">
        <v>59</v>
      </c>
      <c r="N396" s="11" t="s">
        <v>830</v>
      </c>
      <c r="O396" s="11">
        <v>0.77</v>
      </c>
      <c r="P396" s="6">
        <f>Table1[[#This Row],[Profit]]/Table1[[#This Row],[Sales]]</f>
        <v>-0.40771419538412906</v>
      </c>
      <c r="Q396" s="11" t="s">
        <v>33</v>
      </c>
      <c r="R396" s="11" t="s">
        <v>34</v>
      </c>
      <c r="S396" s="11" t="s">
        <v>35</v>
      </c>
      <c r="T396" s="11" t="s">
        <v>209</v>
      </c>
      <c r="U396" s="11">
        <v>98105</v>
      </c>
      <c r="V396" s="12">
        <v>42101</v>
      </c>
      <c r="W396" s="13" t="str">
        <f>TEXT(Table1[[#This Row],[Order Date]],"mmmm")</f>
        <v>April</v>
      </c>
      <c r="X396" s="7" t="str">
        <f>TEXT(Table1[[#This Row],[Order Date]],"yyyy")</f>
        <v>2015</v>
      </c>
      <c r="Y396" s="12">
        <v>42103</v>
      </c>
      <c r="Z396" s="11">
        <v>-580.32000000000005</v>
      </c>
      <c r="AA396" s="11">
        <v>36</v>
      </c>
      <c r="AB396" s="11">
        <v>1423.35</v>
      </c>
      <c r="AC396" s="11">
        <v>8994</v>
      </c>
      <c r="AD396" s="6" t="str">
        <f>IF(COUNTIF(Returns!$A$2:$A$1635,Orders!AC396)&gt;0,"Returned","Not Returned")</f>
        <v>Not Returned</v>
      </c>
    </row>
    <row r="397" spans="1:30" ht="12.75" customHeight="1" thickTop="1" thickBot="1" x14ac:dyDescent="0.25">
      <c r="A397" s="8">
        <v>7480</v>
      </c>
      <c r="B397" s="1" t="s">
        <v>47</v>
      </c>
      <c r="C397" s="1">
        <v>0.08</v>
      </c>
      <c r="D397" s="1">
        <v>14.81</v>
      </c>
      <c r="E397" s="1">
        <v>13.32</v>
      </c>
      <c r="F397" s="1">
        <v>698</v>
      </c>
      <c r="G397" s="6" t="str">
        <f>IF(COUNTIF(Table1[Customer ID],Table1[[#This Row],[Customer ID]])&gt;1,"Repeat Customer","One-Time Customer")</f>
        <v>Repeat Customer</v>
      </c>
      <c r="H397" s="1" t="s">
        <v>834</v>
      </c>
      <c r="I397" s="1" t="s">
        <v>49</v>
      </c>
      <c r="J397" s="1" t="s">
        <v>28</v>
      </c>
      <c r="K397" s="1" t="s">
        <v>29</v>
      </c>
      <c r="L397" s="1" t="s">
        <v>257</v>
      </c>
      <c r="M397" s="1" t="s">
        <v>59</v>
      </c>
      <c r="N397" s="1" t="s">
        <v>833</v>
      </c>
      <c r="O397" s="1">
        <v>0.43</v>
      </c>
      <c r="P397" s="6">
        <f>Table1[[#This Row],[Profit]]/Table1[[#This Row],[Sales]]</f>
        <v>-0.21930995043842932</v>
      </c>
      <c r="Q397" s="1" t="s">
        <v>33</v>
      </c>
      <c r="R397" s="1" t="s">
        <v>34</v>
      </c>
      <c r="S397" s="1" t="s">
        <v>35</v>
      </c>
      <c r="T397" s="1" t="s">
        <v>209</v>
      </c>
      <c r="U397" s="1">
        <v>98105</v>
      </c>
      <c r="V397" s="9">
        <v>42042</v>
      </c>
      <c r="W397" s="13" t="str">
        <f>TEXT(Table1[[#This Row],[Order Date]],"mmmm")</f>
        <v>February</v>
      </c>
      <c r="X397" s="7" t="str">
        <f>TEXT(Table1[[#This Row],[Order Date]],"yyyy")</f>
        <v>2015</v>
      </c>
      <c r="Y397" s="9">
        <v>42044</v>
      </c>
      <c r="Z397" s="1">
        <v>-253.11</v>
      </c>
      <c r="AA397" s="1">
        <v>79</v>
      </c>
      <c r="AB397" s="1">
        <v>1154.1199999999999</v>
      </c>
      <c r="AC397" s="1">
        <v>53410</v>
      </c>
      <c r="AD397" s="6" t="str">
        <f>IF(COUNTIF(Returns!$A$2:$A$1635,Orders!AC397)&gt;0,"Returned","Not Returned")</f>
        <v>Not Returned</v>
      </c>
    </row>
    <row r="398" spans="1:30" ht="12.75" customHeight="1" thickTop="1" thickBot="1" x14ac:dyDescent="0.25">
      <c r="A398" s="10">
        <v>6289</v>
      </c>
      <c r="B398" s="11" t="s">
        <v>56</v>
      </c>
      <c r="C398" s="11">
        <v>0.03</v>
      </c>
      <c r="D398" s="11">
        <v>5.28</v>
      </c>
      <c r="E398" s="11">
        <v>5.61</v>
      </c>
      <c r="F398" s="11">
        <v>699</v>
      </c>
      <c r="G398" s="6" t="str">
        <f>IF(COUNTIF(Table1[Customer ID],Table1[[#This Row],[Customer ID]])&gt;1,"Repeat Customer","One-Time Customer")</f>
        <v>Repeat Customer</v>
      </c>
      <c r="H398" s="11" t="s">
        <v>835</v>
      </c>
      <c r="I398" s="11" t="s">
        <v>49</v>
      </c>
      <c r="J398" s="11" t="s">
        <v>114</v>
      </c>
      <c r="K398" s="11" t="s">
        <v>29</v>
      </c>
      <c r="L398" s="11" t="s">
        <v>93</v>
      </c>
      <c r="M398" s="11" t="s">
        <v>59</v>
      </c>
      <c r="N398" s="11" t="s">
        <v>836</v>
      </c>
      <c r="O398" s="11">
        <v>0.4</v>
      </c>
      <c r="P398" s="6">
        <f>Table1[[#This Row],[Profit]]/Table1[[#This Row],[Sales]]</f>
        <v>-0.51292307692307693</v>
      </c>
      <c r="Q398" s="11" t="s">
        <v>33</v>
      </c>
      <c r="R398" s="11" t="s">
        <v>34</v>
      </c>
      <c r="S398" s="11" t="s">
        <v>45</v>
      </c>
      <c r="T398" s="11" t="s">
        <v>663</v>
      </c>
      <c r="U398" s="11">
        <v>90041</v>
      </c>
      <c r="V398" s="12">
        <v>42117</v>
      </c>
      <c r="W398" s="13" t="str">
        <f>TEXT(Table1[[#This Row],[Order Date]],"mmmm")</f>
        <v>April</v>
      </c>
      <c r="X398" s="7" t="str">
        <f>TEXT(Table1[[#This Row],[Order Date]],"yyyy")</f>
        <v>2015</v>
      </c>
      <c r="Y398" s="12">
        <v>42118</v>
      </c>
      <c r="Z398" s="11">
        <v>-16.670000000000002</v>
      </c>
      <c r="AA398" s="11">
        <v>5</v>
      </c>
      <c r="AB398" s="11">
        <v>32.5</v>
      </c>
      <c r="AC398" s="11">
        <v>44517</v>
      </c>
      <c r="AD398" s="6" t="str">
        <f>IF(COUNTIF(Returns!$A$2:$A$1635,Orders!AC398)&gt;0,"Returned","Not Returned")</f>
        <v>Not Returned</v>
      </c>
    </row>
    <row r="399" spans="1:30" ht="12.75" customHeight="1" thickTop="1" thickBot="1" x14ac:dyDescent="0.25">
      <c r="A399" s="8">
        <v>7733</v>
      </c>
      <c r="B399" s="1" t="s">
        <v>47</v>
      </c>
      <c r="C399" s="1">
        <v>0.02</v>
      </c>
      <c r="D399" s="1">
        <v>6.47</v>
      </c>
      <c r="E399" s="1">
        <v>1.22</v>
      </c>
      <c r="F399" s="1">
        <v>699</v>
      </c>
      <c r="G399" s="6" t="str">
        <f>IF(COUNTIF(Table1[Customer ID],Table1[[#This Row],[Customer ID]])&gt;1,"Repeat Customer","One-Time Customer")</f>
        <v>Repeat Customer</v>
      </c>
      <c r="H399" s="1" t="s">
        <v>835</v>
      </c>
      <c r="I399" s="1" t="s">
        <v>49</v>
      </c>
      <c r="J399" s="1" t="s">
        <v>114</v>
      </c>
      <c r="K399" s="1" t="s">
        <v>29</v>
      </c>
      <c r="L399" s="1" t="s">
        <v>30</v>
      </c>
      <c r="M399" s="1" t="s">
        <v>31</v>
      </c>
      <c r="N399" s="1" t="s">
        <v>837</v>
      </c>
      <c r="O399" s="1">
        <v>0.4</v>
      </c>
      <c r="P399" s="6">
        <f>Table1[[#This Row],[Profit]]/Table1[[#This Row],[Sales]]</f>
        <v>0.20726991492652749</v>
      </c>
      <c r="Q399" s="1" t="s">
        <v>33</v>
      </c>
      <c r="R399" s="1" t="s">
        <v>34</v>
      </c>
      <c r="S399" s="1" t="s">
        <v>45</v>
      </c>
      <c r="T399" s="1" t="s">
        <v>663</v>
      </c>
      <c r="U399" s="1">
        <v>90041</v>
      </c>
      <c r="V399" s="9">
        <v>42161</v>
      </c>
      <c r="W399" s="13" t="str">
        <f>TEXT(Table1[[#This Row],[Order Date]],"mmmm")</f>
        <v>June</v>
      </c>
      <c r="X399" s="7" t="str">
        <f>TEXT(Table1[[#This Row],[Order Date]],"yyyy")</f>
        <v>2015</v>
      </c>
      <c r="Y399" s="9">
        <v>42162</v>
      </c>
      <c r="Z399" s="1">
        <v>40.200000000000003</v>
      </c>
      <c r="AA399" s="1">
        <v>30</v>
      </c>
      <c r="AB399" s="1">
        <v>193.95</v>
      </c>
      <c r="AC399" s="1">
        <v>55392</v>
      </c>
      <c r="AD399" s="6" t="str">
        <f>IF(COUNTIF(Returns!$A$2:$A$1635,Orders!AC399)&gt;0,"Returned","Not Returned")</f>
        <v>Not Returned</v>
      </c>
    </row>
    <row r="400" spans="1:30" ht="12.75" customHeight="1" thickTop="1" thickBot="1" x14ac:dyDescent="0.25">
      <c r="A400" s="10">
        <v>7734</v>
      </c>
      <c r="B400" s="11" t="s">
        <v>47</v>
      </c>
      <c r="C400" s="11">
        <v>7.0000000000000007E-2</v>
      </c>
      <c r="D400" s="11">
        <v>2.84</v>
      </c>
      <c r="E400" s="11">
        <v>0.93</v>
      </c>
      <c r="F400" s="11">
        <v>699</v>
      </c>
      <c r="G400" s="6" t="str">
        <f>IF(COUNTIF(Table1[Customer ID],Table1[[#This Row],[Customer ID]])&gt;1,"Repeat Customer","One-Time Customer")</f>
        <v>Repeat Customer</v>
      </c>
      <c r="H400" s="11" t="s">
        <v>835</v>
      </c>
      <c r="I400" s="11" t="s">
        <v>49</v>
      </c>
      <c r="J400" s="11" t="s">
        <v>114</v>
      </c>
      <c r="K400" s="11" t="s">
        <v>29</v>
      </c>
      <c r="L400" s="11" t="s">
        <v>30</v>
      </c>
      <c r="M400" s="11" t="s">
        <v>31</v>
      </c>
      <c r="N400" s="11" t="s">
        <v>32</v>
      </c>
      <c r="O400" s="11">
        <v>0.54</v>
      </c>
      <c r="P400" s="6">
        <f>Table1[[#This Row],[Profit]]/Table1[[#This Row],[Sales]]</f>
        <v>2.0214105793450881E-2</v>
      </c>
      <c r="Q400" s="11" t="s">
        <v>33</v>
      </c>
      <c r="R400" s="11" t="s">
        <v>34</v>
      </c>
      <c r="S400" s="11" t="s">
        <v>45</v>
      </c>
      <c r="T400" s="11" t="s">
        <v>663</v>
      </c>
      <c r="U400" s="11">
        <v>90041</v>
      </c>
      <c r="V400" s="12">
        <v>42161</v>
      </c>
      <c r="W400" s="13" t="str">
        <f>TEXT(Table1[[#This Row],[Order Date]],"mmmm")</f>
        <v>June</v>
      </c>
      <c r="X400" s="7" t="str">
        <f>TEXT(Table1[[#This Row],[Order Date]],"yyyy")</f>
        <v>2015</v>
      </c>
      <c r="Y400" s="12">
        <v>42163</v>
      </c>
      <c r="Z400" s="11">
        <v>3.21</v>
      </c>
      <c r="AA400" s="11">
        <v>59</v>
      </c>
      <c r="AB400" s="11">
        <v>158.80000000000001</v>
      </c>
      <c r="AC400" s="11">
        <v>55392</v>
      </c>
      <c r="AD400" s="6" t="str">
        <f>IF(COUNTIF(Returns!$A$2:$A$1635,Orders!AC400)&gt;0,"Returned","Not Returned")</f>
        <v>Not Returned</v>
      </c>
    </row>
    <row r="401" spans="1:30" ht="12.75" customHeight="1" thickTop="1" thickBot="1" x14ac:dyDescent="0.25">
      <c r="A401" s="8">
        <v>5140</v>
      </c>
      <c r="B401" s="1" t="s">
        <v>25</v>
      </c>
      <c r="C401" s="1">
        <v>0.01</v>
      </c>
      <c r="D401" s="1">
        <v>7.89</v>
      </c>
      <c r="E401" s="1">
        <v>2.82</v>
      </c>
      <c r="F401" s="1">
        <v>699</v>
      </c>
      <c r="G401" s="6" t="str">
        <f>IF(COUNTIF(Table1[Customer ID],Table1[[#This Row],[Customer ID]])&gt;1,"Repeat Customer","One-Time Customer")</f>
        <v>Repeat Customer</v>
      </c>
      <c r="H401" s="1" t="s">
        <v>835</v>
      </c>
      <c r="I401" s="1" t="s">
        <v>49</v>
      </c>
      <c r="J401" s="1" t="s">
        <v>114</v>
      </c>
      <c r="K401" s="1" t="s">
        <v>29</v>
      </c>
      <c r="L401" s="1" t="s">
        <v>66</v>
      </c>
      <c r="M401" s="1" t="s">
        <v>31</v>
      </c>
      <c r="N401" s="1" t="s">
        <v>838</v>
      </c>
      <c r="O401" s="1">
        <v>0.4</v>
      </c>
      <c r="P401" s="6">
        <f>Table1[[#This Row],[Profit]]/Table1[[#This Row],[Sales]]</f>
        <v>0.14110697877926057</v>
      </c>
      <c r="Q401" s="1" t="s">
        <v>33</v>
      </c>
      <c r="R401" s="1" t="s">
        <v>34</v>
      </c>
      <c r="S401" s="1" t="s">
        <v>45</v>
      </c>
      <c r="T401" s="1" t="s">
        <v>663</v>
      </c>
      <c r="U401" s="1">
        <v>90041</v>
      </c>
      <c r="V401" s="9">
        <v>42185</v>
      </c>
      <c r="W401" s="13" t="str">
        <f>TEXT(Table1[[#This Row],[Order Date]],"mmmm")</f>
        <v>June</v>
      </c>
      <c r="X401" s="7" t="str">
        <f>TEXT(Table1[[#This Row],[Order Date]],"yyyy")</f>
        <v>2015</v>
      </c>
      <c r="Y401" s="9">
        <v>42186</v>
      </c>
      <c r="Z401" s="1">
        <v>38.700000000000003</v>
      </c>
      <c r="AA401" s="1">
        <v>32</v>
      </c>
      <c r="AB401" s="1">
        <v>274.26</v>
      </c>
      <c r="AC401" s="1">
        <v>36647</v>
      </c>
      <c r="AD401" s="6" t="str">
        <f>IF(COUNTIF(Returns!$A$2:$A$1635,Orders!AC401)&gt;0,"Returned","Not Returned")</f>
        <v>Not Returned</v>
      </c>
    </row>
    <row r="402" spans="1:30" ht="12.75" customHeight="1" thickTop="1" thickBot="1" x14ac:dyDescent="0.25">
      <c r="A402" s="10">
        <v>5141</v>
      </c>
      <c r="B402" s="11" t="s">
        <v>25</v>
      </c>
      <c r="C402" s="11">
        <v>0.09</v>
      </c>
      <c r="D402" s="11">
        <v>3.68</v>
      </c>
      <c r="E402" s="11">
        <v>1.32</v>
      </c>
      <c r="F402" s="11">
        <v>699</v>
      </c>
      <c r="G402" s="6" t="str">
        <f>IF(COUNTIF(Table1[Customer ID],Table1[[#This Row],[Customer ID]])&gt;1,"Repeat Customer","One-Time Customer")</f>
        <v>Repeat Customer</v>
      </c>
      <c r="H402" s="11" t="s">
        <v>835</v>
      </c>
      <c r="I402" s="11" t="s">
        <v>49</v>
      </c>
      <c r="J402" s="11" t="s">
        <v>114</v>
      </c>
      <c r="K402" s="11" t="s">
        <v>29</v>
      </c>
      <c r="L402" s="11" t="s">
        <v>174</v>
      </c>
      <c r="M402" s="11" t="s">
        <v>31</v>
      </c>
      <c r="N402" s="11" t="s">
        <v>839</v>
      </c>
      <c r="O402" s="11">
        <v>0.83</v>
      </c>
      <c r="P402" s="6">
        <f>Table1[[#This Row],[Profit]]/Table1[[#This Row],[Sales]]</f>
        <v>-0.26346801346801346</v>
      </c>
      <c r="Q402" s="11" t="s">
        <v>33</v>
      </c>
      <c r="R402" s="11" t="s">
        <v>34</v>
      </c>
      <c r="S402" s="11" t="s">
        <v>45</v>
      </c>
      <c r="T402" s="11" t="s">
        <v>663</v>
      </c>
      <c r="U402" s="11">
        <v>90041</v>
      </c>
      <c r="V402" s="12">
        <v>42185</v>
      </c>
      <c r="W402" s="13" t="str">
        <f>TEXT(Table1[[#This Row],[Order Date]],"mmmm")</f>
        <v>June</v>
      </c>
      <c r="X402" s="7" t="str">
        <f>TEXT(Table1[[#This Row],[Order Date]],"yyyy")</f>
        <v>2015</v>
      </c>
      <c r="Y402" s="12">
        <v>42186</v>
      </c>
      <c r="Z402" s="11">
        <v>-21.91</v>
      </c>
      <c r="AA402" s="11">
        <v>24</v>
      </c>
      <c r="AB402" s="11">
        <v>83.16</v>
      </c>
      <c r="AC402" s="11">
        <v>36647</v>
      </c>
      <c r="AD402" s="6" t="str">
        <f>IF(COUNTIF(Returns!$A$2:$A$1635,Orders!AC402)&gt;0,"Returned","Not Returned")</f>
        <v>Not Returned</v>
      </c>
    </row>
    <row r="403" spans="1:30" ht="12.75" customHeight="1" thickTop="1" thickBot="1" x14ac:dyDescent="0.25">
      <c r="A403" s="8">
        <v>5142</v>
      </c>
      <c r="B403" s="1" t="s">
        <v>25</v>
      </c>
      <c r="C403" s="1">
        <v>0.1</v>
      </c>
      <c r="D403" s="1">
        <v>9.7100000000000009</v>
      </c>
      <c r="E403" s="1">
        <v>9.4499999999999993</v>
      </c>
      <c r="F403" s="1">
        <v>699</v>
      </c>
      <c r="G403" s="6" t="str">
        <f>IF(COUNTIF(Table1[Customer ID],Table1[[#This Row],[Customer ID]])&gt;1,"Repeat Customer","One-Time Customer")</f>
        <v>Repeat Customer</v>
      </c>
      <c r="H403" s="1" t="s">
        <v>835</v>
      </c>
      <c r="I403" s="1" t="s">
        <v>49</v>
      </c>
      <c r="J403" s="1" t="s">
        <v>114</v>
      </c>
      <c r="K403" s="1" t="s">
        <v>29</v>
      </c>
      <c r="L403" s="1" t="s">
        <v>141</v>
      </c>
      <c r="M403" s="1" t="s">
        <v>59</v>
      </c>
      <c r="N403" s="1" t="s">
        <v>510</v>
      </c>
      <c r="O403" s="1">
        <v>0.6</v>
      </c>
      <c r="P403" s="6">
        <f>Table1[[#This Row],[Profit]]/Table1[[#This Row],[Sales]]</f>
        <v>-0.45725957316840377</v>
      </c>
      <c r="Q403" s="1" t="s">
        <v>33</v>
      </c>
      <c r="R403" s="1" t="s">
        <v>34</v>
      </c>
      <c r="S403" s="1" t="s">
        <v>45</v>
      </c>
      <c r="T403" s="1" t="s">
        <v>663</v>
      </c>
      <c r="U403" s="1">
        <v>90041</v>
      </c>
      <c r="V403" s="9">
        <v>42185</v>
      </c>
      <c r="W403" s="13" t="str">
        <f>TEXT(Table1[[#This Row],[Order Date]],"mmmm")</f>
        <v>June</v>
      </c>
      <c r="X403" s="7" t="str">
        <f>TEXT(Table1[[#This Row],[Order Date]],"yyyy")</f>
        <v>2015</v>
      </c>
      <c r="Y403" s="9">
        <v>42188</v>
      </c>
      <c r="Z403" s="1">
        <v>-119.77</v>
      </c>
      <c r="AA403" s="1">
        <v>27</v>
      </c>
      <c r="AB403" s="1">
        <v>261.93</v>
      </c>
      <c r="AC403" s="1">
        <v>36647</v>
      </c>
      <c r="AD403" s="6" t="str">
        <f>IF(COUNTIF(Returns!$A$2:$A$1635,Orders!AC403)&gt;0,"Returned","Not Returned")</f>
        <v>Not Returned</v>
      </c>
    </row>
    <row r="404" spans="1:30" ht="12.75" customHeight="1" thickTop="1" thickBot="1" x14ac:dyDescent="0.25">
      <c r="A404" s="10">
        <v>4556</v>
      </c>
      <c r="B404" s="11" t="s">
        <v>56</v>
      </c>
      <c r="C404" s="11">
        <v>7.0000000000000007E-2</v>
      </c>
      <c r="D404" s="11">
        <v>5.0199999999999996</v>
      </c>
      <c r="E404" s="11">
        <v>5.14</v>
      </c>
      <c r="F404" s="11">
        <v>699</v>
      </c>
      <c r="G404" s="6" t="str">
        <f>IF(COUNTIF(Table1[Customer ID],Table1[[#This Row],[Customer ID]])&gt;1,"Repeat Customer","One-Time Customer")</f>
        <v>Repeat Customer</v>
      </c>
      <c r="H404" s="11" t="s">
        <v>835</v>
      </c>
      <c r="I404" s="11" t="s">
        <v>49</v>
      </c>
      <c r="J404" s="11" t="s">
        <v>114</v>
      </c>
      <c r="K404" s="11" t="s">
        <v>77</v>
      </c>
      <c r="L404" s="11" t="s">
        <v>180</v>
      </c>
      <c r="M404" s="11" t="s">
        <v>51</v>
      </c>
      <c r="N404" s="11" t="s">
        <v>840</v>
      </c>
      <c r="O404" s="11">
        <v>0.79</v>
      </c>
      <c r="P404" s="6">
        <f>Table1[[#This Row],[Profit]]/Table1[[#This Row],[Sales]]</f>
        <v>-0.8030461684911947</v>
      </c>
      <c r="Q404" s="11" t="s">
        <v>33</v>
      </c>
      <c r="R404" s="11" t="s">
        <v>34</v>
      </c>
      <c r="S404" s="11" t="s">
        <v>45</v>
      </c>
      <c r="T404" s="11" t="s">
        <v>663</v>
      </c>
      <c r="U404" s="11">
        <v>90041</v>
      </c>
      <c r="V404" s="12">
        <v>42033</v>
      </c>
      <c r="W404" s="13" t="str">
        <f>TEXT(Table1[[#This Row],[Order Date]],"mmmm")</f>
        <v>January</v>
      </c>
      <c r="X404" s="7" t="str">
        <f>TEXT(Table1[[#This Row],[Order Date]],"yyyy")</f>
        <v>2015</v>
      </c>
      <c r="Y404" s="12">
        <v>42035</v>
      </c>
      <c r="Z404" s="11">
        <v>-168.72</v>
      </c>
      <c r="AA404" s="11">
        <v>42</v>
      </c>
      <c r="AB404" s="11">
        <v>210.1</v>
      </c>
      <c r="AC404" s="11">
        <v>32420</v>
      </c>
      <c r="AD404" s="6" t="str">
        <f>IF(COUNTIF(Returns!$A$2:$A$1635,Orders!AC404)&gt;0,"Returned","Not Returned")</f>
        <v>Not Returned</v>
      </c>
    </row>
    <row r="405" spans="1:30" ht="12.75" customHeight="1" thickTop="1" thickBot="1" x14ac:dyDescent="0.25">
      <c r="A405" s="8">
        <v>4557</v>
      </c>
      <c r="B405" s="1" t="s">
        <v>56</v>
      </c>
      <c r="C405" s="1">
        <v>7.0000000000000007E-2</v>
      </c>
      <c r="D405" s="1">
        <v>280.98</v>
      </c>
      <c r="E405" s="1">
        <v>57</v>
      </c>
      <c r="F405" s="1">
        <v>699</v>
      </c>
      <c r="G405" s="6" t="str">
        <f>IF(COUNTIF(Table1[Customer ID],Table1[[#This Row],[Customer ID]])&gt;1,"Repeat Customer","One-Time Customer")</f>
        <v>Repeat Customer</v>
      </c>
      <c r="H405" s="1" t="s">
        <v>835</v>
      </c>
      <c r="I405" s="1" t="s">
        <v>39</v>
      </c>
      <c r="J405" s="1" t="s">
        <v>114</v>
      </c>
      <c r="K405" s="1" t="s">
        <v>41</v>
      </c>
      <c r="L405" s="1" t="s">
        <v>42</v>
      </c>
      <c r="M405" s="1" t="s">
        <v>43</v>
      </c>
      <c r="N405" s="1" t="s">
        <v>670</v>
      </c>
      <c r="O405" s="1">
        <v>0.78</v>
      </c>
      <c r="P405" s="6">
        <f>Table1[[#This Row],[Profit]]/Table1[[#This Row],[Sales]]</f>
        <v>-6.7635198857823306E-2</v>
      </c>
      <c r="Q405" s="1" t="s">
        <v>33</v>
      </c>
      <c r="R405" s="1" t="s">
        <v>34</v>
      </c>
      <c r="S405" s="1" t="s">
        <v>45</v>
      </c>
      <c r="T405" s="1" t="s">
        <v>663</v>
      </c>
      <c r="U405" s="1">
        <v>90041</v>
      </c>
      <c r="V405" s="9">
        <v>42033</v>
      </c>
      <c r="W405" s="13" t="str">
        <f>TEXT(Table1[[#This Row],[Order Date]],"mmmm")</f>
        <v>January</v>
      </c>
      <c r="X405" s="7" t="str">
        <f>TEXT(Table1[[#This Row],[Order Date]],"yyyy")</f>
        <v>2015</v>
      </c>
      <c r="Y405" s="9">
        <v>42035</v>
      </c>
      <c r="Z405" s="1">
        <v>-439.62</v>
      </c>
      <c r="AA405" s="1">
        <v>23</v>
      </c>
      <c r="AB405" s="1">
        <v>6499.87</v>
      </c>
      <c r="AC405" s="1">
        <v>32420</v>
      </c>
      <c r="AD405" s="6" t="str">
        <f>IF(COUNTIF(Returns!$A$2:$A$1635,Orders!AC405)&gt;0,"Returned","Not Returned")</f>
        <v>Not Returned</v>
      </c>
    </row>
    <row r="406" spans="1:30" ht="12.75" customHeight="1" thickTop="1" thickBot="1" x14ac:dyDescent="0.25">
      <c r="A406" s="10">
        <v>448</v>
      </c>
      <c r="B406" s="11" t="s">
        <v>56</v>
      </c>
      <c r="C406" s="11">
        <v>0.1</v>
      </c>
      <c r="D406" s="11">
        <v>4.26</v>
      </c>
      <c r="E406" s="11">
        <v>1.2</v>
      </c>
      <c r="F406" s="11">
        <v>699</v>
      </c>
      <c r="G406" s="6" t="str">
        <f>IF(COUNTIF(Table1[Customer ID],Table1[[#This Row],[Customer ID]])&gt;1,"Repeat Customer","One-Time Customer")</f>
        <v>Repeat Customer</v>
      </c>
      <c r="H406" s="11" t="s">
        <v>835</v>
      </c>
      <c r="I406" s="11" t="s">
        <v>49</v>
      </c>
      <c r="J406" s="11" t="s">
        <v>114</v>
      </c>
      <c r="K406" s="11" t="s">
        <v>29</v>
      </c>
      <c r="L406" s="11" t="s">
        <v>30</v>
      </c>
      <c r="M406" s="11" t="s">
        <v>31</v>
      </c>
      <c r="N406" s="11" t="s">
        <v>202</v>
      </c>
      <c r="O406" s="11">
        <v>0.44</v>
      </c>
      <c r="P406" s="6">
        <f>Table1[[#This Row],[Profit]]/Table1[[#This Row],[Sales]]</f>
        <v>4.3861645238366137E-2</v>
      </c>
      <c r="Q406" s="11" t="s">
        <v>33</v>
      </c>
      <c r="R406" s="11" t="s">
        <v>34</v>
      </c>
      <c r="S406" s="11" t="s">
        <v>45</v>
      </c>
      <c r="T406" s="11" t="s">
        <v>663</v>
      </c>
      <c r="U406" s="11">
        <v>90041</v>
      </c>
      <c r="V406" s="12">
        <v>42144</v>
      </c>
      <c r="W406" s="13" t="str">
        <f>TEXT(Table1[[#This Row],[Order Date]],"mmmm")</f>
        <v>May</v>
      </c>
      <c r="X406" s="7" t="str">
        <f>TEXT(Table1[[#This Row],[Order Date]],"yyyy")</f>
        <v>2015</v>
      </c>
      <c r="Y406" s="12">
        <v>42145</v>
      </c>
      <c r="Z406" s="11">
        <v>15.42</v>
      </c>
      <c r="AA406" s="11">
        <v>88</v>
      </c>
      <c r="AB406" s="11">
        <v>351.56</v>
      </c>
      <c r="AC406" s="11">
        <v>3042</v>
      </c>
      <c r="AD406" s="6" t="str">
        <f>IF(COUNTIF(Returns!$A$2:$A$1635,Orders!AC406)&gt;0,"Returned","Not Returned")</f>
        <v>Not Returned</v>
      </c>
    </row>
    <row r="407" spans="1:30" ht="12.75" customHeight="1" thickTop="1" thickBot="1" x14ac:dyDescent="0.25">
      <c r="A407" s="8">
        <v>18448</v>
      </c>
      <c r="B407" s="1" t="s">
        <v>56</v>
      </c>
      <c r="C407" s="1">
        <v>0.1</v>
      </c>
      <c r="D407" s="1">
        <v>4.26</v>
      </c>
      <c r="E407" s="1">
        <v>1.2</v>
      </c>
      <c r="F407" s="1">
        <v>700</v>
      </c>
      <c r="G407" s="6" t="str">
        <f>IF(COUNTIF(Table1[Customer ID],Table1[[#This Row],[Customer ID]])&gt;1,"Repeat Customer","One-Time Customer")</f>
        <v>One-Time Customer</v>
      </c>
      <c r="H407" s="1" t="s">
        <v>841</v>
      </c>
      <c r="I407" s="1" t="s">
        <v>49</v>
      </c>
      <c r="J407" s="1" t="s">
        <v>114</v>
      </c>
      <c r="K407" s="1" t="s">
        <v>29</v>
      </c>
      <c r="L407" s="1" t="s">
        <v>30</v>
      </c>
      <c r="M407" s="1" t="s">
        <v>31</v>
      </c>
      <c r="N407" s="1" t="s">
        <v>202</v>
      </c>
      <c r="O407" s="1">
        <v>0.44</v>
      </c>
      <c r="P407" s="6">
        <f>Table1[[#This Row],[Profit]]/Table1[[#This Row],[Sales]]</f>
        <v>0.38598247809762204</v>
      </c>
      <c r="Q407" s="1" t="s">
        <v>33</v>
      </c>
      <c r="R407" s="1" t="s">
        <v>34</v>
      </c>
      <c r="S407" s="1" t="s">
        <v>45</v>
      </c>
      <c r="T407" s="1" t="s">
        <v>756</v>
      </c>
      <c r="U407" s="1">
        <v>93454</v>
      </c>
      <c r="V407" s="9">
        <v>42144</v>
      </c>
      <c r="W407" s="13" t="str">
        <f>TEXT(Table1[[#This Row],[Order Date]],"mmmm")</f>
        <v>May</v>
      </c>
      <c r="X407" s="7" t="str">
        <f>TEXT(Table1[[#This Row],[Order Date]],"yyyy")</f>
        <v>2015</v>
      </c>
      <c r="Y407" s="9">
        <v>42145</v>
      </c>
      <c r="Z407" s="1">
        <v>33.923999999999999</v>
      </c>
      <c r="AA407" s="1">
        <v>22</v>
      </c>
      <c r="AB407" s="1">
        <v>87.89</v>
      </c>
      <c r="AC407" s="1">
        <v>87980</v>
      </c>
      <c r="AD407" s="6" t="str">
        <f>IF(COUNTIF(Returns!$A$2:$A$1635,Orders!AC407)&gt;0,"Returned","Not Returned")</f>
        <v>Not Returned</v>
      </c>
    </row>
    <row r="408" spans="1:30" ht="12.75" customHeight="1" thickTop="1" thickBot="1" x14ac:dyDescent="0.25">
      <c r="A408" s="10">
        <v>24289</v>
      </c>
      <c r="B408" s="11" t="s">
        <v>56</v>
      </c>
      <c r="C408" s="11">
        <v>0.03</v>
      </c>
      <c r="D408" s="11">
        <v>5.28</v>
      </c>
      <c r="E408" s="11">
        <v>5.61</v>
      </c>
      <c r="F408" s="11">
        <v>702</v>
      </c>
      <c r="G408" s="6" t="str">
        <f>IF(COUNTIF(Table1[Customer ID],Table1[[#This Row],[Customer ID]])&gt;1,"Repeat Customer","One-Time Customer")</f>
        <v>Repeat Customer</v>
      </c>
      <c r="H408" s="11" t="s">
        <v>842</v>
      </c>
      <c r="I408" s="11" t="s">
        <v>49</v>
      </c>
      <c r="J408" s="11" t="s">
        <v>114</v>
      </c>
      <c r="K408" s="11" t="s">
        <v>29</v>
      </c>
      <c r="L408" s="11" t="s">
        <v>93</v>
      </c>
      <c r="M408" s="11" t="s">
        <v>59</v>
      </c>
      <c r="N408" s="11" t="s">
        <v>836</v>
      </c>
      <c r="O408" s="11">
        <v>0.4</v>
      </c>
      <c r="P408" s="6">
        <f>Table1[[#This Row],[Profit]]/Table1[[#This Row],[Sales]]</f>
        <v>-2.5646153846153847</v>
      </c>
      <c r="Q408" s="11" t="s">
        <v>33</v>
      </c>
      <c r="R408" s="11" t="s">
        <v>34</v>
      </c>
      <c r="S408" s="11" t="s">
        <v>45</v>
      </c>
      <c r="T408" s="11" t="s">
        <v>843</v>
      </c>
      <c r="U408" s="11">
        <v>95404</v>
      </c>
      <c r="V408" s="12">
        <v>42117</v>
      </c>
      <c r="W408" s="13" t="str">
        <f>TEXT(Table1[[#This Row],[Order Date]],"mmmm")</f>
        <v>April</v>
      </c>
      <c r="X408" s="7" t="str">
        <f>TEXT(Table1[[#This Row],[Order Date]],"yyyy")</f>
        <v>2015</v>
      </c>
      <c r="Y408" s="12">
        <v>42118</v>
      </c>
      <c r="Z408" s="11">
        <v>-16.670000000000002</v>
      </c>
      <c r="AA408" s="11">
        <v>1</v>
      </c>
      <c r="AB408" s="11">
        <v>6.5</v>
      </c>
      <c r="AC408" s="11">
        <v>87977</v>
      </c>
      <c r="AD408" s="6" t="str">
        <f>IF(COUNTIF(Returns!$A$2:$A$1635,Orders!AC408)&gt;0,"Returned","Not Returned")</f>
        <v>Not Returned</v>
      </c>
    </row>
    <row r="409" spans="1:30" ht="12.75" customHeight="1" thickTop="1" thickBot="1" x14ac:dyDescent="0.25">
      <c r="A409" s="8">
        <v>23140</v>
      </c>
      <c r="B409" s="1" t="s">
        <v>25</v>
      </c>
      <c r="C409" s="1">
        <v>0.01</v>
      </c>
      <c r="D409" s="1">
        <v>7.89</v>
      </c>
      <c r="E409" s="1">
        <v>2.82</v>
      </c>
      <c r="F409" s="1">
        <v>702</v>
      </c>
      <c r="G409" s="6" t="str">
        <f>IF(COUNTIF(Table1[Customer ID],Table1[[#This Row],[Customer ID]])&gt;1,"Repeat Customer","One-Time Customer")</f>
        <v>Repeat Customer</v>
      </c>
      <c r="H409" s="1" t="s">
        <v>842</v>
      </c>
      <c r="I409" s="1" t="s">
        <v>49</v>
      </c>
      <c r="J409" s="1" t="s">
        <v>114</v>
      </c>
      <c r="K409" s="1" t="s">
        <v>29</v>
      </c>
      <c r="L409" s="1" t="s">
        <v>66</v>
      </c>
      <c r="M409" s="1" t="s">
        <v>31</v>
      </c>
      <c r="N409" s="1" t="s">
        <v>838</v>
      </c>
      <c r="O409" s="1">
        <v>0.4</v>
      </c>
      <c r="P409" s="6">
        <f>Table1[[#This Row],[Profit]]/Table1[[#This Row],[Sales]]</f>
        <v>0.67736289381563597</v>
      </c>
      <c r="Q409" s="1" t="s">
        <v>33</v>
      </c>
      <c r="R409" s="1" t="s">
        <v>34</v>
      </c>
      <c r="S409" s="1" t="s">
        <v>45</v>
      </c>
      <c r="T409" s="1" t="s">
        <v>843</v>
      </c>
      <c r="U409" s="1">
        <v>95404</v>
      </c>
      <c r="V409" s="9">
        <v>42185</v>
      </c>
      <c r="W409" s="13" t="str">
        <f>TEXT(Table1[[#This Row],[Order Date]],"mmmm")</f>
        <v>June</v>
      </c>
      <c r="X409" s="7" t="str">
        <f>TEXT(Table1[[#This Row],[Order Date]],"yyyy")</f>
        <v>2015</v>
      </c>
      <c r="Y409" s="9">
        <v>42186</v>
      </c>
      <c r="Z409" s="1">
        <v>46.440000000000005</v>
      </c>
      <c r="AA409" s="1">
        <v>8</v>
      </c>
      <c r="AB409" s="1">
        <v>68.56</v>
      </c>
      <c r="AC409" s="1">
        <v>87979</v>
      </c>
      <c r="AD409" s="6" t="str">
        <f>IF(COUNTIF(Returns!$A$2:$A$1635,Orders!AC409)&gt;0,"Returned","Not Returned")</f>
        <v>Not Returned</v>
      </c>
    </row>
    <row r="410" spans="1:30" ht="12.75" customHeight="1" thickTop="1" thickBot="1" x14ac:dyDescent="0.25">
      <c r="A410" s="10">
        <v>23141</v>
      </c>
      <c r="B410" s="11" t="s">
        <v>25</v>
      </c>
      <c r="C410" s="11">
        <v>0.09</v>
      </c>
      <c r="D410" s="11">
        <v>3.68</v>
      </c>
      <c r="E410" s="11">
        <v>1.32</v>
      </c>
      <c r="F410" s="11">
        <v>702</v>
      </c>
      <c r="G410" s="6" t="str">
        <f>IF(COUNTIF(Table1[Customer ID],Table1[[#This Row],[Customer ID]])&gt;1,"Repeat Customer","One-Time Customer")</f>
        <v>Repeat Customer</v>
      </c>
      <c r="H410" s="11" t="s">
        <v>842</v>
      </c>
      <c r="I410" s="11" t="s">
        <v>49</v>
      </c>
      <c r="J410" s="11" t="s">
        <v>114</v>
      </c>
      <c r="K410" s="11" t="s">
        <v>29</v>
      </c>
      <c r="L410" s="11" t="s">
        <v>174</v>
      </c>
      <c r="M410" s="11" t="s">
        <v>31</v>
      </c>
      <c r="N410" s="11" t="s">
        <v>839</v>
      </c>
      <c r="O410" s="11">
        <v>0.83</v>
      </c>
      <c r="P410" s="6">
        <f>Table1[[#This Row],[Profit]]/Table1[[#This Row],[Sales]]</f>
        <v>-0.84309764309764312</v>
      </c>
      <c r="Q410" s="11" t="s">
        <v>33</v>
      </c>
      <c r="R410" s="11" t="s">
        <v>34</v>
      </c>
      <c r="S410" s="11" t="s">
        <v>45</v>
      </c>
      <c r="T410" s="11" t="s">
        <v>843</v>
      </c>
      <c r="U410" s="11">
        <v>95404</v>
      </c>
      <c r="V410" s="12">
        <v>42185</v>
      </c>
      <c r="W410" s="13" t="str">
        <f>TEXT(Table1[[#This Row],[Order Date]],"mmmm")</f>
        <v>June</v>
      </c>
      <c r="X410" s="7" t="str">
        <f>TEXT(Table1[[#This Row],[Order Date]],"yyyy")</f>
        <v>2015</v>
      </c>
      <c r="Y410" s="12">
        <v>42186</v>
      </c>
      <c r="Z410" s="11">
        <v>-17.527999999999999</v>
      </c>
      <c r="AA410" s="11">
        <v>6</v>
      </c>
      <c r="AB410" s="11">
        <v>20.79</v>
      </c>
      <c r="AC410" s="11">
        <v>87979</v>
      </c>
      <c r="AD410" s="6" t="str">
        <f>IF(COUNTIF(Returns!$A$2:$A$1635,Orders!AC410)&gt;0,"Returned","Not Returned")</f>
        <v>Not Returned</v>
      </c>
    </row>
    <row r="411" spans="1:30" ht="12.75" customHeight="1" thickTop="1" thickBot="1" x14ac:dyDescent="0.25">
      <c r="A411" s="8">
        <v>23142</v>
      </c>
      <c r="B411" s="1" t="s">
        <v>25</v>
      </c>
      <c r="C411" s="1">
        <v>0.1</v>
      </c>
      <c r="D411" s="1">
        <v>9.7100000000000009</v>
      </c>
      <c r="E411" s="1">
        <v>9.4499999999999993</v>
      </c>
      <c r="F411" s="1">
        <v>702</v>
      </c>
      <c r="G411" s="6" t="str">
        <f>IF(COUNTIF(Table1[Customer ID],Table1[[#This Row],[Customer ID]])&gt;1,"Repeat Customer","One-Time Customer")</f>
        <v>Repeat Customer</v>
      </c>
      <c r="H411" s="1" t="s">
        <v>842</v>
      </c>
      <c r="I411" s="1" t="s">
        <v>49</v>
      </c>
      <c r="J411" s="1" t="s">
        <v>114</v>
      </c>
      <c r="K411" s="1" t="s">
        <v>29</v>
      </c>
      <c r="L411" s="1" t="s">
        <v>141</v>
      </c>
      <c r="M411" s="1" t="s">
        <v>59</v>
      </c>
      <c r="N411" s="1" t="s">
        <v>510</v>
      </c>
      <c r="O411" s="1">
        <v>0.6</v>
      </c>
      <c r="P411" s="6">
        <f>Table1[[#This Row],[Profit]]/Table1[[#This Row],[Sales]]</f>
        <v>-1.4109262258872037</v>
      </c>
      <c r="Q411" s="1" t="s">
        <v>33</v>
      </c>
      <c r="R411" s="1" t="s">
        <v>34</v>
      </c>
      <c r="S411" s="1" t="s">
        <v>45</v>
      </c>
      <c r="T411" s="1" t="s">
        <v>843</v>
      </c>
      <c r="U411" s="1">
        <v>95404</v>
      </c>
      <c r="V411" s="9">
        <v>42185</v>
      </c>
      <c r="W411" s="13" t="str">
        <f>TEXT(Table1[[#This Row],[Order Date]],"mmmm")</f>
        <v>June</v>
      </c>
      <c r="X411" s="7" t="str">
        <f>TEXT(Table1[[#This Row],[Order Date]],"yyyy")</f>
        <v>2015</v>
      </c>
      <c r="Y411" s="9">
        <v>42188</v>
      </c>
      <c r="Z411" s="1">
        <v>-95.816000000000003</v>
      </c>
      <c r="AA411" s="1">
        <v>7</v>
      </c>
      <c r="AB411" s="1">
        <v>67.91</v>
      </c>
      <c r="AC411" s="1">
        <v>87979</v>
      </c>
      <c r="AD411" s="6" t="str">
        <f>IF(COUNTIF(Returns!$A$2:$A$1635,Orders!AC411)&gt;0,"Returned","Not Returned")</f>
        <v>Not Returned</v>
      </c>
    </row>
    <row r="412" spans="1:30" ht="12.75" customHeight="1" thickTop="1" thickBot="1" x14ac:dyDescent="0.25">
      <c r="A412" s="10">
        <v>25734</v>
      </c>
      <c r="B412" s="11" t="s">
        <v>47</v>
      </c>
      <c r="C412" s="11">
        <v>7.0000000000000007E-2</v>
      </c>
      <c r="D412" s="11">
        <v>2.84</v>
      </c>
      <c r="E412" s="11">
        <v>0.93</v>
      </c>
      <c r="F412" s="11">
        <v>711</v>
      </c>
      <c r="G412" s="6" t="str">
        <f>IF(COUNTIF(Table1[Customer ID],Table1[[#This Row],[Customer ID]])&gt;1,"Repeat Customer","One-Time Customer")</f>
        <v>One-Time Customer</v>
      </c>
      <c r="H412" s="11" t="s">
        <v>844</v>
      </c>
      <c r="I412" s="11" t="s">
        <v>49</v>
      </c>
      <c r="J412" s="11" t="s">
        <v>114</v>
      </c>
      <c r="K412" s="11" t="s">
        <v>29</v>
      </c>
      <c r="L412" s="11" t="s">
        <v>30</v>
      </c>
      <c r="M412" s="11" t="s">
        <v>31</v>
      </c>
      <c r="N412" s="11" t="s">
        <v>32</v>
      </c>
      <c r="O412" s="11">
        <v>0.54</v>
      </c>
      <c r="P412" s="6">
        <f>Table1[[#This Row],[Profit]]/Table1[[#This Row],[Sales]]</f>
        <v>9.5417389150359175E-2</v>
      </c>
      <c r="Q412" s="11" t="s">
        <v>33</v>
      </c>
      <c r="R412" s="11" t="s">
        <v>53</v>
      </c>
      <c r="S412" s="11" t="s">
        <v>193</v>
      </c>
      <c r="T412" s="11" t="s">
        <v>845</v>
      </c>
      <c r="U412" s="11">
        <v>2152</v>
      </c>
      <c r="V412" s="12">
        <v>42161</v>
      </c>
      <c r="W412" s="13" t="str">
        <f>TEXT(Table1[[#This Row],[Order Date]],"mmmm")</f>
        <v>June</v>
      </c>
      <c r="X412" s="7" t="str">
        <f>TEXT(Table1[[#This Row],[Order Date]],"yyyy")</f>
        <v>2015</v>
      </c>
      <c r="Y412" s="12">
        <v>42163</v>
      </c>
      <c r="Z412" s="11">
        <v>3.8519999999999999</v>
      </c>
      <c r="AA412" s="11">
        <v>15</v>
      </c>
      <c r="AB412" s="11">
        <v>40.369999999999997</v>
      </c>
      <c r="AC412" s="11">
        <v>87978</v>
      </c>
      <c r="AD412" s="6" t="str">
        <f>IF(COUNTIF(Returns!$A$2:$A$1635,Orders!AC412)&gt;0,"Returned","Not Returned")</f>
        <v>Not Returned</v>
      </c>
    </row>
    <row r="413" spans="1:30" ht="12.75" customHeight="1" thickTop="1" thickBot="1" x14ac:dyDescent="0.25">
      <c r="A413" s="8">
        <v>20789</v>
      </c>
      <c r="B413" s="1" t="s">
        <v>37</v>
      </c>
      <c r="C413" s="1">
        <v>0</v>
      </c>
      <c r="D413" s="1">
        <v>8.5</v>
      </c>
      <c r="E413" s="1">
        <v>1.99</v>
      </c>
      <c r="F413" s="1">
        <v>719</v>
      </c>
      <c r="G413" s="6" t="str">
        <f>IF(COUNTIF(Table1[Customer ID],Table1[[#This Row],[Customer ID]])&gt;1,"Repeat Customer","One-Time Customer")</f>
        <v>Repeat Customer</v>
      </c>
      <c r="H413" s="1" t="s">
        <v>846</v>
      </c>
      <c r="I413" s="1" t="s">
        <v>49</v>
      </c>
      <c r="J413" s="1" t="s">
        <v>28</v>
      </c>
      <c r="K413" s="1" t="s">
        <v>77</v>
      </c>
      <c r="L413" s="1" t="s">
        <v>180</v>
      </c>
      <c r="M413" s="1" t="s">
        <v>51</v>
      </c>
      <c r="N413" s="1" t="s">
        <v>847</v>
      </c>
      <c r="O413" s="1">
        <v>0.49</v>
      </c>
      <c r="P413" s="6">
        <f>Table1[[#This Row],[Profit]]/Table1[[#This Row],[Sales]]</f>
        <v>0.58679427402862994</v>
      </c>
      <c r="Q413" s="1" t="s">
        <v>33</v>
      </c>
      <c r="R413" s="1" t="s">
        <v>34</v>
      </c>
      <c r="S413" s="1" t="s">
        <v>533</v>
      </c>
      <c r="T413" s="1" t="s">
        <v>848</v>
      </c>
      <c r="U413" s="1">
        <v>89041</v>
      </c>
      <c r="V413" s="9">
        <v>42063</v>
      </c>
      <c r="W413" s="13" t="str">
        <f>TEXT(Table1[[#This Row],[Order Date]],"mmmm")</f>
        <v>February</v>
      </c>
      <c r="X413" s="7" t="str">
        <f>TEXT(Table1[[#This Row],[Order Date]],"yyyy")</f>
        <v>2015</v>
      </c>
      <c r="Y413" s="9">
        <v>42065</v>
      </c>
      <c r="Z413" s="1">
        <v>71.735600000000005</v>
      </c>
      <c r="AA413" s="1">
        <v>14</v>
      </c>
      <c r="AB413" s="1">
        <v>122.25</v>
      </c>
      <c r="AC413" s="1">
        <v>89344</v>
      </c>
      <c r="AD413" s="6" t="str">
        <f>IF(COUNTIF(Returns!$A$2:$A$1635,Orders!AC413)&gt;0,"Returned","Not Returned")</f>
        <v>Not Returned</v>
      </c>
    </row>
    <row r="414" spans="1:30" ht="12.75" customHeight="1" thickTop="1" thickBot="1" x14ac:dyDescent="0.25">
      <c r="A414" s="10">
        <v>20790</v>
      </c>
      <c r="B414" s="11" t="s">
        <v>37</v>
      </c>
      <c r="C414" s="11">
        <v>0.03</v>
      </c>
      <c r="D414" s="11">
        <v>95.43</v>
      </c>
      <c r="E414" s="11">
        <v>19.989999999999998</v>
      </c>
      <c r="F414" s="11">
        <v>719</v>
      </c>
      <c r="G414" s="6" t="str">
        <f>IF(COUNTIF(Table1[Customer ID],Table1[[#This Row],[Customer ID]])&gt;1,"Repeat Customer","One-Time Customer")</f>
        <v>Repeat Customer</v>
      </c>
      <c r="H414" s="11" t="s">
        <v>846</v>
      </c>
      <c r="I414" s="11" t="s">
        <v>49</v>
      </c>
      <c r="J414" s="11" t="s">
        <v>28</v>
      </c>
      <c r="K414" s="11" t="s">
        <v>29</v>
      </c>
      <c r="L414" s="11" t="s">
        <v>141</v>
      </c>
      <c r="M414" s="11" t="s">
        <v>59</v>
      </c>
      <c r="N414" s="11" t="s">
        <v>849</v>
      </c>
      <c r="O414" s="11">
        <v>0.79</v>
      </c>
      <c r="P414" s="6">
        <f>Table1[[#This Row],[Profit]]/Table1[[#This Row],[Sales]]</f>
        <v>-0.38488427386093454</v>
      </c>
      <c r="Q414" s="11" t="s">
        <v>33</v>
      </c>
      <c r="R414" s="11" t="s">
        <v>34</v>
      </c>
      <c r="S414" s="11" t="s">
        <v>533</v>
      </c>
      <c r="T414" s="11" t="s">
        <v>848</v>
      </c>
      <c r="U414" s="11">
        <v>89041</v>
      </c>
      <c r="V414" s="12">
        <v>42063</v>
      </c>
      <c r="W414" s="13" t="str">
        <f>TEXT(Table1[[#This Row],[Order Date]],"mmmm")</f>
        <v>February</v>
      </c>
      <c r="X414" s="7" t="str">
        <f>TEXT(Table1[[#This Row],[Order Date]],"yyyy")</f>
        <v>2015</v>
      </c>
      <c r="Y414" s="12">
        <v>42065</v>
      </c>
      <c r="Z414" s="11">
        <v>-79.320800000000006</v>
      </c>
      <c r="AA414" s="11">
        <v>2</v>
      </c>
      <c r="AB414" s="11">
        <v>206.09</v>
      </c>
      <c r="AC414" s="11">
        <v>89344</v>
      </c>
      <c r="AD414" s="6" t="str">
        <f>IF(COUNTIF(Returns!$A$2:$A$1635,Orders!AC414)&gt;0,"Returned","Not Returned")</f>
        <v>Not Returned</v>
      </c>
    </row>
    <row r="415" spans="1:30" ht="12.75" customHeight="1" thickTop="1" thickBot="1" x14ac:dyDescent="0.25">
      <c r="A415" s="8">
        <v>20633</v>
      </c>
      <c r="B415" s="1" t="s">
        <v>37</v>
      </c>
      <c r="C415" s="1">
        <v>0.04</v>
      </c>
      <c r="D415" s="1">
        <v>10.64</v>
      </c>
      <c r="E415" s="1">
        <v>5.16</v>
      </c>
      <c r="F415" s="1">
        <v>721</v>
      </c>
      <c r="G415" s="6" t="str">
        <f>IF(COUNTIF(Table1[Customer ID],Table1[[#This Row],[Customer ID]])&gt;1,"Repeat Customer","One-Time Customer")</f>
        <v>Repeat Customer</v>
      </c>
      <c r="H415" s="1" t="s">
        <v>850</v>
      </c>
      <c r="I415" s="1" t="s">
        <v>49</v>
      </c>
      <c r="J415" s="1" t="s">
        <v>28</v>
      </c>
      <c r="K415" s="1" t="s">
        <v>41</v>
      </c>
      <c r="L415" s="1" t="s">
        <v>50</v>
      </c>
      <c r="M415" s="1" t="s">
        <v>59</v>
      </c>
      <c r="N415" s="1" t="s">
        <v>851</v>
      </c>
      <c r="O415" s="1">
        <v>0.56999999999999995</v>
      </c>
      <c r="P415" s="6">
        <f>Table1[[#This Row],[Profit]]/Table1[[#This Row],[Sales]]</f>
        <v>0.36017937219730933</v>
      </c>
      <c r="Q415" s="1" t="s">
        <v>33</v>
      </c>
      <c r="R415" s="1" t="s">
        <v>61</v>
      </c>
      <c r="S415" s="1" t="s">
        <v>703</v>
      </c>
      <c r="T415" s="1" t="s">
        <v>852</v>
      </c>
      <c r="U415" s="1">
        <v>46041</v>
      </c>
      <c r="V415" s="9">
        <v>42179</v>
      </c>
      <c r="W415" s="13" t="str">
        <f>TEXT(Table1[[#This Row],[Order Date]],"mmmm")</f>
        <v>June</v>
      </c>
      <c r="X415" s="7" t="str">
        <f>TEXT(Table1[[#This Row],[Order Date]],"yyyy")</f>
        <v>2015</v>
      </c>
      <c r="Y415" s="9">
        <v>42180</v>
      </c>
      <c r="Z415" s="1">
        <v>24.095999999999997</v>
      </c>
      <c r="AA415" s="1">
        <v>6</v>
      </c>
      <c r="AB415" s="1">
        <v>66.900000000000006</v>
      </c>
      <c r="AC415" s="1">
        <v>91053</v>
      </c>
      <c r="AD415" s="6" t="str">
        <f>IF(COUNTIF(Returns!$A$2:$A$1635,Orders!AC415)&gt;0,"Returned","Not Returned")</f>
        <v>Not Returned</v>
      </c>
    </row>
    <row r="416" spans="1:30" ht="12.75" customHeight="1" thickTop="1" thickBot="1" x14ac:dyDescent="0.25">
      <c r="A416" s="10">
        <v>20634</v>
      </c>
      <c r="B416" s="11" t="s">
        <v>37</v>
      </c>
      <c r="C416" s="11">
        <v>0.03</v>
      </c>
      <c r="D416" s="11">
        <v>2.78</v>
      </c>
      <c r="E416" s="11">
        <v>1.34</v>
      </c>
      <c r="F416" s="11">
        <v>721</v>
      </c>
      <c r="G416" s="6" t="str">
        <f>IF(COUNTIF(Table1[Customer ID],Table1[[#This Row],[Customer ID]])&gt;1,"Repeat Customer","One-Time Customer")</f>
        <v>Repeat Customer</v>
      </c>
      <c r="H416" s="11" t="s">
        <v>850</v>
      </c>
      <c r="I416" s="11" t="s">
        <v>27</v>
      </c>
      <c r="J416" s="11" t="s">
        <v>28</v>
      </c>
      <c r="K416" s="11" t="s">
        <v>29</v>
      </c>
      <c r="L416" s="11" t="s">
        <v>30</v>
      </c>
      <c r="M416" s="11" t="s">
        <v>31</v>
      </c>
      <c r="N416" s="11" t="s">
        <v>853</v>
      </c>
      <c r="O416" s="11">
        <v>0.45</v>
      </c>
      <c r="P416" s="6">
        <f>Table1[[#This Row],[Profit]]/Table1[[#This Row],[Sales]]</f>
        <v>0.16165082309297471</v>
      </c>
      <c r="Q416" s="11" t="s">
        <v>33</v>
      </c>
      <c r="R416" s="11" t="s">
        <v>61</v>
      </c>
      <c r="S416" s="11" t="s">
        <v>703</v>
      </c>
      <c r="T416" s="11" t="s">
        <v>852</v>
      </c>
      <c r="U416" s="11">
        <v>46041</v>
      </c>
      <c r="V416" s="12">
        <v>42179</v>
      </c>
      <c r="W416" s="13" t="str">
        <f>TEXT(Table1[[#This Row],[Order Date]],"mmmm")</f>
        <v>June</v>
      </c>
      <c r="X416" s="7" t="str">
        <f>TEXT(Table1[[#This Row],[Order Date]],"yyyy")</f>
        <v>2015</v>
      </c>
      <c r="Y416" s="12">
        <v>42181</v>
      </c>
      <c r="Z416" s="11">
        <v>6.9719999999999995</v>
      </c>
      <c r="AA416" s="11">
        <v>15</v>
      </c>
      <c r="AB416" s="11">
        <v>43.13</v>
      </c>
      <c r="AC416" s="11">
        <v>91053</v>
      </c>
      <c r="AD416" s="6" t="str">
        <f>IF(COUNTIF(Returns!$A$2:$A$1635,Orders!AC416)&gt;0,"Returned","Not Returned")</f>
        <v>Not Returned</v>
      </c>
    </row>
    <row r="417" spans="1:30" ht="12.75" customHeight="1" thickTop="1" thickBot="1" x14ac:dyDescent="0.25">
      <c r="A417" s="8">
        <v>24574</v>
      </c>
      <c r="B417" s="1" t="s">
        <v>56</v>
      </c>
      <c r="C417" s="1">
        <v>0.01</v>
      </c>
      <c r="D417" s="1">
        <v>7.28</v>
      </c>
      <c r="E417" s="1">
        <v>11.15</v>
      </c>
      <c r="F417" s="1">
        <v>721</v>
      </c>
      <c r="G417" s="6" t="str">
        <f>IF(COUNTIF(Table1[Customer ID],Table1[[#This Row],[Customer ID]])&gt;1,"Repeat Customer","One-Time Customer")</f>
        <v>Repeat Customer</v>
      </c>
      <c r="H417" s="1" t="s">
        <v>850</v>
      </c>
      <c r="I417" s="1" t="s">
        <v>49</v>
      </c>
      <c r="J417" s="1" t="s">
        <v>28</v>
      </c>
      <c r="K417" s="1" t="s">
        <v>29</v>
      </c>
      <c r="L417" s="1" t="s">
        <v>93</v>
      </c>
      <c r="M417" s="1" t="s">
        <v>59</v>
      </c>
      <c r="N417" s="1" t="s">
        <v>854</v>
      </c>
      <c r="O417" s="1">
        <v>0.37</v>
      </c>
      <c r="P417" s="6">
        <f>Table1[[#This Row],[Profit]]/Table1[[#This Row],[Sales]]</f>
        <v>-2.1628902765388043</v>
      </c>
      <c r="Q417" s="1" t="s">
        <v>33</v>
      </c>
      <c r="R417" s="1" t="s">
        <v>61</v>
      </c>
      <c r="S417" s="1" t="s">
        <v>703</v>
      </c>
      <c r="T417" s="1" t="s">
        <v>852</v>
      </c>
      <c r="U417" s="1">
        <v>46041</v>
      </c>
      <c r="V417" s="9">
        <v>42105</v>
      </c>
      <c r="W417" s="13" t="str">
        <f>TEXT(Table1[[#This Row],[Order Date]],"mmmm")</f>
        <v>April</v>
      </c>
      <c r="X417" s="7" t="str">
        <f>TEXT(Table1[[#This Row],[Order Date]],"yyyy")</f>
        <v>2015</v>
      </c>
      <c r="Y417" s="9">
        <v>42107</v>
      </c>
      <c r="Z417" s="1">
        <v>-24.245999999999999</v>
      </c>
      <c r="AA417" s="1">
        <v>1</v>
      </c>
      <c r="AB417" s="1">
        <v>11.21</v>
      </c>
      <c r="AC417" s="1">
        <v>91054</v>
      </c>
      <c r="AD417" s="6" t="str">
        <f>IF(COUNTIF(Returns!$A$2:$A$1635,Orders!AC417)&gt;0,"Returned","Not Returned")</f>
        <v>Not Returned</v>
      </c>
    </row>
    <row r="418" spans="1:30" ht="12.75" customHeight="1" thickTop="1" thickBot="1" x14ac:dyDescent="0.25">
      <c r="A418" s="10">
        <v>19601</v>
      </c>
      <c r="B418" s="11" t="s">
        <v>56</v>
      </c>
      <c r="C418" s="11">
        <v>0.09</v>
      </c>
      <c r="D418" s="11">
        <v>125.99</v>
      </c>
      <c r="E418" s="11">
        <v>8.99</v>
      </c>
      <c r="F418" s="11">
        <v>724</v>
      </c>
      <c r="G418" s="6" t="str">
        <f>IF(COUNTIF(Table1[Customer ID],Table1[[#This Row],[Customer ID]])&gt;1,"Repeat Customer","One-Time Customer")</f>
        <v>One-Time Customer</v>
      </c>
      <c r="H418" s="11" t="s">
        <v>855</v>
      </c>
      <c r="I418" s="11" t="s">
        <v>49</v>
      </c>
      <c r="J418" s="11" t="s">
        <v>114</v>
      </c>
      <c r="K418" s="11" t="s">
        <v>77</v>
      </c>
      <c r="L418" s="11" t="s">
        <v>78</v>
      </c>
      <c r="M418" s="11" t="s">
        <v>59</v>
      </c>
      <c r="N418" s="11" t="s">
        <v>856</v>
      </c>
      <c r="O418" s="11">
        <v>0.55000000000000004</v>
      </c>
      <c r="P418" s="6">
        <f>Table1[[#This Row],[Profit]]/Table1[[#This Row],[Sales]]</f>
        <v>-6.0308228730822879</v>
      </c>
      <c r="Q418" s="11" t="s">
        <v>33</v>
      </c>
      <c r="R418" s="11" t="s">
        <v>53</v>
      </c>
      <c r="S418" s="11" t="s">
        <v>228</v>
      </c>
      <c r="T418" s="11" t="s">
        <v>857</v>
      </c>
      <c r="U418" s="11">
        <v>6614</v>
      </c>
      <c r="V418" s="12">
        <v>42078</v>
      </c>
      <c r="W418" s="13" t="str">
        <f>TEXT(Table1[[#This Row],[Order Date]],"mmmm")</f>
        <v>March</v>
      </c>
      <c r="X418" s="7" t="str">
        <f>TEXT(Table1[[#This Row],[Order Date]],"yyyy")</f>
        <v>2015</v>
      </c>
      <c r="Y418" s="12">
        <v>42079</v>
      </c>
      <c r="Z418" s="11">
        <v>-605.37400000000002</v>
      </c>
      <c r="AA418" s="11">
        <v>1</v>
      </c>
      <c r="AB418" s="11">
        <v>100.38</v>
      </c>
      <c r="AC418" s="11">
        <v>90359</v>
      </c>
      <c r="AD418" s="6" t="str">
        <f>IF(COUNTIF(Returns!$A$2:$A$1635,Orders!AC418)&gt;0,"Returned","Not Returned")</f>
        <v>Not Returned</v>
      </c>
    </row>
    <row r="419" spans="1:30" ht="12.75" customHeight="1" thickTop="1" thickBot="1" x14ac:dyDescent="0.25">
      <c r="A419" s="8">
        <v>19600</v>
      </c>
      <c r="B419" s="1" t="s">
        <v>56</v>
      </c>
      <c r="C419" s="1">
        <v>0.1</v>
      </c>
      <c r="D419" s="1">
        <v>17.98</v>
      </c>
      <c r="E419" s="1">
        <v>4</v>
      </c>
      <c r="F419" s="1">
        <v>727</v>
      </c>
      <c r="G419" s="6" t="str">
        <f>IF(COUNTIF(Table1[Customer ID],Table1[[#This Row],[Customer ID]])&gt;1,"Repeat Customer","One-Time Customer")</f>
        <v>One-Time Customer</v>
      </c>
      <c r="H419" s="1" t="s">
        <v>858</v>
      </c>
      <c r="I419" s="1" t="s">
        <v>49</v>
      </c>
      <c r="J419" s="1" t="s">
        <v>114</v>
      </c>
      <c r="K419" s="1" t="s">
        <v>77</v>
      </c>
      <c r="L419" s="1" t="s">
        <v>180</v>
      </c>
      <c r="M419" s="1" t="s">
        <v>59</v>
      </c>
      <c r="N419" s="1" t="s">
        <v>181</v>
      </c>
      <c r="O419" s="1">
        <v>0.79</v>
      </c>
      <c r="P419" s="6">
        <f>Table1[[#This Row],[Profit]]/Table1[[#This Row],[Sales]]</f>
        <v>-1.5010554885404102</v>
      </c>
      <c r="Q419" s="1" t="s">
        <v>33</v>
      </c>
      <c r="R419" s="1" t="s">
        <v>53</v>
      </c>
      <c r="S419" s="1" t="s">
        <v>188</v>
      </c>
      <c r="T419" s="1" t="s">
        <v>476</v>
      </c>
      <c r="U419" s="1">
        <v>4240</v>
      </c>
      <c r="V419" s="9">
        <v>42078</v>
      </c>
      <c r="W419" s="13" t="str">
        <f>TEXT(Table1[[#This Row],[Order Date]],"mmmm")</f>
        <v>March</v>
      </c>
      <c r="X419" s="7" t="str">
        <f>TEXT(Table1[[#This Row],[Order Date]],"yyyy")</f>
        <v>2015</v>
      </c>
      <c r="Y419" s="9">
        <v>42079</v>
      </c>
      <c r="Z419" s="1">
        <v>-99.55</v>
      </c>
      <c r="AA419" s="1">
        <v>4</v>
      </c>
      <c r="AB419" s="1">
        <v>66.319999999999993</v>
      </c>
      <c r="AC419" s="1">
        <v>90359</v>
      </c>
      <c r="AD419" s="6" t="str">
        <f>IF(COUNTIF(Returns!$A$2:$A$1635,Orders!AC419)&gt;0,"Returned","Not Returned")</f>
        <v>Not Returned</v>
      </c>
    </row>
    <row r="420" spans="1:30" ht="12.75" customHeight="1" thickTop="1" thickBot="1" x14ac:dyDescent="0.25">
      <c r="A420" s="10">
        <v>23436</v>
      </c>
      <c r="B420" s="11" t="s">
        <v>25</v>
      </c>
      <c r="C420" s="11">
        <v>0.09</v>
      </c>
      <c r="D420" s="11">
        <v>101.41</v>
      </c>
      <c r="E420" s="11">
        <v>35</v>
      </c>
      <c r="F420" s="11">
        <v>731</v>
      </c>
      <c r="G420" s="6" t="str">
        <f>IF(COUNTIF(Table1[Customer ID],Table1[[#This Row],[Customer ID]])&gt;1,"Repeat Customer","One-Time Customer")</f>
        <v>One-Time Customer</v>
      </c>
      <c r="H420" s="11" t="s">
        <v>859</v>
      </c>
      <c r="I420" s="11" t="s">
        <v>49</v>
      </c>
      <c r="J420" s="11" t="s">
        <v>114</v>
      </c>
      <c r="K420" s="11" t="s">
        <v>29</v>
      </c>
      <c r="L420" s="11" t="s">
        <v>141</v>
      </c>
      <c r="M420" s="11" t="s">
        <v>236</v>
      </c>
      <c r="N420" s="11" t="s">
        <v>860</v>
      </c>
      <c r="O420" s="11">
        <v>0.82</v>
      </c>
      <c r="P420" s="6">
        <f>Table1[[#This Row],[Profit]]/Table1[[#This Row],[Sales]]</f>
        <v>-0.67991275714576682</v>
      </c>
      <c r="Q420" s="11" t="s">
        <v>33</v>
      </c>
      <c r="R420" s="11" t="s">
        <v>53</v>
      </c>
      <c r="S420" s="11" t="s">
        <v>193</v>
      </c>
      <c r="T420" s="11" t="s">
        <v>150</v>
      </c>
      <c r="U420" s="11">
        <v>1803</v>
      </c>
      <c r="V420" s="12">
        <v>42120</v>
      </c>
      <c r="W420" s="13" t="str">
        <f>TEXT(Table1[[#This Row],[Order Date]],"mmmm")</f>
        <v>April</v>
      </c>
      <c r="X420" s="7" t="str">
        <f>TEXT(Table1[[#This Row],[Order Date]],"yyyy")</f>
        <v>2015</v>
      </c>
      <c r="Y420" s="12">
        <v>42121</v>
      </c>
      <c r="Z420" s="11">
        <v>-801.15479999999991</v>
      </c>
      <c r="AA420" s="11">
        <v>12</v>
      </c>
      <c r="AB420" s="11">
        <v>1178.32</v>
      </c>
      <c r="AC420" s="11">
        <v>90362</v>
      </c>
      <c r="AD420" s="6" t="str">
        <f>IF(COUNTIF(Returns!$A$2:$A$1635,Orders!AC420)&gt;0,"Returned","Not Returned")</f>
        <v>Not Returned</v>
      </c>
    </row>
    <row r="421" spans="1:30" ht="12.75" customHeight="1" thickTop="1" thickBot="1" x14ac:dyDescent="0.25">
      <c r="A421" s="8">
        <v>21950</v>
      </c>
      <c r="B421" s="1" t="s">
        <v>37</v>
      </c>
      <c r="C421" s="1">
        <v>0.06</v>
      </c>
      <c r="D421" s="1">
        <v>350.98</v>
      </c>
      <c r="E421" s="1">
        <v>30</v>
      </c>
      <c r="F421" s="1">
        <v>736</v>
      </c>
      <c r="G421" s="6" t="str">
        <f>IF(COUNTIF(Table1[Customer ID],Table1[[#This Row],[Customer ID]])&gt;1,"Repeat Customer","One-Time Customer")</f>
        <v>One-Time Customer</v>
      </c>
      <c r="H421" s="1" t="s">
        <v>861</v>
      </c>
      <c r="I421" s="1" t="s">
        <v>39</v>
      </c>
      <c r="J421" s="1" t="s">
        <v>114</v>
      </c>
      <c r="K421" s="1" t="s">
        <v>41</v>
      </c>
      <c r="L421" s="1" t="s">
        <v>42</v>
      </c>
      <c r="M421" s="1" t="s">
        <v>43</v>
      </c>
      <c r="N421" s="1" t="s">
        <v>862</v>
      </c>
      <c r="O421" s="1">
        <v>0.61</v>
      </c>
      <c r="P421" s="6">
        <f>Table1[[#This Row],[Profit]]/Table1[[#This Row],[Sales]]</f>
        <v>0.39569909538168546</v>
      </c>
      <c r="Q421" s="1" t="s">
        <v>33</v>
      </c>
      <c r="R421" s="1" t="s">
        <v>53</v>
      </c>
      <c r="S421" s="1" t="s">
        <v>197</v>
      </c>
      <c r="T421" s="1" t="s">
        <v>138</v>
      </c>
      <c r="U421" s="1">
        <v>3079</v>
      </c>
      <c r="V421" s="9">
        <v>42170</v>
      </c>
      <c r="W421" s="13" t="str">
        <f>TEXT(Table1[[#This Row],[Order Date]],"mmmm")</f>
        <v>June</v>
      </c>
      <c r="X421" s="7" t="str">
        <f>TEXT(Table1[[#This Row],[Order Date]],"yyyy")</f>
        <v>2015</v>
      </c>
      <c r="Y421" s="9">
        <v>42172</v>
      </c>
      <c r="Z421" s="1">
        <v>797.85599999999999</v>
      </c>
      <c r="AA421" s="1">
        <v>6</v>
      </c>
      <c r="AB421" s="1">
        <v>2016.32</v>
      </c>
      <c r="AC421" s="1">
        <v>90361</v>
      </c>
      <c r="AD421" s="6" t="str">
        <f>IF(COUNTIF(Returns!$A$2:$A$1635,Orders!AC421)&gt;0,"Returned","Not Returned")</f>
        <v>Not Returned</v>
      </c>
    </row>
    <row r="422" spans="1:30" ht="12.75" customHeight="1" thickTop="1" thickBot="1" x14ac:dyDescent="0.25">
      <c r="A422" s="10">
        <v>23613</v>
      </c>
      <c r="B422" s="11" t="s">
        <v>106</v>
      </c>
      <c r="C422" s="11">
        <v>0.02</v>
      </c>
      <c r="D422" s="11">
        <v>48.04</v>
      </c>
      <c r="E422" s="11">
        <v>5.79</v>
      </c>
      <c r="F422" s="11">
        <v>737</v>
      </c>
      <c r="G422" s="6" t="str">
        <f>IF(COUNTIF(Table1[Customer ID],Table1[[#This Row],[Customer ID]])&gt;1,"Repeat Customer","One-Time Customer")</f>
        <v>One-Time Customer</v>
      </c>
      <c r="H422" s="11" t="s">
        <v>863</v>
      </c>
      <c r="I422" s="11" t="s">
        <v>49</v>
      </c>
      <c r="J422" s="11" t="s">
        <v>114</v>
      </c>
      <c r="K422" s="11" t="s">
        <v>29</v>
      </c>
      <c r="L422" s="11" t="s">
        <v>93</v>
      </c>
      <c r="M422" s="11" t="s">
        <v>59</v>
      </c>
      <c r="N422" s="11" t="s">
        <v>864</v>
      </c>
      <c r="O422" s="11">
        <v>0.37</v>
      </c>
      <c r="P422" s="6">
        <f>Table1[[#This Row],[Profit]]/Table1[[#This Row],[Sales]]</f>
        <v>0.69</v>
      </c>
      <c r="Q422" s="11" t="s">
        <v>33</v>
      </c>
      <c r="R422" s="11" t="s">
        <v>53</v>
      </c>
      <c r="S422" s="11" t="s">
        <v>54</v>
      </c>
      <c r="T422" s="11" t="s">
        <v>865</v>
      </c>
      <c r="U422" s="11">
        <v>7003</v>
      </c>
      <c r="V422" s="12">
        <v>42162</v>
      </c>
      <c r="W422" s="13" t="str">
        <f>TEXT(Table1[[#This Row],[Order Date]],"mmmm")</f>
        <v>June</v>
      </c>
      <c r="X422" s="7" t="str">
        <f>TEXT(Table1[[#This Row],[Order Date]],"yyyy")</f>
        <v>2015</v>
      </c>
      <c r="Y422" s="12">
        <v>42169</v>
      </c>
      <c r="Z422" s="11">
        <v>422.45249999999999</v>
      </c>
      <c r="AA422" s="11">
        <v>12</v>
      </c>
      <c r="AB422" s="11">
        <v>612.25</v>
      </c>
      <c r="AC422" s="11">
        <v>90360</v>
      </c>
      <c r="AD422" s="6" t="str">
        <f>IF(COUNTIF(Returns!$A$2:$A$1635,Orders!AC422)&gt;0,"Returned","Not Returned")</f>
        <v>Not Returned</v>
      </c>
    </row>
    <row r="423" spans="1:30" ht="12.75" customHeight="1" thickTop="1" thickBot="1" x14ac:dyDescent="0.25">
      <c r="A423" s="8">
        <v>21949</v>
      </c>
      <c r="B423" s="1" t="s">
        <v>37</v>
      </c>
      <c r="C423" s="1">
        <v>0.02</v>
      </c>
      <c r="D423" s="1">
        <v>70.98</v>
      </c>
      <c r="E423" s="1">
        <v>46.74</v>
      </c>
      <c r="F423" s="1">
        <v>738</v>
      </c>
      <c r="G423" s="6" t="str">
        <f>IF(COUNTIF(Table1[Customer ID],Table1[[#This Row],[Customer ID]])&gt;1,"Repeat Customer","One-Time Customer")</f>
        <v>One-Time Customer</v>
      </c>
      <c r="H423" s="1" t="s">
        <v>866</v>
      </c>
      <c r="I423" s="1" t="s">
        <v>39</v>
      </c>
      <c r="J423" s="1" t="s">
        <v>114</v>
      </c>
      <c r="K423" s="1" t="s">
        <v>41</v>
      </c>
      <c r="L423" s="1" t="s">
        <v>191</v>
      </c>
      <c r="M423" s="1" t="s">
        <v>121</v>
      </c>
      <c r="N423" s="1" t="s">
        <v>867</v>
      </c>
      <c r="O423" s="1">
        <v>0.56000000000000005</v>
      </c>
      <c r="P423" s="6">
        <f>Table1[[#This Row],[Profit]]/Table1[[#This Row],[Sales]]</f>
        <v>-0.56823645697159075</v>
      </c>
      <c r="Q423" s="1" t="s">
        <v>33</v>
      </c>
      <c r="R423" s="1" t="s">
        <v>53</v>
      </c>
      <c r="S423" s="1" t="s">
        <v>54</v>
      </c>
      <c r="T423" s="1" t="s">
        <v>868</v>
      </c>
      <c r="U423" s="1">
        <v>7016</v>
      </c>
      <c r="V423" s="9">
        <v>42170</v>
      </c>
      <c r="W423" s="13" t="str">
        <f>TEXT(Table1[[#This Row],[Order Date]],"mmmm")</f>
        <v>June</v>
      </c>
      <c r="X423" s="7" t="str">
        <f>TEXT(Table1[[#This Row],[Order Date]],"yyyy")</f>
        <v>2015</v>
      </c>
      <c r="Y423" s="9">
        <v>42171</v>
      </c>
      <c r="Z423" s="1">
        <v>-178.21600000000001</v>
      </c>
      <c r="AA423" s="1">
        <v>4</v>
      </c>
      <c r="AB423" s="1">
        <v>313.63</v>
      </c>
      <c r="AC423" s="1">
        <v>90361</v>
      </c>
      <c r="AD423" s="6" t="str">
        <f>IF(COUNTIF(Returns!$A$2:$A$1635,Orders!AC423)&gt;0,"Returned","Not Returned")</f>
        <v>Not Returned</v>
      </c>
    </row>
    <row r="424" spans="1:30" ht="12.75" customHeight="1" thickTop="1" thickBot="1" x14ac:dyDescent="0.25">
      <c r="A424" s="10">
        <v>21951</v>
      </c>
      <c r="B424" s="11" t="s">
        <v>37</v>
      </c>
      <c r="C424" s="11">
        <v>0.04</v>
      </c>
      <c r="D424" s="11">
        <v>27.48</v>
      </c>
      <c r="E424" s="11">
        <v>4</v>
      </c>
      <c r="F424" s="11">
        <v>741</v>
      </c>
      <c r="G424" s="6" t="str">
        <f>IF(COUNTIF(Table1[Customer ID],Table1[[#This Row],[Customer ID]])&gt;1,"Repeat Customer","One-Time Customer")</f>
        <v>One-Time Customer</v>
      </c>
      <c r="H424" s="11" t="s">
        <v>869</v>
      </c>
      <c r="I424" s="11" t="s">
        <v>49</v>
      </c>
      <c r="J424" s="11" t="s">
        <v>114</v>
      </c>
      <c r="K424" s="11" t="s">
        <v>77</v>
      </c>
      <c r="L424" s="11" t="s">
        <v>180</v>
      </c>
      <c r="M424" s="11" t="s">
        <v>59</v>
      </c>
      <c r="N424" s="11" t="s">
        <v>870</v>
      </c>
      <c r="O424" s="11">
        <v>0.75</v>
      </c>
      <c r="P424" s="6">
        <f>Table1[[#This Row],[Profit]]/Table1[[#This Row],[Sales]]</f>
        <v>-6.7114837475136579E-2</v>
      </c>
      <c r="Q424" s="11" t="s">
        <v>33</v>
      </c>
      <c r="R424" s="11" t="s">
        <v>53</v>
      </c>
      <c r="S424" s="11" t="s">
        <v>54</v>
      </c>
      <c r="T424" s="11" t="s">
        <v>871</v>
      </c>
      <c r="U424" s="11">
        <v>7901</v>
      </c>
      <c r="V424" s="12">
        <v>42170</v>
      </c>
      <c r="W424" s="13" t="str">
        <f>TEXT(Table1[[#This Row],[Order Date]],"mmmm")</f>
        <v>June</v>
      </c>
      <c r="X424" s="7" t="str">
        <f>TEXT(Table1[[#This Row],[Order Date]],"yyyy")</f>
        <v>2015</v>
      </c>
      <c r="Y424" s="12">
        <v>42172</v>
      </c>
      <c r="Z424" s="11">
        <v>-26.655999999999999</v>
      </c>
      <c r="AA424" s="11">
        <v>15</v>
      </c>
      <c r="AB424" s="11">
        <v>397.17</v>
      </c>
      <c r="AC424" s="11">
        <v>90361</v>
      </c>
      <c r="AD424" s="6" t="str">
        <f>IF(COUNTIF(Returns!$A$2:$A$1635,Orders!AC424)&gt;0,"Returned","Not Returned")</f>
        <v>Not Returned</v>
      </c>
    </row>
    <row r="425" spans="1:30" ht="14.25" thickTop="1" thickBot="1" x14ac:dyDescent="0.25">
      <c r="A425" s="8">
        <v>19209</v>
      </c>
      <c r="B425" s="1" t="s">
        <v>106</v>
      </c>
      <c r="C425" s="1">
        <v>0.02</v>
      </c>
      <c r="D425" s="1">
        <v>59.98</v>
      </c>
      <c r="E425" s="1">
        <v>3.99</v>
      </c>
      <c r="F425" s="1">
        <v>744</v>
      </c>
      <c r="G425" s="6" t="str">
        <f>IF(COUNTIF(Table1[Customer ID],Table1[[#This Row],[Customer ID]])&gt;1,"Repeat Customer","One-Time Customer")</f>
        <v>Repeat Customer</v>
      </c>
      <c r="H425" s="1" t="s">
        <v>872</v>
      </c>
      <c r="I425" s="1" t="s">
        <v>49</v>
      </c>
      <c r="J425" s="1" t="s">
        <v>28</v>
      </c>
      <c r="K425" s="1" t="s">
        <v>29</v>
      </c>
      <c r="L425" s="1" t="s">
        <v>257</v>
      </c>
      <c r="M425" s="1" t="s">
        <v>59</v>
      </c>
      <c r="N425" s="1" t="s">
        <v>873</v>
      </c>
      <c r="O425" s="1">
        <v>0.56999999999999995</v>
      </c>
      <c r="P425" s="6">
        <f>Table1[[#This Row],[Profit]]/Table1[[#This Row],[Sales]]</f>
        <v>-0.86045998739760554</v>
      </c>
      <c r="Q425" s="1" t="s">
        <v>33</v>
      </c>
      <c r="R425" s="1" t="s">
        <v>34</v>
      </c>
      <c r="S425" s="1" t="s">
        <v>378</v>
      </c>
      <c r="T425" s="1" t="s">
        <v>874</v>
      </c>
      <c r="U425" s="1">
        <v>85737</v>
      </c>
      <c r="V425" s="9">
        <v>42032</v>
      </c>
      <c r="W425" s="13" t="str">
        <f>TEXT(Table1[[#This Row],[Order Date]],"mmmm")</f>
        <v>January</v>
      </c>
      <c r="X425" s="7" t="str">
        <f>TEXT(Table1[[#This Row],[Order Date]],"yyyy")</f>
        <v>2015</v>
      </c>
      <c r="Y425" s="9">
        <v>42041</v>
      </c>
      <c r="Z425" s="1">
        <v>-54.622</v>
      </c>
      <c r="AA425" s="1">
        <v>1</v>
      </c>
      <c r="AB425" s="1">
        <v>63.48</v>
      </c>
      <c r="AC425" s="1">
        <v>87725</v>
      </c>
      <c r="AD425" s="6" t="str">
        <f>IF(COUNTIF(Returns!$A$2:$A$1635,Orders!AC425)&gt;0,"Returned","Not Returned")</f>
        <v>Not Returned</v>
      </c>
    </row>
    <row r="426" spans="1:30" ht="14.25" thickTop="1" thickBot="1" x14ac:dyDescent="0.25">
      <c r="A426" s="10">
        <v>19210</v>
      </c>
      <c r="B426" s="11" t="s">
        <v>106</v>
      </c>
      <c r="C426" s="11">
        <v>0.03</v>
      </c>
      <c r="D426" s="11">
        <v>5.18</v>
      </c>
      <c r="E426" s="11">
        <v>5.74</v>
      </c>
      <c r="F426" s="11">
        <v>744</v>
      </c>
      <c r="G426" s="6" t="str">
        <f>IF(COUNTIF(Table1[Customer ID],Table1[[#This Row],[Customer ID]])&gt;1,"Repeat Customer","One-Time Customer")</f>
        <v>Repeat Customer</v>
      </c>
      <c r="H426" s="11" t="s">
        <v>872</v>
      </c>
      <c r="I426" s="11" t="s">
        <v>49</v>
      </c>
      <c r="J426" s="11" t="s">
        <v>28</v>
      </c>
      <c r="K426" s="11" t="s">
        <v>29</v>
      </c>
      <c r="L426" s="11" t="s">
        <v>109</v>
      </c>
      <c r="M426" s="11" t="s">
        <v>59</v>
      </c>
      <c r="N426" s="11" t="s">
        <v>875</v>
      </c>
      <c r="O426" s="11">
        <v>0.36</v>
      </c>
      <c r="P426" s="6">
        <f>Table1[[#This Row],[Profit]]/Table1[[#This Row],[Sales]]</f>
        <v>-2.6619265323257766</v>
      </c>
      <c r="Q426" s="11" t="s">
        <v>33</v>
      </c>
      <c r="R426" s="11" t="s">
        <v>34</v>
      </c>
      <c r="S426" s="11" t="s">
        <v>378</v>
      </c>
      <c r="T426" s="11" t="s">
        <v>874</v>
      </c>
      <c r="U426" s="11">
        <v>85737</v>
      </c>
      <c r="V426" s="12">
        <v>42032</v>
      </c>
      <c r="W426" s="13" t="str">
        <f>TEXT(Table1[[#This Row],[Order Date]],"mmmm")</f>
        <v>January</v>
      </c>
      <c r="X426" s="7" t="str">
        <f>TEXT(Table1[[#This Row],[Order Date]],"yyyy")</f>
        <v>2015</v>
      </c>
      <c r="Y426" s="12">
        <v>42036</v>
      </c>
      <c r="Z426" s="11">
        <v>-126.81418000000001</v>
      </c>
      <c r="AA426" s="11">
        <v>9</v>
      </c>
      <c r="AB426" s="11">
        <v>47.64</v>
      </c>
      <c r="AC426" s="11">
        <v>87725</v>
      </c>
      <c r="AD426" s="6" t="str">
        <f>IF(COUNTIF(Returns!$A$2:$A$1635,Orders!AC426)&gt;0,"Returned","Not Returned")</f>
        <v>Not Returned</v>
      </c>
    </row>
    <row r="427" spans="1:30" ht="14.25" thickTop="1" thickBot="1" x14ac:dyDescent="0.25">
      <c r="A427" s="8">
        <v>19638</v>
      </c>
      <c r="B427" s="1" t="s">
        <v>56</v>
      </c>
      <c r="C427" s="1">
        <v>0.03</v>
      </c>
      <c r="D427" s="1">
        <v>119.99</v>
      </c>
      <c r="E427" s="1">
        <v>56.14</v>
      </c>
      <c r="F427" s="1">
        <v>744</v>
      </c>
      <c r="G427" s="6" t="str">
        <f>IF(COUNTIF(Table1[Customer ID],Table1[[#This Row],[Customer ID]])&gt;1,"Repeat Customer","One-Time Customer")</f>
        <v>Repeat Customer</v>
      </c>
      <c r="H427" s="1" t="s">
        <v>872</v>
      </c>
      <c r="I427" s="1" t="s">
        <v>39</v>
      </c>
      <c r="J427" s="1" t="s">
        <v>114</v>
      </c>
      <c r="K427" s="1" t="s">
        <v>77</v>
      </c>
      <c r="L427" s="1" t="s">
        <v>85</v>
      </c>
      <c r="M427" s="1" t="s">
        <v>121</v>
      </c>
      <c r="N427" s="1" t="s">
        <v>318</v>
      </c>
      <c r="O427" s="1">
        <v>0.39</v>
      </c>
      <c r="P427" s="6">
        <f>Table1[[#This Row],[Profit]]/Table1[[#This Row],[Sales]]</f>
        <v>0.90587352320811598</v>
      </c>
      <c r="Q427" s="1" t="s">
        <v>33</v>
      </c>
      <c r="R427" s="1" t="s">
        <v>34</v>
      </c>
      <c r="S427" s="1" t="s">
        <v>378</v>
      </c>
      <c r="T427" s="1" t="s">
        <v>874</v>
      </c>
      <c r="U427" s="1">
        <v>85737</v>
      </c>
      <c r="V427" s="9">
        <v>42021</v>
      </c>
      <c r="W427" s="13" t="str">
        <f>TEXT(Table1[[#This Row],[Order Date]],"mmmm")</f>
        <v>January</v>
      </c>
      <c r="X427" s="7" t="str">
        <f>TEXT(Table1[[#This Row],[Order Date]],"yyyy")</f>
        <v>2015</v>
      </c>
      <c r="Y427" s="9">
        <v>42023</v>
      </c>
      <c r="Z427" s="1">
        <v>1400.1</v>
      </c>
      <c r="AA427" s="1">
        <v>13</v>
      </c>
      <c r="AB427" s="1">
        <v>1545.58</v>
      </c>
      <c r="AC427" s="1">
        <v>87726</v>
      </c>
      <c r="AD427" s="6" t="str">
        <f>IF(COUNTIF(Returns!$A$2:$A$1635,Orders!AC427)&gt;0,"Returned","Not Returned")</f>
        <v>Not Returned</v>
      </c>
    </row>
    <row r="428" spans="1:30" ht="14.25" thickTop="1" thickBot="1" x14ac:dyDescent="0.25">
      <c r="A428" s="10">
        <v>19505</v>
      </c>
      <c r="B428" s="11" t="s">
        <v>106</v>
      </c>
      <c r="C428" s="11">
        <v>0.09</v>
      </c>
      <c r="D428" s="11">
        <v>125.99</v>
      </c>
      <c r="E428" s="11">
        <v>8.99</v>
      </c>
      <c r="F428" s="11">
        <v>744</v>
      </c>
      <c r="G428" s="6" t="str">
        <f>IF(COUNTIF(Table1[Customer ID],Table1[[#This Row],[Customer ID]])&gt;1,"Repeat Customer","One-Time Customer")</f>
        <v>Repeat Customer</v>
      </c>
      <c r="H428" s="11" t="s">
        <v>872</v>
      </c>
      <c r="I428" s="11" t="s">
        <v>49</v>
      </c>
      <c r="J428" s="11" t="s">
        <v>114</v>
      </c>
      <c r="K428" s="11" t="s">
        <v>77</v>
      </c>
      <c r="L428" s="11" t="s">
        <v>78</v>
      </c>
      <c r="M428" s="11" t="s">
        <v>59</v>
      </c>
      <c r="N428" s="11" t="s">
        <v>856</v>
      </c>
      <c r="O428" s="11">
        <v>0.55000000000000004</v>
      </c>
      <c r="P428" s="6">
        <f>Table1[[#This Row],[Profit]]/Table1[[#This Row],[Sales]]</f>
        <v>0.43547978850255831</v>
      </c>
      <c r="Q428" s="11" t="s">
        <v>33</v>
      </c>
      <c r="R428" s="11" t="s">
        <v>34</v>
      </c>
      <c r="S428" s="11" t="s">
        <v>378</v>
      </c>
      <c r="T428" s="11" t="s">
        <v>874</v>
      </c>
      <c r="U428" s="11">
        <v>85737</v>
      </c>
      <c r="V428" s="12">
        <v>42149</v>
      </c>
      <c r="W428" s="13" t="str">
        <f>TEXT(Table1[[#This Row],[Order Date]],"mmmm")</f>
        <v>May</v>
      </c>
      <c r="X428" s="7" t="str">
        <f>TEXT(Table1[[#This Row],[Order Date]],"yyyy")</f>
        <v>2015</v>
      </c>
      <c r="Y428" s="12">
        <v>42157</v>
      </c>
      <c r="Z428" s="11">
        <v>916.68060000000014</v>
      </c>
      <c r="AA428" s="11">
        <v>20</v>
      </c>
      <c r="AB428" s="11">
        <v>2104.9899999999998</v>
      </c>
      <c r="AC428" s="11">
        <v>87727</v>
      </c>
      <c r="AD428" s="6" t="str">
        <f>IF(COUNTIF(Returns!$A$2:$A$1635,Orders!AC428)&gt;0,"Returned","Not Returned")</f>
        <v>Not Returned</v>
      </c>
    </row>
    <row r="429" spans="1:30" ht="14.25" thickTop="1" thickBot="1" x14ac:dyDescent="0.25">
      <c r="A429" s="8">
        <v>19639</v>
      </c>
      <c r="B429" s="1" t="s">
        <v>56</v>
      </c>
      <c r="C429" s="1">
        <v>0.05</v>
      </c>
      <c r="D429" s="1">
        <v>115.79</v>
      </c>
      <c r="E429" s="1">
        <v>1.99</v>
      </c>
      <c r="F429" s="1">
        <v>745</v>
      </c>
      <c r="G429" s="6" t="str">
        <f>IF(COUNTIF(Table1[Customer ID],Table1[[#This Row],[Customer ID]])&gt;1,"Repeat Customer","One-Time Customer")</f>
        <v>One-Time Customer</v>
      </c>
      <c r="H429" s="1" t="s">
        <v>876</v>
      </c>
      <c r="I429" s="1" t="s">
        <v>49</v>
      </c>
      <c r="J429" s="1" t="s">
        <v>114</v>
      </c>
      <c r="K429" s="1" t="s">
        <v>77</v>
      </c>
      <c r="L429" s="1" t="s">
        <v>180</v>
      </c>
      <c r="M429" s="1" t="s">
        <v>51</v>
      </c>
      <c r="N429" s="1" t="s">
        <v>877</v>
      </c>
      <c r="O429" s="1">
        <v>0.49</v>
      </c>
      <c r="P429" s="6">
        <f>Table1[[#This Row],[Profit]]/Table1[[#This Row],[Sales]]</f>
        <v>0.19144718210138748</v>
      </c>
      <c r="Q429" s="1" t="s">
        <v>33</v>
      </c>
      <c r="R429" s="1" t="s">
        <v>34</v>
      </c>
      <c r="S429" s="1" t="s">
        <v>378</v>
      </c>
      <c r="T429" s="1" t="s">
        <v>878</v>
      </c>
      <c r="U429" s="1">
        <v>85345</v>
      </c>
      <c r="V429" s="9">
        <v>42021</v>
      </c>
      <c r="W429" s="13" t="str">
        <f>TEXT(Table1[[#This Row],[Order Date]],"mmmm")</f>
        <v>January</v>
      </c>
      <c r="X429" s="7" t="str">
        <f>TEXT(Table1[[#This Row],[Order Date]],"yyyy")</f>
        <v>2015</v>
      </c>
      <c r="Y429" s="9">
        <v>42023</v>
      </c>
      <c r="Z429" s="1">
        <v>67.599999999999923</v>
      </c>
      <c r="AA429" s="1">
        <v>3</v>
      </c>
      <c r="AB429" s="1">
        <v>353.1</v>
      </c>
      <c r="AC429" s="1">
        <v>87726</v>
      </c>
      <c r="AD429" s="6" t="str">
        <f>IF(COUNTIF(Returns!$A$2:$A$1635,Orders!AC429)&gt;0,"Returned","Not Returned")</f>
        <v>Not Returned</v>
      </c>
    </row>
    <row r="430" spans="1:30" ht="12.75" customHeight="1" thickTop="1" thickBot="1" x14ac:dyDescent="0.25">
      <c r="A430" s="10">
        <v>20855</v>
      </c>
      <c r="B430" s="11" t="s">
        <v>37</v>
      </c>
      <c r="C430" s="11">
        <v>0.09</v>
      </c>
      <c r="D430" s="11">
        <v>27.75</v>
      </c>
      <c r="E430" s="11">
        <v>19.989999999999998</v>
      </c>
      <c r="F430" s="11">
        <v>750</v>
      </c>
      <c r="G430" s="6" t="str">
        <f>IF(COUNTIF(Table1[Customer ID],Table1[[#This Row],[Customer ID]])&gt;1,"Repeat Customer","One-Time Customer")</f>
        <v>One-Time Customer</v>
      </c>
      <c r="H430" s="11" t="s">
        <v>879</v>
      </c>
      <c r="I430" s="11" t="s">
        <v>49</v>
      </c>
      <c r="J430" s="11" t="s">
        <v>28</v>
      </c>
      <c r="K430" s="11" t="s">
        <v>29</v>
      </c>
      <c r="L430" s="11" t="s">
        <v>141</v>
      </c>
      <c r="M430" s="11" t="s">
        <v>59</v>
      </c>
      <c r="N430" s="11" t="s">
        <v>880</v>
      </c>
      <c r="O430" s="11">
        <v>0.67</v>
      </c>
      <c r="P430" s="6">
        <f>Table1[[#This Row],[Profit]]/Table1[[#This Row],[Sales]]</f>
        <v>-0.872336129232681</v>
      </c>
      <c r="Q430" s="11" t="s">
        <v>33</v>
      </c>
      <c r="R430" s="11" t="s">
        <v>136</v>
      </c>
      <c r="S430" s="11" t="s">
        <v>613</v>
      </c>
      <c r="T430" s="11" t="s">
        <v>881</v>
      </c>
      <c r="U430" s="11">
        <v>41042</v>
      </c>
      <c r="V430" s="12">
        <v>42016</v>
      </c>
      <c r="W430" s="13" t="str">
        <f>TEXT(Table1[[#This Row],[Order Date]],"mmmm")</f>
        <v>January</v>
      </c>
      <c r="X430" s="7" t="str">
        <f>TEXT(Table1[[#This Row],[Order Date]],"yyyy")</f>
        <v>2015</v>
      </c>
      <c r="Y430" s="12">
        <v>42017</v>
      </c>
      <c r="Z430" s="11">
        <v>-224.64400000000001</v>
      </c>
      <c r="AA430" s="11">
        <v>10</v>
      </c>
      <c r="AB430" s="11">
        <v>257.52</v>
      </c>
      <c r="AC430" s="11">
        <v>91200</v>
      </c>
      <c r="AD430" s="6" t="str">
        <f>IF(COUNTIF(Returns!$A$2:$A$1635,Orders!AC430)&gt;0,"Returned","Not Returned")</f>
        <v>Not Returned</v>
      </c>
    </row>
    <row r="431" spans="1:30" ht="12.75" customHeight="1" thickTop="1" thickBot="1" x14ac:dyDescent="0.25">
      <c r="A431" s="8">
        <v>23629</v>
      </c>
      <c r="B431" s="1" t="s">
        <v>106</v>
      </c>
      <c r="C431" s="1">
        <v>0.06</v>
      </c>
      <c r="D431" s="1">
        <v>130.97999999999999</v>
      </c>
      <c r="E431" s="1">
        <v>54.74</v>
      </c>
      <c r="F431" s="1">
        <v>751</v>
      </c>
      <c r="G431" s="6" t="str">
        <f>IF(COUNTIF(Table1[Customer ID],Table1[[#This Row],[Customer ID]])&gt;1,"Repeat Customer","One-Time Customer")</f>
        <v>One-Time Customer</v>
      </c>
      <c r="H431" s="1" t="s">
        <v>882</v>
      </c>
      <c r="I431" s="1" t="s">
        <v>39</v>
      </c>
      <c r="J431" s="1" t="s">
        <v>28</v>
      </c>
      <c r="K431" s="1" t="s">
        <v>41</v>
      </c>
      <c r="L431" s="1" t="s">
        <v>191</v>
      </c>
      <c r="M431" s="1" t="s">
        <v>121</v>
      </c>
      <c r="N431" s="1" t="s">
        <v>405</v>
      </c>
      <c r="O431" s="1">
        <v>0.69</v>
      </c>
      <c r="P431" s="6">
        <f>Table1[[#This Row],[Profit]]/Table1[[#This Row],[Sales]]</f>
        <v>3.5856573705179286E-2</v>
      </c>
      <c r="Q431" s="1" t="s">
        <v>33</v>
      </c>
      <c r="R431" s="1" t="s">
        <v>136</v>
      </c>
      <c r="S431" s="1" t="s">
        <v>613</v>
      </c>
      <c r="T431" s="1" t="s">
        <v>883</v>
      </c>
      <c r="U431" s="1">
        <v>40324</v>
      </c>
      <c r="V431" s="9">
        <v>42062</v>
      </c>
      <c r="W431" s="13" t="str">
        <f>TEXT(Table1[[#This Row],[Order Date]],"mmmm")</f>
        <v>February</v>
      </c>
      <c r="X431" s="7" t="str">
        <f>TEXT(Table1[[#This Row],[Order Date]],"yyyy")</f>
        <v>2015</v>
      </c>
      <c r="Y431" s="9">
        <v>42069</v>
      </c>
      <c r="Z431" s="1">
        <v>14.76</v>
      </c>
      <c r="AA431" s="1">
        <v>3</v>
      </c>
      <c r="AB431" s="1">
        <v>411.64</v>
      </c>
      <c r="AC431" s="1">
        <v>91201</v>
      </c>
      <c r="AD431" s="6" t="str">
        <f>IF(COUNTIF(Returns!$A$2:$A$1635,Orders!AC431)&gt;0,"Returned","Not Returned")</f>
        <v>Not Returned</v>
      </c>
    </row>
    <row r="432" spans="1:30" ht="14.25" thickTop="1" thickBot="1" x14ac:dyDescent="0.25">
      <c r="A432" s="10">
        <v>19679</v>
      </c>
      <c r="B432" s="11" t="s">
        <v>47</v>
      </c>
      <c r="C432" s="11">
        <v>0.06</v>
      </c>
      <c r="D432" s="11">
        <v>2.61</v>
      </c>
      <c r="E432" s="11">
        <v>0.5</v>
      </c>
      <c r="F432" s="11">
        <v>753</v>
      </c>
      <c r="G432" s="6" t="str">
        <f>IF(COUNTIF(Table1[Customer ID],Table1[[#This Row],[Customer ID]])&gt;1,"Repeat Customer","One-Time Customer")</f>
        <v>Repeat Customer</v>
      </c>
      <c r="H432" s="11" t="s">
        <v>884</v>
      </c>
      <c r="I432" s="11" t="s">
        <v>27</v>
      </c>
      <c r="J432" s="11" t="s">
        <v>28</v>
      </c>
      <c r="K432" s="11" t="s">
        <v>29</v>
      </c>
      <c r="L432" s="11" t="s">
        <v>134</v>
      </c>
      <c r="M432" s="11" t="s">
        <v>59</v>
      </c>
      <c r="N432" s="11" t="s">
        <v>885</v>
      </c>
      <c r="O432" s="11">
        <v>0.39</v>
      </c>
      <c r="P432" s="6">
        <f>Table1[[#This Row],[Profit]]/Table1[[#This Row],[Sales]]</f>
        <v>0.61682774303581578</v>
      </c>
      <c r="Q432" s="11" t="s">
        <v>33</v>
      </c>
      <c r="R432" s="11" t="s">
        <v>34</v>
      </c>
      <c r="S432" s="11" t="s">
        <v>378</v>
      </c>
      <c r="T432" s="11" t="s">
        <v>886</v>
      </c>
      <c r="U432" s="11">
        <v>86301</v>
      </c>
      <c r="V432" s="12">
        <v>42074</v>
      </c>
      <c r="W432" s="13" t="str">
        <f>TEXT(Table1[[#This Row],[Order Date]],"mmmm")</f>
        <v>March</v>
      </c>
      <c r="X432" s="7" t="str">
        <f>TEXT(Table1[[#This Row],[Order Date]],"yyyy")</f>
        <v>2015</v>
      </c>
      <c r="Y432" s="12">
        <v>42074</v>
      </c>
      <c r="Z432" s="11">
        <v>10.85</v>
      </c>
      <c r="AA432" s="11">
        <v>1</v>
      </c>
      <c r="AB432" s="11">
        <v>17.59</v>
      </c>
      <c r="AC432" s="11">
        <v>90438</v>
      </c>
      <c r="AD432" s="6" t="str">
        <f>IF(COUNTIF(Returns!$A$2:$A$1635,Orders!AC432)&gt;0,"Returned","Not Returned")</f>
        <v>Not Returned</v>
      </c>
    </row>
    <row r="433" spans="1:30" ht="14.25" thickTop="1" thickBot="1" x14ac:dyDescent="0.25">
      <c r="A433" s="8">
        <v>19680</v>
      </c>
      <c r="B433" s="1" t="s">
        <v>47</v>
      </c>
      <c r="C433" s="1">
        <v>0.01</v>
      </c>
      <c r="D433" s="1">
        <v>6.35</v>
      </c>
      <c r="E433" s="1">
        <v>1.02</v>
      </c>
      <c r="F433" s="1">
        <v>753</v>
      </c>
      <c r="G433" s="6" t="str">
        <f>IF(COUNTIF(Table1[Customer ID],Table1[[#This Row],[Customer ID]])&gt;1,"Repeat Customer","One-Time Customer")</f>
        <v>Repeat Customer</v>
      </c>
      <c r="H433" s="1" t="s">
        <v>884</v>
      </c>
      <c r="I433" s="1" t="s">
        <v>49</v>
      </c>
      <c r="J433" s="1" t="s">
        <v>28</v>
      </c>
      <c r="K433" s="1" t="s">
        <v>29</v>
      </c>
      <c r="L433" s="1" t="s">
        <v>93</v>
      </c>
      <c r="M433" s="1" t="s">
        <v>31</v>
      </c>
      <c r="N433" s="1" t="s">
        <v>887</v>
      </c>
      <c r="O433" s="1">
        <v>0.39</v>
      </c>
      <c r="P433" s="6">
        <f>Table1[[#This Row],[Profit]]/Table1[[#This Row],[Sales]]</f>
        <v>0.69</v>
      </c>
      <c r="Q433" s="1" t="s">
        <v>33</v>
      </c>
      <c r="R433" s="1" t="s">
        <v>34</v>
      </c>
      <c r="S433" s="1" t="s">
        <v>378</v>
      </c>
      <c r="T433" s="1" t="s">
        <v>886</v>
      </c>
      <c r="U433" s="1">
        <v>86301</v>
      </c>
      <c r="V433" s="9">
        <v>42074</v>
      </c>
      <c r="W433" s="13" t="str">
        <f>TEXT(Table1[[#This Row],[Order Date]],"mmmm")</f>
        <v>March</v>
      </c>
      <c r="X433" s="7" t="str">
        <f>TEXT(Table1[[#This Row],[Order Date]],"yyyy")</f>
        <v>2015</v>
      </c>
      <c r="Y433" s="9">
        <v>42076</v>
      </c>
      <c r="Z433" s="1">
        <v>97.662599999999983</v>
      </c>
      <c r="AA433" s="1">
        <v>22</v>
      </c>
      <c r="AB433" s="1">
        <v>141.54</v>
      </c>
      <c r="AC433" s="1">
        <v>90438</v>
      </c>
      <c r="AD433" s="6" t="str">
        <f>IF(COUNTIF(Returns!$A$2:$A$1635,Orders!AC433)&gt;0,"Returned","Not Returned")</f>
        <v>Not Returned</v>
      </c>
    </row>
    <row r="434" spans="1:30" ht="14.25" thickTop="1" thickBot="1" x14ac:dyDescent="0.25">
      <c r="A434" s="10">
        <v>25291</v>
      </c>
      <c r="B434" s="11" t="s">
        <v>25</v>
      </c>
      <c r="C434" s="11">
        <v>0.06</v>
      </c>
      <c r="D434" s="11">
        <v>218.75</v>
      </c>
      <c r="E434" s="11">
        <v>69.64</v>
      </c>
      <c r="F434" s="11">
        <v>754</v>
      </c>
      <c r="G434" s="6" t="str">
        <f>IF(COUNTIF(Table1[Customer ID],Table1[[#This Row],[Customer ID]])&gt;1,"Repeat Customer","One-Time Customer")</f>
        <v>Repeat Customer</v>
      </c>
      <c r="H434" s="11" t="s">
        <v>888</v>
      </c>
      <c r="I434" s="11" t="s">
        <v>39</v>
      </c>
      <c r="J434" s="11" t="s">
        <v>28</v>
      </c>
      <c r="K434" s="11" t="s">
        <v>41</v>
      </c>
      <c r="L434" s="11" t="s">
        <v>152</v>
      </c>
      <c r="M434" s="11" t="s">
        <v>121</v>
      </c>
      <c r="N434" s="11" t="s">
        <v>655</v>
      </c>
      <c r="O434" s="11">
        <v>0.77</v>
      </c>
      <c r="P434" s="6">
        <f>Table1[[#This Row],[Profit]]/Table1[[#This Row],[Sales]]</f>
        <v>-0.50055224210293792</v>
      </c>
      <c r="Q434" s="11" t="s">
        <v>33</v>
      </c>
      <c r="R434" s="11" t="s">
        <v>34</v>
      </c>
      <c r="S434" s="11" t="s">
        <v>378</v>
      </c>
      <c r="T434" s="11" t="s">
        <v>889</v>
      </c>
      <c r="U434" s="11">
        <v>86314</v>
      </c>
      <c r="V434" s="12">
        <v>42159</v>
      </c>
      <c r="W434" s="13" t="str">
        <f>TEXT(Table1[[#This Row],[Order Date]],"mmmm")</f>
        <v>June</v>
      </c>
      <c r="X434" s="7" t="str">
        <f>TEXT(Table1[[#This Row],[Order Date]],"yyyy")</f>
        <v>2015</v>
      </c>
      <c r="Y434" s="12">
        <v>42160</v>
      </c>
      <c r="Z434" s="11">
        <v>-453.2</v>
      </c>
      <c r="AA434" s="11">
        <v>4</v>
      </c>
      <c r="AB434" s="11">
        <v>905.4</v>
      </c>
      <c r="AC434" s="11">
        <v>90437</v>
      </c>
      <c r="AD434" s="6" t="str">
        <f>IF(COUNTIF(Returns!$A$2:$A$1635,Orders!AC434)&gt;0,"Returned","Not Returned")</f>
        <v>Not Returned</v>
      </c>
    </row>
    <row r="435" spans="1:30" ht="14.25" thickTop="1" thickBot="1" x14ac:dyDescent="0.25">
      <c r="A435" s="8">
        <v>25117</v>
      </c>
      <c r="B435" s="1" t="s">
        <v>106</v>
      </c>
      <c r="C435" s="1">
        <v>0.06</v>
      </c>
      <c r="D435" s="1">
        <v>119.99</v>
      </c>
      <c r="E435" s="1">
        <v>14</v>
      </c>
      <c r="F435" s="1">
        <v>754</v>
      </c>
      <c r="G435" s="6" t="str">
        <f>IF(COUNTIF(Table1[Customer ID],Table1[[#This Row],[Customer ID]])&gt;1,"Repeat Customer","One-Time Customer")</f>
        <v>Repeat Customer</v>
      </c>
      <c r="H435" s="1" t="s">
        <v>888</v>
      </c>
      <c r="I435" s="1" t="s">
        <v>39</v>
      </c>
      <c r="J435" s="1" t="s">
        <v>114</v>
      </c>
      <c r="K435" s="1" t="s">
        <v>77</v>
      </c>
      <c r="L435" s="1" t="s">
        <v>85</v>
      </c>
      <c r="M435" s="1" t="s">
        <v>43</v>
      </c>
      <c r="N435" s="1" t="s">
        <v>890</v>
      </c>
      <c r="O435" s="1">
        <v>0.36</v>
      </c>
      <c r="P435" s="6">
        <f>Table1[[#This Row],[Profit]]/Table1[[#This Row],[Sales]]</f>
        <v>-0.85163531534486991</v>
      </c>
      <c r="Q435" s="1" t="s">
        <v>33</v>
      </c>
      <c r="R435" s="1" t="s">
        <v>34</v>
      </c>
      <c r="S435" s="1" t="s">
        <v>378</v>
      </c>
      <c r="T435" s="1" t="s">
        <v>889</v>
      </c>
      <c r="U435" s="1">
        <v>86314</v>
      </c>
      <c r="V435" s="9">
        <v>42106</v>
      </c>
      <c r="W435" s="13" t="str">
        <f>TEXT(Table1[[#This Row],[Order Date]],"mmmm")</f>
        <v>April</v>
      </c>
      <c r="X435" s="7" t="str">
        <f>TEXT(Table1[[#This Row],[Order Date]],"yyyy")</f>
        <v>2015</v>
      </c>
      <c r="Y435" s="9">
        <v>42113</v>
      </c>
      <c r="Z435" s="1">
        <v>-207.679788</v>
      </c>
      <c r="AA435" s="1">
        <v>2</v>
      </c>
      <c r="AB435" s="1">
        <v>243.86</v>
      </c>
      <c r="AC435" s="1">
        <v>90439</v>
      </c>
      <c r="AD435" s="6" t="str">
        <f>IF(COUNTIF(Returns!$A$2:$A$1635,Orders!AC435)&gt;0,"Returned","Not Returned")</f>
        <v>Not Returned</v>
      </c>
    </row>
    <row r="436" spans="1:30" ht="12.75" customHeight="1" thickTop="1" thickBot="1" x14ac:dyDescent="0.25">
      <c r="A436" s="10">
        <v>25856</v>
      </c>
      <c r="B436" s="11" t="s">
        <v>37</v>
      </c>
      <c r="C436" s="11">
        <v>0.03</v>
      </c>
      <c r="D436" s="11">
        <v>37.94</v>
      </c>
      <c r="E436" s="11">
        <v>5.08</v>
      </c>
      <c r="F436" s="11">
        <v>757</v>
      </c>
      <c r="G436" s="6" t="str">
        <f>IF(COUNTIF(Table1[Customer ID],Table1[[#This Row],[Customer ID]])&gt;1,"Repeat Customer","One-Time Customer")</f>
        <v>One-Time Customer</v>
      </c>
      <c r="H436" s="11" t="s">
        <v>891</v>
      </c>
      <c r="I436" s="11" t="s">
        <v>49</v>
      </c>
      <c r="J436" s="11" t="s">
        <v>40</v>
      </c>
      <c r="K436" s="11" t="s">
        <v>29</v>
      </c>
      <c r="L436" s="11" t="s">
        <v>93</v>
      </c>
      <c r="M436" s="11" t="s">
        <v>31</v>
      </c>
      <c r="N436" s="11" t="s">
        <v>892</v>
      </c>
      <c r="O436" s="11">
        <v>0.38</v>
      </c>
      <c r="P436" s="6">
        <f>Table1[[#This Row],[Profit]]/Table1[[#This Row],[Sales]]</f>
        <v>-0.18825118839129348</v>
      </c>
      <c r="Q436" s="11" t="s">
        <v>33</v>
      </c>
      <c r="R436" s="11" t="s">
        <v>34</v>
      </c>
      <c r="S436" s="11" t="s">
        <v>102</v>
      </c>
      <c r="T436" s="11" t="s">
        <v>893</v>
      </c>
      <c r="U436" s="11">
        <v>97062</v>
      </c>
      <c r="V436" s="12">
        <v>42046</v>
      </c>
      <c r="W436" s="13" t="str">
        <f>TEXT(Table1[[#This Row],[Order Date]],"mmmm")</f>
        <v>February</v>
      </c>
      <c r="X436" s="7" t="str">
        <f>TEXT(Table1[[#This Row],[Order Date]],"yyyy")</f>
        <v>2015</v>
      </c>
      <c r="Y436" s="12">
        <v>42048</v>
      </c>
      <c r="Z436" s="11">
        <v>-7.5244000000000009</v>
      </c>
      <c r="AA436" s="11">
        <v>1</v>
      </c>
      <c r="AB436" s="11">
        <v>39.97</v>
      </c>
      <c r="AC436" s="11">
        <v>90258</v>
      </c>
      <c r="AD436" s="6" t="str">
        <f>IF(COUNTIF(Returns!$A$2:$A$1635,Orders!AC436)&gt;0,"Returned","Not Returned")</f>
        <v>Not Returned</v>
      </c>
    </row>
    <row r="437" spans="1:30" ht="12.75" customHeight="1" thickTop="1" thickBot="1" x14ac:dyDescent="0.25">
      <c r="A437" s="8">
        <v>21110</v>
      </c>
      <c r="B437" s="1" t="s">
        <v>106</v>
      </c>
      <c r="C437" s="1">
        <v>0</v>
      </c>
      <c r="D437" s="1">
        <v>20.99</v>
      </c>
      <c r="E437" s="1">
        <v>3.3</v>
      </c>
      <c r="F437" s="1">
        <v>759</v>
      </c>
      <c r="G437" s="6" t="str">
        <f>IF(COUNTIF(Table1[Customer ID],Table1[[#This Row],[Customer ID]])&gt;1,"Repeat Customer","One-Time Customer")</f>
        <v>One-Time Customer</v>
      </c>
      <c r="H437" s="1" t="s">
        <v>894</v>
      </c>
      <c r="I437" s="1" t="s">
        <v>49</v>
      </c>
      <c r="J437" s="1" t="s">
        <v>58</v>
      </c>
      <c r="K437" s="1" t="s">
        <v>77</v>
      </c>
      <c r="L437" s="1" t="s">
        <v>78</v>
      </c>
      <c r="M437" s="1" t="s">
        <v>51</v>
      </c>
      <c r="N437" s="1" t="s">
        <v>895</v>
      </c>
      <c r="O437" s="1">
        <v>0.81</v>
      </c>
      <c r="P437" s="6">
        <f>Table1[[#This Row],[Profit]]/Table1[[#This Row],[Sales]]</f>
        <v>-1.0000107573149744</v>
      </c>
      <c r="Q437" s="1" t="s">
        <v>33</v>
      </c>
      <c r="R437" s="1" t="s">
        <v>61</v>
      </c>
      <c r="S437" s="1" t="s">
        <v>178</v>
      </c>
      <c r="T437" s="1" t="s">
        <v>896</v>
      </c>
      <c r="U437" s="1">
        <v>62301</v>
      </c>
      <c r="V437" s="9">
        <v>42153</v>
      </c>
      <c r="W437" s="13" t="str">
        <f>TEXT(Table1[[#This Row],[Order Date]],"mmmm")</f>
        <v>May</v>
      </c>
      <c r="X437" s="7" t="str">
        <f>TEXT(Table1[[#This Row],[Order Date]],"yyyy")</f>
        <v>2015</v>
      </c>
      <c r="Y437" s="9">
        <v>42160</v>
      </c>
      <c r="Z437" s="1">
        <v>-92.961000000000013</v>
      </c>
      <c r="AA437" s="1">
        <v>5</v>
      </c>
      <c r="AB437" s="1">
        <v>92.96</v>
      </c>
      <c r="AC437" s="1">
        <v>86639</v>
      </c>
      <c r="AD437" s="6" t="str">
        <f>IF(COUNTIF(Returns!$A$2:$A$1635,Orders!AC437)&gt;0,"Returned","Not Returned")</f>
        <v>Not Returned</v>
      </c>
    </row>
    <row r="438" spans="1:30" ht="12.75" customHeight="1" thickTop="1" thickBot="1" x14ac:dyDescent="0.25">
      <c r="A438" s="10">
        <v>20377</v>
      </c>
      <c r="B438" s="11" t="s">
        <v>37</v>
      </c>
      <c r="C438" s="11">
        <v>0</v>
      </c>
      <c r="D438" s="11">
        <v>125.99</v>
      </c>
      <c r="E438" s="11">
        <v>8.99</v>
      </c>
      <c r="F438" s="11">
        <v>762</v>
      </c>
      <c r="G438" s="6" t="str">
        <f>IF(COUNTIF(Table1[Customer ID],Table1[[#This Row],[Customer ID]])&gt;1,"Repeat Customer","One-Time Customer")</f>
        <v>One-Time Customer</v>
      </c>
      <c r="H438" s="11" t="s">
        <v>897</v>
      </c>
      <c r="I438" s="11" t="s">
        <v>49</v>
      </c>
      <c r="J438" s="11" t="s">
        <v>58</v>
      </c>
      <c r="K438" s="11" t="s">
        <v>77</v>
      </c>
      <c r="L438" s="11" t="s">
        <v>78</v>
      </c>
      <c r="M438" s="11" t="s">
        <v>59</v>
      </c>
      <c r="N438" s="11" t="s">
        <v>898</v>
      </c>
      <c r="O438" s="11">
        <v>0.56999999999999995</v>
      </c>
      <c r="P438" s="6">
        <f>Table1[[#This Row],[Profit]]/Table1[[#This Row],[Sales]]</f>
        <v>0.45066492438702099</v>
      </c>
      <c r="Q438" s="11" t="s">
        <v>33</v>
      </c>
      <c r="R438" s="11" t="s">
        <v>34</v>
      </c>
      <c r="S438" s="11" t="s">
        <v>35</v>
      </c>
      <c r="T438" s="11" t="s">
        <v>899</v>
      </c>
      <c r="U438" s="11">
        <v>98661</v>
      </c>
      <c r="V438" s="12">
        <v>42121</v>
      </c>
      <c r="W438" s="13" t="str">
        <f>TEXT(Table1[[#This Row],[Order Date]],"mmmm")</f>
        <v>April</v>
      </c>
      <c r="X438" s="7" t="str">
        <f>TEXT(Table1[[#This Row],[Order Date]],"yyyy")</f>
        <v>2015</v>
      </c>
      <c r="Y438" s="12">
        <v>42123</v>
      </c>
      <c r="Z438" s="11">
        <v>613.89576</v>
      </c>
      <c r="AA438" s="11">
        <v>12</v>
      </c>
      <c r="AB438" s="11">
        <v>1362.2</v>
      </c>
      <c r="AC438" s="11">
        <v>87525</v>
      </c>
      <c r="AD438" s="6" t="str">
        <f>IF(COUNTIF(Returns!$A$2:$A$1635,Orders!AC438)&gt;0,"Returned","Not Returned")</f>
        <v>Not Returned</v>
      </c>
    </row>
    <row r="439" spans="1:30" ht="12.75" customHeight="1" thickTop="1" thickBot="1" x14ac:dyDescent="0.25">
      <c r="A439" s="8">
        <v>18735</v>
      </c>
      <c r="B439" s="1" t="s">
        <v>47</v>
      </c>
      <c r="C439" s="1">
        <v>0.1</v>
      </c>
      <c r="D439" s="1">
        <v>31.78</v>
      </c>
      <c r="E439" s="1">
        <v>1.99</v>
      </c>
      <c r="F439" s="1">
        <v>767</v>
      </c>
      <c r="G439" s="6" t="str">
        <f>IF(COUNTIF(Table1[Customer ID],Table1[[#This Row],[Customer ID]])&gt;1,"Repeat Customer","One-Time Customer")</f>
        <v>One-Time Customer</v>
      </c>
      <c r="H439" s="1" t="s">
        <v>900</v>
      </c>
      <c r="I439" s="1" t="s">
        <v>49</v>
      </c>
      <c r="J439" s="1" t="s">
        <v>28</v>
      </c>
      <c r="K439" s="1" t="s">
        <v>77</v>
      </c>
      <c r="L439" s="1" t="s">
        <v>180</v>
      </c>
      <c r="M439" s="1" t="s">
        <v>51</v>
      </c>
      <c r="N439" s="1" t="s">
        <v>901</v>
      </c>
      <c r="O439" s="1">
        <v>0.42</v>
      </c>
      <c r="P439" s="6">
        <f>Table1[[#This Row],[Profit]]/Table1[[#This Row],[Sales]]</f>
        <v>0.69</v>
      </c>
      <c r="Q439" s="1" t="s">
        <v>33</v>
      </c>
      <c r="R439" s="1" t="s">
        <v>61</v>
      </c>
      <c r="S439" s="1" t="s">
        <v>178</v>
      </c>
      <c r="T439" s="1" t="s">
        <v>902</v>
      </c>
      <c r="U439" s="1">
        <v>61201</v>
      </c>
      <c r="V439" s="9">
        <v>42034</v>
      </c>
      <c r="W439" s="13" t="str">
        <f>TEXT(Table1[[#This Row],[Order Date]],"mmmm")</f>
        <v>January</v>
      </c>
      <c r="X439" s="7" t="str">
        <f>TEXT(Table1[[#This Row],[Order Date]],"yyyy")</f>
        <v>2015</v>
      </c>
      <c r="Y439" s="9">
        <v>42036</v>
      </c>
      <c r="Z439" s="1">
        <v>232.28159999999997</v>
      </c>
      <c r="AA439" s="1">
        <v>11</v>
      </c>
      <c r="AB439" s="1">
        <v>336.64</v>
      </c>
      <c r="AC439" s="1">
        <v>86279</v>
      </c>
      <c r="AD439" s="6" t="str">
        <f>IF(COUNTIF(Returns!$A$2:$A$1635,Orders!AC439)&gt;0,"Returned","Not Returned")</f>
        <v>Not Returned</v>
      </c>
    </row>
    <row r="440" spans="1:30" ht="12.75" customHeight="1" thickTop="1" thickBot="1" x14ac:dyDescent="0.25">
      <c r="A440" s="10">
        <v>18659</v>
      </c>
      <c r="B440" s="11" t="s">
        <v>47</v>
      </c>
      <c r="C440" s="11">
        <v>0.08</v>
      </c>
      <c r="D440" s="11">
        <v>30.73</v>
      </c>
      <c r="E440" s="11">
        <v>4</v>
      </c>
      <c r="F440" s="11">
        <v>770</v>
      </c>
      <c r="G440" s="6" t="str">
        <f>IF(COUNTIF(Table1[Customer ID],Table1[[#This Row],[Customer ID]])&gt;1,"Repeat Customer","One-Time Customer")</f>
        <v>One-Time Customer</v>
      </c>
      <c r="H440" s="11" t="s">
        <v>903</v>
      </c>
      <c r="I440" s="11" t="s">
        <v>49</v>
      </c>
      <c r="J440" s="11" t="s">
        <v>58</v>
      </c>
      <c r="K440" s="11" t="s">
        <v>77</v>
      </c>
      <c r="L440" s="11" t="s">
        <v>180</v>
      </c>
      <c r="M440" s="11" t="s">
        <v>59</v>
      </c>
      <c r="N440" s="11" t="s">
        <v>288</v>
      </c>
      <c r="O440" s="11">
        <v>0.75</v>
      </c>
      <c r="P440" s="6">
        <f>Table1[[#This Row],[Profit]]/Table1[[#This Row],[Sales]]</f>
        <v>-0.10497752311741551</v>
      </c>
      <c r="Q440" s="11" t="s">
        <v>33</v>
      </c>
      <c r="R440" s="11" t="s">
        <v>34</v>
      </c>
      <c r="S440" s="11" t="s">
        <v>102</v>
      </c>
      <c r="T440" s="11" t="s">
        <v>893</v>
      </c>
      <c r="U440" s="11">
        <v>97062</v>
      </c>
      <c r="V440" s="12">
        <v>42082</v>
      </c>
      <c r="W440" s="13" t="str">
        <f>TEXT(Table1[[#This Row],[Order Date]],"mmmm")</f>
        <v>March</v>
      </c>
      <c r="X440" s="7" t="str">
        <f>TEXT(Table1[[#This Row],[Order Date]],"yyyy")</f>
        <v>2015</v>
      </c>
      <c r="Y440" s="12">
        <v>42082</v>
      </c>
      <c r="Z440" s="11">
        <v>-45.07</v>
      </c>
      <c r="AA440" s="11">
        <v>14</v>
      </c>
      <c r="AB440" s="11">
        <v>429.33</v>
      </c>
      <c r="AC440" s="11">
        <v>88667</v>
      </c>
      <c r="AD440" s="6" t="str">
        <f>IF(COUNTIF(Returns!$A$2:$A$1635,Orders!AC440)&gt;0,"Returned","Not Returned")</f>
        <v>Not Returned</v>
      </c>
    </row>
    <row r="441" spans="1:30" ht="12.75" customHeight="1" thickTop="1" thickBot="1" x14ac:dyDescent="0.25">
      <c r="A441" s="8">
        <v>18660</v>
      </c>
      <c r="B441" s="1" t="s">
        <v>47</v>
      </c>
      <c r="C441" s="1">
        <v>0.05</v>
      </c>
      <c r="D441" s="1">
        <v>14.56</v>
      </c>
      <c r="E441" s="1">
        <v>3.5</v>
      </c>
      <c r="F441" s="1">
        <v>771</v>
      </c>
      <c r="G441" s="6" t="str">
        <f>IF(COUNTIF(Table1[Customer ID],Table1[[#This Row],[Customer ID]])&gt;1,"Repeat Customer","One-Time Customer")</f>
        <v>Repeat Customer</v>
      </c>
      <c r="H441" s="1" t="s">
        <v>904</v>
      </c>
      <c r="I441" s="1" t="s">
        <v>49</v>
      </c>
      <c r="J441" s="1" t="s">
        <v>58</v>
      </c>
      <c r="K441" s="1" t="s">
        <v>29</v>
      </c>
      <c r="L441" s="1" t="s">
        <v>257</v>
      </c>
      <c r="M441" s="1" t="s">
        <v>59</v>
      </c>
      <c r="N441" s="1" t="s">
        <v>905</v>
      </c>
      <c r="O441" s="1">
        <v>0.57999999999999996</v>
      </c>
      <c r="P441" s="6">
        <f>Table1[[#This Row],[Profit]]/Table1[[#This Row],[Sales]]</f>
        <v>-0.1909986565158979</v>
      </c>
      <c r="Q441" s="1" t="s">
        <v>33</v>
      </c>
      <c r="R441" s="1" t="s">
        <v>34</v>
      </c>
      <c r="S441" s="1" t="s">
        <v>102</v>
      </c>
      <c r="T441" s="1" t="s">
        <v>906</v>
      </c>
      <c r="U441" s="1">
        <v>97068</v>
      </c>
      <c r="V441" s="9">
        <v>42082</v>
      </c>
      <c r="W441" s="13" t="str">
        <f>TEXT(Table1[[#This Row],[Order Date]],"mmmm")</f>
        <v>March</v>
      </c>
      <c r="X441" s="7" t="str">
        <f>TEXT(Table1[[#This Row],[Order Date]],"yyyy")</f>
        <v>2015</v>
      </c>
      <c r="Y441" s="9">
        <v>42084</v>
      </c>
      <c r="Z441" s="1">
        <v>-8.5299999999999994</v>
      </c>
      <c r="AA441" s="1">
        <v>3</v>
      </c>
      <c r="AB441" s="1">
        <v>44.66</v>
      </c>
      <c r="AC441" s="1">
        <v>88667</v>
      </c>
      <c r="AD441" s="6" t="str">
        <f>IF(COUNTIF(Returns!$A$2:$A$1635,Orders!AC441)&gt;0,"Returned","Not Returned")</f>
        <v>Not Returned</v>
      </c>
    </row>
    <row r="442" spans="1:30" ht="12.75" customHeight="1" thickTop="1" thickBot="1" x14ac:dyDescent="0.25">
      <c r="A442" s="10">
        <v>18661</v>
      </c>
      <c r="B442" s="11" t="s">
        <v>47</v>
      </c>
      <c r="C442" s="11">
        <v>0</v>
      </c>
      <c r="D442" s="11">
        <v>299.99</v>
      </c>
      <c r="E442" s="11">
        <v>11.64</v>
      </c>
      <c r="F442" s="11">
        <v>771</v>
      </c>
      <c r="G442" s="6" t="str">
        <f>IF(COUNTIF(Table1[Customer ID],Table1[[#This Row],[Customer ID]])&gt;1,"Repeat Customer","One-Time Customer")</f>
        <v>Repeat Customer</v>
      </c>
      <c r="H442" s="11" t="s">
        <v>904</v>
      </c>
      <c r="I442" s="11" t="s">
        <v>49</v>
      </c>
      <c r="J442" s="11" t="s">
        <v>58</v>
      </c>
      <c r="K442" s="11" t="s">
        <v>77</v>
      </c>
      <c r="L442" s="11" t="s">
        <v>587</v>
      </c>
      <c r="M442" s="11" t="s">
        <v>236</v>
      </c>
      <c r="N442" s="11" t="s">
        <v>907</v>
      </c>
      <c r="O442" s="11">
        <v>0.5</v>
      </c>
      <c r="P442" s="6">
        <f>Table1[[#This Row],[Profit]]/Table1[[#This Row],[Sales]]</f>
        <v>0.17651779375906662</v>
      </c>
      <c r="Q442" s="11" t="s">
        <v>33</v>
      </c>
      <c r="R442" s="11" t="s">
        <v>34</v>
      </c>
      <c r="S442" s="11" t="s">
        <v>102</v>
      </c>
      <c r="T442" s="11" t="s">
        <v>906</v>
      </c>
      <c r="U442" s="11">
        <v>97068</v>
      </c>
      <c r="V442" s="12">
        <v>42082</v>
      </c>
      <c r="W442" s="13" t="str">
        <f>TEXT(Table1[[#This Row],[Order Date]],"mmmm")</f>
        <v>March</v>
      </c>
      <c r="X442" s="7" t="str">
        <f>TEXT(Table1[[#This Row],[Order Date]],"yyyy")</f>
        <v>2015</v>
      </c>
      <c r="Y442" s="12">
        <v>42084</v>
      </c>
      <c r="Z442" s="11">
        <v>285.95</v>
      </c>
      <c r="AA442" s="11">
        <v>5</v>
      </c>
      <c r="AB442" s="11">
        <v>1619.95</v>
      </c>
      <c r="AC442" s="11">
        <v>88667</v>
      </c>
      <c r="AD442" s="6" t="str">
        <f>IF(COUNTIF(Returns!$A$2:$A$1635,Orders!AC442)&gt;0,"Returned","Not Returned")</f>
        <v>Not Returned</v>
      </c>
    </row>
    <row r="443" spans="1:30" ht="12.75" customHeight="1" thickTop="1" thickBot="1" x14ac:dyDescent="0.25">
      <c r="A443" s="8">
        <v>22875</v>
      </c>
      <c r="B443" s="1" t="s">
        <v>47</v>
      </c>
      <c r="C443" s="1">
        <v>0.08</v>
      </c>
      <c r="D443" s="1">
        <v>7.77</v>
      </c>
      <c r="E443" s="1">
        <v>9.23</v>
      </c>
      <c r="F443" s="1">
        <v>772</v>
      </c>
      <c r="G443" s="6" t="str">
        <f>IF(COUNTIF(Table1[Customer ID],Table1[[#This Row],[Customer ID]])&gt;1,"Repeat Customer","One-Time Customer")</f>
        <v>Repeat Customer</v>
      </c>
      <c r="H443" s="1" t="s">
        <v>908</v>
      </c>
      <c r="I443" s="1" t="s">
        <v>49</v>
      </c>
      <c r="J443" s="1" t="s">
        <v>58</v>
      </c>
      <c r="K443" s="1" t="s">
        <v>29</v>
      </c>
      <c r="L443" s="1" t="s">
        <v>257</v>
      </c>
      <c r="M443" s="1" t="s">
        <v>59</v>
      </c>
      <c r="N443" s="1" t="s">
        <v>442</v>
      </c>
      <c r="O443" s="1">
        <v>0.57999999999999996</v>
      </c>
      <c r="P443" s="6">
        <f>Table1[[#This Row],[Profit]]/Table1[[#This Row],[Sales]]</f>
        <v>-3.7074769666902907</v>
      </c>
      <c r="Q443" s="1" t="s">
        <v>33</v>
      </c>
      <c r="R443" s="1" t="s">
        <v>53</v>
      </c>
      <c r="S443" s="1" t="s">
        <v>234</v>
      </c>
      <c r="T443" s="1" t="s">
        <v>909</v>
      </c>
      <c r="U443" s="1">
        <v>18103</v>
      </c>
      <c r="V443" s="9">
        <v>42018</v>
      </c>
      <c r="W443" s="13" t="str">
        <f>TEXT(Table1[[#This Row],[Order Date]],"mmmm")</f>
        <v>January</v>
      </c>
      <c r="X443" s="7" t="str">
        <f>TEXT(Table1[[#This Row],[Order Date]],"yyyy")</f>
        <v>2015</v>
      </c>
      <c r="Y443" s="9">
        <v>42020</v>
      </c>
      <c r="Z443" s="1">
        <v>-209.25</v>
      </c>
      <c r="AA443" s="1">
        <v>7</v>
      </c>
      <c r="AB443" s="1">
        <v>56.44</v>
      </c>
      <c r="AC443" s="1">
        <v>88666</v>
      </c>
      <c r="AD443" s="6" t="str">
        <f>IF(COUNTIF(Returns!$A$2:$A$1635,Orders!AC443)&gt;0,"Returned","Not Returned")</f>
        <v>Not Returned</v>
      </c>
    </row>
    <row r="444" spans="1:30" ht="12.75" customHeight="1" thickTop="1" thickBot="1" x14ac:dyDescent="0.25">
      <c r="A444" s="10">
        <v>22877</v>
      </c>
      <c r="B444" s="11" t="s">
        <v>47</v>
      </c>
      <c r="C444" s="11">
        <v>0.1</v>
      </c>
      <c r="D444" s="11">
        <v>18.97</v>
      </c>
      <c r="E444" s="11">
        <v>9.5399999999999991</v>
      </c>
      <c r="F444" s="11">
        <v>772</v>
      </c>
      <c r="G444" s="6" t="str">
        <f>IF(COUNTIF(Table1[Customer ID],Table1[[#This Row],[Customer ID]])&gt;1,"Repeat Customer","One-Time Customer")</f>
        <v>Repeat Customer</v>
      </c>
      <c r="H444" s="11" t="s">
        <v>908</v>
      </c>
      <c r="I444" s="11" t="s">
        <v>27</v>
      </c>
      <c r="J444" s="11" t="s">
        <v>58</v>
      </c>
      <c r="K444" s="11" t="s">
        <v>29</v>
      </c>
      <c r="L444" s="11" t="s">
        <v>93</v>
      </c>
      <c r="M444" s="11" t="s">
        <v>59</v>
      </c>
      <c r="N444" s="11" t="s">
        <v>223</v>
      </c>
      <c r="O444" s="11">
        <v>0.37</v>
      </c>
      <c r="P444" s="6">
        <f>Table1[[#This Row],[Profit]]/Table1[[#This Row],[Sales]]</f>
        <v>-0.16153005464480874</v>
      </c>
      <c r="Q444" s="11" t="s">
        <v>33</v>
      </c>
      <c r="R444" s="11" t="s">
        <v>53</v>
      </c>
      <c r="S444" s="11" t="s">
        <v>234</v>
      </c>
      <c r="T444" s="11" t="s">
        <v>909</v>
      </c>
      <c r="U444" s="11">
        <v>18103</v>
      </c>
      <c r="V444" s="12">
        <v>42018</v>
      </c>
      <c r="W444" s="13" t="str">
        <f>TEXT(Table1[[#This Row],[Order Date]],"mmmm")</f>
        <v>January</v>
      </c>
      <c r="X444" s="7" t="str">
        <f>TEXT(Table1[[#This Row],[Order Date]],"yyyy")</f>
        <v>2015</v>
      </c>
      <c r="Y444" s="12">
        <v>42020</v>
      </c>
      <c r="Z444" s="11">
        <v>-9.1635999999999989</v>
      </c>
      <c r="AA444" s="11">
        <v>3</v>
      </c>
      <c r="AB444" s="11">
        <v>56.73</v>
      </c>
      <c r="AC444" s="11">
        <v>88666</v>
      </c>
      <c r="AD444" s="6" t="str">
        <f>IF(COUNTIF(Returns!$A$2:$A$1635,Orders!AC444)&gt;0,"Returned","Not Returned")</f>
        <v>Not Returned</v>
      </c>
    </row>
    <row r="445" spans="1:30" ht="12.75" customHeight="1" thickTop="1" thickBot="1" x14ac:dyDescent="0.25">
      <c r="A445" s="8">
        <v>20967</v>
      </c>
      <c r="B445" s="1" t="s">
        <v>106</v>
      </c>
      <c r="C445" s="1">
        <v>0.02</v>
      </c>
      <c r="D445" s="1">
        <v>4.0599999999999996</v>
      </c>
      <c r="E445" s="1">
        <v>6.89</v>
      </c>
      <c r="F445" s="1">
        <v>772</v>
      </c>
      <c r="G445" s="6" t="str">
        <f>IF(COUNTIF(Table1[Customer ID],Table1[[#This Row],[Customer ID]])&gt;1,"Repeat Customer","One-Time Customer")</f>
        <v>Repeat Customer</v>
      </c>
      <c r="H445" s="1" t="s">
        <v>908</v>
      </c>
      <c r="I445" s="1" t="s">
        <v>27</v>
      </c>
      <c r="J445" s="1" t="s">
        <v>58</v>
      </c>
      <c r="K445" s="1" t="s">
        <v>29</v>
      </c>
      <c r="L445" s="1" t="s">
        <v>257</v>
      </c>
      <c r="M445" s="1" t="s">
        <v>59</v>
      </c>
      <c r="N445" s="1" t="s">
        <v>910</v>
      </c>
      <c r="O445" s="1">
        <v>0.6</v>
      </c>
      <c r="P445" s="6">
        <f>Table1[[#This Row],[Profit]]/Table1[[#This Row],[Sales]]</f>
        <v>0.19726750504580062</v>
      </c>
      <c r="Q445" s="1" t="s">
        <v>33</v>
      </c>
      <c r="R445" s="1" t="s">
        <v>53</v>
      </c>
      <c r="S445" s="1" t="s">
        <v>234</v>
      </c>
      <c r="T445" s="1" t="s">
        <v>909</v>
      </c>
      <c r="U445" s="1">
        <v>18103</v>
      </c>
      <c r="V445" s="9">
        <v>42141</v>
      </c>
      <c r="W445" s="13" t="str">
        <f>TEXT(Table1[[#This Row],[Order Date]],"mmmm")</f>
        <v>May</v>
      </c>
      <c r="X445" s="7" t="str">
        <f>TEXT(Table1[[#This Row],[Order Date]],"yyyy")</f>
        <v>2015</v>
      </c>
      <c r="Y445" s="9">
        <v>42145</v>
      </c>
      <c r="Z445" s="1">
        <v>12.706000000000017</v>
      </c>
      <c r="AA445" s="1">
        <v>12</v>
      </c>
      <c r="AB445" s="1">
        <v>64.41</v>
      </c>
      <c r="AC445" s="1">
        <v>88668</v>
      </c>
      <c r="AD445" s="6" t="str">
        <f>IF(COUNTIF(Returns!$A$2:$A$1635,Orders!AC445)&gt;0,"Returned","Not Returned")</f>
        <v>Not Returned</v>
      </c>
    </row>
    <row r="446" spans="1:30" ht="12.75" customHeight="1" thickTop="1" thickBot="1" x14ac:dyDescent="0.25">
      <c r="A446" s="10">
        <v>20968</v>
      </c>
      <c r="B446" s="11" t="s">
        <v>106</v>
      </c>
      <c r="C446" s="11">
        <v>7.0000000000000007E-2</v>
      </c>
      <c r="D446" s="11">
        <v>9.49</v>
      </c>
      <c r="E446" s="11">
        <v>5.76</v>
      </c>
      <c r="F446" s="11">
        <v>772</v>
      </c>
      <c r="G446" s="6" t="str">
        <f>IF(COUNTIF(Table1[Customer ID],Table1[[#This Row],[Customer ID]])&gt;1,"Repeat Customer","One-Time Customer")</f>
        <v>Repeat Customer</v>
      </c>
      <c r="H446" s="11" t="s">
        <v>908</v>
      </c>
      <c r="I446" s="11" t="s">
        <v>49</v>
      </c>
      <c r="J446" s="11" t="s">
        <v>58</v>
      </c>
      <c r="K446" s="11" t="s">
        <v>77</v>
      </c>
      <c r="L446" s="11" t="s">
        <v>85</v>
      </c>
      <c r="M446" s="11" t="s">
        <v>86</v>
      </c>
      <c r="N446" s="11" t="s">
        <v>911</v>
      </c>
      <c r="O446" s="11">
        <v>0.39</v>
      </c>
      <c r="P446" s="6">
        <f>Table1[[#This Row],[Profit]]/Table1[[#This Row],[Sales]]</f>
        <v>2.2390689845314463E-2</v>
      </c>
      <c r="Q446" s="11" t="s">
        <v>33</v>
      </c>
      <c r="R446" s="11" t="s">
        <v>53</v>
      </c>
      <c r="S446" s="11" t="s">
        <v>234</v>
      </c>
      <c r="T446" s="11" t="s">
        <v>909</v>
      </c>
      <c r="U446" s="11">
        <v>18103</v>
      </c>
      <c r="V446" s="12">
        <v>42141</v>
      </c>
      <c r="W446" s="13" t="str">
        <f>TEXT(Table1[[#This Row],[Order Date]],"mmmm")</f>
        <v>May</v>
      </c>
      <c r="X446" s="7" t="str">
        <f>TEXT(Table1[[#This Row],[Order Date]],"yyyy")</f>
        <v>2015</v>
      </c>
      <c r="Y446" s="12">
        <v>42145</v>
      </c>
      <c r="Z446" s="11">
        <v>7.7151600000000045</v>
      </c>
      <c r="AA446" s="11">
        <v>37</v>
      </c>
      <c r="AB446" s="11">
        <v>344.57</v>
      </c>
      <c r="AC446" s="11">
        <v>88668</v>
      </c>
      <c r="AD446" s="6" t="str">
        <f>IF(COUNTIF(Returns!$A$2:$A$1635,Orders!AC446)&gt;0,"Returned","Not Returned")</f>
        <v>Not Returned</v>
      </c>
    </row>
    <row r="447" spans="1:30" ht="12.75" customHeight="1" thickTop="1" thickBot="1" x14ac:dyDescent="0.25">
      <c r="A447" s="8">
        <v>20434</v>
      </c>
      <c r="B447" s="1" t="s">
        <v>25</v>
      </c>
      <c r="C447" s="1">
        <v>0.04</v>
      </c>
      <c r="D447" s="1">
        <v>34.76</v>
      </c>
      <c r="E447" s="1">
        <v>5.49</v>
      </c>
      <c r="F447" s="1">
        <v>782</v>
      </c>
      <c r="G447" s="6" t="str">
        <f>IF(COUNTIF(Table1[Customer ID],Table1[[#This Row],[Customer ID]])&gt;1,"Repeat Customer","One-Time Customer")</f>
        <v>One-Time Customer</v>
      </c>
      <c r="H447" s="1" t="s">
        <v>912</v>
      </c>
      <c r="I447" s="1" t="s">
        <v>49</v>
      </c>
      <c r="J447" s="1" t="s">
        <v>58</v>
      </c>
      <c r="K447" s="1" t="s">
        <v>29</v>
      </c>
      <c r="L447" s="1" t="s">
        <v>141</v>
      </c>
      <c r="M447" s="1" t="s">
        <v>59</v>
      </c>
      <c r="N447" s="1" t="s">
        <v>913</v>
      </c>
      <c r="O447" s="1">
        <v>0.6</v>
      </c>
      <c r="P447" s="6">
        <f>Table1[[#This Row],[Profit]]/Table1[[#This Row],[Sales]]</f>
        <v>0.69</v>
      </c>
      <c r="Q447" s="1" t="s">
        <v>33</v>
      </c>
      <c r="R447" s="1" t="s">
        <v>34</v>
      </c>
      <c r="S447" s="1" t="s">
        <v>45</v>
      </c>
      <c r="T447" s="1" t="s">
        <v>914</v>
      </c>
      <c r="U447" s="1">
        <v>90604</v>
      </c>
      <c r="V447" s="9">
        <v>42123</v>
      </c>
      <c r="W447" s="13" t="str">
        <f>TEXT(Table1[[#This Row],[Order Date]],"mmmm")</f>
        <v>April</v>
      </c>
      <c r="X447" s="7" t="str">
        <f>TEXT(Table1[[#This Row],[Order Date]],"yyyy")</f>
        <v>2015</v>
      </c>
      <c r="Y447" s="9">
        <v>42124</v>
      </c>
      <c r="Z447" s="1">
        <v>192.51689999999999</v>
      </c>
      <c r="AA447" s="1">
        <v>8</v>
      </c>
      <c r="AB447" s="1">
        <v>279.01</v>
      </c>
      <c r="AC447" s="1">
        <v>90962</v>
      </c>
      <c r="AD447" s="6" t="str">
        <f>IF(COUNTIF(Returns!$A$2:$A$1635,Orders!AC447)&gt;0,"Returned","Not Returned")</f>
        <v>Not Returned</v>
      </c>
    </row>
    <row r="448" spans="1:30" ht="12.75" customHeight="1" thickTop="1" thickBot="1" x14ac:dyDescent="0.25">
      <c r="A448" s="10">
        <v>24773</v>
      </c>
      <c r="B448" s="11" t="s">
        <v>106</v>
      </c>
      <c r="C448" s="11">
        <v>0.02</v>
      </c>
      <c r="D448" s="11">
        <v>100.98</v>
      </c>
      <c r="E448" s="11">
        <v>35.840000000000003</v>
      </c>
      <c r="F448" s="11">
        <v>783</v>
      </c>
      <c r="G448" s="6" t="str">
        <f>IF(COUNTIF(Table1[Customer ID],Table1[[#This Row],[Customer ID]])&gt;1,"Repeat Customer","One-Time Customer")</f>
        <v>One-Time Customer</v>
      </c>
      <c r="H448" s="11" t="s">
        <v>915</v>
      </c>
      <c r="I448" s="11" t="s">
        <v>39</v>
      </c>
      <c r="J448" s="11" t="s">
        <v>58</v>
      </c>
      <c r="K448" s="11" t="s">
        <v>41</v>
      </c>
      <c r="L448" s="11" t="s">
        <v>191</v>
      </c>
      <c r="M448" s="11" t="s">
        <v>121</v>
      </c>
      <c r="N448" s="11" t="s">
        <v>260</v>
      </c>
      <c r="O448" s="11">
        <v>0.62</v>
      </c>
      <c r="P448" s="6">
        <f>Table1[[#This Row],[Profit]]/Table1[[#This Row],[Sales]]</f>
        <v>-0.2193726727263858</v>
      </c>
      <c r="Q448" s="11" t="s">
        <v>33</v>
      </c>
      <c r="R448" s="11" t="s">
        <v>53</v>
      </c>
      <c r="S448" s="11" t="s">
        <v>228</v>
      </c>
      <c r="T448" s="11" t="s">
        <v>916</v>
      </c>
      <c r="U448" s="11">
        <v>6010</v>
      </c>
      <c r="V448" s="12">
        <v>42010</v>
      </c>
      <c r="W448" s="13" t="str">
        <f>TEXT(Table1[[#This Row],[Order Date]],"mmmm")</f>
        <v>January</v>
      </c>
      <c r="X448" s="7" t="str">
        <f>TEXT(Table1[[#This Row],[Order Date]],"yyyy")</f>
        <v>2015</v>
      </c>
      <c r="Y448" s="12">
        <v>42010</v>
      </c>
      <c r="Z448" s="11">
        <v>-134.91200000000001</v>
      </c>
      <c r="AA448" s="11">
        <v>6</v>
      </c>
      <c r="AB448" s="11">
        <v>614.99</v>
      </c>
      <c r="AC448" s="11">
        <v>90961</v>
      </c>
      <c r="AD448" s="6" t="str">
        <f>IF(COUNTIF(Returns!$A$2:$A$1635,Orders!AC448)&gt;0,"Returned","Not Returned")</f>
        <v>Not Returned</v>
      </c>
    </row>
    <row r="449" spans="1:30" ht="12.75" customHeight="1" thickTop="1" thickBot="1" x14ac:dyDescent="0.25">
      <c r="A449" s="8">
        <v>22969</v>
      </c>
      <c r="B449" s="1" t="s">
        <v>56</v>
      </c>
      <c r="C449" s="1">
        <v>0</v>
      </c>
      <c r="D449" s="1">
        <v>8.34</v>
      </c>
      <c r="E449" s="1">
        <v>4.82</v>
      </c>
      <c r="F449" s="1">
        <v>786</v>
      </c>
      <c r="G449" s="6" t="str">
        <f>IF(COUNTIF(Table1[Customer ID],Table1[[#This Row],[Customer ID]])&gt;1,"Repeat Customer","One-Time Customer")</f>
        <v>One-Time Customer</v>
      </c>
      <c r="H449" s="1" t="s">
        <v>917</v>
      </c>
      <c r="I449" s="1" t="s">
        <v>49</v>
      </c>
      <c r="J449" s="1" t="s">
        <v>40</v>
      </c>
      <c r="K449" s="1" t="s">
        <v>29</v>
      </c>
      <c r="L449" s="1" t="s">
        <v>93</v>
      </c>
      <c r="M449" s="1" t="s">
        <v>59</v>
      </c>
      <c r="N449" s="1" t="s">
        <v>918</v>
      </c>
      <c r="O449" s="1">
        <v>0.4</v>
      </c>
      <c r="P449" s="6">
        <f>Table1[[#This Row],[Profit]]/Table1[[#This Row],[Sales]]</f>
        <v>-6.6246884428702607E-2</v>
      </c>
      <c r="Q449" s="1" t="s">
        <v>33</v>
      </c>
      <c r="R449" s="1" t="s">
        <v>34</v>
      </c>
      <c r="S449" s="1" t="s">
        <v>45</v>
      </c>
      <c r="T449" s="1" t="s">
        <v>919</v>
      </c>
      <c r="U449" s="1">
        <v>92691</v>
      </c>
      <c r="V449" s="9">
        <v>42100</v>
      </c>
      <c r="W449" s="13" t="str">
        <f>TEXT(Table1[[#This Row],[Order Date]],"mmmm")</f>
        <v>April</v>
      </c>
      <c r="X449" s="7" t="str">
        <f>TEXT(Table1[[#This Row],[Order Date]],"yyyy")</f>
        <v>2015</v>
      </c>
      <c r="Y449" s="9">
        <v>42101</v>
      </c>
      <c r="Z449" s="1">
        <v>-5.05</v>
      </c>
      <c r="AA449" s="1">
        <v>9</v>
      </c>
      <c r="AB449" s="1">
        <v>76.23</v>
      </c>
      <c r="AC449" s="1">
        <v>91513</v>
      </c>
      <c r="AD449" s="6" t="str">
        <f>IF(COUNTIF(Returns!$A$2:$A$1635,Orders!AC449)&gt;0,"Returned","Not Returned")</f>
        <v>Not Returned</v>
      </c>
    </row>
    <row r="450" spans="1:30" ht="12.75" customHeight="1" thickTop="1" thickBot="1" x14ac:dyDescent="0.25">
      <c r="A450" s="10">
        <v>24629</v>
      </c>
      <c r="B450" s="11" t="s">
        <v>37</v>
      </c>
      <c r="C450" s="11">
        <v>0.09</v>
      </c>
      <c r="D450" s="11">
        <v>6.48</v>
      </c>
      <c r="E450" s="11">
        <v>9.68</v>
      </c>
      <c r="F450" s="11">
        <v>792</v>
      </c>
      <c r="G450" s="6" t="str">
        <f>IF(COUNTIF(Table1[Customer ID],Table1[[#This Row],[Customer ID]])&gt;1,"Repeat Customer","One-Time Customer")</f>
        <v>One-Time Customer</v>
      </c>
      <c r="H450" s="11" t="s">
        <v>920</v>
      </c>
      <c r="I450" s="11" t="s">
        <v>49</v>
      </c>
      <c r="J450" s="11" t="s">
        <v>28</v>
      </c>
      <c r="K450" s="11" t="s">
        <v>29</v>
      </c>
      <c r="L450" s="11" t="s">
        <v>93</v>
      </c>
      <c r="M450" s="11" t="s">
        <v>59</v>
      </c>
      <c r="N450" s="11" t="s">
        <v>921</v>
      </c>
      <c r="O450" s="11">
        <v>0.36</v>
      </c>
      <c r="P450" s="6">
        <f>Table1[[#This Row],[Profit]]/Table1[[#This Row],[Sales]]</f>
        <v>-2.0432345876701361</v>
      </c>
      <c r="Q450" s="11" t="s">
        <v>33</v>
      </c>
      <c r="R450" s="11" t="s">
        <v>61</v>
      </c>
      <c r="S450" s="11" t="s">
        <v>304</v>
      </c>
      <c r="T450" s="11" t="s">
        <v>922</v>
      </c>
      <c r="U450" s="11">
        <v>73064</v>
      </c>
      <c r="V450" s="12">
        <v>42176</v>
      </c>
      <c r="W450" s="13" t="str">
        <f>TEXT(Table1[[#This Row],[Order Date]],"mmmm")</f>
        <v>June</v>
      </c>
      <c r="X450" s="7" t="str">
        <f>TEXT(Table1[[#This Row],[Order Date]],"yyyy")</f>
        <v>2015</v>
      </c>
      <c r="Y450" s="12">
        <v>42177</v>
      </c>
      <c r="Z450" s="11">
        <v>-204.16</v>
      </c>
      <c r="AA450" s="11">
        <v>16</v>
      </c>
      <c r="AB450" s="11">
        <v>99.92</v>
      </c>
      <c r="AC450" s="11">
        <v>88753</v>
      </c>
      <c r="AD450" s="6" t="str">
        <f>IF(COUNTIF(Returns!$A$2:$A$1635,Orders!AC450)&gt;0,"Returned","Not Returned")</f>
        <v>Not Returned</v>
      </c>
    </row>
    <row r="451" spans="1:30" ht="12.75" customHeight="1" thickTop="1" thickBot="1" x14ac:dyDescent="0.25">
      <c r="A451" s="8">
        <v>18347</v>
      </c>
      <c r="B451" s="1" t="s">
        <v>37</v>
      </c>
      <c r="C451" s="1">
        <v>0.06</v>
      </c>
      <c r="D451" s="1">
        <v>8.6</v>
      </c>
      <c r="E451" s="1">
        <v>6.19</v>
      </c>
      <c r="F451" s="1">
        <v>796</v>
      </c>
      <c r="G451" s="6" t="str">
        <f>IF(COUNTIF(Table1[Customer ID],Table1[[#This Row],[Customer ID]])&gt;1,"Repeat Customer","One-Time Customer")</f>
        <v>Repeat Customer</v>
      </c>
      <c r="H451" s="1" t="s">
        <v>923</v>
      </c>
      <c r="I451" s="1" t="s">
        <v>49</v>
      </c>
      <c r="J451" s="1" t="s">
        <v>28</v>
      </c>
      <c r="K451" s="1" t="s">
        <v>29</v>
      </c>
      <c r="L451" s="1" t="s">
        <v>109</v>
      </c>
      <c r="M451" s="1" t="s">
        <v>59</v>
      </c>
      <c r="N451" s="1" t="s">
        <v>924</v>
      </c>
      <c r="O451" s="1">
        <v>0.38</v>
      </c>
      <c r="P451" s="6">
        <f>Table1[[#This Row],[Profit]]/Table1[[#This Row],[Sales]]</f>
        <v>-0.58079345088161205</v>
      </c>
      <c r="Q451" s="1" t="s">
        <v>33</v>
      </c>
      <c r="R451" s="1" t="s">
        <v>61</v>
      </c>
      <c r="S451" s="1" t="s">
        <v>496</v>
      </c>
      <c r="T451" s="1" t="s">
        <v>808</v>
      </c>
      <c r="U451" s="1">
        <v>68046</v>
      </c>
      <c r="V451" s="9">
        <v>42074</v>
      </c>
      <c r="W451" s="13" t="str">
        <f>TEXT(Table1[[#This Row],[Order Date]],"mmmm")</f>
        <v>March</v>
      </c>
      <c r="X451" s="7" t="str">
        <f>TEXT(Table1[[#This Row],[Order Date]],"yyyy")</f>
        <v>2015</v>
      </c>
      <c r="Y451" s="9">
        <v>42075</v>
      </c>
      <c r="Z451" s="1">
        <v>-46.115000000000002</v>
      </c>
      <c r="AA451" s="1">
        <v>9</v>
      </c>
      <c r="AB451" s="1">
        <v>79.400000000000006</v>
      </c>
      <c r="AC451" s="1">
        <v>86867</v>
      </c>
      <c r="AD451" s="6" t="str">
        <f>IF(COUNTIF(Returns!$A$2:$A$1635,Orders!AC451)&gt;0,"Returned","Not Returned")</f>
        <v>Not Returned</v>
      </c>
    </row>
    <row r="452" spans="1:30" ht="12.75" customHeight="1" thickTop="1" thickBot="1" x14ac:dyDescent="0.25">
      <c r="A452" s="10">
        <v>18184</v>
      </c>
      <c r="B452" s="11" t="s">
        <v>37</v>
      </c>
      <c r="C452" s="11">
        <v>0.1</v>
      </c>
      <c r="D452" s="11">
        <v>14.42</v>
      </c>
      <c r="E452" s="11">
        <v>6.75</v>
      </c>
      <c r="F452" s="11">
        <v>796</v>
      </c>
      <c r="G452" s="6" t="str">
        <f>IF(COUNTIF(Table1[Customer ID],Table1[[#This Row],[Customer ID]])&gt;1,"Repeat Customer","One-Time Customer")</f>
        <v>Repeat Customer</v>
      </c>
      <c r="H452" s="11" t="s">
        <v>923</v>
      </c>
      <c r="I452" s="11" t="s">
        <v>49</v>
      </c>
      <c r="J452" s="11" t="s">
        <v>28</v>
      </c>
      <c r="K452" s="11" t="s">
        <v>29</v>
      </c>
      <c r="L452" s="11" t="s">
        <v>257</v>
      </c>
      <c r="M452" s="11" t="s">
        <v>86</v>
      </c>
      <c r="N452" s="11" t="s">
        <v>571</v>
      </c>
      <c r="O452" s="11">
        <v>0.52</v>
      </c>
      <c r="P452" s="6">
        <f>Table1[[#This Row],[Profit]]/Table1[[#This Row],[Sales]]</f>
        <v>-1.2978695932859909</v>
      </c>
      <c r="Q452" s="11" t="s">
        <v>33</v>
      </c>
      <c r="R452" s="11" t="s">
        <v>61</v>
      </c>
      <c r="S452" s="11" t="s">
        <v>496</v>
      </c>
      <c r="T452" s="11" t="s">
        <v>808</v>
      </c>
      <c r="U452" s="11">
        <v>68046</v>
      </c>
      <c r="V452" s="12">
        <v>42174</v>
      </c>
      <c r="W452" s="13" t="str">
        <f>TEXT(Table1[[#This Row],[Order Date]],"mmmm")</f>
        <v>June</v>
      </c>
      <c r="X452" s="7" t="str">
        <f>TEXT(Table1[[#This Row],[Order Date]],"yyyy")</f>
        <v>2015</v>
      </c>
      <c r="Y452" s="12">
        <v>42177</v>
      </c>
      <c r="Z452" s="11">
        <v>-20.103999999999999</v>
      </c>
      <c r="AA452" s="11">
        <v>1</v>
      </c>
      <c r="AB452" s="11">
        <v>15.49</v>
      </c>
      <c r="AC452" s="11">
        <v>86869</v>
      </c>
      <c r="AD452" s="6" t="str">
        <f>IF(COUNTIF(Returns!$A$2:$A$1635,Orders!AC452)&gt;0,"Returned","Not Returned")</f>
        <v>Not Returned</v>
      </c>
    </row>
    <row r="453" spans="1:30" ht="12.75" customHeight="1" thickTop="1" thickBot="1" x14ac:dyDescent="0.25">
      <c r="A453" s="8">
        <v>19011</v>
      </c>
      <c r="B453" s="1" t="s">
        <v>37</v>
      </c>
      <c r="C453" s="1">
        <v>0.04</v>
      </c>
      <c r="D453" s="1">
        <v>9.11</v>
      </c>
      <c r="E453" s="1">
        <v>2.25</v>
      </c>
      <c r="F453" s="1">
        <v>797</v>
      </c>
      <c r="G453" s="6" t="str">
        <f>IF(COUNTIF(Table1[Customer ID],Table1[[#This Row],[Customer ID]])&gt;1,"Repeat Customer","One-Time Customer")</f>
        <v>Repeat Customer</v>
      </c>
      <c r="H453" s="1" t="s">
        <v>925</v>
      </c>
      <c r="I453" s="1" t="s">
        <v>49</v>
      </c>
      <c r="J453" s="1" t="s">
        <v>28</v>
      </c>
      <c r="K453" s="1" t="s">
        <v>29</v>
      </c>
      <c r="L453" s="1" t="s">
        <v>30</v>
      </c>
      <c r="M453" s="1" t="s">
        <v>31</v>
      </c>
      <c r="N453" s="1" t="s">
        <v>926</v>
      </c>
      <c r="O453" s="1">
        <v>0.52</v>
      </c>
      <c r="P453" s="6">
        <f>Table1[[#This Row],[Profit]]/Table1[[#This Row],[Sales]]</f>
        <v>-0.18805809575040344</v>
      </c>
      <c r="Q453" s="1" t="s">
        <v>33</v>
      </c>
      <c r="R453" s="1" t="s">
        <v>34</v>
      </c>
      <c r="S453" s="1" t="s">
        <v>212</v>
      </c>
      <c r="T453" s="1" t="s">
        <v>927</v>
      </c>
      <c r="U453" s="1">
        <v>84067</v>
      </c>
      <c r="V453" s="9">
        <v>42156</v>
      </c>
      <c r="W453" s="13" t="str">
        <f>TEXT(Table1[[#This Row],[Order Date]],"mmmm")</f>
        <v>June</v>
      </c>
      <c r="X453" s="7" t="str">
        <f>TEXT(Table1[[#This Row],[Order Date]],"yyyy")</f>
        <v>2015</v>
      </c>
      <c r="Y453" s="9">
        <v>42159</v>
      </c>
      <c r="Z453" s="1">
        <v>-3.496</v>
      </c>
      <c r="AA453" s="1">
        <v>2</v>
      </c>
      <c r="AB453" s="1">
        <v>18.59</v>
      </c>
      <c r="AC453" s="1">
        <v>86868</v>
      </c>
      <c r="AD453" s="6" t="str">
        <f>IF(COUNTIF(Returns!$A$2:$A$1635,Orders!AC453)&gt;0,"Returned","Not Returned")</f>
        <v>Not Returned</v>
      </c>
    </row>
    <row r="454" spans="1:30" ht="12.75" customHeight="1" thickTop="1" thickBot="1" x14ac:dyDescent="0.25">
      <c r="A454" s="10">
        <v>19012</v>
      </c>
      <c r="B454" s="11" t="s">
        <v>37</v>
      </c>
      <c r="C454" s="11">
        <v>7.0000000000000007E-2</v>
      </c>
      <c r="D454" s="11">
        <v>64.650000000000006</v>
      </c>
      <c r="E454" s="11">
        <v>35</v>
      </c>
      <c r="F454" s="11">
        <v>797</v>
      </c>
      <c r="G454" s="6" t="str">
        <f>IF(COUNTIF(Table1[Customer ID],Table1[[#This Row],[Customer ID]])&gt;1,"Repeat Customer","One-Time Customer")</f>
        <v>Repeat Customer</v>
      </c>
      <c r="H454" s="11" t="s">
        <v>925</v>
      </c>
      <c r="I454" s="11" t="s">
        <v>49</v>
      </c>
      <c r="J454" s="11" t="s">
        <v>28</v>
      </c>
      <c r="K454" s="11" t="s">
        <v>29</v>
      </c>
      <c r="L454" s="11" t="s">
        <v>141</v>
      </c>
      <c r="M454" s="11" t="s">
        <v>236</v>
      </c>
      <c r="N454" s="11" t="s">
        <v>928</v>
      </c>
      <c r="O454" s="11">
        <v>0.8</v>
      </c>
      <c r="P454" s="6">
        <f>Table1[[#This Row],[Profit]]/Table1[[#This Row],[Sales]]</f>
        <v>-0.85971609437943597</v>
      </c>
      <c r="Q454" s="11" t="s">
        <v>33</v>
      </c>
      <c r="R454" s="11" t="s">
        <v>34</v>
      </c>
      <c r="S454" s="11" t="s">
        <v>212</v>
      </c>
      <c r="T454" s="11" t="s">
        <v>927</v>
      </c>
      <c r="U454" s="11">
        <v>84067</v>
      </c>
      <c r="V454" s="12">
        <v>42156</v>
      </c>
      <c r="W454" s="13" t="str">
        <f>TEXT(Table1[[#This Row],[Order Date]],"mmmm")</f>
        <v>June</v>
      </c>
      <c r="X454" s="7" t="str">
        <f>TEXT(Table1[[#This Row],[Order Date]],"yyyy")</f>
        <v>2015</v>
      </c>
      <c r="Y454" s="12">
        <v>42158</v>
      </c>
      <c r="Z454" s="11">
        <v>-717.072</v>
      </c>
      <c r="AA454" s="11">
        <v>13</v>
      </c>
      <c r="AB454" s="11">
        <v>834.08</v>
      </c>
      <c r="AC454" s="11">
        <v>86868</v>
      </c>
      <c r="AD454" s="6" t="str">
        <f>IF(COUNTIF(Returns!$A$2:$A$1635,Orders!AC454)&gt;0,"Returned","Not Returned")</f>
        <v>Not Returned</v>
      </c>
    </row>
    <row r="455" spans="1:30" ht="12.75" customHeight="1" thickTop="1" thickBot="1" x14ac:dyDescent="0.25">
      <c r="A455" s="8">
        <v>24851</v>
      </c>
      <c r="B455" s="1" t="s">
        <v>106</v>
      </c>
      <c r="C455" s="1">
        <v>0.09</v>
      </c>
      <c r="D455" s="1">
        <v>6.48</v>
      </c>
      <c r="E455" s="1">
        <v>6.86</v>
      </c>
      <c r="F455" s="1">
        <v>797</v>
      </c>
      <c r="G455" s="6" t="str">
        <f>IF(COUNTIF(Table1[Customer ID],Table1[[#This Row],[Customer ID]])&gt;1,"Repeat Customer","One-Time Customer")</f>
        <v>Repeat Customer</v>
      </c>
      <c r="H455" s="1" t="s">
        <v>925</v>
      </c>
      <c r="I455" s="1" t="s">
        <v>49</v>
      </c>
      <c r="J455" s="1" t="s">
        <v>28</v>
      </c>
      <c r="K455" s="1" t="s">
        <v>29</v>
      </c>
      <c r="L455" s="1" t="s">
        <v>93</v>
      </c>
      <c r="M455" s="1" t="s">
        <v>59</v>
      </c>
      <c r="N455" s="1" t="s">
        <v>929</v>
      </c>
      <c r="O455" s="1">
        <v>0.37</v>
      </c>
      <c r="P455" s="6">
        <f>Table1[[#This Row],[Profit]]/Table1[[#This Row],[Sales]]</f>
        <v>-1.223073899371069</v>
      </c>
      <c r="Q455" s="1" t="s">
        <v>33</v>
      </c>
      <c r="R455" s="1" t="s">
        <v>34</v>
      </c>
      <c r="S455" s="1" t="s">
        <v>212</v>
      </c>
      <c r="T455" s="1" t="s">
        <v>927</v>
      </c>
      <c r="U455" s="1">
        <v>84067</v>
      </c>
      <c r="V455" s="9">
        <v>42069</v>
      </c>
      <c r="W455" s="13" t="str">
        <f>TEXT(Table1[[#This Row],[Order Date]],"mmmm")</f>
        <v>March</v>
      </c>
      <c r="X455" s="7" t="str">
        <f>TEXT(Table1[[#This Row],[Order Date]],"yyyy")</f>
        <v>2015</v>
      </c>
      <c r="Y455" s="9">
        <v>42071</v>
      </c>
      <c r="Z455" s="1">
        <v>-62.23</v>
      </c>
      <c r="AA455" s="1">
        <v>8</v>
      </c>
      <c r="AB455" s="1">
        <v>50.88</v>
      </c>
      <c r="AC455" s="1">
        <v>86870</v>
      </c>
      <c r="AD455" s="6" t="str">
        <f>IF(COUNTIF(Returns!$A$2:$A$1635,Orders!AC455)&gt;0,"Returned","Not Returned")</f>
        <v>Not Returned</v>
      </c>
    </row>
    <row r="456" spans="1:30" ht="12.75" customHeight="1" thickTop="1" thickBot="1" x14ac:dyDescent="0.25">
      <c r="A456" s="10">
        <v>20001</v>
      </c>
      <c r="B456" s="11" t="s">
        <v>37</v>
      </c>
      <c r="C456" s="11">
        <v>0.01</v>
      </c>
      <c r="D456" s="11">
        <v>150.97999999999999</v>
      </c>
      <c r="E456" s="11">
        <v>30</v>
      </c>
      <c r="F456" s="11">
        <v>799</v>
      </c>
      <c r="G456" s="6" t="str">
        <f>IF(COUNTIF(Table1[Customer ID],Table1[[#This Row],[Customer ID]])&gt;1,"Repeat Customer","One-Time Customer")</f>
        <v>Repeat Customer</v>
      </c>
      <c r="H456" s="11" t="s">
        <v>930</v>
      </c>
      <c r="I456" s="11" t="s">
        <v>39</v>
      </c>
      <c r="J456" s="11" t="s">
        <v>114</v>
      </c>
      <c r="K456" s="11" t="s">
        <v>41</v>
      </c>
      <c r="L456" s="11" t="s">
        <v>42</v>
      </c>
      <c r="M456" s="11" t="s">
        <v>43</v>
      </c>
      <c r="N456" s="11" t="s">
        <v>931</v>
      </c>
      <c r="O456" s="11">
        <v>0.74</v>
      </c>
      <c r="P456" s="6">
        <f>Table1[[#This Row],[Profit]]/Table1[[#This Row],[Sales]]</f>
        <v>0.13707614297936271</v>
      </c>
      <c r="Q456" s="11" t="s">
        <v>33</v>
      </c>
      <c r="R456" s="11" t="s">
        <v>136</v>
      </c>
      <c r="S456" s="11" t="s">
        <v>932</v>
      </c>
      <c r="T456" s="11" t="s">
        <v>933</v>
      </c>
      <c r="U456" s="11">
        <v>29915</v>
      </c>
      <c r="V456" s="12">
        <v>42010</v>
      </c>
      <c r="W456" s="13" t="str">
        <f>TEXT(Table1[[#This Row],[Order Date]],"mmmm")</f>
        <v>January</v>
      </c>
      <c r="X456" s="7" t="str">
        <f>TEXT(Table1[[#This Row],[Order Date]],"yyyy")</f>
        <v>2015</v>
      </c>
      <c r="Y456" s="12">
        <v>42012</v>
      </c>
      <c r="Z456" s="11">
        <v>131.38200000000001</v>
      </c>
      <c r="AA456" s="11">
        <v>6</v>
      </c>
      <c r="AB456" s="11">
        <v>958.46</v>
      </c>
      <c r="AC456" s="11">
        <v>89909</v>
      </c>
      <c r="AD456" s="6" t="str">
        <f>IF(COUNTIF(Returns!$A$2:$A$1635,Orders!AC456)&gt;0,"Returned","Not Returned")</f>
        <v>Not Returned</v>
      </c>
    </row>
    <row r="457" spans="1:30" ht="12.75" customHeight="1" thickTop="1" thickBot="1" x14ac:dyDescent="0.25">
      <c r="A457" s="8">
        <v>20002</v>
      </c>
      <c r="B457" s="1" t="s">
        <v>37</v>
      </c>
      <c r="C457" s="1">
        <v>0.01</v>
      </c>
      <c r="D457" s="1">
        <v>28.28</v>
      </c>
      <c r="E457" s="1">
        <v>13.99</v>
      </c>
      <c r="F457" s="1">
        <v>799</v>
      </c>
      <c r="G457" s="6" t="str">
        <f>IF(COUNTIF(Table1[Customer ID],Table1[[#This Row],[Customer ID]])&gt;1,"Repeat Customer","One-Time Customer")</f>
        <v>Repeat Customer</v>
      </c>
      <c r="H457" s="1" t="s">
        <v>930</v>
      </c>
      <c r="I457" s="1" t="s">
        <v>27</v>
      </c>
      <c r="J457" s="1" t="s">
        <v>114</v>
      </c>
      <c r="K457" s="1" t="s">
        <v>29</v>
      </c>
      <c r="L457" s="1" t="s">
        <v>141</v>
      </c>
      <c r="M457" s="1" t="s">
        <v>86</v>
      </c>
      <c r="N457" s="1" t="s">
        <v>934</v>
      </c>
      <c r="O457" s="1">
        <v>0.57999999999999996</v>
      </c>
      <c r="P457" s="6">
        <f>Table1[[#This Row],[Profit]]/Table1[[#This Row],[Sales]]</f>
        <v>-0.2420887105520009</v>
      </c>
      <c r="Q457" s="1" t="s">
        <v>33</v>
      </c>
      <c r="R457" s="1" t="s">
        <v>136</v>
      </c>
      <c r="S457" s="1" t="s">
        <v>932</v>
      </c>
      <c r="T457" s="1" t="s">
        <v>933</v>
      </c>
      <c r="U457" s="1">
        <v>29915</v>
      </c>
      <c r="V457" s="9">
        <v>42010</v>
      </c>
      <c r="W457" s="13" t="str">
        <f>TEXT(Table1[[#This Row],[Order Date]],"mmmm")</f>
        <v>January</v>
      </c>
      <c r="X457" s="7" t="str">
        <f>TEXT(Table1[[#This Row],[Order Date]],"yyyy")</f>
        <v>2015</v>
      </c>
      <c r="Y457" s="9">
        <v>42012</v>
      </c>
      <c r="Z457" s="1">
        <v>-89.292000000000002</v>
      </c>
      <c r="AA457" s="1">
        <v>12</v>
      </c>
      <c r="AB457" s="1">
        <v>368.84</v>
      </c>
      <c r="AC457" s="1">
        <v>89909</v>
      </c>
      <c r="AD457" s="6" t="str">
        <f>IF(COUNTIF(Returns!$A$2:$A$1635,Orders!AC457)&gt;0,"Returned","Not Returned")</f>
        <v>Not Returned</v>
      </c>
    </row>
    <row r="458" spans="1:30" ht="12.75" customHeight="1" thickTop="1" thickBot="1" x14ac:dyDescent="0.25">
      <c r="A458" s="10">
        <v>20003</v>
      </c>
      <c r="B458" s="11" t="s">
        <v>37</v>
      </c>
      <c r="C458" s="11">
        <v>0.03</v>
      </c>
      <c r="D458" s="11">
        <v>35.99</v>
      </c>
      <c r="E458" s="11">
        <v>1.1000000000000001</v>
      </c>
      <c r="F458" s="11">
        <v>799</v>
      </c>
      <c r="G458" s="6" t="str">
        <f>IF(COUNTIF(Table1[Customer ID],Table1[[#This Row],[Customer ID]])&gt;1,"Repeat Customer","One-Time Customer")</f>
        <v>Repeat Customer</v>
      </c>
      <c r="H458" s="11" t="s">
        <v>930</v>
      </c>
      <c r="I458" s="11" t="s">
        <v>49</v>
      </c>
      <c r="J458" s="11" t="s">
        <v>114</v>
      </c>
      <c r="K458" s="11" t="s">
        <v>77</v>
      </c>
      <c r="L458" s="11" t="s">
        <v>78</v>
      </c>
      <c r="M458" s="11" t="s">
        <v>59</v>
      </c>
      <c r="N458" s="11" t="s">
        <v>935</v>
      </c>
      <c r="O458" s="11">
        <v>0.55000000000000004</v>
      </c>
      <c r="P458" s="6">
        <f>Table1[[#This Row],[Profit]]/Table1[[#This Row],[Sales]]</f>
        <v>-6.8384964355152302</v>
      </c>
      <c r="Q458" s="11" t="s">
        <v>33</v>
      </c>
      <c r="R458" s="11" t="s">
        <v>136</v>
      </c>
      <c r="S458" s="11" t="s">
        <v>932</v>
      </c>
      <c r="T458" s="11" t="s">
        <v>933</v>
      </c>
      <c r="U458" s="11">
        <v>29915</v>
      </c>
      <c r="V458" s="12">
        <v>42010</v>
      </c>
      <c r="W458" s="13" t="str">
        <f>TEXT(Table1[[#This Row],[Order Date]],"mmmm")</f>
        <v>January</v>
      </c>
      <c r="X458" s="7" t="str">
        <f>TEXT(Table1[[#This Row],[Order Date]],"yyyy")</f>
        <v>2015</v>
      </c>
      <c r="Y458" s="12">
        <v>42011</v>
      </c>
      <c r="Z458" s="11">
        <v>-211.036</v>
      </c>
      <c r="AA458" s="11">
        <v>1</v>
      </c>
      <c r="AB458" s="11">
        <v>30.86</v>
      </c>
      <c r="AC458" s="11">
        <v>89909</v>
      </c>
      <c r="AD458" s="6" t="str">
        <f>IF(COUNTIF(Returns!$A$2:$A$1635,Orders!AC458)&gt;0,"Returned","Not Returned")</f>
        <v>Not Returned</v>
      </c>
    </row>
    <row r="459" spans="1:30" ht="12.75" customHeight="1" thickTop="1" thickBot="1" x14ac:dyDescent="0.25">
      <c r="A459" s="8">
        <v>19265</v>
      </c>
      <c r="B459" s="1" t="s">
        <v>106</v>
      </c>
      <c r="C459" s="1">
        <v>0.04</v>
      </c>
      <c r="D459" s="1">
        <v>50.98</v>
      </c>
      <c r="E459" s="1">
        <v>6.5</v>
      </c>
      <c r="F459" s="1">
        <v>800</v>
      </c>
      <c r="G459" s="6" t="str">
        <f>IF(COUNTIF(Table1[Customer ID],Table1[[#This Row],[Customer ID]])&gt;1,"Repeat Customer","One-Time Customer")</f>
        <v>Repeat Customer</v>
      </c>
      <c r="H459" s="1" t="s">
        <v>936</v>
      </c>
      <c r="I459" s="1" t="s">
        <v>49</v>
      </c>
      <c r="J459" s="1" t="s">
        <v>114</v>
      </c>
      <c r="K459" s="1" t="s">
        <v>77</v>
      </c>
      <c r="L459" s="1" t="s">
        <v>180</v>
      </c>
      <c r="M459" s="1" t="s">
        <v>59</v>
      </c>
      <c r="N459" s="1" t="s">
        <v>937</v>
      </c>
      <c r="O459" s="1">
        <v>0.73</v>
      </c>
      <c r="P459" s="6">
        <f>Table1[[#This Row],[Profit]]/Table1[[#This Row],[Sales]]</f>
        <v>-2.3369995600527934E-2</v>
      </c>
      <c r="Q459" s="1" t="s">
        <v>33</v>
      </c>
      <c r="R459" s="1" t="s">
        <v>34</v>
      </c>
      <c r="S459" s="1" t="s">
        <v>212</v>
      </c>
      <c r="T459" s="1" t="s">
        <v>927</v>
      </c>
      <c r="U459" s="1">
        <v>84067</v>
      </c>
      <c r="V459" s="9">
        <v>42091</v>
      </c>
      <c r="W459" s="13" t="str">
        <f>TEXT(Table1[[#This Row],[Order Date]],"mmmm")</f>
        <v>March</v>
      </c>
      <c r="X459" s="7" t="str">
        <f>TEXT(Table1[[#This Row],[Order Date]],"yyyy")</f>
        <v>2015</v>
      </c>
      <c r="Y459" s="9">
        <v>42097</v>
      </c>
      <c r="Z459" s="1">
        <v>-13.28</v>
      </c>
      <c r="AA459" s="1">
        <v>11</v>
      </c>
      <c r="AB459" s="1">
        <v>568.25</v>
      </c>
      <c r="AC459" s="1">
        <v>89910</v>
      </c>
      <c r="AD459" s="6" t="str">
        <f>IF(COUNTIF(Returns!$A$2:$A$1635,Orders!AC459)&gt;0,"Returned","Not Returned")</f>
        <v>Not Returned</v>
      </c>
    </row>
    <row r="460" spans="1:30" ht="12.75" customHeight="1" thickTop="1" thickBot="1" x14ac:dyDescent="0.25">
      <c r="A460" s="10">
        <v>19266</v>
      </c>
      <c r="B460" s="11" t="s">
        <v>106</v>
      </c>
      <c r="C460" s="11">
        <v>0.02</v>
      </c>
      <c r="D460" s="11">
        <v>6.48</v>
      </c>
      <c r="E460" s="11">
        <v>5.14</v>
      </c>
      <c r="F460" s="11">
        <v>800</v>
      </c>
      <c r="G460" s="6" t="str">
        <f>IF(COUNTIF(Table1[Customer ID],Table1[[#This Row],[Customer ID]])&gt;1,"Repeat Customer","One-Time Customer")</f>
        <v>Repeat Customer</v>
      </c>
      <c r="H460" s="11" t="s">
        <v>936</v>
      </c>
      <c r="I460" s="11" t="s">
        <v>49</v>
      </c>
      <c r="J460" s="11" t="s">
        <v>114</v>
      </c>
      <c r="K460" s="11" t="s">
        <v>29</v>
      </c>
      <c r="L460" s="11" t="s">
        <v>93</v>
      </c>
      <c r="M460" s="11" t="s">
        <v>59</v>
      </c>
      <c r="N460" s="11" t="s">
        <v>938</v>
      </c>
      <c r="O460" s="11">
        <v>0.37</v>
      </c>
      <c r="P460" s="6">
        <f>Table1[[#This Row],[Profit]]/Table1[[#This Row],[Sales]]</f>
        <v>-0.38433601768514131</v>
      </c>
      <c r="Q460" s="11" t="s">
        <v>33</v>
      </c>
      <c r="R460" s="11" t="s">
        <v>34</v>
      </c>
      <c r="S460" s="11" t="s">
        <v>212</v>
      </c>
      <c r="T460" s="11" t="s">
        <v>927</v>
      </c>
      <c r="U460" s="11">
        <v>84067</v>
      </c>
      <c r="V460" s="12">
        <v>42091</v>
      </c>
      <c r="W460" s="13" t="str">
        <f>TEXT(Table1[[#This Row],[Order Date]],"mmmm")</f>
        <v>March</v>
      </c>
      <c r="X460" s="7" t="str">
        <f>TEXT(Table1[[#This Row],[Order Date]],"yyyy")</f>
        <v>2015</v>
      </c>
      <c r="Y460" s="12">
        <v>42093</v>
      </c>
      <c r="Z460" s="11">
        <v>-48.68</v>
      </c>
      <c r="AA460" s="11">
        <v>19</v>
      </c>
      <c r="AB460" s="11">
        <v>126.66</v>
      </c>
      <c r="AC460" s="11">
        <v>89910</v>
      </c>
      <c r="AD460" s="6" t="str">
        <f>IF(COUNTIF(Returns!$A$2:$A$1635,Orders!AC460)&gt;0,"Returned","Not Returned")</f>
        <v>Not Returned</v>
      </c>
    </row>
    <row r="461" spans="1:30" ht="12.75" customHeight="1" thickTop="1" thickBot="1" x14ac:dyDescent="0.25">
      <c r="A461" s="8">
        <v>22484</v>
      </c>
      <c r="B461" s="1" t="s">
        <v>56</v>
      </c>
      <c r="C461" s="1">
        <v>0.03</v>
      </c>
      <c r="D461" s="1">
        <v>35.99</v>
      </c>
      <c r="E461" s="1">
        <v>5</v>
      </c>
      <c r="F461" s="1">
        <v>803</v>
      </c>
      <c r="G461" s="6" t="str">
        <f>IF(COUNTIF(Table1[Customer ID],Table1[[#This Row],[Customer ID]])&gt;1,"Repeat Customer","One-Time Customer")</f>
        <v>One-Time Customer</v>
      </c>
      <c r="H461" s="1" t="s">
        <v>939</v>
      </c>
      <c r="I461" s="1" t="s">
        <v>49</v>
      </c>
      <c r="J461" s="1" t="s">
        <v>58</v>
      </c>
      <c r="K461" s="1" t="s">
        <v>77</v>
      </c>
      <c r="L461" s="1" t="s">
        <v>78</v>
      </c>
      <c r="M461" s="1" t="s">
        <v>59</v>
      </c>
      <c r="N461" s="1" t="s">
        <v>717</v>
      </c>
      <c r="O461" s="1">
        <v>0.85</v>
      </c>
      <c r="P461" s="6">
        <f>Table1[[#This Row],[Profit]]/Table1[[#This Row],[Sales]]</f>
        <v>-1.9670432743551483</v>
      </c>
      <c r="Q461" s="1" t="s">
        <v>33</v>
      </c>
      <c r="R461" s="1" t="s">
        <v>136</v>
      </c>
      <c r="S461" s="1" t="s">
        <v>362</v>
      </c>
      <c r="T461" s="1" t="s">
        <v>940</v>
      </c>
      <c r="U461" s="1">
        <v>32168</v>
      </c>
      <c r="V461" s="9">
        <v>42123</v>
      </c>
      <c r="W461" s="13" t="str">
        <f>TEXT(Table1[[#This Row],[Order Date]],"mmmm")</f>
        <v>April</v>
      </c>
      <c r="X461" s="7" t="str">
        <f>TEXT(Table1[[#This Row],[Order Date]],"yyyy")</f>
        <v>2015</v>
      </c>
      <c r="Y461" s="9">
        <v>42124</v>
      </c>
      <c r="Z461" s="1">
        <v>-184.548</v>
      </c>
      <c r="AA461" s="1">
        <v>3</v>
      </c>
      <c r="AB461" s="1">
        <v>93.82</v>
      </c>
      <c r="AC461" s="1">
        <v>90048</v>
      </c>
      <c r="AD461" s="6" t="str">
        <f>IF(COUNTIF(Returns!$A$2:$A$1635,Orders!AC461)&gt;0,"Returned","Not Returned")</f>
        <v>Not Returned</v>
      </c>
    </row>
    <row r="462" spans="1:30" ht="12.75" customHeight="1" thickTop="1" thickBot="1" x14ac:dyDescent="0.25">
      <c r="A462" s="10">
        <v>5722</v>
      </c>
      <c r="B462" s="11" t="s">
        <v>47</v>
      </c>
      <c r="C462" s="11">
        <v>0.06</v>
      </c>
      <c r="D462" s="11">
        <v>179.99</v>
      </c>
      <c r="E462" s="11">
        <v>13.99</v>
      </c>
      <c r="F462" s="11">
        <v>806</v>
      </c>
      <c r="G462" s="6" t="str">
        <f>IF(COUNTIF(Table1[Customer ID],Table1[[#This Row],[Customer ID]])&gt;1,"Repeat Customer","One-Time Customer")</f>
        <v>One-Time Customer</v>
      </c>
      <c r="H462" s="11" t="s">
        <v>941</v>
      </c>
      <c r="I462" s="11" t="s">
        <v>27</v>
      </c>
      <c r="J462" s="11" t="s">
        <v>58</v>
      </c>
      <c r="K462" s="11" t="s">
        <v>77</v>
      </c>
      <c r="L462" s="11" t="s">
        <v>78</v>
      </c>
      <c r="M462" s="11" t="s">
        <v>86</v>
      </c>
      <c r="N462" s="11" t="s">
        <v>942</v>
      </c>
      <c r="O462" s="11">
        <v>0.56999999999999995</v>
      </c>
      <c r="P462" s="6">
        <f>Table1[[#This Row],[Profit]]/Table1[[#This Row],[Sales]]</f>
        <v>0.14641197852850923</v>
      </c>
      <c r="Q462" s="11" t="s">
        <v>33</v>
      </c>
      <c r="R462" s="11" t="s">
        <v>136</v>
      </c>
      <c r="S462" s="11" t="s">
        <v>362</v>
      </c>
      <c r="T462" s="11" t="s">
        <v>447</v>
      </c>
      <c r="U462" s="11">
        <v>33132</v>
      </c>
      <c r="V462" s="12">
        <v>42013</v>
      </c>
      <c r="W462" s="13" t="str">
        <f>TEXT(Table1[[#This Row],[Order Date]],"mmmm")</f>
        <v>January</v>
      </c>
      <c r="X462" s="7" t="str">
        <f>TEXT(Table1[[#This Row],[Order Date]],"yyyy")</f>
        <v>2015</v>
      </c>
      <c r="Y462" s="12">
        <v>42015</v>
      </c>
      <c r="Z462" s="11">
        <v>1220.03784</v>
      </c>
      <c r="AA462" s="11">
        <v>54</v>
      </c>
      <c r="AB462" s="11">
        <v>8332.91</v>
      </c>
      <c r="AC462" s="11">
        <v>40547</v>
      </c>
      <c r="AD462" s="6" t="str">
        <f>IF(COUNTIF(Returns!$A$2:$A$1635,Orders!AC462)&gt;0,"Returned","Not Returned")</f>
        <v>Not Returned</v>
      </c>
    </row>
    <row r="463" spans="1:30" ht="12.75" customHeight="1" thickTop="1" thickBot="1" x14ac:dyDescent="0.25">
      <c r="A463" s="8">
        <v>21942</v>
      </c>
      <c r="B463" s="1" t="s">
        <v>106</v>
      </c>
      <c r="C463" s="1">
        <v>0.09</v>
      </c>
      <c r="D463" s="1">
        <v>5.84</v>
      </c>
      <c r="E463" s="1">
        <v>0.83</v>
      </c>
      <c r="F463" s="1">
        <v>820</v>
      </c>
      <c r="G463" s="6" t="str">
        <f>IF(COUNTIF(Table1[Customer ID],Table1[[#This Row],[Customer ID]])&gt;1,"Repeat Customer","One-Time Customer")</f>
        <v>One-Time Customer</v>
      </c>
      <c r="H463" s="1" t="s">
        <v>943</v>
      </c>
      <c r="I463" s="1" t="s">
        <v>49</v>
      </c>
      <c r="J463" s="1" t="s">
        <v>58</v>
      </c>
      <c r="K463" s="1" t="s">
        <v>29</v>
      </c>
      <c r="L463" s="1" t="s">
        <v>30</v>
      </c>
      <c r="M463" s="1" t="s">
        <v>31</v>
      </c>
      <c r="N463" s="1" t="s">
        <v>944</v>
      </c>
      <c r="O463" s="1">
        <v>0.49</v>
      </c>
      <c r="P463" s="6">
        <f>Table1[[#This Row],[Profit]]/Table1[[#This Row],[Sales]]</f>
        <v>-0.48644067796610169</v>
      </c>
      <c r="Q463" s="1" t="s">
        <v>33</v>
      </c>
      <c r="R463" s="1" t="s">
        <v>34</v>
      </c>
      <c r="S463" s="1" t="s">
        <v>35</v>
      </c>
      <c r="T463" s="1" t="s">
        <v>945</v>
      </c>
      <c r="U463" s="1">
        <v>99362</v>
      </c>
      <c r="V463" s="9">
        <v>42145</v>
      </c>
      <c r="W463" s="13" t="str">
        <f>TEXT(Table1[[#This Row],[Order Date]],"mmmm")</f>
        <v>May</v>
      </c>
      <c r="X463" s="7" t="str">
        <f>TEXT(Table1[[#This Row],[Order Date]],"yyyy")</f>
        <v>2015</v>
      </c>
      <c r="Y463" s="9">
        <v>42149</v>
      </c>
      <c r="Z463" s="1">
        <v>-2.87</v>
      </c>
      <c r="AA463" s="1">
        <v>1</v>
      </c>
      <c r="AB463" s="1">
        <v>5.9</v>
      </c>
      <c r="AC463" s="1">
        <v>90244</v>
      </c>
      <c r="AD463" s="6" t="str">
        <f>IF(COUNTIF(Returns!$A$2:$A$1635,Orders!AC463)&gt;0,"Returned","Not Returned")</f>
        <v>Not Returned</v>
      </c>
    </row>
    <row r="464" spans="1:30" ht="12.75" customHeight="1" thickTop="1" thickBot="1" x14ac:dyDescent="0.25">
      <c r="A464" s="10">
        <v>20661</v>
      </c>
      <c r="B464" s="11" t="s">
        <v>106</v>
      </c>
      <c r="C464" s="11">
        <v>0.04</v>
      </c>
      <c r="D464" s="11">
        <v>6.24</v>
      </c>
      <c r="E464" s="11">
        <v>5.22</v>
      </c>
      <c r="F464" s="11">
        <v>823</v>
      </c>
      <c r="G464" s="6" t="str">
        <f>IF(COUNTIF(Table1[Customer ID],Table1[[#This Row],[Customer ID]])&gt;1,"Repeat Customer","One-Time Customer")</f>
        <v>One-Time Customer</v>
      </c>
      <c r="H464" s="11" t="s">
        <v>946</v>
      </c>
      <c r="I464" s="11" t="s">
        <v>49</v>
      </c>
      <c r="J464" s="11" t="s">
        <v>58</v>
      </c>
      <c r="K464" s="11" t="s">
        <v>41</v>
      </c>
      <c r="L464" s="11" t="s">
        <v>50</v>
      </c>
      <c r="M464" s="11" t="s">
        <v>59</v>
      </c>
      <c r="N464" s="11" t="s">
        <v>947</v>
      </c>
      <c r="O464" s="11">
        <v>0.6</v>
      </c>
      <c r="P464" s="6">
        <f>Table1[[#This Row],[Profit]]/Table1[[#This Row],[Sales]]</f>
        <v>5.4604262744609243E-2</v>
      </c>
      <c r="Q464" s="11" t="s">
        <v>33</v>
      </c>
      <c r="R464" s="11" t="s">
        <v>136</v>
      </c>
      <c r="S464" s="11" t="s">
        <v>244</v>
      </c>
      <c r="T464" s="11" t="s">
        <v>948</v>
      </c>
      <c r="U464" s="11">
        <v>37167</v>
      </c>
      <c r="V464" s="12">
        <v>42016</v>
      </c>
      <c r="W464" s="13" t="str">
        <f>TEXT(Table1[[#This Row],[Order Date]],"mmmm")</f>
        <v>January</v>
      </c>
      <c r="X464" s="7" t="str">
        <f>TEXT(Table1[[#This Row],[Order Date]],"yyyy")</f>
        <v>2015</v>
      </c>
      <c r="Y464" s="12">
        <v>42021</v>
      </c>
      <c r="Z464" s="11">
        <v>4.3808999999999996</v>
      </c>
      <c r="AA464" s="11">
        <v>13</v>
      </c>
      <c r="AB464" s="11">
        <v>80.23</v>
      </c>
      <c r="AC464" s="11">
        <v>89257</v>
      </c>
      <c r="AD464" s="6" t="str">
        <f>IF(COUNTIF(Returns!$A$2:$A$1635,Orders!AC464)&gt;0,"Returned","Not Returned")</f>
        <v>Not Returned</v>
      </c>
    </row>
    <row r="465" spans="1:30" ht="12.75" customHeight="1" thickTop="1" thickBot="1" x14ac:dyDescent="0.25">
      <c r="A465" s="8">
        <v>20663</v>
      </c>
      <c r="B465" s="1" t="s">
        <v>106</v>
      </c>
      <c r="C465" s="1">
        <v>0.09</v>
      </c>
      <c r="D465" s="1">
        <v>260.98</v>
      </c>
      <c r="E465" s="1">
        <v>41.91</v>
      </c>
      <c r="F465" s="1">
        <v>824</v>
      </c>
      <c r="G465" s="6" t="str">
        <f>IF(COUNTIF(Table1[Customer ID],Table1[[#This Row],[Customer ID]])&gt;1,"Repeat Customer","One-Time Customer")</f>
        <v>One-Time Customer</v>
      </c>
      <c r="H465" s="1" t="s">
        <v>949</v>
      </c>
      <c r="I465" s="1" t="s">
        <v>39</v>
      </c>
      <c r="J465" s="1" t="s">
        <v>58</v>
      </c>
      <c r="K465" s="1" t="s">
        <v>41</v>
      </c>
      <c r="L465" s="1" t="s">
        <v>191</v>
      </c>
      <c r="M465" s="1" t="s">
        <v>121</v>
      </c>
      <c r="N465" s="1" t="s">
        <v>950</v>
      </c>
      <c r="O465" s="1">
        <v>0.59</v>
      </c>
      <c r="P465" s="6">
        <f>Table1[[#This Row],[Profit]]/Table1[[#This Row],[Sales]]</f>
        <v>-4.9265978776468287E-2</v>
      </c>
      <c r="Q465" s="1" t="s">
        <v>33</v>
      </c>
      <c r="R465" s="1" t="s">
        <v>136</v>
      </c>
      <c r="S465" s="1" t="s">
        <v>244</v>
      </c>
      <c r="T465" s="1" t="s">
        <v>951</v>
      </c>
      <c r="U465" s="1">
        <v>37174</v>
      </c>
      <c r="V465" s="9">
        <v>42016</v>
      </c>
      <c r="W465" s="13" t="str">
        <f>TEXT(Table1[[#This Row],[Order Date]],"mmmm")</f>
        <v>January</v>
      </c>
      <c r="X465" s="7" t="str">
        <f>TEXT(Table1[[#This Row],[Order Date]],"yyyy")</f>
        <v>2015</v>
      </c>
      <c r="Y465" s="9">
        <v>42023</v>
      </c>
      <c r="Z465" s="1">
        <v>-100.744</v>
      </c>
      <c r="AA465" s="1">
        <v>8</v>
      </c>
      <c r="AB465" s="1">
        <v>2044.9</v>
      </c>
      <c r="AC465" s="1">
        <v>89257</v>
      </c>
      <c r="AD465" s="6" t="str">
        <f>IF(COUNTIF(Returns!$A$2:$A$1635,Orders!AC465)&gt;0,"Returned","Not Returned")</f>
        <v>Not Returned</v>
      </c>
    </row>
    <row r="466" spans="1:30" ht="12.75" customHeight="1" thickTop="1" thickBot="1" x14ac:dyDescent="0.25">
      <c r="A466" s="10">
        <v>21350</v>
      </c>
      <c r="B466" s="11" t="s">
        <v>47</v>
      </c>
      <c r="C466" s="11">
        <v>0</v>
      </c>
      <c r="D466" s="11">
        <v>11.97</v>
      </c>
      <c r="E466" s="11">
        <v>4.9800000000000004</v>
      </c>
      <c r="F466" s="11">
        <v>825</v>
      </c>
      <c r="G466" s="6" t="str">
        <f>IF(COUNTIF(Table1[Customer ID],Table1[[#This Row],[Customer ID]])&gt;1,"Repeat Customer","One-Time Customer")</f>
        <v>One-Time Customer</v>
      </c>
      <c r="H466" s="11" t="s">
        <v>952</v>
      </c>
      <c r="I466" s="11" t="s">
        <v>49</v>
      </c>
      <c r="J466" s="11" t="s">
        <v>40</v>
      </c>
      <c r="K466" s="11" t="s">
        <v>29</v>
      </c>
      <c r="L466" s="11" t="s">
        <v>257</v>
      </c>
      <c r="M466" s="11" t="s">
        <v>59</v>
      </c>
      <c r="N466" s="11" t="s">
        <v>584</v>
      </c>
      <c r="O466" s="11">
        <v>0.57999999999999996</v>
      </c>
      <c r="P466" s="6">
        <f>Table1[[#This Row],[Profit]]/Table1[[#This Row],[Sales]]</f>
        <v>6.3489681050656735E-2</v>
      </c>
      <c r="Q466" s="11" t="s">
        <v>33</v>
      </c>
      <c r="R466" s="11" t="s">
        <v>61</v>
      </c>
      <c r="S466" s="11" t="s">
        <v>130</v>
      </c>
      <c r="T466" s="11" t="s">
        <v>953</v>
      </c>
      <c r="U466" s="11">
        <v>79605</v>
      </c>
      <c r="V466" s="12">
        <v>42145</v>
      </c>
      <c r="W466" s="13" t="str">
        <f>TEXT(Table1[[#This Row],[Order Date]],"mmmm")</f>
        <v>May</v>
      </c>
      <c r="X466" s="7" t="str">
        <f>TEXT(Table1[[#This Row],[Order Date]],"yyyy")</f>
        <v>2015</v>
      </c>
      <c r="Y466" s="12">
        <v>42148</v>
      </c>
      <c r="Z466" s="11">
        <v>3.3840000000000039</v>
      </c>
      <c r="AA466" s="11">
        <v>4</v>
      </c>
      <c r="AB466" s="11">
        <v>53.3</v>
      </c>
      <c r="AC466" s="11">
        <v>89258</v>
      </c>
      <c r="AD466" s="6" t="str">
        <f>IF(COUNTIF(Returns!$A$2:$A$1635,Orders!AC466)&gt;0,"Returned","Not Returned")</f>
        <v>Not Returned</v>
      </c>
    </row>
    <row r="467" spans="1:30" ht="12.75" customHeight="1" thickTop="1" thickBot="1" x14ac:dyDescent="0.25">
      <c r="A467" s="8">
        <v>24842</v>
      </c>
      <c r="B467" s="1" t="s">
        <v>56</v>
      </c>
      <c r="C467" s="1">
        <v>0.01</v>
      </c>
      <c r="D467" s="1">
        <v>6.98</v>
      </c>
      <c r="E467" s="1">
        <v>1.6</v>
      </c>
      <c r="F467" s="1">
        <v>827</v>
      </c>
      <c r="G467" s="6" t="str">
        <f>IF(COUNTIF(Table1[Customer ID],Table1[[#This Row],[Customer ID]])&gt;1,"Repeat Customer","One-Time Customer")</f>
        <v>One-Time Customer</v>
      </c>
      <c r="H467" s="1" t="s">
        <v>954</v>
      </c>
      <c r="I467" s="1" t="s">
        <v>49</v>
      </c>
      <c r="J467" s="1" t="s">
        <v>40</v>
      </c>
      <c r="K467" s="1" t="s">
        <v>29</v>
      </c>
      <c r="L467" s="1" t="s">
        <v>93</v>
      </c>
      <c r="M467" s="1" t="s">
        <v>31</v>
      </c>
      <c r="N467" s="1" t="s">
        <v>955</v>
      </c>
      <c r="O467" s="1">
        <v>0.38</v>
      </c>
      <c r="P467" s="6">
        <f>Table1[[#This Row],[Profit]]/Table1[[#This Row],[Sales]]</f>
        <v>1.5777473780209762E-2</v>
      </c>
      <c r="Q467" s="1" t="s">
        <v>33</v>
      </c>
      <c r="R467" s="1" t="s">
        <v>61</v>
      </c>
      <c r="S467" s="1" t="s">
        <v>130</v>
      </c>
      <c r="T467" s="1" t="s">
        <v>956</v>
      </c>
      <c r="U467" s="1">
        <v>79109</v>
      </c>
      <c r="V467" s="9">
        <v>42149</v>
      </c>
      <c r="W467" s="13" t="str">
        <f>TEXT(Table1[[#This Row],[Order Date]],"mmmm")</f>
        <v>May</v>
      </c>
      <c r="X467" s="7" t="str">
        <f>TEXT(Table1[[#This Row],[Order Date]],"yyyy")</f>
        <v>2015</v>
      </c>
      <c r="Y467" s="9">
        <v>42150</v>
      </c>
      <c r="Z467" s="1">
        <v>0.34600000000000009</v>
      </c>
      <c r="AA467" s="1">
        <v>3</v>
      </c>
      <c r="AB467" s="1">
        <v>21.93</v>
      </c>
      <c r="AC467" s="1">
        <v>89259</v>
      </c>
      <c r="AD467" s="6" t="str">
        <f>IF(COUNTIF(Returns!$A$2:$A$1635,Orders!AC467)&gt;0,"Returned","Not Returned")</f>
        <v>Not Returned</v>
      </c>
    </row>
    <row r="468" spans="1:30" ht="12.75" customHeight="1" thickTop="1" thickBot="1" x14ac:dyDescent="0.25">
      <c r="A468" s="10">
        <v>24236</v>
      </c>
      <c r="B468" s="11" t="s">
        <v>37</v>
      </c>
      <c r="C468" s="11">
        <v>0.01</v>
      </c>
      <c r="D468" s="11">
        <v>5.18</v>
      </c>
      <c r="E468" s="11">
        <v>2.04</v>
      </c>
      <c r="F468" s="11">
        <v>829</v>
      </c>
      <c r="G468" s="6" t="str">
        <f>IF(COUNTIF(Table1[Customer ID],Table1[[#This Row],[Customer ID]])&gt;1,"Repeat Customer","One-Time Customer")</f>
        <v>One-Time Customer</v>
      </c>
      <c r="H468" s="11" t="s">
        <v>957</v>
      </c>
      <c r="I468" s="11" t="s">
        <v>49</v>
      </c>
      <c r="J468" s="11" t="s">
        <v>28</v>
      </c>
      <c r="K468" s="11" t="s">
        <v>29</v>
      </c>
      <c r="L468" s="11" t="s">
        <v>93</v>
      </c>
      <c r="M468" s="11" t="s">
        <v>31</v>
      </c>
      <c r="N468" s="11" t="s">
        <v>167</v>
      </c>
      <c r="O468" s="11">
        <v>0.36</v>
      </c>
      <c r="P468" s="6">
        <f>Table1[[#This Row],[Profit]]/Table1[[#This Row],[Sales]]</f>
        <v>-0.62030920590302174</v>
      </c>
      <c r="Q468" s="11" t="s">
        <v>33</v>
      </c>
      <c r="R468" s="11" t="s">
        <v>136</v>
      </c>
      <c r="S468" s="11" t="s">
        <v>958</v>
      </c>
      <c r="T468" s="11" t="s">
        <v>959</v>
      </c>
      <c r="U468" s="11">
        <v>71854</v>
      </c>
      <c r="V468" s="12">
        <v>42057</v>
      </c>
      <c r="W468" s="13" t="str">
        <f>TEXT(Table1[[#This Row],[Order Date]],"mmmm")</f>
        <v>February</v>
      </c>
      <c r="X468" s="7" t="str">
        <f>TEXT(Table1[[#This Row],[Order Date]],"yyyy")</f>
        <v>2015</v>
      </c>
      <c r="Y468" s="12">
        <v>42059</v>
      </c>
      <c r="Z468" s="11">
        <v>-17.654</v>
      </c>
      <c r="AA468" s="11">
        <v>5</v>
      </c>
      <c r="AB468" s="11">
        <v>28.46</v>
      </c>
      <c r="AC468" s="11">
        <v>90271</v>
      </c>
      <c r="AD468" s="6" t="str">
        <f>IF(COUNTIF(Returns!$A$2:$A$1635,Orders!AC468)&gt;0,"Returned","Not Returned")</f>
        <v>Not Returned</v>
      </c>
    </row>
    <row r="469" spans="1:30" ht="12.75" customHeight="1" thickTop="1" thickBot="1" x14ac:dyDescent="0.25">
      <c r="A469" s="8">
        <v>20664</v>
      </c>
      <c r="B469" s="1" t="s">
        <v>25</v>
      </c>
      <c r="C469" s="1">
        <v>0.01</v>
      </c>
      <c r="D469" s="1">
        <v>14.42</v>
      </c>
      <c r="E469" s="1">
        <v>6.75</v>
      </c>
      <c r="F469" s="1">
        <v>830</v>
      </c>
      <c r="G469" s="6" t="str">
        <f>IF(COUNTIF(Table1[Customer ID],Table1[[#This Row],[Customer ID]])&gt;1,"Repeat Customer","One-Time Customer")</f>
        <v>One-Time Customer</v>
      </c>
      <c r="H469" s="1" t="s">
        <v>960</v>
      </c>
      <c r="I469" s="1" t="s">
        <v>49</v>
      </c>
      <c r="J469" s="1" t="s">
        <v>28</v>
      </c>
      <c r="K469" s="1" t="s">
        <v>29</v>
      </c>
      <c r="L469" s="1" t="s">
        <v>257</v>
      </c>
      <c r="M469" s="1" t="s">
        <v>86</v>
      </c>
      <c r="N469" s="1" t="s">
        <v>571</v>
      </c>
      <c r="O469" s="1">
        <v>0.52</v>
      </c>
      <c r="P469" s="6">
        <f>Table1[[#This Row],[Profit]]/Table1[[#This Row],[Sales]]</f>
        <v>-0.15377599822044269</v>
      </c>
      <c r="Q469" s="1" t="s">
        <v>33</v>
      </c>
      <c r="R469" s="1" t="s">
        <v>34</v>
      </c>
      <c r="S469" s="1" t="s">
        <v>255</v>
      </c>
      <c r="T469" s="1" t="s">
        <v>961</v>
      </c>
      <c r="U469" s="1">
        <v>80033</v>
      </c>
      <c r="V469" s="9">
        <v>42028</v>
      </c>
      <c r="W469" s="13" t="str">
        <f>TEXT(Table1[[#This Row],[Order Date]],"mmmm")</f>
        <v>January</v>
      </c>
      <c r="X469" s="7" t="str">
        <f>TEXT(Table1[[#This Row],[Order Date]],"yyyy")</f>
        <v>2015</v>
      </c>
      <c r="Y469" s="9">
        <v>42028</v>
      </c>
      <c r="Z469" s="1">
        <v>-13.826000000000001</v>
      </c>
      <c r="AA469" s="1">
        <v>6</v>
      </c>
      <c r="AB469" s="1">
        <v>89.91</v>
      </c>
      <c r="AC469" s="1">
        <v>90270</v>
      </c>
      <c r="AD469" s="6" t="str">
        <f>IF(COUNTIF(Returns!$A$2:$A$1635,Orders!AC469)&gt;0,"Returned","Not Returned")</f>
        <v>Not Returned</v>
      </c>
    </row>
    <row r="470" spans="1:30" ht="12.75" customHeight="1" thickTop="1" thickBot="1" x14ac:dyDescent="0.25">
      <c r="A470" s="10">
        <v>19173</v>
      </c>
      <c r="B470" s="11" t="s">
        <v>25</v>
      </c>
      <c r="C470" s="11">
        <v>0</v>
      </c>
      <c r="D470" s="11">
        <v>11.66</v>
      </c>
      <c r="E470" s="11">
        <v>8.99</v>
      </c>
      <c r="F470" s="11">
        <v>833</v>
      </c>
      <c r="G470" s="6" t="str">
        <f>IF(COUNTIF(Table1[Customer ID],Table1[[#This Row],[Customer ID]])&gt;1,"Repeat Customer","One-Time Customer")</f>
        <v>One-Time Customer</v>
      </c>
      <c r="H470" s="11" t="s">
        <v>962</v>
      </c>
      <c r="I470" s="11" t="s">
        <v>27</v>
      </c>
      <c r="J470" s="11" t="s">
        <v>28</v>
      </c>
      <c r="K470" s="11" t="s">
        <v>29</v>
      </c>
      <c r="L470" s="11" t="s">
        <v>30</v>
      </c>
      <c r="M470" s="11" t="s">
        <v>51</v>
      </c>
      <c r="N470" s="11" t="s">
        <v>963</v>
      </c>
      <c r="O470" s="11">
        <v>0.59</v>
      </c>
      <c r="P470" s="6">
        <f>Table1[[#This Row],[Profit]]/Table1[[#This Row],[Sales]]</f>
        <v>-1.4704353476283303</v>
      </c>
      <c r="Q470" s="11" t="s">
        <v>33</v>
      </c>
      <c r="R470" s="11" t="s">
        <v>34</v>
      </c>
      <c r="S470" s="11" t="s">
        <v>45</v>
      </c>
      <c r="T470" s="11" t="s">
        <v>964</v>
      </c>
      <c r="U470" s="11">
        <v>95020</v>
      </c>
      <c r="V470" s="12">
        <v>42013</v>
      </c>
      <c r="W470" s="13" t="str">
        <f>TEXT(Table1[[#This Row],[Order Date]],"mmmm")</f>
        <v>January</v>
      </c>
      <c r="X470" s="7" t="str">
        <f>TEXT(Table1[[#This Row],[Order Date]],"yyyy")</f>
        <v>2015</v>
      </c>
      <c r="Y470" s="12">
        <v>42015</v>
      </c>
      <c r="Z470" s="11">
        <v>-203.67000000000002</v>
      </c>
      <c r="AA470" s="11">
        <v>11</v>
      </c>
      <c r="AB470" s="11">
        <v>138.51</v>
      </c>
      <c r="AC470" s="11">
        <v>89770</v>
      </c>
      <c r="AD470" s="6" t="str">
        <f>IF(COUNTIF(Returns!$A$2:$A$1635,Orders!AC470)&gt;0,"Returned","Not Returned")</f>
        <v>Not Returned</v>
      </c>
    </row>
    <row r="471" spans="1:30" ht="12.75" customHeight="1" thickTop="1" thickBot="1" x14ac:dyDescent="0.25">
      <c r="A471" s="8">
        <v>19383</v>
      </c>
      <c r="B471" s="1" t="s">
        <v>37</v>
      </c>
      <c r="C471" s="1">
        <v>7.0000000000000007E-2</v>
      </c>
      <c r="D471" s="1">
        <v>6.08</v>
      </c>
      <c r="E471" s="1">
        <v>0.91</v>
      </c>
      <c r="F471" s="1">
        <v>850</v>
      </c>
      <c r="G471" s="6" t="str">
        <f>IF(COUNTIF(Table1[Customer ID],Table1[[#This Row],[Customer ID]])&gt;1,"Repeat Customer","One-Time Customer")</f>
        <v>One-Time Customer</v>
      </c>
      <c r="H471" s="1" t="s">
        <v>965</v>
      </c>
      <c r="I471" s="1" t="s">
        <v>49</v>
      </c>
      <c r="J471" s="1" t="s">
        <v>28</v>
      </c>
      <c r="K471" s="1" t="s">
        <v>29</v>
      </c>
      <c r="L471" s="1" t="s">
        <v>30</v>
      </c>
      <c r="M471" s="1" t="s">
        <v>31</v>
      </c>
      <c r="N471" s="1" t="s">
        <v>966</v>
      </c>
      <c r="O471" s="1">
        <v>0.51</v>
      </c>
      <c r="P471" s="6">
        <f>Table1[[#This Row],[Profit]]/Table1[[#This Row],[Sales]]</f>
        <v>0.46639656816015251</v>
      </c>
      <c r="Q471" s="1" t="s">
        <v>33</v>
      </c>
      <c r="R471" s="1" t="s">
        <v>34</v>
      </c>
      <c r="S471" s="1" t="s">
        <v>45</v>
      </c>
      <c r="T471" s="1" t="s">
        <v>967</v>
      </c>
      <c r="U471" s="1">
        <v>93117</v>
      </c>
      <c r="V471" s="9">
        <v>42070</v>
      </c>
      <c r="W471" s="13" t="str">
        <f>TEXT(Table1[[#This Row],[Order Date]],"mmmm")</f>
        <v>March</v>
      </c>
      <c r="X471" s="7" t="str">
        <f>TEXT(Table1[[#This Row],[Order Date]],"yyyy")</f>
        <v>2015</v>
      </c>
      <c r="Y471" s="9">
        <v>42071</v>
      </c>
      <c r="Z471" s="1">
        <v>19.57</v>
      </c>
      <c r="AA471" s="1">
        <v>7</v>
      </c>
      <c r="AB471" s="1">
        <v>41.96</v>
      </c>
      <c r="AC471" s="1">
        <v>88569</v>
      </c>
      <c r="AD471" s="6" t="str">
        <f>IF(COUNTIF(Returns!$A$2:$A$1635,Orders!AC471)&gt;0,"Returned","Not Returned")</f>
        <v>Not Returned</v>
      </c>
    </row>
    <row r="472" spans="1:30" ht="12.75" customHeight="1" thickTop="1" thickBot="1" x14ac:dyDescent="0.25">
      <c r="A472" s="10">
        <v>20604</v>
      </c>
      <c r="B472" s="11" t="s">
        <v>106</v>
      </c>
      <c r="C472" s="11">
        <v>0.1</v>
      </c>
      <c r="D472" s="11">
        <v>50.98</v>
      </c>
      <c r="E472" s="11">
        <v>22.24</v>
      </c>
      <c r="F472" s="11">
        <v>851</v>
      </c>
      <c r="G472" s="6" t="str">
        <f>IF(COUNTIF(Table1[Customer ID],Table1[[#This Row],[Customer ID]])&gt;1,"Repeat Customer","One-Time Customer")</f>
        <v>Repeat Customer</v>
      </c>
      <c r="H472" s="11" t="s">
        <v>968</v>
      </c>
      <c r="I472" s="11" t="s">
        <v>49</v>
      </c>
      <c r="J472" s="11" t="s">
        <v>28</v>
      </c>
      <c r="K472" s="11" t="s">
        <v>41</v>
      </c>
      <c r="L472" s="11" t="s">
        <v>50</v>
      </c>
      <c r="M472" s="11" t="s">
        <v>236</v>
      </c>
      <c r="N472" s="11" t="s">
        <v>969</v>
      </c>
      <c r="O472" s="11">
        <v>0.55000000000000004</v>
      </c>
      <c r="P472" s="6">
        <f>Table1[[#This Row],[Profit]]/Table1[[#This Row],[Sales]]</f>
        <v>0.32638126600804979</v>
      </c>
      <c r="Q472" s="11" t="s">
        <v>33</v>
      </c>
      <c r="R472" s="11" t="s">
        <v>34</v>
      </c>
      <c r="S472" s="11" t="s">
        <v>45</v>
      </c>
      <c r="T472" s="11" t="s">
        <v>970</v>
      </c>
      <c r="U472" s="11">
        <v>91745</v>
      </c>
      <c r="V472" s="12">
        <v>42060</v>
      </c>
      <c r="W472" s="13" t="str">
        <f>TEXT(Table1[[#This Row],[Order Date]],"mmmm")</f>
        <v>February</v>
      </c>
      <c r="X472" s="7" t="str">
        <f>TEXT(Table1[[#This Row],[Order Date]],"yyyy")</f>
        <v>2015</v>
      </c>
      <c r="Y472" s="12">
        <v>42062</v>
      </c>
      <c r="Z472" s="11">
        <v>98.12</v>
      </c>
      <c r="AA472" s="11">
        <v>6</v>
      </c>
      <c r="AB472" s="11">
        <v>300.63</v>
      </c>
      <c r="AC472" s="11">
        <v>88568</v>
      </c>
      <c r="AD472" s="6" t="str">
        <f>IF(COUNTIF(Returns!$A$2:$A$1635,Orders!AC472)&gt;0,"Returned","Not Returned")</f>
        <v>Not Returned</v>
      </c>
    </row>
    <row r="473" spans="1:30" ht="12.75" customHeight="1" thickTop="1" thickBot="1" x14ac:dyDescent="0.25">
      <c r="A473" s="8">
        <v>19384</v>
      </c>
      <c r="B473" s="1" t="s">
        <v>37</v>
      </c>
      <c r="C473" s="1">
        <v>0.08</v>
      </c>
      <c r="D473" s="1">
        <v>19.899999999999999</v>
      </c>
      <c r="E473" s="1">
        <v>5.29</v>
      </c>
      <c r="F473" s="1">
        <v>851</v>
      </c>
      <c r="G473" s="6" t="str">
        <f>IF(COUNTIF(Table1[Customer ID],Table1[[#This Row],[Customer ID]])&gt;1,"Repeat Customer","One-Time Customer")</f>
        <v>Repeat Customer</v>
      </c>
      <c r="H473" s="1" t="s">
        <v>968</v>
      </c>
      <c r="I473" s="1" t="s">
        <v>49</v>
      </c>
      <c r="J473" s="1" t="s">
        <v>28</v>
      </c>
      <c r="K473" s="1" t="s">
        <v>29</v>
      </c>
      <c r="L473" s="1" t="s">
        <v>257</v>
      </c>
      <c r="M473" s="1" t="s">
        <v>86</v>
      </c>
      <c r="N473" s="1" t="s">
        <v>971</v>
      </c>
      <c r="O473" s="1">
        <v>0.4</v>
      </c>
      <c r="P473" s="6">
        <f>Table1[[#This Row],[Profit]]/Table1[[#This Row],[Sales]]</f>
        <v>0.44543791067121347</v>
      </c>
      <c r="Q473" s="1" t="s">
        <v>33</v>
      </c>
      <c r="R473" s="1" t="s">
        <v>34</v>
      </c>
      <c r="S473" s="1" t="s">
        <v>45</v>
      </c>
      <c r="T473" s="1" t="s">
        <v>970</v>
      </c>
      <c r="U473" s="1">
        <v>91745</v>
      </c>
      <c r="V473" s="9">
        <v>42070</v>
      </c>
      <c r="W473" s="13" t="str">
        <f>TEXT(Table1[[#This Row],[Order Date]],"mmmm")</f>
        <v>March</v>
      </c>
      <c r="X473" s="7" t="str">
        <f>TEXT(Table1[[#This Row],[Order Date]],"yyyy")</f>
        <v>2015</v>
      </c>
      <c r="Y473" s="9">
        <v>42072</v>
      </c>
      <c r="Z473" s="1">
        <v>107.11</v>
      </c>
      <c r="AA473" s="1">
        <v>13</v>
      </c>
      <c r="AB473" s="1">
        <v>240.46</v>
      </c>
      <c r="AC473" s="1">
        <v>88569</v>
      </c>
      <c r="AD473" s="6" t="str">
        <f>IF(COUNTIF(Returns!$A$2:$A$1635,Orders!AC473)&gt;0,"Returned","Not Returned")</f>
        <v>Not Returned</v>
      </c>
    </row>
    <row r="474" spans="1:30" ht="12.75" customHeight="1" thickTop="1" thickBot="1" x14ac:dyDescent="0.25">
      <c r="A474" s="10">
        <v>19385</v>
      </c>
      <c r="B474" s="11" t="s">
        <v>37</v>
      </c>
      <c r="C474" s="11">
        <v>0.02</v>
      </c>
      <c r="D474" s="11">
        <v>3.36</v>
      </c>
      <c r="E474" s="11">
        <v>6.27</v>
      </c>
      <c r="F474" s="11">
        <v>851</v>
      </c>
      <c r="G474" s="6" t="str">
        <f>IF(COUNTIF(Table1[Customer ID],Table1[[#This Row],[Customer ID]])&gt;1,"Repeat Customer","One-Time Customer")</f>
        <v>Repeat Customer</v>
      </c>
      <c r="H474" s="11" t="s">
        <v>968</v>
      </c>
      <c r="I474" s="11" t="s">
        <v>49</v>
      </c>
      <c r="J474" s="11" t="s">
        <v>28</v>
      </c>
      <c r="K474" s="11" t="s">
        <v>29</v>
      </c>
      <c r="L474" s="11" t="s">
        <v>109</v>
      </c>
      <c r="M474" s="11" t="s">
        <v>59</v>
      </c>
      <c r="N474" s="11" t="s">
        <v>586</v>
      </c>
      <c r="O474" s="11">
        <v>0.4</v>
      </c>
      <c r="P474" s="6">
        <f>Table1[[#This Row],[Profit]]/Table1[[#This Row],[Sales]]</f>
        <v>-2.9178455723542118</v>
      </c>
      <c r="Q474" s="11" t="s">
        <v>33</v>
      </c>
      <c r="R474" s="11" t="s">
        <v>34</v>
      </c>
      <c r="S474" s="11" t="s">
        <v>45</v>
      </c>
      <c r="T474" s="11" t="s">
        <v>970</v>
      </c>
      <c r="U474" s="11">
        <v>91745</v>
      </c>
      <c r="V474" s="12">
        <v>42070</v>
      </c>
      <c r="W474" s="13" t="str">
        <f>TEXT(Table1[[#This Row],[Order Date]],"mmmm")</f>
        <v>March</v>
      </c>
      <c r="X474" s="7" t="str">
        <f>TEXT(Table1[[#This Row],[Order Date]],"yyyy")</f>
        <v>2015</v>
      </c>
      <c r="Y474" s="12">
        <v>42072</v>
      </c>
      <c r="Z474" s="11">
        <v>-216.154</v>
      </c>
      <c r="AA474" s="11">
        <v>21</v>
      </c>
      <c r="AB474" s="11">
        <v>74.08</v>
      </c>
      <c r="AC474" s="11">
        <v>88569</v>
      </c>
      <c r="AD474" s="6" t="str">
        <f>IF(COUNTIF(Returns!$A$2:$A$1635,Orders!AC474)&gt;0,"Returned","Not Returned")</f>
        <v>Not Returned</v>
      </c>
    </row>
    <row r="475" spans="1:30" ht="12.75" customHeight="1" thickTop="1" thickBot="1" x14ac:dyDescent="0.25">
      <c r="A475" s="8">
        <v>21353</v>
      </c>
      <c r="B475" s="1" t="s">
        <v>47</v>
      </c>
      <c r="C475" s="1">
        <v>0.06</v>
      </c>
      <c r="D475" s="1">
        <v>1.26</v>
      </c>
      <c r="E475" s="1">
        <v>0.7</v>
      </c>
      <c r="F475" s="1">
        <v>851</v>
      </c>
      <c r="G475" s="6" t="str">
        <f>IF(COUNTIF(Table1[Customer ID],Table1[[#This Row],[Customer ID]])&gt;1,"Repeat Customer","One-Time Customer")</f>
        <v>Repeat Customer</v>
      </c>
      <c r="H475" s="1" t="s">
        <v>968</v>
      </c>
      <c r="I475" s="1" t="s">
        <v>49</v>
      </c>
      <c r="J475" s="1" t="s">
        <v>28</v>
      </c>
      <c r="K475" s="1" t="s">
        <v>29</v>
      </c>
      <c r="L475" s="1" t="s">
        <v>66</v>
      </c>
      <c r="M475" s="1" t="s">
        <v>31</v>
      </c>
      <c r="N475" s="1" t="s">
        <v>972</v>
      </c>
      <c r="O475" s="1">
        <v>0.81</v>
      </c>
      <c r="P475" s="6">
        <f>Table1[[#This Row],[Profit]]/Table1[[#This Row],[Sales]]</f>
        <v>-1.2518181818181817</v>
      </c>
      <c r="Q475" s="1" t="s">
        <v>33</v>
      </c>
      <c r="R475" s="1" t="s">
        <v>34</v>
      </c>
      <c r="S475" s="1" t="s">
        <v>45</v>
      </c>
      <c r="T475" s="1" t="s">
        <v>970</v>
      </c>
      <c r="U475" s="1">
        <v>91745</v>
      </c>
      <c r="V475" s="9">
        <v>42124</v>
      </c>
      <c r="W475" s="13" t="str">
        <f>TEXT(Table1[[#This Row],[Order Date]],"mmmm")</f>
        <v>April</v>
      </c>
      <c r="X475" s="7" t="str">
        <f>TEXT(Table1[[#This Row],[Order Date]],"yyyy")</f>
        <v>2015</v>
      </c>
      <c r="Y475" s="9">
        <v>42124</v>
      </c>
      <c r="Z475" s="1">
        <v>-6.6096000000000004</v>
      </c>
      <c r="AA475" s="1">
        <v>4</v>
      </c>
      <c r="AB475" s="1">
        <v>5.28</v>
      </c>
      <c r="AC475" s="1">
        <v>88571</v>
      </c>
      <c r="AD475" s="6" t="str">
        <f>IF(COUNTIF(Returns!$A$2:$A$1635,Orders!AC475)&gt;0,"Returned","Not Returned")</f>
        <v>Not Returned</v>
      </c>
    </row>
    <row r="476" spans="1:30" ht="12.75" customHeight="1" thickTop="1" thickBot="1" x14ac:dyDescent="0.25">
      <c r="A476" s="10">
        <v>26093</v>
      </c>
      <c r="B476" s="11" t="s">
        <v>25</v>
      </c>
      <c r="C476" s="11">
        <v>0.05</v>
      </c>
      <c r="D476" s="11">
        <v>4.24</v>
      </c>
      <c r="E476" s="11">
        <v>5.41</v>
      </c>
      <c r="F476" s="11">
        <v>853</v>
      </c>
      <c r="G476" s="6" t="str">
        <f>IF(COUNTIF(Table1[Customer ID],Table1[[#This Row],[Customer ID]])&gt;1,"Repeat Customer","One-Time Customer")</f>
        <v>One-Time Customer</v>
      </c>
      <c r="H476" s="11" t="s">
        <v>973</v>
      </c>
      <c r="I476" s="11" t="s">
        <v>49</v>
      </c>
      <c r="J476" s="11" t="s">
        <v>58</v>
      </c>
      <c r="K476" s="11" t="s">
        <v>29</v>
      </c>
      <c r="L476" s="11" t="s">
        <v>109</v>
      </c>
      <c r="M476" s="11" t="s">
        <v>59</v>
      </c>
      <c r="N476" s="11" t="s">
        <v>110</v>
      </c>
      <c r="O476" s="11">
        <v>0.35</v>
      </c>
      <c r="P476" s="6">
        <f>Table1[[#This Row],[Profit]]/Table1[[#This Row],[Sales]]</f>
        <v>-1.7552036199095022</v>
      </c>
      <c r="Q476" s="11" t="s">
        <v>33</v>
      </c>
      <c r="R476" s="11" t="s">
        <v>34</v>
      </c>
      <c r="S476" s="11" t="s">
        <v>45</v>
      </c>
      <c r="T476" s="11" t="s">
        <v>974</v>
      </c>
      <c r="U476" s="11">
        <v>92345</v>
      </c>
      <c r="V476" s="12">
        <v>42079</v>
      </c>
      <c r="W476" s="13" t="str">
        <f>TEXT(Table1[[#This Row],[Order Date]],"mmmm")</f>
        <v>March</v>
      </c>
      <c r="X476" s="7" t="str">
        <f>TEXT(Table1[[#This Row],[Order Date]],"yyyy")</f>
        <v>2015</v>
      </c>
      <c r="Y476" s="12">
        <v>42081</v>
      </c>
      <c r="Z476" s="11">
        <v>-89.216999999999999</v>
      </c>
      <c r="AA476" s="11">
        <v>12</v>
      </c>
      <c r="AB476" s="11">
        <v>50.83</v>
      </c>
      <c r="AC476" s="11">
        <v>88570</v>
      </c>
      <c r="AD476" s="6" t="str">
        <f>IF(COUNTIF(Returns!$A$2:$A$1635,Orders!AC476)&gt;0,"Returned","Not Returned")</f>
        <v>Not Returned</v>
      </c>
    </row>
    <row r="477" spans="1:30" ht="12.75" customHeight="1" thickTop="1" thickBot="1" x14ac:dyDescent="0.25">
      <c r="A477" s="8">
        <v>21351</v>
      </c>
      <c r="B477" s="1" t="s">
        <v>47</v>
      </c>
      <c r="C477" s="1">
        <v>0.06</v>
      </c>
      <c r="D477" s="1">
        <v>1.76</v>
      </c>
      <c r="E477" s="1">
        <v>0.7</v>
      </c>
      <c r="F477" s="1">
        <v>854</v>
      </c>
      <c r="G477" s="6" t="str">
        <f>IF(COUNTIF(Table1[Customer ID],Table1[[#This Row],[Customer ID]])&gt;1,"Repeat Customer","One-Time Customer")</f>
        <v>One-Time Customer</v>
      </c>
      <c r="H477" s="1" t="s">
        <v>975</v>
      </c>
      <c r="I477" s="1" t="s">
        <v>49</v>
      </c>
      <c r="J477" s="1" t="s">
        <v>28</v>
      </c>
      <c r="K477" s="1" t="s">
        <v>29</v>
      </c>
      <c r="L477" s="1" t="s">
        <v>30</v>
      </c>
      <c r="M477" s="1" t="s">
        <v>31</v>
      </c>
      <c r="N477" s="1" t="s">
        <v>127</v>
      </c>
      <c r="O477" s="1">
        <v>0.56000000000000005</v>
      </c>
      <c r="P477" s="6">
        <f>Table1[[#This Row],[Profit]]/Table1[[#This Row],[Sales]]</f>
        <v>3.1166581762608253E-2</v>
      </c>
      <c r="Q477" s="1" t="s">
        <v>33</v>
      </c>
      <c r="R477" s="1" t="s">
        <v>53</v>
      </c>
      <c r="S477" s="1" t="s">
        <v>228</v>
      </c>
      <c r="T477" s="1" t="s">
        <v>976</v>
      </c>
      <c r="U477" s="1">
        <v>6405</v>
      </c>
      <c r="V477" s="9">
        <v>42124</v>
      </c>
      <c r="W477" s="13" t="str">
        <f>TEXT(Table1[[#This Row],[Order Date]],"mmmm")</f>
        <v>April</v>
      </c>
      <c r="X477" s="7" t="str">
        <f>TEXT(Table1[[#This Row],[Order Date]],"yyyy")</f>
        <v>2015</v>
      </c>
      <c r="Y477" s="9">
        <v>42126</v>
      </c>
      <c r="Z477" s="1">
        <v>1.2236</v>
      </c>
      <c r="AA477" s="1">
        <v>22</v>
      </c>
      <c r="AB477" s="1">
        <v>39.26</v>
      </c>
      <c r="AC477" s="1">
        <v>88571</v>
      </c>
      <c r="AD477" s="6" t="str">
        <f>IF(COUNTIF(Returns!$A$2:$A$1635,Orders!AC477)&gt;0,"Returned","Not Returned")</f>
        <v>Not Returned</v>
      </c>
    </row>
    <row r="478" spans="1:30" ht="12.75" customHeight="1" thickTop="1" thickBot="1" x14ac:dyDescent="0.25">
      <c r="A478" s="10">
        <v>21352</v>
      </c>
      <c r="B478" s="11" t="s">
        <v>47</v>
      </c>
      <c r="C478" s="11">
        <v>0.02</v>
      </c>
      <c r="D478" s="11">
        <v>24.98</v>
      </c>
      <c r="E478" s="11">
        <v>8.7899999999999991</v>
      </c>
      <c r="F478" s="11">
        <v>855</v>
      </c>
      <c r="G478" s="6" t="str">
        <f>IF(COUNTIF(Table1[Customer ID],Table1[[#This Row],[Customer ID]])&gt;1,"Repeat Customer","One-Time Customer")</f>
        <v>One-Time Customer</v>
      </c>
      <c r="H478" s="11" t="s">
        <v>977</v>
      </c>
      <c r="I478" s="11" t="s">
        <v>49</v>
      </c>
      <c r="J478" s="11" t="s">
        <v>28</v>
      </c>
      <c r="K478" s="11" t="s">
        <v>29</v>
      </c>
      <c r="L478" s="11" t="s">
        <v>141</v>
      </c>
      <c r="M478" s="11" t="s">
        <v>59</v>
      </c>
      <c r="N478" s="11" t="s">
        <v>978</v>
      </c>
      <c r="O478" s="11">
        <v>0.66</v>
      </c>
      <c r="P478" s="6">
        <f>Table1[[#This Row],[Profit]]/Table1[[#This Row],[Sales]]</f>
        <v>7.114144861585135E-3</v>
      </c>
      <c r="Q478" s="11" t="s">
        <v>33</v>
      </c>
      <c r="R478" s="11" t="s">
        <v>53</v>
      </c>
      <c r="S478" s="11" t="s">
        <v>228</v>
      </c>
      <c r="T478" s="11" t="s">
        <v>979</v>
      </c>
      <c r="U478" s="11">
        <v>6810</v>
      </c>
      <c r="V478" s="12">
        <v>42124</v>
      </c>
      <c r="W478" s="13" t="str">
        <f>TEXT(Table1[[#This Row],[Order Date]],"mmmm")</f>
        <v>April</v>
      </c>
      <c r="X478" s="7" t="str">
        <f>TEXT(Table1[[#This Row],[Order Date]],"yyyy")</f>
        <v>2015</v>
      </c>
      <c r="Y478" s="12">
        <v>42125</v>
      </c>
      <c r="Z478" s="11">
        <v>4.3148</v>
      </c>
      <c r="AA478" s="11">
        <v>23</v>
      </c>
      <c r="AB478" s="11">
        <v>606.51</v>
      </c>
      <c r="AC478" s="11">
        <v>88571</v>
      </c>
      <c r="AD478" s="6" t="str">
        <f>IF(COUNTIF(Returns!$A$2:$A$1635,Orders!AC478)&gt;0,"Returned","Not Returned")</f>
        <v>Not Returned</v>
      </c>
    </row>
    <row r="479" spans="1:30" ht="12.75" customHeight="1" thickTop="1" thickBot="1" x14ac:dyDescent="0.25">
      <c r="A479" s="8">
        <v>21354</v>
      </c>
      <c r="B479" s="1" t="s">
        <v>47</v>
      </c>
      <c r="C479" s="1">
        <v>0.05</v>
      </c>
      <c r="D479" s="1">
        <v>35.99</v>
      </c>
      <c r="E479" s="1">
        <v>5.99</v>
      </c>
      <c r="F479" s="1">
        <v>858</v>
      </c>
      <c r="G479" s="6" t="str">
        <f>IF(COUNTIF(Table1[Customer ID],Table1[[#This Row],[Customer ID]])&gt;1,"Repeat Customer","One-Time Customer")</f>
        <v>One-Time Customer</v>
      </c>
      <c r="H479" s="1" t="s">
        <v>980</v>
      </c>
      <c r="I479" s="1" t="s">
        <v>27</v>
      </c>
      <c r="J479" s="1" t="s">
        <v>28</v>
      </c>
      <c r="K479" s="1" t="s">
        <v>77</v>
      </c>
      <c r="L479" s="1" t="s">
        <v>78</v>
      </c>
      <c r="M479" s="1" t="s">
        <v>31</v>
      </c>
      <c r="N479" s="1" t="s">
        <v>981</v>
      </c>
      <c r="O479" s="1">
        <v>0.38</v>
      </c>
      <c r="P479" s="6">
        <f>Table1[[#This Row],[Profit]]/Table1[[#This Row],[Sales]]</f>
        <v>-1.9391733703190013</v>
      </c>
      <c r="Q479" s="1" t="s">
        <v>33</v>
      </c>
      <c r="R479" s="1" t="s">
        <v>53</v>
      </c>
      <c r="S479" s="1" t="s">
        <v>188</v>
      </c>
      <c r="T479" s="1" t="s">
        <v>476</v>
      </c>
      <c r="U479" s="1">
        <v>4240</v>
      </c>
      <c r="V479" s="9">
        <v>42124</v>
      </c>
      <c r="W479" s="13" t="str">
        <f>TEXT(Table1[[#This Row],[Order Date]],"mmmm")</f>
        <v>April</v>
      </c>
      <c r="X479" s="7" t="str">
        <f>TEXT(Table1[[#This Row],[Order Date]],"yyyy")</f>
        <v>2015</v>
      </c>
      <c r="Y479" s="9">
        <v>42126</v>
      </c>
      <c r="Z479" s="1">
        <v>-125.83296</v>
      </c>
      <c r="AA479" s="1">
        <v>2</v>
      </c>
      <c r="AB479" s="1">
        <v>64.89</v>
      </c>
      <c r="AC479" s="1">
        <v>88571</v>
      </c>
      <c r="AD479" s="6" t="str">
        <f>IF(COUNTIF(Returns!$A$2:$A$1635,Orders!AC479)&gt;0,"Returned","Not Returned")</f>
        <v>Not Returned</v>
      </c>
    </row>
    <row r="480" spans="1:30" ht="12.75" customHeight="1" thickTop="1" thickBot="1" x14ac:dyDescent="0.25">
      <c r="A480" s="10">
        <v>21214</v>
      </c>
      <c r="B480" s="11" t="s">
        <v>47</v>
      </c>
      <c r="C480" s="11">
        <v>0.03</v>
      </c>
      <c r="D480" s="11">
        <v>14.2</v>
      </c>
      <c r="E480" s="11">
        <v>5.3</v>
      </c>
      <c r="F480" s="11">
        <v>865</v>
      </c>
      <c r="G480" s="6" t="str">
        <f>IF(COUNTIF(Table1[Customer ID],Table1[[#This Row],[Customer ID]])&gt;1,"Repeat Customer","One-Time Customer")</f>
        <v>Repeat Customer</v>
      </c>
      <c r="H480" s="11" t="s">
        <v>982</v>
      </c>
      <c r="I480" s="11" t="s">
        <v>49</v>
      </c>
      <c r="J480" s="11" t="s">
        <v>28</v>
      </c>
      <c r="K480" s="11" t="s">
        <v>41</v>
      </c>
      <c r="L480" s="11" t="s">
        <v>50</v>
      </c>
      <c r="M480" s="11" t="s">
        <v>31</v>
      </c>
      <c r="N480" s="11" t="s">
        <v>730</v>
      </c>
      <c r="O480" s="11">
        <v>0.46</v>
      </c>
      <c r="P480" s="6">
        <f>Table1[[#This Row],[Profit]]/Table1[[#This Row],[Sales]]</f>
        <v>0.45737275449101794</v>
      </c>
      <c r="Q480" s="11" t="s">
        <v>33</v>
      </c>
      <c r="R480" s="11" t="s">
        <v>61</v>
      </c>
      <c r="S480" s="11" t="s">
        <v>703</v>
      </c>
      <c r="T480" s="11" t="s">
        <v>832</v>
      </c>
      <c r="U480" s="11">
        <v>46312</v>
      </c>
      <c r="V480" s="12">
        <v>42151</v>
      </c>
      <c r="W480" s="13" t="str">
        <f>TEXT(Table1[[#This Row],[Order Date]],"mmmm")</f>
        <v>May</v>
      </c>
      <c r="X480" s="7" t="str">
        <f>TEXT(Table1[[#This Row],[Order Date]],"yyyy")</f>
        <v>2015</v>
      </c>
      <c r="Y480" s="12">
        <v>42152</v>
      </c>
      <c r="Z480" s="11">
        <v>122.21</v>
      </c>
      <c r="AA480" s="11">
        <v>18</v>
      </c>
      <c r="AB480" s="11">
        <v>267.2</v>
      </c>
      <c r="AC480" s="11">
        <v>90674</v>
      </c>
      <c r="AD480" s="6" t="str">
        <f>IF(COUNTIF(Returns!$A$2:$A$1635,Orders!AC480)&gt;0,"Returned","Not Returned")</f>
        <v>Not Returned</v>
      </c>
    </row>
    <row r="481" spans="1:30" ht="12.75" customHeight="1" thickTop="1" thickBot="1" x14ac:dyDescent="0.25">
      <c r="A481" s="8">
        <v>19947</v>
      </c>
      <c r="B481" s="1" t="s">
        <v>106</v>
      </c>
      <c r="C481" s="1">
        <v>0.04</v>
      </c>
      <c r="D481" s="1">
        <v>6.48</v>
      </c>
      <c r="E481" s="1">
        <v>5.16</v>
      </c>
      <c r="F481" s="1">
        <v>865</v>
      </c>
      <c r="G481" s="6" t="str">
        <f>IF(COUNTIF(Table1[Customer ID],Table1[[#This Row],[Customer ID]])&gt;1,"Repeat Customer","One-Time Customer")</f>
        <v>Repeat Customer</v>
      </c>
      <c r="H481" s="1" t="s">
        <v>982</v>
      </c>
      <c r="I481" s="1" t="s">
        <v>27</v>
      </c>
      <c r="J481" s="1" t="s">
        <v>28</v>
      </c>
      <c r="K481" s="1" t="s">
        <v>29</v>
      </c>
      <c r="L481" s="1" t="s">
        <v>93</v>
      </c>
      <c r="M481" s="1" t="s">
        <v>59</v>
      </c>
      <c r="N481" s="1" t="s">
        <v>983</v>
      </c>
      <c r="O481" s="1">
        <v>0.37</v>
      </c>
      <c r="P481" s="6">
        <f>Table1[[#This Row],[Profit]]/Table1[[#This Row],[Sales]]</f>
        <v>-0.1282774513192764</v>
      </c>
      <c r="Q481" s="1" t="s">
        <v>33</v>
      </c>
      <c r="R481" s="1" t="s">
        <v>61</v>
      </c>
      <c r="S481" s="1" t="s">
        <v>703</v>
      </c>
      <c r="T481" s="1" t="s">
        <v>832</v>
      </c>
      <c r="U481" s="1">
        <v>46312</v>
      </c>
      <c r="V481" s="9">
        <v>42061</v>
      </c>
      <c r="W481" s="13" t="str">
        <f>TEXT(Table1[[#This Row],[Order Date]],"mmmm")</f>
        <v>February</v>
      </c>
      <c r="X481" s="7" t="str">
        <f>TEXT(Table1[[#This Row],[Order Date]],"yyyy")</f>
        <v>2015</v>
      </c>
      <c r="Y481" s="9">
        <v>42065</v>
      </c>
      <c r="Z481" s="1">
        <v>-11.1332</v>
      </c>
      <c r="AA481" s="1">
        <v>12</v>
      </c>
      <c r="AB481" s="1">
        <v>86.79</v>
      </c>
      <c r="AC481" s="1">
        <v>90675</v>
      </c>
      <c r="AD481" s="6" t="str">
        <f>IF(COUNTIF(Returns!$A$2:$A$1635,Orders!AC481)&gt;0,"Returned","Not Returned")</f>
        <v>Not Returned</v>
      </c>
    </row>
    <row r="482" spans="1:30" ht="12.75" customHeight="1" thickTop="1" thickBot="1" x14ac:dyDescent="0.25">
      <c r="A482" s="10">
        <v>24774</v>
      </c>
      <c r="B482" s="11" t="s">
        <v>37</v>
      </c>
      <c r="C482" s="11">
        <v>0.04</v>
      </c>
      <c r="D482" s="11">
        <v>29.18</v>
      </c>
      <c r="E482" s="11">
        <v>8.5500000000000007</v>
      </c>
      <c r="F482" s="11">
        <v>868</v>
      </c>
      <c r="G482" s="6" t="str">
        <f>IF(COUNTIF(Table1[Customer ID],Table1[[#This Row],[Customer ID]])&gt;1,"Repeat Customer","One-Time Customer")</f>
        <v>Repeat Customer</v>
      </c>
      <c r="H482" s="11" t="s">
        <v>984</v>
      </c>
      <c r="I482" s="11" t="s">
        <v>27</v>
      </c>
      <c r="J482" s="11" t="s">
        <v>28</v>
      </c>
      <c r="K482" s="11" t="s">
        <v>41</v>
      </c>
      <c r="L482" s="11" t="s">
        <v>50</v>
      </c>
      <c r="M482" s="11" t="s">
        <v>59</v>
      </c>
      <c r="N482" s="11" t="s">
        <v>985</v>
      </c>
      <c r="O482" s="11">
        <v>0.42</v>
      </c>
      <c r="P482" s="6">
        <f>Table1[[#This Row],[Profit]]/Table1[[#This Row],[Sales]]</f>
        <v>0.69</v>
      </c>
      <c r="Q482" s="11" t="s">
        <v>33</v>
      </c>
      <c r="R482" s="11" t="s">
        <v>61</v>
      </c>
      <c r="S482" s="11" t="s">
        <v>62</v>
      </c>
      <c r="T482" s="11" t="s">
        <v>986</v>
      </c>
      <c r="U482" s="11">
        <v>55126</v>
      </c>
      <c r="V482" s="12">
        <v>42060</v>
      </c>
      <c r="W482" s="13" t="str">
        <f>TEXT(Table1[[#This Row],[Order Date]],"mmmm")</f>
        <v>February</v>
      </c>
      <c r="X482" s="7" t="str">
        <f>TEXT(Table1[[#This Row],[Order Date]],"yyyy")</f>
        <v>2015</v>
      </c>
      <c r="Y482" s="12">
        <v>42062</v>
      </c>
      <c r="Z482" s="11">
        <v>201.7353</v>
      </c>
      <c r="AA482" s="11">
        <v>10</v>
      </c>
      <c r="AB482" s="11">
        <v>292.37</v>
      </c>
      <c r="AC482" s="11">
        <v>91194</v>
      </c>
      <c r="AD482" s="6" t="str">
        <f>IF(COUNTIF(Returns!$A$2:$A$1635,Orders!AC482)&gt;0,"Returned","Not Returned")</f>
        <v>Not Returned</v>
      </c>
    </row>
    <row r="483" spans="1:30" ht="12.75" customHeight="1" thickTop="1" thickBot="1" x14ac:dyDescent="0.25">
      <c r="A483" s="8">
        <v>24775</v>
      </c>
      <c r="B483" s="1" t="s">
        <v>37</v>
      </c>
      <c r="C483" s="1">
        <v>0</v>
      </c>
      <c r="D483" s="1">
        <v>80.98</v>
      </c>
      <c r="E483" s="1">
        <v>35</v>
      </c>
      <c r="F483" s="1">
        <v>868</v>
      </c>
      <c r="G483" s="6" t="str">
        <f>IF(COUNTIF(Table1[Customer ID],Table1[[#This Row],[Customer ID]])&gt;1,"Repeat Customer","One-Time Customer")</f>
        <v>Repeat Customer</v>
      </c>
      <c r="H483" s="1" t="s">
        <v>984</v>
      </c>
      <c r="I483" s="1" t="s">
        <v>49</v>
      </c>
      <c r="J483" s="1" t="s">
        <v>28</v>
      </c>
      <c r="K483" s="1" t="s">
        <v>29</v>
      </c>
      <c r="L483" s="1" t="s">
        <v>141</v>
      </c>
      <c r="M483" s="1" t="s">
        <v>236</v>
      </c>
      <c r="N483" s="1" t="s">
        <v>987</v>
      </c>
      <c r="O483" s="1">
        <v>0.83</v>
      </c>
      <c r="P483" s="6">
        <f>Table1[[#This Row],[Profit]]/Table1[[#This Row],[Sales]]</f>
        <v>-1.0029145125148289</v>
      </c>
      <c r="Q483" s="1" t="s">
        <v>33</v>
      </c>
      <c r="R483" s="1" t="s">
        <v>61</v>
      </c>
      <c r="S483" s="1" t="s">
        <v>62</v>
      </c>
      <c r="T483" s="1" t="s">
        <v>986</v>
      </c>
      <c r="U483" s="1">
        <v>55126</v>
      </c>
      <c r="V483" s="9">
        <v>42060</v>
      </c>
      <c r="W483" s="13" t="str">
        <f>TEXT(Table1[[#This Row],[Order Date]],"mmmm")</f>
        <v>February</v>
      </c>
      <c r="X483" s="7" t="str">
        <f>TEXT(Table1[[#This Row],[Order Date]],"yyyy")</f>
        <v>2015</v>
      </c>
      <c r="Y483" s="9">
        <v>42062</v>
      </c>
      <c r="Z483" s="1">
        <v>-684.78</v>
      </c>
      <c r="AA483" s="1">
        <v>8</v>
      </c>
      <c r="AB483" s="1">
        <v>682.79</v>
      </c>
      <c r="AC483" s="1">
        <v>91194</v>
      </c>
      <c r="AD483" s="6" t="str">
        <f>IF(COUNTIF(Returns!$A$2:$A$1635,Orders!AC483)&gt;0,"Returned","Not Returned")</f>
        <v>Not Returned</v>
      </c>
    </row>
    <row r="484" spans="1:30" ht="12.75" customHeight="1" thickTop="1" thickBot="1" x14ac:dyDescent="0.25">
      <c r="A484" s="10">
        <v>24763</v>
      </c>
      <c r="B484" s="11" t="s">
        <v>47</v>
      </c>
      <c r="C484" s="11">
        <v>0.06</v>
      </c>
      <c r="D484" s="11">
        <v>6.48</v>
      </c>
      <c r="E484" s="11">
        <v>8.8800000000000008</v>
      </c>
      <c r="F484" s="11">
        <v>868</v>
      </c>
      <c r="G484" s="6" t="str">
        <f>IF(COUNTIF(Table1[Customer ID],Table1[[#This Row],[Customer ID]])&gt;1,"Repeat Customer","One-Time Customer")</f>
        <v>Repeat Customer</v>
      </c>
      <c r="H484" s="11" t="s">
        <v>984</v>
      </c>
      <c r="I484" s="11" t="s">
        <v>49</v>
      </c>
      <c r="J484" s="11" t="s">
        <v>28</v>
      </c>
      <c r="K484" s="11" t="s">
        <v>29</v>
      </c>
      <c r="L484" s="11" t="s">
        <v>93</v>
      </c>
      <c r="M484" s="11" t="s">
        <v>59</v>
      </c>
      <c r="N484" s="11" t="s">
        <v>988</v>
      </c>
      <c r="O484" s="11">
        <v>0.37</v>
      </c>
      <c r="P484" s="6">
        <f>Table1[[#This Row],[Profit]]/Table1[[#This Row],[Sales]]</f>
        <v>-1.8881291245925103</v>
      </c>
      <c r="Q484" s="11" t="s">
        <v>33</v>
      </c>
      <c r="R484" s="11" t="s">
        <v>61</v>
      </c>
      <c r="S484" s="11" t="s">
        <v>62</v>
      </c>
      <c r="T484" s="11" t="s">
        <v>986</v>
      </c>
      <c r="U484" s="11">
        <v>55126</v>
      </c>
      <c r="V484" s="12">
        <v>42069</v>
      </c>
      <c r="W484" s="13" t="str">
        <f>TEXT(Table1[[#This Row],[Order Date]],"mmmm")</f>
        <v>March</v>
      </c>
      <c r="X484" s="7" t="str">
        <f>TEXT(Table1[[#This Row],[Order Date]],"yyyy")</f>
        <v>2015</v>
      </c>
      <c r="Y484" s="12">
        <v>42070</v>
      </c>
      <c r="Z484" s="11">
        <v>-237.47</v>
      </c>
      <c r="AA484" s="11">
        <v>20</v>
      </c>
      <c r="AB484" s="11">
        <v>125.77</v>
      </c>
      <c r="AC484" s="11">
        <v>91195</v>
      </c>
      <c r="AD484" s="6" t="str">
        <f>IF(COUNTIF(Returns!$A$2:$A$1635,Orders!AC484)&gt;0,"Returned","Not Returned")</f>
        <v>Not Returned</v>
      </c>
    </row>
    <row r="485" spans="1:30" ht="12.75" customHeight="1" thickTop="1" thickBot="1" x14ac:dyDescent="0.25">
      <c r="A485" s="8">
        <v>24764</v>
      </c>
      <c r="B485" s="1" t="s">
        <v>47</v>
      </c>
      <c r="C485" s="1">
        <v>0.09</v>
      </c>
      <c r="D485" s="1">
        <v>349.45</v>
      </c>
      <c r="E485" s="1">
        <v>60</v>
      </c>
      <c r="F485" s="1">
        <v>868</v>
      </c>
      <c r="G485" s="6" t="str">
        <f>IF(COUNTIF(Table1[Customer ID],Table1[[#This Row],[Customer ID]])&gt;1,"Repeat Customer","One-Time Customer")</f>
        <v>Repeat Customer</v>
      </c>
      <c r="H485" s="1" t="s">
        <v>984</v>
      </c>
      <c r="I485" s="1" t="s">
        <v>39</v>
      </c>
      <c r="J485" s="1" t="s">
        <v>28</v>
      </c>
      <c r="K485" s="1" t="s">
        <v>41</v>
      </c>
      <c r="L485" s="1" t="s">
        <v>152</v>
      </c>
      <c r="M485" s="1" t="s">
        <v>43</v>
      </c>
      <c r="N485" s="1" t="s">
        <v>989</v>
      </c>
      <c r="O485" s="1"/>
      <c r="P485" s="6">
        <f>Table1[[#This Row],[Profit]]/Table1[[#This Row],[Sales]]</f>
        <v>-0.75173922806444526</v>
      </c>
      <c r="Q485" s="1" t="s">
        <v>33</v>
      </c>
      <c r="R485" s="1" t="s">
        <v>61</v>
      </c>
      <c r="S485" s="1" t="s">
        <v>62</v>
      </c>
      <c r="T485" s="1" t="s">
        <v>986</v>
      </c>
      <c r="U485" s="1">
        <v>55126</v>
      </c>
      <c r="V485" s="9">
        <v>42069</v>
      </c>
      <c r="W485" s="13" t="str">
        <f>TEXT(Table1[[#This Row],[Order Date]],"mmmm")</f>
        <v>March</v>
      </c>
      <c r="X485" s="7" t="str">
        <f>TEXT(Table1[[#This Row],[Order Date]],"yyyy")</f>
        <v>2015</v>
      </c>
      <c r="Y485" s="9">
        <v>42070</v>
      </c>
      <c r="Z485" s="1">
        <v>-2946.0509999999999</v>
      </c>
      <c r="AA485" s="1">
        <v>12</v>
      </c>
      <c r="AB485" s="1">
        <v>3918.98</v>
      </c>
      <c r="AC485" s="1">
        <v>91195</v>
      </c>
      <c r="AD485" s="6" t="str">
        <f>IF(COUNTIF(Returns!$A$2:$A$1635,Orders!AC485)&gt;0,"Returned","Not Returned")</f>
        <v>Not Returned</v>
      </c>
    </row>
    <row r="486" spans="1:30" ht="12.75" customHeight="1" thickTop="1" thickBot="1" x14ac:dyDescent="0.25">
      <c r="A486" s="10">
        <v>25507</v>
      </c>
      <c r="B486" s="11" t="s">
        <v>37</v>
      </c>
      <c r="C486" s="11">
        <v>0.03</v>
      </c>
      <c r="D486" s="11">
        <v>14.2</v>
      </c>
      <c r="E486" s="11">
        <v>5.3</v>
      </c>
      <c r="F486" s="11">
        <v>871</v>
      </c>
      <c r="G486" s="6" t="str">
        <f>IF(COUNTIF(Table1[Customer ID],Table1[[#This Row],[Customer ID]])&gt;1,"Repeat Customer","One-Time Customer")</f>
        <v>Repeat Customer</v>
      </c>
      <c r="H486" s="11" t="s">
        <v>990</v>
      </c>
      <c r="I486" s="11" t="s">
        <v>49</v>
      </c>
      <c r="J486" s="11" t="s">
        <v>40</v>
      </c>
      <c r="K486" s="11" t="s">
        <v>41</v>
      </c>
      <c r="L486" s="11" t="s">
        <v>50</v>
      </c>
      <c r="M486" s="11" t="s">
        <v>31</v>
      </c>
      <c r="N486" s="11" t="s">
        <v>730</v>
      </c>
      <c r="O486" s="11">
        <v>0.46</v>
      </c>
      <c r="P486" s="6">
        <f>Table1[[#This Row],[Profit]]/Table1[[#This Row],[Sales]]</f>
        <v>0.69</v>
      </c>
      <c r="Q486" s="11" t="s">
        <v>33</v>
      </c>
      <c r="R486" s="11" t="s">
        <v>34</v>
      </c>
      <c r="S486" s="11" t="s">
        <v>533</v>
      </c>
      <c r="T486" s="11" t="s">
        <v>991</v>
      </c>
      <c r="U486" s="11">
        <v>89502</v>
      </c>
      <c r="V486" s="12">
        <v>42078</v>
      </c>
      <c r="W486" s="13" t="str">
        <f>TEXT(Table1[[#This Row],[Order Date]],"mmmm")</f>
        <v>March</v>
      </c>
      <c r="X486" s="7" t="str">
        <f>TEXT(Table1[[#This Row],[Order Date]],"yyyy")</f>
        <v>2015</v>
      </c>
      <c r="Y486" s="12">
        <v>42080</v>
      </c>
      <c r="Z486" s="11">
        <v>21.555599999999998</v>
      </c>
      <c r="AA486" s="11">
        <v>2</v>
      </c>
      <c r="AB486" s="11">
        <v>31.24</v>
      </c>
      <c r="AC486" s="11">
        <v>90577</v>
      </c>
      <c r="AD486" s="6" t="str">
        <f>IF(COUNTIF(Returns!$A$2:$A$1635,Orders!AC486)&gt;0,"Returned","Not Returned")</f>
        <v>Not Returned</v>
      </c>
    </row>
    <row r="487" spans="1:30" ht="12.75" customHeight="1" thickTop="1" thickBot="1" x14ac:dyDescent="0.25">
      <c r="A487" s="8">
        <v>22547</v>
      </c>
      <c r="B487" s="1" t="s">
        <v>37</v>
      </c>
      <c r="C487" s="1">
        <v>0.01</v>
      </c>
      <c r="D487" s="1">
        <v>5.94</v>
      </c>
      <c r="E487" s="1">
        <v>9.92</v>
      </c>
      <c r="F487" s="1">
        <v>871</v>
      </c>
      <c r="G487" s="6" t="str">
        <f>IF(COUNTIF(Table1[Customer ID],Table1[[#This Row],[Customer ID]])&gt;1,"Repeat Customer","One-Time Customer")</f>
        <v>Repeat Customer</v>
      </c>
      <c r="H487" s="1" t="s">
        <v>990</v>
      </c>
      <c r="I487" s="1" t="s">
        <v>49</v>
      </c>
      <c r="J487" s="1" t="s">
        <v>40</v>
      </c>
      <c r="K487" s="1" t="s">
        <v>29</v>
      </c>
      <c r="L487" s="1" t="s">
        <v>109</v>
      </c>
      <c r="M487" s="1" t="s">
        <v>59</v>
      </c>
      <c r="N487" s="1" t="s">
        <v>344</v>
      </c>
      <c r="O487" s="1">
        <v>0.38</v>
      </c>
      <c r="P487" s="6">
        <f>Table1[[#This Row],[Profit]]/Table1[[#This Row],[Sales]]</f>
        <v>-3.2006820917480274</v>
      </c>
      <c r="Q487" s="1" t="s">
        <v>33</v>
      </c>
      <c r="R487" s="1" t="s">
        <v>34</v>
      </c>
      <c r="S487" s="1" t="s">
        <v>533</v>
      </c>
      <c r="T487" s="1" t="s">
        <v>991</v>
      </c>
      <c r="U487" s="1">
        <v>89502</v>
      </c>
      <c r="V487" s="9">
        <v>42144</v>
      </c>
      <c r="W487" s="13" t="str">
        <f>TEXT(Table1[[#This Row],[Order Date]],"mmmm")</f>
        <v>May</v>
      </c>
      <c r="X487" s="7" t="str">
        <f>TEXT(Table1[[#This Row],[Order Date]],"yyyy")</f>
        <v>2015</v>
      </c>
      <c r="Y487" s="9">
        <v>42147</v>
      </c>
      <c r="Z487" s="1">
        <v>-239.315</v>
      </c>
      <c r="AA487" s="1">
        <v>12</v>
      </c>
      <c r="AB487" s="1">
        <v>74.77</v>
      </c>
      <c r="AC487" s="1">
        <v>90578</v>
      </c>
      <c r="AD487" s="6" t="str">
        <f>IF(COUNTIF(Returns!$A$2:$A$1635,Orders!AC487)&gt;0,"Returned","Not Returned")</f>
        <v>Not Returned</v>
      </c>
    </row>
    <row r="488" spans="1:30" ht="12.75" customHeight="1" thickTop="1" thickBot="1" x14ac:dyDescent="0.25">
      <c r="A488" s="10">
        <v>22548</v>
      </c>
      <c r="B488" s="11" t="s">
        <v>37</v>
      </c>
      <c r="C488" s="11">
        <v>0</v>
      </c>
      <c r="D488" s="11">
        <v>6.48</v>
      </c>
      <c r="E488" s="11">
        <v>5.1100000000000003</v>
      </c>
      <c r="F488" s="11">
        <v>871</v>
      </c>
      <c r="G488" s="6" t="str">
        <f>IF(COUNTIF(Table1[Customer ID],Table1[[#This Row],[Customer ID]])&gt;1,"Repeat Customer","One-Time Customer")</f>
        <v>Repeat Customer</v>
      </c>
      <c r="H488" s="11" t="s">
        <v>990</v>
      </c>
      <c r="I488" s="11" t="s">
        <v>49</v>
      </c>
      <c r="J488" s="11" t="s">
        <v>40</v>
      </c>
      <c r="K488" s="11" t="s">
        <v>29</v>
      </c>
      <c r="L488" s="11" t="s">
        <v>93</v>
      </c>
      <c r="M488" s="11" t="s">
        <v>59</v>
      </c>
      <c r="N488" s="11" t="s">
        <v>992</v>
      </c>
      <c r="O488" s="11">
        <v>0.37</v>
      </c>
      <c r="P488" s="6">
        <f>Table1[[#This Row],[Profit]]/Table1[[#This Row],[Sales]]</f>
        <v>-0.26062123464517645</v>
      </c>
      <c r="Q488" s="11" t="s">
        <v>33</v>
      </c>
      <c r="R488" s="11" t="s">
        <v>34</v>
      </c>
      <c r="S488" s="11" t="s">
        <v>533</v>
      </c>
      <c r="T488" s="11" t="s">
        <v>991</v>
      </c>
      <c r="U488" s="11">
        <v>89502</v>
      </c>
      <c r="V488" s="12">
        <v>42144</v>
      </c>
      <c r="W488" s="13" t="str">
        <f>TEXT(Table1[[#This Row],[Order Date]],"mmmm")</f>
        <v>May</v>
      </c>
      <c r="X488" s="7" t="str">
        <f>TEXT(Table1[[#This Row],[Order Date]],"yyyy")</f>
        <v>2015</v>
      </c>
      <c r="Y488" s="12">
        <v>42146</v>
      </c>
      <c r="Z488" s="11">
        <v>-33.31</v>
      </c>
      <c r="AA488" s="11">
        <v>18</v>
      </c>
      <c r="AB488" s="11">
        <v>127.81</v>
      </c>
      <c r="AC488" s="11">
        <v>90578</v>
      </c>
      <c r="AD488" s="6" t="str">
        <f>IF(COUNTIF(Returns!$A$2:$A$1635,Orders!AC488)&gt;0,"Returned","Not Returned")</f>
        <v>Not Returned</v>
      </c>
    </row>
    <row r="489" spans="1:30" ht="12.75" customHeight="1" thickTop="1" thickBot="1" x14ac:dyDescent="0.25">
      <c r="A489" s="8">
        <v>19262</v>
      </c>
      <c r="B489" s="1" t="s">
        <v>25</v>
      </c>
      <c r="C489" s="1">
        <v>0.04</v>
      </c>
      <c r="D489" s="1">
        <v>4.37</v>
      </c>
      <c r="E489" s="1">
        <v>5.15</v>
      </c>
      <c r="F489" s="1">
        <v>875</v>
      </c>
      <c r="G489" s="6" t="str">
        <f>IF(COUNTIF(Table1[Customer ID],Table1[[#This Row],[Customer ID]])&gt;1,"Repeat Customer","One-Time Customer")</f>
        <v>Repeat Customer</v>
      </c>
      <c r="H489" s="1" t="s">
        <v>993</v>
      </c>
      <c r="I489" s="1" t="s">
        <v>49</v>
      </c>
      <c r="J489" s="1" t="s">
        <v>58</v>
      </c>
      <c r="K489" s="1" t="s">
        <v>29</v>
      </c>
      <c r="L489" s="1" t="s">
        <v>257</v>
      </c>
      <c r="M489" s="1" t="s">
        <v>59</v>
      </c>
      <c r="N489" s="1" t="s">
        <v>994</v>
      </c>
      <c r="O489" s="1">
        <v>0.59</v>
      </c>
      <c r="P489" s="6">
        <f>Table1[[#This Row],[Profit]]/Table1[[#This Row],[Sales]]</f>
        <v>-0.94769818043008003</v>
      </c>
      <c r="Q489" s="1" t="s">
        <v>33</v>
      </c>
      <c r="R489" s="1" t="s">
        <v>34</v>
      </c>
      <c r="S489" s="1" t="s">
        <v>212</v>
      </c>
      <c r="T489" s="1" t="s">
        <v>995</v>
      </c>
      <c r="U489" s="1">
        <v>84106</v>
      </c>
      <c r="V489" s="9">
        <v>42056</v>
      </c>
      <c r="W489" s="13" t="str">
        <f>TEXT(Table1[[#This Row],[Order Date]],"mmmm")</f>
        <v>February</v>
      </c>
      <c r="X489" s="7" t="str">
        <f>TEXT(Table1[[#This Row],[Order Date]],"yyyy")</f>
        <v>2015</v>
      </c>
      <c r="Y489" s="9">
        <v>42057</v>
      </c>
      <c r="Z489" s="1">
        <v>-74.479599999999991</v>
      </c>
      <c r="AA489" s="1">
        <v>18</v>
      </c>
      <c r="AB489" s="1">
        <v>78.59</v>
      </c>
      <c r="AC489" s="1">
        <v>89059</v>
      </c>
      <c r="AD489" s="6" t="str">
        <f>IF(COUNTIF(Returns!$A$2:$A$1635,Orders!AC489)&gt;0,"Returned","Not Returned")</f>
        <v>Not Returned</v>
      </c>
    </row>
    <row r="490" spans="1:30" ht="12.75" customHeight="1" thickTop="1" thickBot="1" x14ac:dyDescent="0.25">
      <c r="A490" s="10">
        <v>19263</v>
      </c>
      <c r="B490" s="11" t="s">
        <v>25</v>
      </c>
      <c r="C490" s="11">
        <v>0.09</v>
      </c>
      <c r="D490" s="11">
        <v>155.99</v>
      </c>
      <c r="E490" s="11">
        <v>8.99</v>
      </c>
      <c r="F490" s="11">
        <v>875</v>
      </c>
      <c r="G490" s="6" t="str">
        <f>IF(COUNTIF(Table1[Customer ID],Table1[[#This Row],[Customer ID]])&gt;1,"Repeat Customer","One-Time Customer")</f>
        <v>Repeat Customer</v>
      </c>
      <c r="H490" s="11" t="s">
        <v>993</v>
      </c>
      <c r="I490" s="11" t="s">
        <v>49</v>
      </c>
      <c r="J490" s="11" t="s">
        <v>58</v>
      </c>
      <c r="K490" s="11" t="s">
        <v>77</v>
      </c>
      <c r="L490" s="11" t="s">
        <v>78</v>
      </c>
      <c r="M490" s="11" t="s">
        <v>59</v>
      </c>
      <c r="N490" s="11" t="s">
        <v>996</v>
      </c>
      <c r="O490" s="11">
        <v>0.57999999999999996</v>
      </c>
      <c r="P490" s="6">
        <f>Table1[[#This Row],[Profit]]/Table1[[#This Row],[Sales]]</f>
        <v>-0.46714119611353627</v>
      </c>
      <c r="Q490" s="11" t="s">
        <v>33</v>
      </c>
      <c r="R490" s="11" t="s">
        <v>34</v>
      </c>
      <c r="S490" s="11" t="s">
        <v>212</v>
      </c>
      <c r="T490" s="11" t="s">
        <v>995</v>
      </c>
      <c r="U490" s="11">
        <v>84106</v>
      </c>
      <c r="V490" s="12">
        <v>42056</v>
      </c>
      <c r="W490" s="13" t="str">
        <f>TEXT(Table1[[#This Row],[Order Date]],"mmmm")</f>
        <v>February</v>
      </c>
      <c r="X490" s="7" t="str">
        <f>TEXT(Table1[[#This Row],[Order Date]],"yyyy")</f>
        <v>2015</v>
      </c>
      <c r="Y490" s="12">
        <v>42058</v>
      </c>
      <c r="Z490" s="11">
        <v>-232.22056000000003</v>
      </c>
      <c r="AA490" s="11">
        <v>4</v>
      </c>
      <c r="AB490" s="11">
        <v>497.11</v>
      </c>
      <c r="AC490" s="11">
        <v>89059</v>
      </c>
      <c r="AD490" s="6" t="str">
        <f>IF(COUNTIF(Returns!$A$2:$A$1635,Orders!AC490)&gt;0,"Returned","Not Returned")</f>
        <v>Not Returned</v>
      </c>
    </row>
    <row r="491" spans="1:30" ht="14.25" thickTop="1" thickBot="1" x14ac:dyDescent="0.25">
      <c r="A491" s="8">
        <v>18054</v>
      </c>
      <c r="B491" s="1" t="s">
        <v>47</v>
      </c>
      <c r="C491" s="1">
        <v>7.0000000000000007E-2</v>
      </c>
      <c r="D491" s="1">
        <v>5.68</v>
      </c>
      <c r="E491" s="1">
        <v>1.39</v>
      </c>
      <c r="F491" s="1">
        <v>880</v>
      </c>
      <c r="G491" s="6" t="str">
        <f>IF(COUNTIF(Table1[Customer ID],Table1[[#This Row],[Customer ID]])&gt;1,"Repeat Customer","One-Time Customer")</f>
        <v>Repeat Customer</v>
      </c>
      <c r="H491" s="1" t="s">
        <v>997</v>
      </c>
      <c r="I491" s="1" t="s">
        <v>49</v>
      </c>
      <c r="J491" s="1" t="s">
        <v>58</v>
      </c>
      <c r="K491" s="1" t="s">
        <v>29</v>
      </c>
      <c r="L491" s="1" t="s">
        <v>69</v>
      </c>
      <c r="M491" s="1" t="s">
        <v>59</v>
      </c>
      <c r="N491" s="1" t="s">
        <v>998</v>
      </c>
      <c r="O491" s="1">
        <v>0.38</v>
      </c>
      <c r="P491" s="6">
        <f>Table1[[#This Row],[Profit]]/Table1[[#This Row],[Sales]]</f>
        <v>0.69</v>
      </c>
      <c r="Q491" s="1" t="s">
        <v>33</v>
      </c>
      <c r="R491" s="1" t="s">
        <v>34</v>
      </c>
      <c r="S491" s="1" t="s">
        <v>378</v>
      </c>
      <c r="T491" s="1" t="s">
        <v>999</v>
      </c>
      <c r="U491" s="1">
        <v>85254</v>
      </c>
      <c r="V491" s="9">
        <v>42088</v>
      </c>
      <c r="W491" s="13" t="str">
        <f>TEXT(Table1[[#This Row],[Order Date]],"mmmm")</f>
        <v>March</v>
      </c>
      <c r="X491" s="7" t="str">
        <f>TEXT(Table1[[#This Row],[Order Date]],"yyyy")</f>
        <v>2015</v>
      </c>
      <c r="Y491" s="9">
        <v>42090</v>
      </c>
      <c r="Z491" s="1">
        <v>18.643799999999999</v>
      </c>
      <c r="AA491" s="1">
        <v>5</v>
      </c>
      <c r="AB491" s="1">
        <v>27.02</v>
      </c>
      <c r="AC491" s="1">
        <v>86153</v>
      </c>
      <c r="AD491" s="6" t="str">
        <f>IF(COUNTIF(Returns!$A$2:$A$1635,Orders!AC491)&gt;0,"Returned","Not Returned")</f>
        <v>Not Returned</v>
      </c>
    </row>
    <row r="492" spans="1:30" ht="14.25" thickTop="1" thickBot="1" x14ac:dyDescent="0.25">
      <c r="A492" s="10">
        <v>18055</v>
      </c>
      <c r="B492" s="11" t="s">
        <v>47</v>
      </c>
      <c r="C492" s="11">
        <v>0.06</v>
      </c>
      <c r="D492" s="11">
        <v>22.84</v>
      </c>
      <c r="E492" s="11">
        <v>11.54</v>
      </c>
      <c r="F492" s="11">
        <v>880</v>
      </c>
      <c r="G492" s="6" t="str">
        <f>IF(COUNTIF(Table1[Customer ID],Table1[[#This Row],[Customer ID]])&gt;1,"Repeat Customer","One-Time Customer")</f>
        <v>Repeat Customer</v>
      </c>
      <c r="H492" s="11" t="s">
        <v>997</v>
      </c>
      <c r="I492" s="11" t="s">
        <v>49</v>
      </c>
      <c r="J492" s="11" t="s">
        <v>58</v>
      </c>
      <c r="K492" s="11" t="s">
        <v>29</v>
      </c>
      <c r="L492" s="11" t="s">
        <v>93</v>
      </c>
      <c r="M492" s="11" t="s">
        <v>59</v>
      </c>
      <c r="N492" s="11" t="s">
        <v>227</v>
      </c>
      <c r="O492" s="11">
        <v>0.39</v>
      </c>
      <c r="P492" s="6">
        <f>Table1[[#This Row],[Profit]]/Table1[[#This Row],[Sales]]</f>
        <v>-1.1290205999277194</v>
      </c>
      <c r="Q492" s="11" t="s">
        <v>33</v>
      </c>
      <c r="R492" s="11" t="s">
        <v>34</v>
      </c>
      <c r="S492" s="11" t="s">
        <v>378</v>
      </c>
      <c r="T492" s="11" t="s">
        <v>999</v>
      </c>
      <c r="U492" s="11">
        <v>85254</v>
      </c>
      <c r="V492" s="12">
        <v>42088</v>
      </c>
      <c r="W492" s="13" t="str">
        <f>TEXT(Table1[[#This Row],[Order Date]],"mmmm")</f>
        <v>March</v>
      </c>
      <c r="X492" s="7" t="str">
        <f>TEXT(Table1[[#This Row],[Order Date]],"yyyy")</f>
        <v>2015</v>
      </c>
      <c r="Y492" s="12">
        <v>42090</v>
      </c>
      <c r="Z492" s="11">
        <v>-31.24</v>
      </c>
      <c r="AA492" s="11">
        <v>1</v>
      </c>
      <c r="AB492" s="11">
        <v>27.67</v>
      </c>
      <c r="AC492" s="11">
        <v>86153</v>
      </c>
      <c r="AD492" s="6" t="str">
        <f>IF(COUNTIF(Returns!$A$2:$A$1635,Orders!AC492)&gt;0,"Returned","Not Returned")</f>
        <v>Not Returned</v>
      </c>
    </row>
    <row r="493" spans="1:30" ht="12.75" customHeight="1" thickTop="1" thickBot="1" x14ac:dyDescent="0.25">
      <c r="A493" s="8">
        <v>19401</v>
      </c>
      <c r="B493" s="1" t="s">
        <v>47</v>
      </c>
      <c r="C493" s="1">
        <v>0.06</v>
      </c>
      <c r="D493" s="1">
        <v>25.98</v>
      </c>
      <c r="E493" s="1">
        <v>14.36</v>
      </c>
      <c r="F493" s="1">
        <v>885</v>
      </c>
      <c r="G493" s="6" t="str">
        <f>IF(COUNTIF(Table1[Customer ID],Table1[[#This Row],[Customer ID]])&gt;1,"Repeat Customer","One-Time Customer")</f>
        <v>One-Time Customer</v>
      </c>
      <c r="H493" s="1" t="s">
        <v>1000</v>
      </c>
      <c r="I493" s="1" t="s">
        <v>39</v>
      </c>
      <c r="J493" s="1" t="s">
        <v>28</v>
      </c>
      <c r="K493" s="1" t="s">
        <v>41</v>
      </c>
      <c r="L493" s="1" t="s">
        <v>42</v>
      </c>
      <c r="M493" s="1" t="s">
        <v>43</v>
      </c>
      <c r="N493" s="1" t="s">
        <v>1001</v>
      </c>
      <c r="O493" s="1">
        <v>0.6</v>
      </c>
      <c r="P493" s="6">
        <f>Table1[[#This Row],[Profit]]/Table1[[#This Row],[Sales]]</f>
        <v>5.4073300050311579E-2</v>
      </c>
      <c r="Q493" s="1" t="s">
        <v>33</v>
      </c>
      <c r="R493" s="1" t="s">
        <v>61</v>
      </c>
      <c r="S493" s="1" t="s">
        <v>130</v>
      </c>
      <c r="T493" s="1" t="s">
        <v>956</v>
      </c>
      <c r="U493" s="1">
        <v>79109</v>
      </c>
      <c r="V493" s="9">
        <v>42148</v>
      </c>
      <c r="W493" s="13" t="str">
        <f>TEXT(Table1[[#This Row],[Order Date]],"mmmm")</f>
        <v>May</v>
      </c>
      <c r="X493" s="7" t="str">
        <f>TEXT(Table1[[#This Row],[Order Date]],"yyyy")</f>
        <v>2015</v>
      </c>
      <c r="Y493" s="9">
        <v>42149</v>
      </c>
      <c r="Z493" s="1">
        <v>55.888000000000034</v>
      </c>
      <c r="AA493" s="1">
        <v>41</v>
      </c>
      <c r="AB493" s="1">
        <v>1033.56</v>
      </c>
      <c r="AC493" s="1">
        <v>89537</v>
      </c>
      <c r="AD493" s="6" t="str">
        <f>IF(COUNTIF(Returns!$A$2:$A$1635,Orders!AC493)&gt;0,"Returned","Not Returned")</f>
        <v>Not Returned</v>
      </c>
    </row>
    <row r="494" spans="1:30" ht="12.75" customHeight="1" thickTop="1" thickBot="1" x14ac:dyDescent="0.25">
      <c r="A494" s="10">
        <v>26011</v>
      </c>
      <c r="B494" s="11" t="s">
        <v>47</v>
      </c>
      <c r="C494" s="11">
        <v>0.08</v>
      </c>
      <c r="D494" s="11">
        <v>1.81</v>
      </c>
      <c r="E494" s="11">
        <v>0.75</v>
      </c>
      <c r="F494" s="11">
        <v>890</v>
      </c>
      <c r="G494" s="6" t="str">
        <f>IF(COUNTIF(Table1[Customer ID],Table1[[#This Row],[Customer ID]])&gt;1,"Repeat Customer","One-Time Customer")</f>
        <v>Repeat Customer</v>
      </c>
      <c r="H494" s="11" t="s">
        <v>1002</v>
      </c>
      <c r="I494" s="11" t="s">
        <v>49</v>
      </c>
      <c r="J494" s="11" t="s">
        <v>114</v>
      </c>
      <c r="K494" s="11" t="s">
        <v>41</v>
      </c>
      <c r="L494" s="11" t="s">
        <v>42</v>
      </c>
      <c r="M494" s="11" t="s">
        <v>43</v>
      </c>
      <c r="N494" s="11" t="s">
        <v>1003</v>
      </c>
      <c r="O494" s="11">
        <v>0.57999999999999996</v>
      </c>
      <c r="P494" s="6">
        <f>Table1[[#This Row],[Profit]]/Table1[[#This Row],[Sales]]</f>
        <v>6.6219328993490242E-2</v>
      </c>
      <c r="Q494" s="11" t="s">
        <v>33</v>
      </c>
      <c r="R494" s="11" t="s">
        <v>61</v>
      </c>
      <c r="S494" s="11" t="s">
        <v>130</v>
      </c>
      <c r="T494" s="11" t="s">
        <v>1004</v>
      </c>
      <c r="U494" s="11">
        <v>76021</v>
      </c>
      <c r="V494" s="12">
        <v>42009</v>
      </c>
      <c r="W494" s="13" t="str">
        <f>TEXT(Table1[[#This Row],[Order Date]],"mmmm")</f>
        <v>January</v>
      </c>
      <c r="X494" s="7" t="str">
        <f>TEXT(Table1[[#This Row],[Order Date]],"yyyy")</f>
        <v>2015</v>
      </c>
      <c r="Y494" s="12">
        <v>42010</v>
      </c>
      <c r="Z494" s="11">
        <v>1.3224</v>
      </c>
      <c r="AA494" s="11">
        <v>11</v>
      </c>
      <c r="AB494" s="11">
        <v>19.97</v>
      </c>
      <c r="AC494" s="11">
        <v>89536</v>
      </c>
      <c r="AD494" s="6" t="str">
        <f>IF(COUNTIF(Returns!$A$2:$A$1635,Orders!AC494)&gt;0,"Returned","Not Returned")</f>
        <v>Not Returned</v>
      </c>
    </row>
    <row r="495" spans="1:30" ht="12.75" customHeight="1" thickTop="1" thickBot="1" x14ac:dyDescent="0.25">
      <c r="A495" s="8">
        <v>26015</v>
      </c>
      <c r="B495" s="1" t="s">
        <v>47</v>
      </c>
      <c r="C495" s="1">
        <v>0.04</v>
      </c>
      <c r="D495" s="1">
        <v>125.99</v>
      </c>
      <c r="E495" s="1">
        <v>5.26</v>
      </c>
      <c r="F495" s="1">
        <v>890</v>
      </c>
      <c r="G495" s="6" t="str">
        <f>IF(COUNTIF(Table1[Customer ID],Table1[[#This Row],[Customer ID]])&gt;1,"Repeat Customer","One-Time Customer")</f>
        <v>Repeat Customer</v>
      </c>
      <c r="H495" s="1" t="s">
        <v>1002</v>
      </c>
      <c r="I495" s="1" t="s">
        <v>49</v>
      </c>
      <c r="J495" s="1" t="s">
        <v>114</v>
      </c>
      <c r="K495" s="1" t="s">
        <v>77</v>
      </c>
      <c r="L495" s="1" t="s">
        <v>78</v>
      </c>
      <c r="M495" s="1" t="s">
        <v>59</v>
      </c>
      <c r="N495" s="1" t="s">
        <v>1005</v>
      </c>
      <c r="O495" s="1">
        <v>0.55000000000000004</v>
      </c>
      <c r="P495" s="6">
        <f>Table1[[#This Row],[Profit]]/Table1[[#This Row],[Sales]]</f>
        <v>0.69</v>
      </c>
      <c r="Q495" s="1" t="s">
        <v>33</v>
      </c>
      <c r="R495" s="1" t="s">
        <v>61</v>
      </c>
      <c r="S495" s="1" t="s">
        <v>130</v>
      </c>
      <c r="T495" s="1" t="s">
        <v>1004</v>
      </c>
      <c r="U495" s="1">
        <v>76021</v>
      </c>
      <c r="V495" s="9">
        <v>42009</v>
      </c>
      <c r="W495" s="13" t="str">
        <f>TEXT(Table1[[#This Row],[Order Date]],"mmmm")</f>
        <v>January</v>
      </c>
      <c r="X495" s="7" t="str">
        <f>TEXT(Table1[[#This Row],[Order Date]],"yyyy")</f>
        <v>2015</v>
      </c>
      <c r="Y495" s="9">
        <v>42009</v>
      </c>
      <c r="Z495" s="1">
        <v>455.42069999999995</v>
      </c>
      <c r="AA495" s="1">
        <v>6</v>
      </c>
      <c r="AB495" s="1">
        <v>660.03</v>
      </c>
      <c r="AC495" s="1">
        <v>89536</v>
      </c>
      <c r="AD495" s="6" t="str">
        <f>IF(COUNTIF(Returns!$A$2:$A$1635,Orders!AC495)&gt;0,"Returned","Not Returned")</f>
        <v>Not Returned</v>
      </c>
    </row>
    <row r="496" spans="1:30" ht="12.75" customHeight="1" thickTop="1" thickBot="1" x14ac:dyDescent="0.25">
      <c r="A496" s="10">
        <v>2045</v>
      </c>
      <c r="B496" s="11" t="s">
        <v>47</v>
      </c>
      <c r="C496" s="11">
        <v>0.01</v>
      </c>
      <c r="D496" s="11">
        <v>8.34</v>
      </c>
      <c r="E496" s="11">
        <v>0.96</v>
      </c>
      <c r="F496" s="11">
        <v>894</v>
      </c>
      <c r="G496" s="6" t="str">
        <f>IF(COUNTIF(Table1[Customer ID],Table1[[#This Row],[Customer ID]])&gt;1,"Repeat Customer","One-Time Customer")</f>
        <v>Repeat Customer</v>
      </c>
      <c r="H496" s="11" t="s">
        <v>1006</v>
      </c>
      <c r="I496" s="11" t="s">
        <v>49</v>
      </c>
      <c r="J496" s="11" t="s">
        <v>28</v>
      </c>
      <c r="K496" s="11" t="s">
        <v>41</v>
      </c>
      <c r="L496" s="11" t="s">
        <v>50</v>
      </c>
      <c r="M496" s="11" t="s">
        <v>31</v>
      </c>
      <c r="N496" s="11" t="s">
        <v>1007</v>
      </c>
      <c r="O496" s="11">
        <v>0.43</v>
      </c>
      <c r="P496" s="6">
        <f>Table1[[#This Row],[Profit]]/Table1[[#This Row],[Sales]]</f>
        <v>0.14730815588589796</v>
      </c>
      <c r="Q496" s="11" t="s">
        <v>33</v>
      </c>
      <c r="R496" s="11" t="s">
        <v>53</v>
      </c>
      <c r="S496" s="11" t="s">
        <v>1008</v>
      </c>
      <c r="T496" s="11" t="s">
        <v>35</v>
      </c>
      <c r="U496" s="11">
        <v>20024</v>
      </c>
      <c r="V496" s="12">
        <v>42014</v>
      </c>
      <c r="W496" s="13" t="str">
        <f>TEXT(Table1[[#This Row],[Order Date]],"mmmm")</f>
        <v>January</v>
      </c>
      <c r="X496" s="7" t="str">
        <f>TEXT(Table1[[#This Row],[Order Date]],"yyyy")</f>
        <v>2015</v>
      </c>
      <c r="Y496" s="12">
        <v>42016</v>
      </c>
      <c r="Z496" s="11">
        <v>29.332000000000001</v>
      </c>
      <c r="AA496" s="11">
        <v>24</v>
      </c>
      <c r="AB496" s="11">
        <v>199.12</v>
      </c>
      <c r="AC496" s="11">
        <v>14596</v>
      </c>
      <c r="AD496" s="6" t="str">
        <f>IF(COUNTIF(Returns!$A$2:$A$1635,Orders!AC496)&gt;0,"Returned","Not Returned")</f>
        <v>Not Returned</v>
      </c>
    </row>
    <row r="497" spans="1:30" ht="12.75" customHeight="1" thickTop="1" thickBot="1" x14ac:dyDescent="0.25">
      <c r="A497" s="8">
        <v>2046</v>
      </c>
      <c r="B497" s="1" t="s">
        <v>47</v>
      </c>
      <c r="C497" s="1">
        <v>0.06</v>
      </c>
      <c r="D497" s="1">
        <v>3.28</v>
      </c>
      <c r="E497" s="1">
        <v>3.97</v>
      </c>
      <c r="F497" s="1">
        <v>894</v>
      </c>
      <c r="G497" s="6" t="str">
        <f>IF(COUNTIF(Table1[Customer ID],Table1[[#This Row],[Customer ID]])&gt;1,"Repeat Customer","One-Time Customer")</f>
        <v>Repeat Customer</v>
      </c>
      <c r="H497" s="1" t="s">
        <v>1006</v>
      </c>
      <c r="I497" s="1" t="s">
        <v>49</v>
      </c>
      <c r="J497" s="1" t="s">
        <v>28</v>
      </c>
      <c r="K497" s="1" t="s">
        <v>29</v>
      </c>
      <c r="L497" s="1" t="s">
        <v>30</v>
      </c>
      <c r="M497" s="1" t="s">
        <v>31</v>
      </c>
      <c r="N497" s="1" t="s">
        <v>1009</v>
      </c>
      <c r="O497" s="1">
        <v>0.56000000000000005</v>
      </c>
      <c r="P497" s="6">
        <f>Table1[[#This Row],[Profit]]/Table1[[#This Row],[Sales]]</f>
        <v>-1.3620525815647766</v>
      </c>
      <c r="Q497" s="1" t="s">
        <v>33</v>
      </c>
      <c r="R497" s="1" t="s">
        <v>53</v>
      </c>
      <c r="S497" s="1" t="s">
        <v>1008</v>
      </c>
      <c r="T497" s="1" t="s">
        <v>35</v>
      </c>
      <c r="U497" s="1">
        <v>20024</v>
      </c>
      <c r="V497" s="9">
        <v>42014</v>
      </c>
      <c r="W497" s="13" t="str">
        <f>TEXT(Table1[[#This Row],[Order Date]],"mmmm")</f>
        <v>January</v>
      </c>
      <c r="X497" s="7" t="str">
        <f>TEXT(Table1[[#This Row],[Order Date]],"yyyy")</f>
        <v>2015</v>
      </c>
      <c r="Y497" s="9">
        <v>42015</v>
      </c>
      <c r="Z497" s="1">
        <v>-86</v>
      </c>
      <c r="AA497" s="1">
        <v>19</v>
      </c>
      <c r="AB497" s="1">
        <v>63.14</v>
      </c>
      <c r="AC497" s="1">
        <v>14596</v>
      </c>
      <c r="AD497" s="6" t="str">
        <f>IF(COUNTIF(Returns!$A$2:$A$1635,Orders!AC497)&gt;0,"Returned","Not Returned")</f>
        <v>Not Returned</v>
      </c>
    </row>
    <row r="498" spans="1:30" ht="12.75" customHeight="1" thickTop="1" thickBot="1" x14ac:dyDescent="0.25">
      <c r="A498" s="10">
        <v>5421</v>
      </c>
      <c r="B498" s="11" t="s">
        <v>106</v>
      </c>
      <c r="C498" s="11">
        <v>0.02</v>
      </c>
      <c r="D498" s="11">
        <v>1.1399999999999999</v>
      </c>
      <c r="E498" s="11">
        <v>0.7</v>
      </c>
      <c r="F498" s="11">
        <v>894</v>
      </c>
      <c r="G498" s="6" t="str">
        <f>IF(COUNTIF(Table1[Customer ID],Table1[[#This Row],[Customer ID]])&gt;1,"Repeat Customer","One-Time Customer")</f>
        <v>Repeat Customer</v>
      </c>
      <c r="H498" s="11" t="s">
        <v>1006</v>
      </c>
      <c r="I498" s="11" t="s">
        <v>49</v>
      </c>
      <c r="J498" s="11" t="s">
        <v>28</v>
      </c>
      <c r="K498" s="11" t="s">
        <v>29</v>
      </c>
      <c r="L498" s="11" t="s">
        <v>66</v>
      </c>
      <c r="M498" s="11" t="s">
        <v>31</v>
      </c>
      <c r="N498" s="11" t="s">
        <v>1010</v>
      </c>
      <c r="O498" s="11">
        <v>0.38</v>
      </c>
      <c r="P498" s="6">
        <f>Table1[[#This Row],[Profit]]/Table1[[#This Row],[Sales]]</f>
        <v>-1.092530657748049E-2</v>
      </c>
      <c r="Q498" s="11" t="s">
        <v>33</v>
      </c>
      <c r="R498" s="11" t="s">
        <v>53</v>
      </c>
      <c r="S498" s="11" t="s">
        <v>1008</v>
      </c>
      <c r="T498" s="11" t="s">
        <v>35</v>
      </c>
      <c r="U498" s="11">
        <v>20024</v>
      </c>
      <c r="V498" s="12">
        <v>42037</v>
      </c>
      <c r="W498" s="13" t="str">
        <f>TEXT(Table1[[#This Row],[Order Date]],"mmmm")</f>
        <v>February</v>
      </c>
      <c r="X498" s="7" t="str">
        <f>TEXT(Table1[[#This Row],[Order Date]],"yyyy")</f>
        <v>2015</v>
      </c>
      <c r="Y498" s="12">
        <v>42037</v>
      </c>
      <c r="Z498" s="11">
        <v>-0.49</v>
      </c>
      <c r="AA498" s="11">
        <v>38</v>
      </c>
      <c r="AB498" s="11">
        <v>44.85</v>
      </c>
      <c r="AC498" s="11">
        <v>38529</v>
      </c>
      <c r="AD498" s="6" t="str">
        <f>IF(COUNTIF(Returns!$A$2:$A$1635,Orders!AC498)&gt;0,"Returned","Not Returned")</f>
        <v>Not Returned</v>
      </c>
    </row>
    <row r="499" spans="1:30" ht="12.75" customHeight="1" thickTop="1" thickBot="1" x14ac:dyDescent="0.25">
      <c r="A499" s="8">
        <v>20045</v>
      </c>
      <c r="B499" s="1" t="s">
        <v>47</v>
      </c>
      <c r="C499" s="1">
        <v>0.01</v>
      </c>
      <c r="D499" s="1">
        <v>8.34</v>
      </c>
      <c r="E499" s="1">
        <v>0.96</v>
      </c>
      <c r="F499" s="1">
        <v>896</v>
      </c>
      <c r="G499" s="6" t="str">
        <f>IF(COUNTIF(Table1[Customer ID],Table1[[#This Row],[Customer ID]])&gt;1,"Repeat Customer","One-Time Customer")</f>
        <v>Repeat Customer</v>
      </c>
      <c r="H499" s="1" t="s">
        <v>1011</v>
      </c>
      <c r="I499" s="1" t="s">
        <v>49</v>
      </c>
      <c r="J499" s="1" t="s">
        <v>28</v>
      </c>
      <c r="K499" s="1" t="s">
        <v>41</v>
      </c>
      <c r="L499" s="1" t="s">
        <v>50</v>
      </c>
      <c r="M499" s="1" t="s">
        <v>31</v>
      </c>
      <c r="N499" s="1" t="s">
        <v>1007</v>
      </c>
      <c r="O499" s="1">
        <v>0.43</v>
      </c>
      <c r="P499" s="6">
        <f>Table1[[#This Row],[Profit]]/Table1[[#This Row],[Sales]]</f>
        <v>0.69</v>
      </c>
      <c r="Q499" s="1" t="s">
        <v>33</v>
      </c>
      <c r="R499" s="1" t="s">
        <v>61</v>
      </c>
      <c r="S499" s="1" t="s">
        <v>130</v>
      </c>
      <c r="T499" s="1" t="s">
        <v>1012</v>
      </c>
      <c r="U499" s="1">
        <v>76201</v>
      </c>
      <c r="V499" s="9">
        <v>42014</v>
      </c>
      <c r="W499" s="13" t="str">
        <f>TEXT(Table1[[#This Row],[Order Date]],"mmmm")</f>
        <v>January</v>
      </c>
      <c r="X499" s="7" t="str">
        <f>TEXT(Table1[[#This Row],[Order Date]],"yyyy")</f>
        <v>2015</v>
      </c>
      <c r="Y499" s="9">
        <v>42016</v>
      </c>
      <c r="Z499" s="1">
        <v>34.348199999999999</v>
      </c>
      <c r="AA499" s="1">
        <v>6</v>
      </c>
      <c r="AB499" s="1">
        <v>49.78</v>
      </c>
      <c r="AC499" s="1">
        <v>90166</v>
      </c>
      <c r="AD499" s="6" t="str">
        <f>IF(COUNTIF(Returns!$A$2:$A$1635,Orders!AC499)&gt;0,"Returned","Not Returned")</f>
        <v>Not Returned</v>
      </c>
    </row>
    <row r="500" spans="1:30" ht="12.75" customHeight="1" thickTop="1" thickBot="1" x14ac:dyDescent="0.25">
      <c r="A500" s="10">
        <v>20046</v>
      </c>
      <c r="B500" s="11" t="s">
        <v>47</v>
      </c>
      <c r="C500" s="11">
        <v>0.06</v>
      </c>
      <c r="D500" s="11">
        <v>3.28</v>
      </c>
      <c r="E500" s="11">
        <v>3.97</v>
      </c>
      <c r="F500" s="11">
        <v>896</v>
      </c>
      <c r="G500" s="6" t="str">
        <f>IF(COUNTIF(Table1[Customer ID],Table1[[#This Row],[Customer ID]])&gt;1,"Repeat Customer","One-Time Customer")</f>
        <v>Repeat Customer</v>
      </c>
      <c r="H500" s="11" t="s">
        <v>1011</v>
      </c>
      <c r="I500" s="11" t="s">
        <v>49</v>
      </c>
      <c r="J500" s="11" t="s">
        <v>28</v>
      </c>
      <c r="K500" s="11" t="s">
        <v>29</v>
      </c>
      <c r="L500" s="11" t="s">
        <v>30</v>
      </c>
      <c r="M500" s="11" t="s">
        <v>31</v>
      </c>
      <c r="N500" s="11" t="s">
        <v>1009</v>
      </c>
      <c r="O500" s="11">
        <v>0.56000000000000005</v>
      </c>
      <c r="P500" s="6">
        <f>Table1[[#This Row],[Profit]]/Table1[[#This Row],[Sales]]</f>
        <v>-4.0102286401925396</v>
      </c>
      <c r="Q500" s="11" t="s">
        <v>33</v>
      </c>
      <c r="R500" s="11" t="s">
        <v>61</v>
      </c>
      <c r="S500" s="11" t="s">
        <v>130</v>
      </c>
      <c r="T500" s="11" t="s">
        <v>1012</v>
      </c>
      <c r="U500" s="11">
        <v>76201</v>
      </c>
      <c r="V500" s="12">
        <v>42014</v>
      </c>
      <c r="W500" s="13" t="str">
        <f>TEXT(Table1[[#This Row],[Order Date]],"mmmm")</f>
        <v>January</v>
      </c>
      <c r="X500" s="7" t="str">
        <f>TEXT(Table1[[#This Row],[Order Date]],"yyyy")</f>
        <v>2015</v>
      </c>
      <c r="Y500" s="12">
        <v>42015</v>
      </c>
      <c r="Z500" s="11">
        <v>-66.650000000000006</v>
      </c>
      <c r="AA500" s="11">
        <v>5</v>
      </c>
      <c r="AB500" s="11">
        <v>16.62</v>
      </c>
      <c r="AC500" s="11">
        <v>90166</v>
      </c>
      <c r="AD500" s="6" t="str">
        <f>IF(COUNTIF(Returns!$A$2:$A$1635,Orders!AC500)&gt;0,"Returned","Not Returned")</f>
        <v>Not Returned</v>
      </c>
    </row>
    <row r="501" spans="1:30" ht="12.75" customHeight="1" thickTop="1" thickBot="1" x14ac:dyDescent="0.25">
      <c r="A501" s="8">
        <v>19470</v>
      </c>
      <c r="B501" s="1" t="s">
        <v>47</v>
      </c>
      <c r="C501" s="1">
        <v>0.06</v>
      </c>
      <c r="D501" s="1">
        <v>47.98</v>
      </c>
      <c r="E501" s="1">
        <v>3.61</v>
      </c>
      <c r="F501" s="1">
        <v>896</v>
      </c>
      <c r="G501" s="6" t="str">
        <f>IF(COUNTIF(Table1[Customer ID],Table1[[#This Row],[Customer ID]])&gt;1,"Repeat Customer","One-Time Customer")</f>
        <v>Repeat Customer</v>
      </c>
      <c r="H501" s="1" t="s">
        <v>1011</v>
      </c>
      <c r="I501" s="1" t="s">
        <v>49</v>
      </c>
      <c r="J501" s="1" t="s">
        <v>28</v>
      </c>
      <c r="K501" s="1" t="s">
        <v>77</v>
      </c>
      <c r="L501" s="1" t="s">
        <v>180</v>
      </c>
      <c r="M501" s="1" t="s">
        <v>51</v>
      </c>
      <c r="N501" s="1" t="s">
        <v>1013</v>
      </c>
      <c r="O501" s="1">
        <v>0.71</v>
      </c>
      <c r="P501" s="6">
        <f>Table1[[#This Row],[Profit]]/Table1[[#This Row],[Sales]]</f>
        <v>6.9454102920723224E-2</v>
      </c>
      <c r="Q501" s="1" t="s">
        <v>33</v>
      </c>
      <c r="R501" s="1" t="s">
        <v>61</v>
      </c>
      <c r="S501" s="1" t="s">
        <v>130</v>
      </c>
      <c r="T501" s="1" t="s">
        <v>1012</v>
      </c>
      <c r="U501" s="1">
        <v>76201</v>
      </c>
      <c r="V501" s="9">
        <v>42175</v>
      </c>
      <c r="W501" s="13" t="str">
        <f>TEXT(Table1[[#This Row],[Order Date]],"mmmm")</f>
        <v>June</v>
      </c>
      <c r="X501" s="7" t="str">
        <f>TEXT(Table1[[#This Row],[Order Date]],"yyyy")</f>
        <v>2015</v>
      </c>
      <c r="Y501" s="9">
        <v>42177</v>
      </c>
      <c r="Z501" s="1">
        <v>35.954999999999998</v>
      </c>
      <c r="AA501" s="1">
        <v>11</v>
      </c>
      <c r="AB501" s="1">
        <v>517.67999999999995</v>
      </c>
      <c r="AC501" s="1">
        <v>90167</v>
      </c>
      <c r="AD501" s="6" t="str">
        <f>IF(COUNTIF(Returns!$A$2:$A$1635,Orders!AC501)&gt;0,"Returned","Not Returned")</f>
        <v>Not Returned</v>
      </c>
    </row>
    <row r="502" spans="1:30" ht="12.75" customHeight="1" thickTop="1" thickBot="1" x14ac:dyDescent="0.25">
      <c r="A502" s="10">
        <v>4724</v>
      </c>
      <c r="B502" s="11" t="s">
        <v>25</v>
      </c>
      <c r="C502" s="11">
        <v>0.04</v>
      </c>
      <c r="D502" s="11">
        <v>90.97</v>
      </c>
      <c r="E502" s="11">
        <v>28</v>
      </c>
      <c r="F502" s="11">
        <v>898</v>
      </c>
      <c r="G502" s="6" t="str">
        <f>IF(COUNTIF(Table1[Customer ID],Table1[[#This Row],[Customer ID]])&gt;1,"Repeat Customer","One-Time Customer")</f>
        <v>Repeat Customer</v>
      </c>
      <c r="H502" s="11" t="s">
        <v>1014</v>
      </c>
      <c r="I502" s="11" t="s">
        <v>39</v>
      </c>
      <c r="J502" s="11" t="s">
        <v>58</v>
      </c>
      <c r="K502" s="11" t="s">
        <v>77</v>
      </c>
      <c r="L502" s="11" t="s">
        <v>85</v>
      </c>
      <c r="M502" s="11" t="s">
        <v>43</v>
      </c>
      <c r="N502" s="11" t="s">
        <v>1015</v>
      </c>
      <c r="O502" s="11">
        <v>0.38</v>
      </c>
      <c r="P502" s="6">
        <f>Table1[[#This Row],[Profit]]/Table1[[#This Row],[Sales]]</f>
        <v>-0.30192252010256238</v>
      </c>
      <c r="Q502" s="11" t="s">
        <v>33</v>
      </c>
      <c r="R502" s="11" t="s">
        <v>53</v>
      </c>
      <c r="S502" s="11" t="s">
        <v>71</v>
      </c>
      <c r="T502" s="11" t="s">
        <v>90</v>
      </c>
      <c r="U502" s="11">
        <v>10039</v>
      </c>
      <c r="V502" s="12">
        <v>42016</v>
      </c>
      <c r="W502" s="13" t="str">
        <f>TEXT(Table1[[#This Row],[Order Date]],"mmmm")</f>
        <v>January</v>
      </c>
      <c r="X502" s="7" t="str">
        <f>TEXT(Table1[[#This Row],[Order Date]],"yyyy")</f>
        <v>2015</v>
      </c>
      <c r="Y502" s="12">
        <v>42017</v>
      </c>
      <c r="Z502" s="11">
        <v>-173.09520000000001</v>
      </c>
      <c r="AA502" s="11">
        <v>6</v>
      </c>
      <c r="AB502" s="11">
        <v>573.30999999999995</v>
      </c>
      <c r="AC502" s="11">
        <v>33635</v>
      </c>
      <c r="AD502" s="6" t="str">
        <f>IF(COUNTIF(Returns!$A$2:$A$1635,Orders!AC502)&gt;0,"Returned","Not Returned")</f>
        <v>Not Returned</v>
      </c>
    </row>
    <row r="503" spans="1:30" ht="12.75" customHeight="1" thickTop="1" thickBot="1" x14ac:dyDescent="0.25">
      <c r="A503" s="8">
        <v>4725</v>
      </c>
      <c r="B503" s="1" t="s">
        <v>25</v>
      </c>
      <c r="C503" s="1">
        <v>7.0000000000000007E-2</v>
      </c>
      <c r="D503" s="1">
        <v>20.34</v>
      </c>
      <c r="E503" s="1">
        <v>35</v>
      </c>
      <c r="F503" s="1">
        <v>898</v>
      </c>
      <c r="G503" s="6" t="str">
        <f>IF(COUNTIF(Table1[Customer ID],Table1[[#This Row],[Customer ID]])&gt;1,"Repeat Customer","One-Time Customer")</f>
        <v>Repeat Customer</v>
      </c>
      <c r="H503" s="1" t="s">
        <v>1014</v>
      </c>
      <c r="I503" s="1" t="s">
        <v>49</v>
      </c>
      <c r="J503" s="1" t="s">
        <v>58</v>
      </c>
      <c r="K503" s="1" t="s">
        <v>29</v>
      </c>
      <c r="L503" s="1" t="s">
        <v>141</v>
      </c>
      <c r="M503" s="1" t="s">
        <v>236</v>
      </c>
      <c r="N503" s="1" t="s">
        <v>375</v>
      </c>
      <c r="O503" s="1">
        <v>0.84</v>
      </c>
      <c r="P503" s="6">
        <f>Table1[[#This Row],[Profit]]/Table1[[#This Row],[Sales]]</f>
        <v>-0.68573058546673327</v>
      </c>
      <c r="Q503" s="1" t="s">
        <v>33</v>
      </c>
      <c r="R503" s="1" t="s">
        <v>53</v>
      </c>
      <c r="S503" s="1" t="s">
        <v>71</v>
      </c>
      <c r="T503" s="1" t="s">
        <v>90</v>
      </c>
      <c r="U503" s="1">
        <v>10039</v>
      </c>
      <c r="V503" s="9">
        <v>42016</v>
      </c>
      <c r="W503" s="13" t="str">
        <f>TEXT(Table1[[#This Row],[Order Date]],"mmmm")</f>
        <v>January</v>
      </c>
      <c r="X503" s="7" t="str">
        <f>TEXT(Table1[[#This Row],[Order Date]],"yyyy")</f>
        <v>2015</v>
      </c>
      <c r="Y503" s="9">
        <v>42017</v>
      </c>
      <c r="Z503" s="1">
        <v>-96.16</v>
      </c>
      <c r="AA503" s="1">
        <v>5</v>
      </c>
      <c r="AB503" s="1">
        <v>140.22999999999999</v>
      </c>
      <c r="AC503" s="1">
        <v>33635</v>
      </c>
      <c r="AD503" s="6" t="str">
        <f>IF(COUNTIF(Returns!$A$2:$A$1635,Orders!AC503)&gt;0,"Returned","Not Returned")</f>
        <v>Not Returned</v>
      </c>
    </row>
    <row r="504" spans="1:30" ht="12.75" customHeight="1" thickTop="1" thickBot="1" x14ac:dyDescent="0.25">
      <c r="A504" s="10">
        <v>1311</v>
      </c>
      <c r="B504" s="11" t="s">
        <v>37</v>
      </c>
      <c r="C504" s="11">
        <v>0.02</v>
      </c>
      <c r="D504" s="11">
        <v>12.53</v>
      </c>
      <c r="E504" s="11">
        <v>0.49</v>
      </c>
      <c r="F504" s="11">
        <v>898</v>
      </c>
      <c r="G504" s="6" t="str">
        <f>IF(COUNTIF(Table1[Customer ID],Table1[[#This Row],[Customer ID]])&gt;1,"Repeat Customer","One-Time Customer")</f>
        <v>Repeat Customer</v>
      </c>
      <c r="H504" s="11" t="s">
        <v>1014</v>
      </c>
      <c r="I504" s="11" t="s">
        <v>49</v>
      </c>
      <c r="J504" s="11" t="s">
        <v>58</v>
      </c>
      <c r="K504" s="11" t="s">
        <v>29</v>
      </c>
      <c r="L504" s="11" t="s">
        <v>134</v>
      </c>
      <c r="M504" s="11" t="s">
        <v>59</v>
      </c>
      <c r="N504" s="11" t="s">
        <v>1016</v>
      </c>
      <c r="O504" s="11">
        <v>0.38</v>
      </c>
      <c r="P504" s="6">
        <f>Table1[[#This Row],[Profit]]/Table1[[#This Row],[Sales]]</f>
        <v>0.44310611668124611</v>
      </c>
      <c r="Q504" s="11" t="s">
        <v>33</v>
      </c>
      <c r="R504" s="11" t="s">
        <v>53</v>
      </c>
      <c r="S504" s="11" t="s">
        <v>71</v>
      </c>
      <c r="T504" s="11" t="s">
        <v>90</v>
      </c>
      <c r="U504" s="11">
        <v>10039</v>
      </c>
      <c r="V504" s="12">
        <v>42031</v>
      </c>
      <c r="W504" s="13" t="str">
        <f>TEXT(Table1[[#This Row],[Order Date]],"mmmm")</f>
        <v>January</v>
      </c>
      <c r="X504" s="7" t="str">
        <f>TEXT(Table1[[#This Row],[Order Date]],"yyyy")</f>
        <v>2015</v>
      </c>
      <c r="Y504" s="12">
        <v>42031</v>
      </c>
      <c r="Z504" s="11">
        <v>263.39999999999998</v>
      </c>
      <c r="AA504" s="11">
        <v>47</v>
      </c>
      <c r="AB504" s="11">
        <v>594.44000000000005</v>
      </c>
      <c r="AC504" s="11">
        <v>9606</v>
      </c>
      <c r="AD504" s="6" t="str">
        <f>IF(COUNTIF(Returns!$A$2:$A$1635,Orders!AC504)&gt;0,"Returned","Not Returned")</f>
        <v>Not Returned</v>
      </c>
    </row>
    <row r="505" spans="1:30" ht="12.75" customHeight="1" thickTop="1" thickBot="1" x14ac:dyDescent="0.25">
      <c r="A505" s="8">
        <v>1312</v>
      </c>
      <c r="B505" s="1" t="s">
        <v>37</v>
      </c>
      <c r="C505" s="1">
        <v>7.0000000000000007E-2</v>
      </c>
      <c r="D505" s="1">
        <v>5.18</v>
      </c>
      <c r="E505" s="1">
        <v>2.04</v>
      </c>
      <c r="F505" s="1">
        <v>898</v>
      </c>
      <c r="G505" s="6" t="str">
        <f>IF(COUNTIF(Table1[Customer ID],Table1[[#This Row],[Customer ID]])&gt;1,"Repeat Customer","One-Time Customer")</f>
        <v>Repeat Customer</v>
      </c>
      <c r="H505" s="1" t="s">
        <v>1014</v>
      </c>
      <c r="I505" s="1" t="s">
        <v>27</v>
      </c>
      <c r="J505" s="1" t="s">
        <v>58</v>
      </c>
      <c r="K505" s="1" t="s">
        <v>29</v>
      </c>
      <c r="L505" s="1" t="s">
        <v>93</v>
      </c>
      <c r="M505" s="1" t="s">
        <v>31</v>
      </c>
      <c r="N505" s="1" t="s">
        <v>167</v>
      </c>
      <c r="O505" s="1">
        <v>0.36</v>
      </c>
      <c r="P505" s="6">
        <f>Table1[[#This Row],[Profit]]/Table1[[#This Row],[Sales]]</f>
        <v>0.16328227571115975</v>
      </c>
      <c r="Q505" s="1" t="s">
        <v>33</v>
      </c>
      <c r="R505" s="1" t="s">
        <v>53</v>
      </c>
      <c r="S505" s="1" t="s">
        <v>71</v>
      </c>
      <c r="T505" s="1" t="s">
        <v>90</v>
      </c>
      <c r="U505" s="1">
        <v>10039</v>
      </c>
      <c r="V505" s="9">
        <v>42031</v>
      </c>
      <c r="W505" s="13" t="str">
        <f>TEXT(Table1[[#This Row],[Order Date]],"mmmm")</f>
        <v>January</v>
      </c>
      <c r="X505" s="7" t="str">
        <f>TEXT(Table1[[#This Row],[Order Date]],"yyyy")</f>
        <v>2015</v>
      </c>
      <c r="Y505" s="9">
        <v>42033</v>
      </c>
      <c r="Z505" s="1">
        <v>37.31</v>
      </c>
      <c r="AA505" s="1">
        <v>44</v>
      </c>
      <c r="AB505" s="1">
        <v>228.5</v>
      </c>
      <c r="AC505" s="1">
        <v>9606</v>
      </c>
      <c r="AD505" s="6" t="str">
        <f>IF(COUNTIF(Returns!$A$2:$A$1635,Orders!AC505)&gt;0,"Returned","Not Returned")</f>
        <v>Not Returned</v>
      </c>
    </row>
    <row r="506" spans="1:30" ht="12.75" customHeight="1" thickTop="1" thickBot="1" x14ac:dyDescent="0.25">
      <c r="A506" s="10">
        <v>22724</v>
      </c>
      <c r="B506" s="11" t="s">
        <v>25</v>
      </c>
      <c r="C506" s="11">
        <v>0.04</v>
      </c>
      <c r="D506" s="11">
        <v>90.97</v>
      </c>
      <c r="E506" s="11">
        <v>28</v>
      </c>
      <c r="F506" s="11">
        <v>899</v>
      </c>
      <c r="G506" s="6" t="str">
        <f>IF(COUNTIF(Table1[Customer ID],Table1[[#This Row],[Customer ID]])&gt;1,"Repeat Customer","One-Time Customer")</f>
        <v>Repeat Customer</v>
      </c>
      <c r="H506" s="11" t="s">
        <v>1017</v>
      </c>
      <c r="I506" s="11" t="s">
        <v>39</v>
      </c>
      <c r="J506" s="11" t="s">
        <v>58</v>
      </c>
      <c r="K506" s="11" t="s">
        <v>77</v>
      </c>
      <c r="L506" s="11" t="s">
        <v>85</v>
      </c>
      <c r="M506" s="11" t="s">
        <v>43</v>
      </c>
      <c r="N506" s="11" t="s">
        <v>1015</v>
      </c>
      <c r="O506" s="11">
        <v>0.38</v>
      </c>
      <c r="P506" s="6">
        <f>Table1[[#This Row],[Profit]]/Table1[[#This Row],[Sales]]</f>
        <v>-0.90578335949764521</v>
      </c>
      <c r="Q506" s="11" t="s">
        <v>33</v>
      </c>
      <c r="R506" s="11" t="s">
        <v>53</v>
      </c>
      <c r="S506" s="11" t="s">
        <v>234</v>
      </c>
      <c r="T506" s="11" t="s">
        <v>1018</v>
      </c>
      <c r="U506" s="11">
        <v>16602</v>
      </c>
      <c r="V506" s="12">
        <v>42016</v>
      </c>
      <c r="W506" s="13" t="str">
        <f>TEXT(Table1[[#This Row],[Order Date]],"mmmm")</f>
        <v>January</v>
      </c>
      <c r="X506" s="7" t="str">
        <f>TEXT(Table1[[#This Row],[Order Date]],"yyyy")</f>
        <v>2015</v>
      </c>
      <c r="Y506" s="12">
        <v>42017</v>
      </c>
      <c r="Z506" s="11">
        <v>-173.09520000000001</v>
      </c>
      <c r="AA506" s="11">
        <v>2</v>
      </c>
      <c r="AB506" s="11">
        <v>191.1</v>
      </c>
      <c r="AC506" s="11">
        <v>86263</v>
      </c>
      <c r="AD506" s="6" t="str">
        <f>IF(COUNTIF(Returns!$A$2:$A$1635,Orders!AC506)&gt;0,"Returned","Not Returned")</f>
        <v>Not Returned</v>
      </c>
    </row>
    <row r="507" spans="1:30" ht="12.75" customHeight="1" thickTop="1" thickBot="1" x14ac:dyDescent="0.25">
      <c r="A507" s="8">
        <v>22725</v>
      </c>
      <c r="B507" s="1" t="s">
        <v>25</v>
      </c>
      <c r="C507" s="1">
        <v>7.0000000000000007E-2</v>
      </c>
      <c r="D507" s="1">
        <v>20.34</v>
      </c>
      <c r="E507" s="1">
        <v>35</v>
      </c>
      <c r="F507" s="1">
        <v>899</v>
      </c>
      <c r="G507" s="6" t="str">
        <f>IF(COUNTIF(Table1[Customer ID],Table1[[#This Row],[Customer ID]])&gt;1,"Repeat Customer","One-Time Customer")</f>
        <v>Repeat Customer</v>
      </c>
      <c r="H507" s="1" t="s">
        <v>1017</v>
      </c>
      <c r="I507" s="1" t="s">
        <v>49</v>
      </c>
      <c r="J507" s="1" t="s">
        <v>58</v>
      </c>
      <c r="K507" s="1" t="s">
        <v>29</v>
      </c>
      <c r="L507" s="1" t="s">
        <v>141</v>
      </c>
      <c r="M507" s="1" t="s">
        <v>236</v>
      </c>
      <c r="N507" s="1" t="s">
        <v>375</v>
      </c>
      <c r="O507" s="1">
        <v>0.84</v>
      </c>
      <c r="P507" s="6">
        <f>Table1[[#This Row],[Profit]]/Table1[[#This Row],[Sales]]</f>
        <v>-3.4281639928698748</v>
      </c>
      <c r="Q507" s="1" t="s">
        <v>33</v>
      </c>
      <c r="R507" s="1" t="s">
        <v>53</v>
      </c>
      <c r="S507" s="1" t="s">
        <v>234</v>
      </c>
      <c r="T507" s="1" t="s">
        <v>1018</v>
      </c>
      <c r="U507" s="1">
        <v>16602</v>
      </c>
      <c r="V507" s="9">
        <v>42016</v>
      </c>
      <c r="W507" s="13" t="str">
        <f>TEXT(Table1[[#This Row],[Order Date]],"mmmm")</f>
        <v>January</v>
      </c>
      <c r="X507" s="7" t="str">
        <f>TEXT(Table1[[#This Row],[Order Date]],"yyyy")</f>
        <v>2015</v>
      </c>
      <c r="Y507" s="9">
        <v>42017</v>
      </c>
      <c r="Z507" s="1">
        <v>-96.16</v>
      </c>
      <c r="AA507" s="1">
        <v>1</v>
      </c>
      <c r="AB507" s="1">
        <v>28.05</v>
      </c>
      <c r="AC507" s="1">
        <v>86263</v>
      </c>
      <c r="AD507" s="6" t="str">
        <f>IF(COUNTIF(Returns!$A$2:$A$1635,Orders!AC507)&gt;0,"Returned","Not Returned")</f>
        <v>Not Returned</v>
      </c>
    </row>
    <row r="508" spans="1:30" ht="12.75" customHeight="1" thickTop="1" thickBot="1" x14ac:dyDescent="0.25">
      <c r="A508" s="10">
        <v>19311</v>
      </c>
      <c r="B508" s="11" t="s">
        <v>37</v>
      </c>
      <c r="C508" s="11">
        <v>0.02</v>
      </c>
      <c r="D508" s="11">
        <v>12.53</v>
      </c>
      <c r="E508" s="11">
        <v>0.49</v>
      </c>
      <c r="F508" s="11">
        <v>899</v>
      </c>
      <c r="G508" s="6" t="str">
        <f>IF(COUNTIF(Table1[Customer ID],Table1[[#This Row],[Customer ID]])&gt;1,"Repeat Customer","One-Time Customer")</f>
        <v>Repeat Customer</v>
      </c>
      <c r="H508" s="11" t="s">
        <v>1017</v>
      </c>
      <c r="I508" s="11" t="s">
        <v>49</v>
      </c>
      <c r="J508" s="11" t="s">
        <v>58</v>
      </c>
      <c r="K508" s="11" t="s">
        <v>29</v>
      </c>
      <c r="L508" s="11" t="s">
        <v>134</v>
      </c>
      <c r="M508" s="11" t="s">
        <v>59</v>
      </c>
      <c r="N508" s="11" t="s">
        <v>1016</v>
      </c>
      <c r="O508" s="11">
        <v>0.38</v>
      </c>
      <c r="P508" s="6">
        <f>Table1[[#This Row],[Profit]]/Table1[[#This Row],[Sales]]</f>
        <v>0.69</v>
      </c>
      <c r="Q508" s="11" t="s">
        <v>33</v>
      </c>
      <c r="R508" s="11" t="s">
        <v>53</v>
      </c>
      <c r="S508" s="11" t="s">
        <v>234</v>
      </c>
      <c r="T508" s="11" t="s">
        <v>1018</v>
      </c>
      <c r="U508" s="11">
        <v>16602</v>
      </c>
      <c r="V508" s="12">
        <v>42031</v>
      </c>
      <c r="W508" s="13" t="str">
        <f>TEXT(Table1[[#This Row],[Order Date]],"mmmm")</f>
        <v>January</v>
      </c>
      <c r="X508" s="7" t="str">
        <f>TEXT(Table1[[#This Row],[Order Date]],"yyyy")</f>
        <v>2015</v>
      </c>
      <c r="Y508" s="12">
        <v>42031</v>
      </c>
      <c r="Z508" s="11">
        <v>104.7213</v>
      </c>
      <c r="AA508" s="11">
        <v>12</v>
      </c>
      <c r="AB508" s="11">
        <v>151.77000000000001</v>
      </c>
      <c r="AC508" s="11">
        <v>86264</v>
      </c>
      <c r="AD508" s="6" t="str">
        <f>IF(COUNTIF(Returns!$A$2:$A$1635,Orders!AC508)&gt;0,"Returned","Not Returned")</f>
        <v>Not Returned</v>
      </c>
    </row>
    <row r="509" spans="1:30" ht="12.75" customHeight="1" thickTop="1" thickBot="1" x14ac:dyDescent="0.25">
      <c r="A509" s="8">
        <v>19312</v>
      </c>
      <c r="B509" s="1" t="s">
        <v>37</v>
      </c>
      <c r="C509" s="1">
        <v>7.0000000000000007E-2</v>
      </c>
      <c r="D509" s="1">
        <v>5.18</v>
      </c>
      <c r="E509" s="1">
        <v>2.04</v>
      </c>
      <c r="F509" s="1">
        <v>899</v>
      </c>
      <c r="G509" s="6" t="str">
        <f>IF(COUNTIF(Table1[Customer ID],Table1[[#This Row],[Customer ID]])&gt;1,"Repeat Customer","One-Time Customer")</f>
        <v>Repeat Customer</v>
      </c>
      <c r="H509" s="1" t="s">
        <v>1017</v>
      </c>
      <c r="I509" s="1" t="s">
        <v>27</v>
      </c>
      <c r="J509" s="1" t="s">
        <v>58</v>
      </c>
      <c r="K509" s="1" t="s">
        <v>29</v>
      </c>
      <c r="L509" s="1" t="s">
        <v>93</v>
      </c>
      <c r="M509" s="1" t="s">
        <v>31</v>
      </c>
      <c r="N509" s="1" t="s">
        <v>167</v>
      </c>
      <c r="O509" s="1">
        <v>0.36</v>
      </c>
      <c r="P509" s="6">
        <f>Table1[[#This Row],[Profit]]/Table1[[#This Row],[Sales]]</f>
        <v>0.65307194118676704</v>
      </c>
      <c r="Q509" s="1" t="s">
        <v>33</v>
      </c>
      <c r="R509" s="1" t="s">
        <v>53</v>
      </c>
      <c r="S509" s="1" t="s">
        <v>234</v>
      </c>
      <c r="T509" s="1" t="s">
        <v>1018</v>
      </c>
      <c r="U509" s="1">
        <v>16602</v>
      </c>
      <c r="V509" s="9">
        <v>42031</v>
      </c>
      <c r="W509" s="13" t="str">
        <f>TEXT(Table1[[#This Row],[Order Date]],"mmmm")</f>
        <v>January</v>
      </c>
      <c r="X509" s="7" t="str">
        <f>TEXT(Table1[[#This Row],[Order Date]],"yyyy")</f>
        <v>2015</v>
      </c>
      <c r="Y509" s="9">
        <v>42033</v>
      </c>
      <c r="Z509" s="1">
        <v>37.31</v>
      </c>
      <c r="AA509" s="1">
        <v>11</v>
      </c>
      <c r="AB509" s="1">
        <v>57.13</v>
      </c>
      <c r="AC509" s="1">
        <v>86264</v>
      </c>
      <c r="AD509" s="6" t="str">
        <f>IF(COUNTIF(Returns!$A$2:$A$1635,Orders!AC509)&gt;0,"Returned","Not Returned")</f>
        <v>Not Returned</v>
      </c>
    </row>
    <row r="510" spans="1:30" ht="12.75" customHeight="1" thickTop="1" thickBot="1" x14ac:dyDescent="0.25">
      <c r="A510" s="10">
        <v>24981</v>
      </c>
      <c r="B510" s="11" t="s">
        <v>37</v>
      </c>
      <c r="C510" s="11">
        <v>0</v>
      </c>
      <c r="D510" s="11">
        <v>5.98</v>
      </c>
      <c r="E510" s="11">
        <v>1.49</v>
      </c>
      <c r="F510" s="11">
        <v>903</v>
      </c>
      <c r="G510" s="6" t="str">
        <f>IF(COUNTIF(Table1[Customer ID],Table1[[#This Row],[Customer ID]])&gt;1,"Repeat Customer","One-Time Customer")</f>
        <v>One-Time Customer</v>
      </c>
      <c r="H510" s="11" t="s">
        <v>1019</v>
      </c>
      <c r="I510" s="11" t="s">
        <v>49</v>
      </c>
      <c r="J510" s="11" t="s">
        <v>114</v>
      </c>
      <c r="K510" s="11" t="s">
        <v>29</v>
      </c>
      <c r="L510" s="11" t="s">
        <v>109</v>
      </c>
      <c r="M510" s="11" t="s">
        <v>59</v>
      </c>
      <c r="N510" s="11" t="s">
        <v>1020</v>
      </c>
      <c r="O510" s="11">
        <v>0.39</v>
      </c>
      <c r="P510" s="6">
        <f>Table1[[#This Row],[Profit]]/Table1[[#This Row],[Sales]]</f>
        <v>0.69</v>
      </c>
      <c r="Q510" s="11" t="s">
        <v>33</v>
      </c>
      <c r="R510" s="11" t="s">
        <v>53</v>
      </c>
      <c r="S510" s="11" t="s">
        <v>193</v>
      </c>
      <c r="T510" s="11" t="s">
        <v>1021</v>
      </c>
      <c r="U510" s="11">
        <v>1887</v>
      </c>
      <c r="V510" s="12">
        <v>42075</v>
      </c>
      <c r="W510" s="13" t="str">
        <f>TEXT(Table1[[#This Row],[Order Date]],"mmmm")</f>
        <v>March</v>
      </c>
      <c r="X510" s="7" t="str">
        <f>TEXT(Table1[[#This Row],[Order Date]],"yyyy")</f>
        <v>2015</v>
      </c>
      <c r="Y510" s="12">
        <v>42077</v>
      </c>
      <c r="Z510" s="11">
        <v>80.674799999999991</v>
      </c>
      <c r="AA510" s="11">
        <v>18</v>
      </c>
      <c r="AB510" s="11">
        <v>116.92</v>
      </c>
      <c r="AC510" s="11">
        <v>90806</v>
      </c>
      <c r="AD510" s="6" t="str">
        <f>IF(COUNTIF(Returns!$A$2:$A$1635,Orders!AC510)&gt;0,"Returned","Not Returned")</f>
        <v>Not Returned</v>
      </c>
    </row>
    <row r="511" spans="1:30" ht="12.75" customHeight="1" thickTop="1" thickBot="1" x14ac:dyDescent="0.25">
      <c r="A511" s="8">
        <v>22288</v>
      </c>
      <c r="B511" s="1" t="s">
        <v>47</v>
      </c>
      <c r="C511" s="1">
        <v>0.09</v>
      </c>
      <c r="D511" s="1">
        <v>35.99</v>
      </c>
      <c r="E511" s="1">
        <v>5.99</v>
      </c>
      <c r="F511" s="1">
        <v>907</v>
      </c>
      <c r="G511" s="6" t="str">
        <f>IF(COUNTIF(Table1[Customer ID],Table1[[#This Row],[Customer ID]])&gt;1,"Repeat Customer","One-Time Customer")</f>
        <v>Repeat Customer</v>
      </c>
      <c r="H511" s="1" t="s">
        <v>1022</v>
      </c>
      <c r="I511" s="1" t="s">
        <v>49</v>
      </c>
      <c r="J511" s="1" t="s">
        <v>40</v>
      </c>
      <c r="K511" s="1" t="s">
        <v>77</v>
      </c>
      <c r="L511" s="1" t="s">
        <v>78</v>
      </c>
      <c r="M511" s="1" t="s">
        <v>31</v>
      </c>
      <c r="N511" s="1" t="s">
        <v>981</v>
      </c>
      <c r="O511" s="1">
        <v>0.38</v>
      </c>
      <c r="P511" s="6">
        <f>Table1[[#This Row],[Profit]]/Table1[[#This Row],[Sales]]</f>
        <v>0.75406662269129299</v>
      </c>
      <c r="Q511" s="1" t="s">
        <v>33</v>
      </c>
      <c r="R511" s="1" t="s">
        <v>136</v>
      </c>
      <c r="S511" s="1" t="s">
        <v>613</v>
      </c>
      <c r="T511" s="1" t="s">
        <v>675</v>
      </c>
      <c r="U511" s="1">
        <v>42420</v>
      </c>
      <c r="V511" s="9">
        <v>42061</v>
      </c>
      <c r="W511" s="13" t="str">
        <f>TEXT(Table1[[#This Row],[Order Date]],"mmmm")</f>
        <v>February</v>
      </c>
      <c r="X511" s="7" t="str">
        <f>TEXT(Table1[[#This Row],[Order Date]],"yyyy")</f>
        <v>2015</v>
      </c>
      <c r="Y511" s="9">
        <v>42062</v>
      </c>
      <c r="Z511" s="1">
        <v>114.3165</v>
      </c>
      <c r="AA511" s="1">
        <v>5</v>
      </c>
      <c r="AB511" s="1">
        <v>151.6</v>
      </c>
      <c r="AC511" s="1">
        <v>86459</v>
      </c>
      <c r="AD511" s="6" t="str">
        <f>IF(COUNTIF(Returns!$A$2:$A$1635,Orders!AC511)&gt;0,"Returned","Not Returned")</f>
        <v>Not Returned</v>
      </c>
    </row>
    <row r="512" spans="1:30" ht="12.75" customHeight="1" thickTop="1" thickBot="1" x14ac:dyDescent="0.25">
      <c r="A512" s="10">
        <v>21345</v>
      </c>
      <c r="B512" s="11" t="s">
        <v>56</v>
      </c>
      <c r="C512" s="11">
        <v>0.09</v>
      </c>
      <c r="D512" s="11">
        <v>2.6</v>
      </c>
      <c r="E512" s="11">
        <v>2.4</v>
      </c>
      <c r="F512" s="11">
        <v>907</v>
      </c>
      <c r="G512" s="6" t="str">
        <f>IF(COUNTIF(Table1[Customer ID],Table1[[#This Row],[Customer ID]])&gt;1,"Repeat Customer","One-Time Customer")</f>
        <v>Repeat Customer</v>
      </c>
      <c r="H512" s="11" t="s">
        <v>1022</v>
      </c>
      <c r="I512" s="11" t="s">
        <v>49</v>
      </c>
      <c r="J512" s="11" t="s">
        <v>40</v>
      </c>
      <c r="K512" s="11" t="s">
        <v>29</v>
      </c>
      <c r="L512" s="11" t="s">
        <v>30</v>
      </c>
      <c r="M512" s="11" t="s">
        <v>31</v>
      </c>
      <c r="N512" s="11" t="s">
        <v>1023</v>
      </c>
      <c r="O512" s="11">
        <v>0.57999999999999996</v>
      </c>
      <c r="P512" s="6">
        <f>Table1[[#This Row],[Profit]]/Table1[[#This Row],[Sales]]</f>
        <v>34.900976993381654</v>
      </c>
      <c r="Q512" s="11" t="s">
        <v>33</v>
      </c>
      <c r="R512" s="11" t="s">
        <v>136</v>
      </c>
      <c r="S512" s="11" t="s">
        <v>613</v>
      </c>
      <c r="T512" s="11" t="s">
        <v>675</v>
      </c>
      <c r="U512" s="11">
        <v>42420</v>
      </c>
      <c r="V512" s="12">
        <v>42172</v>
      </c>
      <c r="W512" s="13" t="str">
        <f>TEXT(Table1[[#This Row],[Order Date]],"mmmm")</f>
        <v>June</v>
      </c>
      <c r="X512" s="7" t="str">
        <f>TEXT(Table1[[#This Row],[Order Date]],"yyyy")</f>
        <v>2015</v>
      </c>
      <c r="Y512" s="12">
        <v>42174</v>
      </c>
      <c r="Z512" s="11">
        <v>1107.4079999999999</v>
      </c>
      <c r="AA512" s="11">
        <v>12</v>
      </c>
      <c r="AB512" s="11">
        <v>31.73</v>
      </c>
      <c r="AC512" s="11">
        <v>86460</v>
      </c>
      <c r="AD512" s="6" t="str">
        <f>IF(COUNTIF(Returns!$A$2:$A$1635,Orders!AC512)&gt;0,"Returned","Not Returned")</f>
        <v>Not Returned</v>
      </c>
    </row>
    <row r="513" spans="1:30" ht="12.75" customHeight="1" thickTop="1" thickBot="1" x14ac:dyDescent="0.25">
      <c r="A513" s="8">
        <v>19480</v>
      </c>
      <c r="B513" s="1" t="s">
        <v>47</v>
      </c>
      <c r="C513" s="1">
        <v>0</v>
      </c>
      <c r="D513" s="1">
        <v>5.28</v>
      </c>
      <c r="E513" s="1">
        <v>5.61</v>
      </c>
      <c r="F513" s="1">
        <v>910</v>
      </c>
      <c r="G513" s="6" t="str">
        <f>IF(COUNTIF(Table1[Customer ID],Table1[[#This Row],[Customer ID]])&gt;1,"Repeat Customer","One-Time Customer")</f>
        <v>One-Time Customer</v>
      </c>
      <c r="H513" s="1" t="s">
        <v>1024</v>
      </c>
      <c r="I513" s="1" t="s">
        <v>49</v>
      </c>
      <c r="J513" s="1" t="s">
        <v>28</v>
      </c>
      <c r="K513" s="1" t="s">
        <v>29</v>
      </c>
      <c r="L513" s="1" t="s">
        <v>93</v>
      </c>
      <c r="M513" s="1" t="s">
        <v>59</v>
      </c>
      <c r="N513" s="1" t="s">
        <v>836</v>
      </c>
      <c r="O513" s="1">
        <v>0.4</v>
      </c>
      <c r="P513" s="6">
        <f>Table1[[#This Row],[Profit]]/Table1[[#This Row],[Sales]]</f>
        <v>-1.7500821018062396</v>
      </c>
      <c r="Q513" s="1" t="s">
        <v>33</v>
      </c>
      <c r="R513" s="1" t="s">
        <v>136</v>
      </c>
      <c r="S513" s="1" t="s">
        <v>958</v>
      </c>
      <c r="T513" s="1" t="s">
        <v>959</v>
      </c>
      <c r="U513" s="1">
        <v>71854</v>
      </c>
      <c r="V513" s="9">
        <v>42138</v>
      </c>
      <c r="W513" s="13" t="str">
        <f>TEXT(Table1[[#This Row],[Order Date]],"mmmm")</f>
        <v>May</v>
      </c>
      <c r="X513" s="7" t="str">
        <f>TEXT(Table1[[#This Row],[Order Date]],"yyyy")</f>
        <v>2015</v>
      </c>
      <c r="Y513" s="9">
        <v>42138</v>
      </c>
      <c r="Z513" s="1">
        <v>-149.21199999999999</v>
      </c>
      <c r="AA513" s="1">
        <v>15</v>
      </c>
      <c r="AB513" s="1">
        <v>85.26</v>
      </c>
      <c r="AC513" s="1">
        <v>90187</v>
      </c>
      <c r="AD513" s="6" t="str">
        <f>IF(COUNTIF(Returns!$A$2:$A$1635,Orders!AC513)&gt;0,"Returned","Not Returned")</f>
        <v>Not Returned</v>
      </c>
    </row>
    <row r="514" spans="1:30" ht="12.75" customHeight="1" thickTop="1" thickBot="1" x14ac:dyDescent="0.25">
      <c r="A514" s="10">
        <v>25356</v>
      </c>
      <c r="B514" s="11" t="s">
        <v>37</v>
      </c>
      <c r="C514" s="11">
        <v>0.05</v>
      </c>
      <c r="D514" s="11">
        <v>7.64</v>
      </c>
      <c r="E514" s="11">
        <v>5.83</v>
      </c>
      <c r="F514" s="11">
        <v>911</v>
      </c>
      <c r="G514" s="6" t="str">
        <f>IF(COUNTIF(Table1[Customer ID],Table1[[#This Row],[Customer ID]])&gt;1,"Repeat Customer","One-Time Customer")</f>
        <v>Repeat Customer</v>
      </c>
      <c r="H514" s="11" t="s">
        <v>1025</v>
      </c>
      <c r="I514" s="11" t="s">
        <v>49</v>
      </c>
      <c r="J514" s="11" t="s">
        <v>28</v>
      </c>
      <c r="K514" s="11" t="s">
        <v>29</v>
      </c>
      <c r="L514" s="11" t="s">
        <v>93</v>
      </c>
      <c r="M514" s="11" t="s">
        <v>31</v>
      </c>
      <c r="N514" s="11" t="s">
        <v>1026</v>
      </c>
      <c r="O514" s="11">
        <v>0.36</v>
      </c>
      <c r="P514" s="6">
        <f>Table1[[#This Row],[Profit]]/Table1[[#This Row],[Sales]]</f>
        <v>-1.266144578313253</v>
      </c>
      <c r="Q514" s="11" t="s">
        <v>33</v>
      </c>
      <c r="R514" s="11" t="s">
        <v>53</v>
      </c>
      <c r="S514" s="11" t="s">
        <v>648</v>
      </c>
      <c r="T514" s="11" t="s">
        <v>1027</v>
      </c>
      <c r="U514" s="11">
        <v>26003</v>
      </c>
      <c r="V514" s="12">
        <v>42035</v>
      </c>
      <c r="W514" s="13" t="str">
        <f>TEXT(Table1[[#This Row],[Order Date]],"mmmm")</f>
        <v>January</v>
      </c>
      <c r="X514" s="7" t="str">
        <f>TEXT(Table1[[#This Row],[Order Date]],"yyyy")</f>
        <v>2015</v>
      </c>
      <c r="Y514" s="12">
        <v>42037</v>
      </c>
      <c r="Z514" s="11">
        <v>-21.018000000000001</v>
      </c>
      <c r="AA514" s="11">
        <v>2</v>
      </c>
      <c r="AB514" s="11">
        <v>16.600000000000001</v>
      </c>
      <c r="AC514" s="11">
        <v>90185</v>
      </c>
      <c r="AD514" s="6" t="str">
        <f>IF(COUNTIF(Returns!$A$2:$A$1635,Orders!AC514)&gt;0,"Returned","Not Returned")</f>
        <v>Not Returned</v>
      </c>
    </row>
    <row r="515" spans="1:30" ht="12.75" customHeight="1" thickTop="1" thickBot="1" x14ac:dyDescent="0.25">
      <c r="A515" s="8">
        <v>25357</v>
      </c>
      <c r="B515" s="1" t="s">
        <v>37</v>
      </c>
      <c r="C515" s="1">
        <v>0.04</v>
      </c>
      <c r="D515" s="1">
        <v>218.75</v>
      </c>
      <c r="E515" s="1">
        <v>69.64</v>
      </c>
      <c r="F515" s="1">
        <v>911</v>
      </c>
      <c r="G515" s="6" t="str">
        <f>IF(COUNTIF(Table1[Customer ID],Table1[[#This Row],[Customer ID]])&gt;1,"Repeat Customer","One-Time Customer")</f>
        <v>Repeat Customer</v>
      </c>
      <c r="H515" s="1" t="s">
        <v>1025</v>
      </c>
      <c r="I515" s="1" t="s">
        <v>39</v>
      </c>
      <c r="J515" s="1" t="s">
        <v>28</v>
      </c>
      <c r="K515" s="1" t="s">
        <v>41</v>
      </c>
      <c r="L515" s="1" t="s">
        <v>152</v>
      </c>
      <c r="M515" s="1" t="s">
        <v>121</v>
      </c>
      <c r="N515" s="1" t="s">
        <v>655</v>
      </c>
      <c r="O515" s="1">
        <v>0.72</v>
      </c>
      <c r="P515" s="6">
        <f>Table1[[#This Row],[Profit]]/Table1[[#This Row],[Sales]]</f>
        <v>-0.28683250488971351</v>
      </c>
      <c r="Q515" s="1" t="s">
        <v>33</v>
      </c>
      <c r="R515" s="1" t="s">
        <v>53</v>
      </c>
      <c r="S515" s="1" t="s">
        <v>648</v>
      </c>
      <c r="T515" s="1" t="s">
        <v>1027</v>
      </c>
      <c r="U515" s="1">
        <v>26003</v>
      </c>
      <c r="V515" s="9">
        <v>42035</v>
      </c>
      <c r="W515" s="13" t="str">
        <f>TEXT(Table1[[#This Row],[Order Date]],"mmmm")</f>
        <v>January</v>
      </c>
      <c r="X515" s="7" t="str">
        <f>TEXT(Table1[[#This Row],[Order Date]],"yyyy")</f>
        <v>2015</v>
      </c>
      <c r="Y515" s="9">
        <v>42036</v>
      </c>
      <c r="Z515" s="1">
        <v>-655.52987500000006</v>
      </c>
      <c r="AA515" s="1">
        <v>10</v>
      </c>
      <c r="AB515" s="1">
        <v>2285.41</v>
      </c>
      <c r="AC515" s="1">
        <v>90185</v>
      </c>
      <c r="AD515" s="6" t="str">
        <f>IF(COUNTIF(Returns!$A$2:$A$1635,Orders!AC515)&gt;0,"Returned","Not Returned")</f>
        <v>Not Returned</v>
      </c>
    </row>
    <row r="516" spans="1:30" ht="12.75" customHeight="1" thickTop="1" thickBot="1" x14ac:dyDescent="0.25">
      <c r="A516" s="10">
        <v>24028</v>
      </c>
      <c r="B516" s="11" t="s">
        <v>25</v>
      </c>
      <c r="C516" s="11">
        <v>0.01</v>
      </c>
      <c r="D516" s="11">
        <v>59.76</v>
      </c>
      <c r="E516" s="11">
        <v>9.7100000000000009</v>
      </c>
      <c r="F516" s="11">
        <v>911</v>
      </c>
      <c r="G516" s="6" t="str">
        <f>IF(COUNTIF(Table1[Customer ID],Table1[[#This Row],[Customer ID]])&gt;1,"Repeat Customer","One-Time Customer")</f>
        <v>Repeat Customer</v>
      </c>
      <c r="H516" s="11" t="s">
        <v>1025</v>
      </c>
      <c r="I516" s="11" t="s">
        <v>49</v>
      </c>
      <c r="J516" s="11" t="s">
        <v>28</v>
      </c>
      <c r="K516" s="11" t="s">
        <v>29</v>
      </c>
      <c r="L516" s="11" t="s">
        <v>141</v>
      </c>
      <c r="M516" s="11" t="s">
        <v>59</v>
      </c>
      <c r="N516" s="11" t="s">
        <v>1028</v>
      </c>
      <c r="O516" s="11">
        <v>0.56999999999999995</v>
      </c>
      <c r="P516" s="6">
        <f>Table1[[#This Row],[Profit]]/Table1[[#This Row],[Sales]]</f>
        <v>0.69</v>
      </c>
      <c r="Q516" s="11" t="s">
        <v>33</v>
      </c>
      <c r="R516" s="11" t="s">
        <v>53</v>
      </c>
      <c r="S516" s="11" t="s">
        <v>648</v>
      </c>
      <c r="T516" s="11" t="s">
        <v>1027</v>
      </c>
      <c r="U516" s="11">
        <v>26003</v>
      </c>
      <c r="V516" s="12">
        <v>42098</v>
      </c>
      <c r="W516" s="13" t="str">
        <f>TEXT(Table1[[#This Row],[Order Date]],"mmmm")</f>
        <v>April</v>
      </c>
      <c r="X516" s="7" t="str">
        <f>TEXT(Table1[[#This Row],[Order Date]],"yyyy")</f>
        <v>2015</v>
      </c>
      <c r="Y516" s="12">
        <v>42100</v>
      </c>
      <c r="Z516" s="11">
        <v>354.32879999999994</v>
      </c>
      <c r="AA516" s="11">
        <v>8</v>
      </c>
      <c r="AB516" s="11">
        <v>513.52</v>
      </c>
      <c r="AC516" s="11">
        <v>90186</v>
      </c>
      <c r="AD516" s="6" t="str">
        <f>IF(COUNTIF(Returns!$A$2:$A$1635,Orders!AC516)&gt;0,"Returned","Not Returned")</f>
        <v>Not Returned</v>
      </c>
    </row>
    <row r="517" spans="1:30" ht="12.75" customHeight="1" thickTop="1" thickBot="1" x14ac:dyDescent="0.25">
      <c r="A517" s="8">
        <v>24953</v>
      </c>
      <c r="B517" s="1" t="s">
        <v>25</v>
      </c>
      <c r="C517" s="1">
        <v>0.06</v>
      </c>
      <c r="D517" s="1">
        <v>350.98</v>
      </c>
      <c r="E517" s="1">
        <v>30</v>
      </c>
      <c r="F517" s="1">
        <v>915</v>
      </c>
      <c r="G517" s="6" t="str">
        <f>IF(COUNTIF(Table1[Customer ID],Table1[[#This Row],[Customer ID]])&gt;1,"Repeat Customer","One-Time Customer")</f>
        <v>One-Time Customer</v>
      </c>
      <c r="H517" s="1" t="s">
        <v>1029</v>
      </c>
      <c r="I517" s="1" t="s">
        <v>39</v>
      </c>
      <c r="J517" s="1" t="s">
        <v>40</v>
      </c>
      <c r="K517" s="1" t="s">
        <v>41</v>
      </c>
      <c r="L517" s="1" t="s">
        <v>42</v>
      </c>
      <c r="M517" s="1" t="s">
        <v>43</v>
      </c>
      <c r="N517" s="1" t="s">
        <v>862</v>
      </c>
      <c r="O517" s="1">
        <v>0.61</v>
      </c>
      <c r="P517" s="6">
        <f>Table1[[#This Row],[Profit]]/Table1[[#This Row],[Sales]]</f>
        <v>-1.4123733117857555</v>
      </c>
      <c r="Q517" s="1" t="s">
        <v>33</v>
      </c>
      <c r="R517" s="1" t="s">
        <v>61</v>
      </c>
      <c r="S517" s="1" t="s">
        <v>130</v>
      </c>
      <c r="T517" s="1" t="s">
        <v>1030</v>
      </c>
      <c r="U517" s="1">
        <v>77803</v>
      </c>
      <c r="V517" s="9">
        <v>42008</v>
      </c>
      <c r="W517" s="13" t="str">
        <f>TEXT(Table1[[#This Row],[Order Date]],"mmmm")</f>
        <v>January</v>
      </c>
      <c r="X517" s="7" t="str">
        <f>TEXT(Table1[[#This Row],[Order Date]],"yyyy")</f>
        <v>2015</v>
      </c>
      <c r="Y517" s="9">
        <v>42009</v>
      </c>
      <c r="Z517" s="1">
        <v>-489.41559999999998</v>
      </c>
      <c r="AA517" s="1">
        <v>1</v>
      </c>
      <c r="AB517" s="1">
        <v>346.52</v>
      </c>
      <c r="AC517" s="1">
        <v>86356</v>
      </c>
      <c r="AD517" s="6" t="str">
        <f>IF(COUNTIF(Returns!$A$2:$A$1635,Orders!AC517)&gt;0,"Returned","Not Returned")</f>
        <v>Not Returned</v>
      </c>
    </row>
    <row r="518" spans="1:30" ht="12.75" customHeight="1" thickTop="1" thickBot="1" x14ac:dyDescent="0.25">
      <c r="A518" s="10">
        <v>25833</v>
      </c>
      <c r="B518" s="11" t="s">
        <v>106</v>
      </c>
      <c r="C518" s="11">
        <v>0.05</v>
      </c>
      <c r="D518" s="11">
        <v>161.55000000000001</v>
      </c>
      <c r="E518" s="11">
        <v>19.989999999999998</v>
      </c>
      <c r="F518" s="11">
        <v>916</v>
      </c>
      <c r="G518" s="6" t="str">
        <f>IF(COUNTIF(Table1[Customer ID],Table1[[#This Row],[Customer ID]])&gt;1,"Repeat Customer","One-Time Customer")</f>
        <v>One-Time Customer</v>
      </c>
      <c r="H518" s="11" t="s">
        <v>1031</v>
      </c>
      <c r="I518" s="11" t="s">
        <v>49</v>
      </c>
      <c r="J518" s="11" t="s">
        <v>28</v>
      </c>
      <c r="K518" s="11" t="s">
        <v>29</v>
      </c>
      <c r="L518" s="11" t="s">
        <v>141</v>
      </c>
      <c r="M518" s="11" t="s">
        <v>59</v>
      </c>
      <c r="N518" s="11" t="s">
        <v>161</v>
      </c>
      <c r="O518" s="11">
        <v>0.66</v>
      </c>
      <c r="P518" s="6">
        <f>Table1[[#This Row],[Profit]]/Table1[[#This Row],[Sales]]</f>
        <v>7.0717590274578926E-2</v>
      </c>
      <c r="Q518" s="11" t="s">
        <v>33</v>
      </c>
      <c r="R518" s="11" t="s">
        <v>61</v>
      </c>
      <c r="S518" s="11" t="s">
        <v>130</v>
      </c>
      <c r="T518" s="11" t="s">
        <v>1032</v>
      </c>
      <c r="U518" s="11">
        <v>76028</v>
      </c>
      <c r="V518" s="12">
        <v>42008</v>
      </c>
      <c r="W518" s="13" t="str">
        <f>TEXT(Table1[[#This Row],[Order Date]],"mmmm")</f>
        <v>January</v>
      </c>
      <c r="X518" s="7" t="str">
        <f>TEXT(Table1[[#This Row],[Order Date]],"yyyy")</f>
        <v>2015</v>
      </c>
      <c r="Y518" s="12">
        <v>42015</v>
      </c>
      <c r="Z518" s="11">
        <v>35.31</v>
      </c>
      <c r="AA518" s="11">
        <v>3</v>
      </c>
      <c r="AB518" s="11">
        <v>499.31</v>
      </c>
      <c r="AC518" s="11">
        <v>86357</v>
      </c>
      <c r="AD518" s="6" t="str">
        <f>IF(COUNTIF(Returns!$A$2:$A$1635,Orders!AC518)&gt;0,"Returned","Not Returned")</f>
        <v>Not Returned</v>
      </c>
    </row>
    <row r="519" spans="1:30" ht="12.75" customHeight="1" thickTop="1" thickBot="1" x14ac:dyDescent="0.25">
      <c r="A519" s="8">
        <v>25676</v>
      </c>
      <c r="B519" s="1" t="s">
        <v>25</v>
      </c>
      <c r="C519" s="1">
        <v>0.05</v>
      </c>
      <c r="D519" s="1">
        <v>35.51</v>
      </c>
      <c r="E519" s="1">
        <v>6.31</v>
      </c>
      <c r="F519" s="1">
        <v>918</v>
      </c>
      <c r="G519" s="6" t="str">
        <f>IF(COUNTIF(Table1[Customer ID],Table1[[#This Row],[Customer ID]])&gt;1,"Repeat Customer","One-Time Customer")</f>
        <v>Repeat Customer</v>
      </c>
      <c r="H519" s="1" t="s">
        <v>1033</v>
      </c>
      <c r="I519" s="1" t="s">
        <v>49</v>
      </c>
      <c r="J519" s="1" t="s">
        <v>114</v>
      </c>
      <c r="K519" s="1" t="s">
        <v>29</v>
      </c>
      <c r="L519" s="1" t="s">
        <v>141</v>
      </c>
      <c r="M519" s="1" t="s">
        <v>59</v>
      </c>
      <c r="N519" s="1" t="s">
        <v>1034</v>
      </c>
      <c r="O519" s="1">
        <v>0.57999999999999996</v>
      </c>
      <c r="P519" s="6">
        <f>Table1[[#This Row],[Profit]]/Table1[[#This Row],[Sales]]</f>
        <v>8.358413132694939E-2</v>
      </c>
      <c r="Q519" s="1" t="s">
        <v>33</v>
      </c>
      <c r="R519" s="1" t="s">
        <v>34</v>
      </c>
      <c r="S519" s="1" t="s">
        <v>45</v>
      </c>
      <c r="T519" s="1" t="s">
        <v>773</v>
      </c>
      <c r="U519" s="1">
        <v>91730</v>
      </c>
      <c r="V519" s="9">
        <v>42106</v>
      </c>
      <c r="W519" s="13" t="str">
        <f>TEXT(Table1[[#This Row],[Order Date]],"mmmm")</f>
        <v>April</v>
      </c>
      <c r="X519" s="7" t="str">
        <f>TEXT(Table1[[#This Row],[Order Date]],"yyyy")</f>
        <v>2015</v>
      </c>
      <c r="Y519" s="9">
        <v>42108</v>
      </c>
      <c r="Z519" s="1">
        <v>6.11</v>
      </c>
      <c r="AA519" s="1">
        <v>2</v>
      </c>
      <c r="AB519" s="1">
        <v>73.099999999999994</v>
      </c>
      <c r="AC519" s="1">
        <v>90492</v>
      </c>
      <c r="AD519" s="6" t="str">
        <f>IF(COUNTIF(Returns!$A$2:$A$1635,Orders!AC519)&gt;0,"Returned","Not Returned")</f>
        <v>Not Returned</v>
      </c>
    </row>
    <row r="520" spans="1:30" ht="12.75" customHeight="1" thickTop="1" thickBot="1" x14ac:dyDescent="0.25">
      <c r="A520" s="10">
        <v>19772</v>
      </c>
      <c r="B520" s="11" t="s">
        <v>47</v>
      </c>
      <c r="C520" s="11">
        <v>0.09</v>
      </c>
      <c r="D520" s="11">
        <v>58.14</v>
      </c>
      <c r="E520" s="11">
        <v>36.61</v>
      </c>
      <c r="F520" s="11">
        <v>918</v>
      </c>
      <c r="G520" s="6" t="str">
        <f>IF(COUNTIF(Table1[Customer ID],Table1[[#This Row],[Customer ID]])&gt;1,"Repeat Customer","One-Time Customer")</f>
        <v>Repeat Customer</v>
      </c>
      <c r="H520" s="11" t="s">
        <v>1033</v>
      </c>
      <c r="I520" s="11" t="s">
        <v>39</v>
      </c>
      <c r="J520" s="11" t="s">
        <v>28</v>
      </c>
      <c r="K520" s="11" t="s">
        <v>41</v>
      </c>
      <c r="L520" s="11" t="s">
        <v>191</v>
      </c>
      <c r="M520" s="11" t="s">
        <v>121</v>
      </c>
      <c r="N520" s="11" t="s">
        <v>1035</v>
      </c>
      <c r="O520" s="11">
        <v>0.61</v>
      </c>
      <c r="P520" s="6">
        <f>Table1[[#This Row],[Profit]]/Table1[[#This Row],[Sales]]</f>
        <v>8.8608360992123283E-2</v>
      </c>
      <c r="Q520" s="11" t="s">
        <v>33</v>
      </c>
      <c r="R520" s="11" t="s">
        <v>34</v>
      </c>
      <c r="S520" s="11" t="s">
        <v>45</v>
      </c>
      <c r="T520" s="11" t="s">
        <v>773</v>
      </c>
      <c r="U520" s="11">
        <v>91730</v>
      </c>
      <c r="V520" s="12">
        <v>42144</v>
      </c>
      <c r="W520" s="13" t="str">
        <f>TEXT(Table1[[#This Row],[Order Date]],"mmmm")</f>
        <v>May</v>
      </c>
      <c r="X520" s="7" t="str">
        <f>TEXT(Table1[[#This Row],[Order Date]],"yyyy")</f>
        <v>2015</v>
      </c>
      <c r="Y520" s="12">
        <v>42145</v>
      </c>
      <c r="Z520" s="11">
        <v>187.41200000000026</v>
      </c>
      <c r="AA520" s="11">
        <v>39</v>
      </c>
      <c r="AB520" s="11">
        <v>2115.06</v>
      </c>
      <c r="AC520" s="11">
        <v>90493</v>
      </c>
      <c r="AD520" s="6" t="str">
        <f>IF(COUNTIF(Returns!$A$2:$A$1635,Orders!AC520)&gt;0,"Returned","Not Returned")</f>
        <v>Not Returned</v>
      </c>
    </row>
    <row r="521" spans="1:30" ht="12.75" customHeight="1" thickTop="1" thickBot="1" x14ac:dyDescent="0.25">
      <c r="A521" s="8">
        <v>25677</v>
      </c>
      <c r="B521" s="1" t="s">
        <v>25</v>
      </c>
      <c r="C521" s="1">
        <v>0.1</v>
      </c>
      <c r="D521" s="1">
        <v>8.34</v>
      </c>
      <c r="E521" s="1">
        <v>2.64</v>
      </c>
      <c r="F521" s="1">
        <v>919</v>
      </c>
      <c r="G521" s="6" t="str">
        <f>IF(COUNTIF(Table1[Customer ID],Table1[[#This Row],[Customer ID]])&gt;1,"Repeat Customer","One-Time Customer")</f>
        <v>One-Time Customer</v>
      </c>
      <c r="H521" s="1" t="s">
        <v>1036</v>
      </c>
      <c r="I521" s="1" t="s">
        <v>49</v>
      </c>
      <c r="J521" s="1" t="s">
        <v>114</v>
      </c>
      <c r="K521" s="1" t="s">
        <v>29</v>
      </c>
      <c r="L521" s="1" t="s">
        <v>174</v>
      </c>
      <c r="M521" s="1" t="s">
        <v>51</v>
      </c>
      <c r="N521" s="1" t="s">
        <v>358</v>
      </c>
      <c r="O521" s="1">
        <v>0.59</v>
      </c>
      <c r="P521" s="6">
        <f>Table1[[#This Row],[Profit]]/Table1[[#This Row],[Sales]]</f>
        <v>-0.1322210636079249</v>
      </c>
      <c r="Q521" s="1" t="s">
        <v>33</v>
      </c>
      <c r="R521" s="1" t="s">
        <v>34</v>
      </c>
      <c r="S521" s="1" t="s">
        <v>45</v>
      </c>
      <c r="T521" s="1" t="s">
        <v>1037</v>
      </c>
      <c r="U521" s="1">
        <v>96003</v>
      </c>
      <c r="V521" s="9">
        <v>42106</v>
      </c>
      <c r="W521" s="13" t="str">
        <f>TEXT(Table1[[#This Row],[Order Date]],"mmmm")</f>
        <v>April</v>
      </c>
      <c r="X521" s="7" t="str">
        <f>TEXT(Table1[[#This Row],[Order Date]],"yyyy")</f>
        <v>2015</v>
      </c>
      <c r="Y521" s="9">
        <v>42106</v>
      </c>
      <c r="Z521" s="1">
        <v>-6.34</v>
      </c>
      <c r="AA521" s="1">
        <v>6</v>
      </c>
      <c r="AB521" s="1">
        <v>47.95</v>
      </c>
      <c r="AC521" s="1">
        <v>90492</v>
      </c>
      <c r="AD521" s="6" t="str">
        <f>IF(COUNTIF(Returns!$A$2:$A$1635,Orders!AC521)&gt;0,"Returned","Not Returned")</f>
        <v>Not Returned</v>
      </c>
    </row>
    <row r="522" spans="1:30" ht="12.75" customHeight="1" thickTop="1" thickBot="1" x14ac:dyDescent="0.25">
      <c r="A522" s="10">
        <v>21970</v>
      </c>
      <c r="B522" s="11" t="s">
        <v>106</v>
      </c>
      <c r="C522" s="11">
        <v>0.1</v>
      </c>
      <c r="D522" s="11">
        <v>15.98</v>
      </c>
      <c r="E522" s="11">
        <v>4</v>
      </c>
      <c r="F522" s="11">
        <v>920</v>
      </c>
      <c r="G522" s="6" t="str">
        <f>IF(COUNTIF(Table1[Customer ID],Table1[[#This Row],[Customer ID]])&gt;1,"Repeat Customer","One-Time Customer")</f>
        <v>Repeat Customer</v>
      </c>
      <c r="H522" s="11" t="s">
        <v>1038</v>
      </c>
      <c r="I522" s="11" t="s">
        <v>49</v>
      </c>
      <c r="J522" s="11" t="s">
        <v>28</v>
      </c>
      <c r="K522" s="11" t="s">
        <v>77</v>
      </c>
      <c r="L522" s="11" t="s">
        <v>180</v>
      </c>
      <c r="M522" s="11" t="s">
        <v>59</v>
      </c>
      <c r="N522" s="11" t="s">
        <v>513</v>
      </c>
      <c r="O522" s="11">
        <v>0.37</v>
      </c>
      <c r="P522" s="6">
        <f>Table1[[#This Row],[Profit]]/Table1[[#This Row],[Sales]]</f>
        <v>0.69</v>
      </c>
      <c r="Q522" s="11" t="s">
        <v>33</v>
      </c>
      <c r="R522" s="11" t="s">
        <v>34</v>
      </c>
      <c r="S522" s="11" t="s">
        <v>45</v>
      </c>
      <c r="T522" s="11" t="s">
        <v>1039</v>
      </c>
      <c r="U522" s="11">
        <v>92374</v>
      </c>
      <c r="V522" s="12">
        <v>42090</v>
      </c>
      <c r="W522" s="13" t="str">
        <f>TEXT(Table1[[#This Row],[Order Date]],"mmmm")</f>
        <v>March</v>
      </c>
      <c r="X522" s="7" t="str">
        <f>TEXT(Table1[[#This Row],[Order Date]],"yyyy")</f>
        <v>2015</v>
      </c>
      <c r="Y522" s="12">
        <v>42095</v>
      </c>
      <c r="Z522" s="11">
        <v>92.722199999999987</v>
      </c>
      <c r="AA522" s="11">
        <v>9</v>
      </c>
      <c r="AB522" s="11">
        <v>134.38</v>
      </c>
      <c r="AC522" s="11">
        <v>90491</v>
      </c>
      <c r="AD522" s="6" t="str">
        <f>IF(COUNTIF(Returns!$A$2:$A$1635,Orders!AC522)&gt;0,"Returned","Not Returned")</f>
        <v>Not Returned</v>
      </c>
    </row>
    <row r="523" spans="1:30" ht="12.75" customHeight="1" thickTop="1" thickBot="1" x14ac:dyDescent="0.25">
      <c r="A523" s="8">
        <v>25678</v>
      </c>
      <c r="B523" s="1" t="s">
        <v>25</v>
      </c>
      <c r="C523" s="1">
        <v>0.03</v>
      </c>
      <c r="D523" s="1">
        <v>8.0399999999999991</v>
      </c>
      <c r="E523" s="1">
        <v>8.94</v>
      </c>
      <c r="F523" s="1">
        <v>920</v>
      </c>
      <c r="G523" s="6" t="str">
        <f>IF(COUNTIF(Table1[Customer ID],Table1[[#This Row],[Customer ID]])&gt;1,"Repeat Customer","One-Time Customer")</f>
        <v>Repeat Customer</v>
      </c>
      <c r="H523" s="1" t="s">
        <v>1038</v>
      </c>
      <c r="I523" s="1" t="s">
        <v>49</v>
      </c>
      <c r="J523" s="1" t="s">
        <v>114</v>
      </c>
      <c r="K523" s="1" t="s">
        <v>29</v>
      </c>
      <c r="L523" s="1" t="s">
        <v>109</v>
      </c>
      <c r="M523" s="1" t="s">
        <v>59</v>
      </c>
      <c r="N523" s="1" t="s">
        <v>1040</v>
      </c>
      <c r="O523" s="1">
        <v>0.4</v>
      </c>
      <c r="P523" s="6">
        <f>Table1[[#This Row],[Profit]]/Table1[[#This Row],[Sales]]</f>
        <v>-2.0877360948287094</v>
      </c>
      <c r="Q523" s="1" t="s">
        <v>33</v>
      </c>
      <c r="R523" s="1" t="s">
        <v>34</v>
      </c>
      <c r="S523" s="1" t="s">
        <v>45</v>
      </c>
      <c r="T523" s="1" t="s">
        <v>1039</v>
      </c>
      <c r="U523" s="1">
        <v>92374</v>
      </c>
      <c r="V523" s="9">
        <v>42106</v>
      </c>
      <c r="W523" s="13" t="str">
        <f>TEXT(Table1[[#This Row],[Order Date]],"mmmm")</f>
        <v>April</v>
      </c>
      <c r="X523" s="7" t="str">
        <f>TEXT(Table1[[#This Row],[Order Date]],"yyyy")</f>
        <v>2015</v>
      </c>
      <c r="Y523" s="9">
        <v>42108</v>
      </c>
      <c r="Z523" s="1">
        <v>-160.27549999999999</v>
      </c>
      <c r="AA523" s="1">
        <v>9</v>
      </c>
      <c r="AB523" s="1">
        <v>76.77</v>
      </c>
      <c r="AC523" s="1">
        <v>90492</v>
      </c>
      <c r="AD523" s="6" t="str">
        <f>IF(COUNTIF(Returns!$A$2:$A$1635,Orders!AC523)&gt;0,"Returned","Not Returned")</f>
        <v>Not Returned</v>
      </c>
    </row>
    <row r="524" spans="1:30" ht="12.75" customHeight="1" thickTop="1" thickBot="1" x14ac:dyDescent="0.25">
      <c r="A524" s="10">
        <v>18395</v>
      </c>
      <c r="B524" s="11" t="s">
        <v>37</v>
      </c>
      <c r="C524" s="11">
        <v>0.01</v>
      </c>
      <c r="D524" s="11">
        <v>65.989999999999995</v>
      </c>
      <c r="E524" s="11">
        <v>8.99</v>
      </c>
      <c r="F524" s="11">
        <v>922</v>
      </c>
      <c r="G524" s="6" t="str">
        <f>IF(COUNTIF(Table1[Customer ID],Table1[[#This Row],[Customer ID]])&gt;1,"Repeat Customer","One-Time Customer")</f>
        <v>One-Time Customer</v>
      </c>
      <c r="H524" s="11" t="s">
        <v>1041</v>
      </c>
      <c r="I524" s="11" t="s">
        <v>27</v>
      </c>
      <c r="J524" s="11" t="s">
        <v>58</v>
      </c>
      <c r="K524" s="11" t="s">
        <v>77</v>
      </c>
      <c r="L524" s="11" t="s">
        <v>78</v>
      </c>
      <c r="M524" s="11" t="s">
        <v>59</v>
      </c>
      <c r="N524" s="11" t="s">
        <v>1042</v>
      </c>
      <c r="O524" s="11">
        <v>0.56000000000000005</v>
      </c>
      <c r="P524" s="6">
        <f>Table1[[#This Row],[Profit]]/Table1[[#This Row],[Sales]]</f>
        <v>0.50763682864450121</v>
      </c>
      <c r="Q524" s="11" t="s">
        <v>33</v>
      </c>
      <c r="R524" s="11" t="s">
        <v>34</v>
      </c>
      <c r="S524" s="11" t="s">
        <v>45</v>
      </c>
      <c r="T524" s="11" t="s">
        <v>773</v>
      </c>
      <c r="U524" s="11">
        <v>91730</v>
      </c>
      <c r="V524" s="12">
        <v>42144</v>
      </c>
      <c r="W524" s="13" t="str">
        <f>TEXT(Table1[[#This Row],[Order Date]],"mmmm")</f>
        <v>May</v>
      </c>
      <c r="X524" s="7" t="str">
        <f>TEXT(Table1[[#This Row],[Order Date]],"yyyy")</f>
        <v>2015</v>
      </c>
      <c r="Y524" s="12">
        <v>42145</v>
      </c>
      <c r="Z524" s="11">
        <v>396.97199999999998</v>
      </c>
      <c r="AA524" s="11">
        <v>14</v>
      </c>
      <c r="AB524" s="11">
        <v>782</v>
      </c>
      <c r="AC524" s="11">
        <v>87135</v>
      </c>
      <c r="AD524" s="6" t="str">
        <f>IF(COUNTIF(Returns!$A$2:$A$1635,Orders!AC524)&gt;0,"Returned","Not Returned")</f>
        <v>Not Returned</v>
      </c>
    </row>
    <row r="525" spans="1:30" ht="12.75" customHeight="1" thickTop="1" thickBot="1" x14ac:dyDescent="0.25">
      <c r="A525" s="8">
        <v>19973</v>
      </c>
      <c r="B525" s="1" t="s">
        <v>47</v>
      </c>
      <c r="C525" s="1">
        <v>0.03</v>
      </c>
      <c r="D525" s="1">
        <v>2.1800000000000002</v>
      </c>
      <c r="E525" s="1">
        <v>1.38</v>
      </c>
      <c r="F525" s="1">
        <v>925</v>
      </c>
      <c r="G525" s="6" t="str">
        <f>IF(COUNTIF(Table1[Customer ID],Table1[[#This Row],[Customer ID]])&gt;1,"Repeat Customer","One-Time Customer")</f>
        <v>One-Time Customer</v>
      </c>
      <c r="H525" s="1" t="s">
        <v>1043</v>
      </c>
      <c r="I525" s="1" t="s">
        <v>49</v>
      </c>
      <c r="J525" s="1" t="s">
        <v>58</v>
      </c>
      <c r="K525" s="1" t="s">
        <v>29</v>
      </c>
      <c r="L525" s="1" t="s">
        <v>66</v>
      </c>
      <c r="M525" s="1" t="s">
        <v>31</v>
      </c>
      <c r="N525" s="1" t="s">
        <v>1044</v>
      </c>
      <c r="O525" s="1">
        <v>0.44</v>
      </c>
      <c r="P525" s="6">
        <f>Table1[[#This Row],[Profit]]/Table1[[#This Row],[Sales]]</f>
        <v>-0.44755244755244755</v>
      </c>
      <c r="Q525" s="1" t="s">
        <v>33</v>
      </c>
      <c r="R525" s="1" t="s">
        <v>53</v>
      </c>
      <c r="S525" s="1" t="s">
        <v>188</v>
      </c>
      <c r="T525" s="1" t="s">
        <v>1045</v>
      </c>
      <c r="U525" s="1">
        <v>4330</v>
      </c>
      <c r="V525" s="9">
        <v>42100</v>
      </c>
      <c r="W525" s="13" t="str">
        <f>TEXT(Table1[[#This Row],[Order Date]],"mmmm")</f>
        <v>April</v>
      </c>
      <c r="X525" s="7" t="str">
        <f>TEXT(Table1[[#This Row],[Order Date]],"yyyy")</f>
        <v>2015</v>
      </c>
      <c r="Y525" s="9">
        <v>42100</v>
      </c>
      <c r="Z525" s="1">
        <v>-7.04</v>
      </c>
      <c r="AA525" s="1">
        <v>7</v>
      </c>
      <c r="AB525" s="1">
        <v>15.73</v>
      </c>
      <c r="AC525" s="1">
        <v>87134</v>
      </c>
      <c r="AD525" s="6" t="str">
        <f>IF(COUNTIF(Returns!$A$2:$A$1635,Orders!AC525)&gt;0,"Returned","Not Returned")</f>
        <v>Not Returned</v>
      </c>
    </row>
    <row r="526" spans="1:30" ht="12.75" customHeight="1" thickTop="1" thickBot="1" x14ac:dyDescent="0.25">
      <c r="A526" s="10">
        <v>19974</v>
      </c>
      <c r="B526" s="11" t="s">
        <v>47</v>
      </c>
      <c r="C526" s="11">
        <v>0.01</v>
      </c>
      <c r="D526" s="11">
        <v>170.98</v>
      </c>
      <c r="E526" s="11">
        <v>35.89</v>
      </c>
      <c r="F526" s="11">
        <v>929</v>
      </c>
      <c r="G526" s="6" t="str">
        <f>IF(COUNTIF(Table1[Customer ID],Table1[[#This Row],[Customer ID]])&gt;1,"Repeat Customer","One-Time Customer")</f>
        <v>One-Time Customer</v>
      </c>
      <c r="H526" s="11" t="s">
        <v>1046</v>
      </c>
      <c r="I526" s="11" t="s">
        <v>39</v>
      </c>
      <c r="J526" s="11" t="s">
        <v>58</v>
      </c>
      <c r="K526" s="11" t="s">
        <v>41</v>
      </c>
      <c r="L526" s="11" t="s">
        <v>191</v>
      </c>
      <c r="M526" s="11" t="s">
        <v>121</v>
      </c>
      <c r="N526" s="11" t="s">
        <v>1047</v>
      </c>
      <c r="O526" s="11">
        <v>0.66</v>
      </c>
      <c r="P526" s="6">
        <f>Table1[[#This Row],[Profit]]/Table1[[#This Row],[Sales]]</f>
        <v>0.31326240350887397</v>
      </c>
      <c r="Q526" s="11" t="s">
        <v>33</v>
      </c>
      <c r="R526" s="11" t="s">
        <v>53</v>
      </c>
      <c r="S526" s="11" t="s">
        <v>54</v>
      </c>
      <c r="T526" s="11" t="s">
        <v>1048</v>
      </c>
      <c r="U526" s="11">
        <v>8857</v>
      </c>
      <c r="V526" s="12">
        <v>42100</v>
      </c>
      <c r="W526" s="13" t="str">
        <f>TEXT(Table1[[#This Row],[Order Date]],"mmmm")</f>
        <v>April</v>
      </c>
      <c r="X526" s="7" t="str">
        <f>TEXT(Table1[[#This Row],[Order Date]],"yyyy")</f>
        <v>2015</v>
      </c>
      <c r="Y526" s="12">
        <v>42102</v>
      </c>
      <c r="Z526" s="11">
        <v>538.52</v>
      </c>
      <c r="AA526" s="11">
        <v>10</v>
      </c>
      <c r="AB526" s="11">
        <v>1719.07</v>
      </c>
      <c r="AC526" s="11">
        <v>87134</v>
      </c>
      <c r="AD526" s="6" t="str">
        <f>IF(COUNTIF(Returns!$A$2:$A$1635,Orders!AC526)&gt;0,"Returned","Not Returned")</f>
        <v>Not Returned</v>
      </c>
    </row>
    <row r="527" spans="1:30" ht="12.75" customHeight="1" thickTop="1" thickBot="1" x14ac:dyDescent="0.25">
      <c r="A527" s="8">
        <v>21077</v>
      </c>
      <c r="B527" s="1" t="s">
        <v>47</v>
      </c>
      <c r="C527" s="1">
        <v>0.05</v>
      </c>
      <c r="D527" s="1">
        <v>6.04</v>
      </c>
      <c r="E527" s="1">
        <v>2.14</v>
      </c>
      <c r="F527" s="1">
        <v>936</v>
      </c>
      <c r="G527" s="6" t="str">
        <f>IF(COUNTIF(Table1[Customer ID],Table1[[#This Row],[Customer ID]])&gt;1,"Repeat Customer","One-Time Customer")</f>
        <v>Repeat Customer</v>
      </c>
      <c r="H527" s="1" t="s">
        <v>1049</v>
      </c>
      <c r="I527" s="1" t="s">
        <v>27</v>
      </c>
      <c r="J527" s="1" t="s">
        <v>28</v>
      </c>
      <c r="K527" s="1" t="s">
        <v>29</v>
      </c>
      <c r="L527" s="1" t="s">
        <v>93</v>
      </c>
      <c r="M527" s="1" t="s">
        <v>31</v>
      </c>
      <c r="N527" s="1" t="s">
        <v>1050</v>
      </c>
      <c r="O527" s="1">
        <v>0.38</v>
      </c>
      <c r="P527" s="6">
        <f>Table1[[#This Row],[Profit]]/Table1[[#This Row],[Sales]]</f>
        <v>-0.4922711058263971</v>
      </c>
      <c r="Q527" s="1" t="s">
        <v>33</v>
      </c>
      <c r="R527" s="1" t="s">
        <v>34</v>
      </c>
      <c r="S527" s="1" t="s">
        <v>45</v>
      </c>
      <c r="T527" s="1" t="s">
        <v>1039</v>
      </c>
      <c r="U527" s="1">
        <v>92374</v>
      </c>
      <c r="V527" s="9">
        <v>42052</v>
      </c>
      <c r="W527" s="13" t="str">
        <f>TEXT(Table1[[#This Row],[Order Date]],"mmmm")</f>
        <v>February</v>
      </c>
      <c r="X527" s="7" t="str">
        <f>TEXT(Table1[[#This Row],[Order Date]],"yyyy")</f>
        <v>2015</v>
      </c>
      <c r="Y527" s="9">
        <v>42054</v>
      </c>
      <c r="Z527" s="1">
        <v>-4.1399999999999997</v>
      </c>
      <c r="AA527" s="1">
        <v>1</v>
      </c>
      <c r="AB527" s="1">
        <v>8.41</v>
      </c>
      <c r="AC527" s="1">
        <v>90588</v>
      </c>
      <c r="AD527" s="6" t="str">
        <f>IF(COUNTIF(Returns!$A$2:$A$1635,Orders!AC527)&gt;0,"Returned","Not Returned")</f>
        <v>Not Returned</v>
      </c>
    </row>
    <row r="528" spans="1:30" ht="12.75" customHeight="1" thickTop="1" thickBot="1" x14ac:dyDescent="0.25">
      <c r="A528" s="10">
        <v>23716</v>
      </c>
      <c r="B528" s="11" t="s">
        <v>37</v>
      </c>
      <c r="C528" s="11">
        <v>0.05</v>
      </c>
      <c r="D528" s="11">
        <v>5.98</v>
      </c>
      <c r="E528" s="11">
        <v>5.46</v>
      </c>
      <c r="F528" s="11">
        <v>936</v>
      </c>
      <c r="G528" s="6" t="str">
        <f>IF(COUNTIF(Table1[Customer ID],Table1[[#This Row],[Customer ID]])&gt;1,"Repeat Customer","One-Time Customer")</f>
        <v>Repeat Customer</v>
      </c>
      <c r="H528" s="11" t="s">
        <v>1049</v>
      </c>
      <c r="I528" s="11" t="s">
        <v>49</v>
      </c>
      <c r="J528" s="11" t="s">
        <v>28</v>
      </c>
      <c r="K528" s="11" t="s">
        <v>29</v>
      </c>
      <c r="L528" s="11" t="s">
        <v>93</v>
      </c>
      <c r="M528" s="11" t="s">
        <v>59</v>
      </c>
      <c r="N528" s="11" t="s">
        <v>1051</v>
      </c>
      <c r="O528" s="11">
        <v>0.36</v>
      </c>
      <c r="P528" s="6">
        <f>Table1[[#This Row],[Profit]]/Table1[[#This Row],[Sales]]</f>
        <v>-0.30381133873272986</v>
      </c>
      <c r="Q528" s="11" t="s">
        <v>33</v>
      </c>
      <c r="R528" s="11" t="s">
        <v>34</v>
      </c>
      <c r="S528" s="11" t="s">
        <v>45</v>
      </c>
      <c r="T528" s="11" t="s">
        <v>1039</v>
      </c>
      <c r="U528" s="11">
        <v>92374</v>
      </c>
      <c r="V528" s="12">
        <v>42182</v>
      </c>
      <c r="W528" s="13" t="str">
        <f>TEXT(Table1[[#This Row],[Order Date]],"mmmm")</f>
        <v>June</v>
      </c>
      <c r="X528" s="7" t="str">
        <f>TEXT(Table1[[#This Row],[Order Date]],"yyyy")</f>
        <v>2015</v>
      </c>
      <c r="Y528" s="12">
        <v>42182</v>
      </c>
      <c r="Z528" s="11">
        <v>-31.885000000000002</v>
      </c>
      <c r="AA528" s="11">
        <v>17</v>
      </c>
      <c r="AB528" s="11">
        <v>104.95</v>
      </c>
      <c r="AC528" s="11">
        <v>90589</v>
      </c>
      <c r="AD528" s="6" t="str">
        <f>IF(COUNTIF(Returns!$A$2:$A$1635,Orders!AC528)&gt;0,"Returned","Not Returned")</f>
        <v>Not Returned</v>
      </c>
    </row>
    <row r="529" spans="1:30" ht="12.75" customHeight="1" thickTop="1" thickBot="1" x14ac:dyDescent="0.25">
      <c r="A529" s="8">
        <v>23717</v>
      </c>
      <c r="B529" s="1" t="s">
        <v>37</v>
      </c>
      <c r="C529" s="1">
        <v>0.01</v>
      </c>
      <c r="D529" s="1">
        <v>65.989999999999995</v>
      </c>
      <c r="E529" s="1">
        <v>3.99</v>
      </c>
      <c r="F529" s="1">
        <v>937</v>
      </c>
      <c r="G529" s="6" t="str">
        <f>IF(COUNTIF(Table1[Customer ID],Table1[[#This Row],[Customer ID]])&gt;1,"Repeat Customer","One-Time Customer")</f>
        <v>One-Time Customer</v>
      </c>
      <c r="H529" s="1" t="s">
        <v>1052</v>
      </c>
      <c r="I529" s="1" t="s">
        <v>49</v>
      </c>
      <c r="J529" s="1" t="s">
        <v>28</v>
      </c>
      <c r="K529" s="1" t="s">
        <v>77</v>
      </c>
      <c r="L529" s="1" t="s">
        <v>78</v>
      </c>
      <c r="M529" s="1" t="s">
        <v>59</v>
      </c>
      <c r="N529" s="1" t="s">
        <v>1053</v>
      </c>
      <c r="O529" s="1">
        <v>0.59</v>
      </c>
      <c r="P529" s="6">
        <f>Table1[[#This Row],[Profit]]/Table1[[#This Row],[Sales]]</f>
        <v>-0.57152590191488084</v>
      </c>
      <c r="Q529" s="1" t="s">
        <v>33</v>
      </c>
      <c r="R529" s="1" t="s">
        <v>34</v>
      </c>
      <c r="S529" s="1" t="s">
        <v>45</v>
      </c>
      <c r="T529" s="1" t="s">
        <v>1054</v>
      </c>
      <c r="U529" s="1">
        <v>90278</v>
      </c>
      <c r="V529" s="9">
        <v>42182</v>
      </c>
      <c r="W529" s="13" t="str">
        <f>TEXT(Table1[[#This Row],[Order Date]],"mmmm")</f>
        <v>June</v>
      </c>
      <c r="X529" s="7" t="str">
        <f>TEXT(Table1[[#This Row],[Order Date]],"yyyy")</f>
        <v>2015</v>
      </c>
      <c r="Y529" s="9">
        <v>42183</v>
      </c>
      <c r="Z529" s="1">
        <v>-95.21050000000001</v>
      </c>
      <c r="AA529" s="1">
        <v>3</v>
      </c>
      <c r="AB529" s="1">
        <v>166.59</v>
      </c>
      <c r="AC529" s="1">
        <v>90589</v>
      </c>
      <c r="AD529" s="6" t="str">
        <f>IF(COUNTIF(Returns!$A$2:$A$1635,Orders!AC529)&gt;0,"Returned","Not Returned")</f>
        <v>Not Returned</v>
      </c>
    </row>
    <row r="530" spans="1:30" ht="12.75" customHeight="1" thickTop="1" thickBot="1" x14ac:dyDescent="0.25">
      <c r="A530" s="10">
        <v>22638</v>
      </c>
      <c r="B530" s="11" t="s">
        <v>106</v>
      </c>
      <c r="C530" s="11">
        <v>0.09</v>
      </c>
      <c r="D530" s="11">
        <v>100.98</v>
      </c>
      <c r="E530" s="11">
        <v>35.840000000000003</v>
      </c>
      <c r="F530" s="11">
        <v>940</v>
      </c>
      <c r="G530" s="6" t="str">
        <f>IF(COUNTIF(Table1[Customer ID],Table1[[#This Row],[Customer ID]])&gt;1,"Repeat Customer","One-Time Customer")</f>
        <v>One-Time Customer</v>
      </c>
      <c r="H530" s="11" t="s">
        <v>1055</v>
      </c>
      <c r="I530" s="11" t="s">
        <v>39</v>
      </c>
      <c r="J530" s="11" t="s">
        <v>40</v>
      </c>
      <c r="K530" s="11" t="s">
        <v>41</v>
      </c>
      <c r="L530" s="11" t="s">
        <v>191</v>
      </c>
      <c r="M530" s="11" t="s">
        <v>121</v>
      </c>
      <c r="N530" s="11" t="s">
        <v>260</v>
      </c>
      <c r="O530" s="11">
        <v>0.62</v>
      </c>
      <c r="P530" s="6">
        <f>Table1[[#This Row],[Profit]]/Table1[[#This Row],[Sales]]</f>
        <v>-0.4886039526489816</v>
      </c>
      <c r="Q530" s="11" t="s">
        <v>33</v>
      </c>
      <c r="R530" s="11" t="s">
        <v>53</v>
      </c>
      <c r="S530" s="11" t="s">
        <v>228</v>
      </c>
      <c r="T530" s="11" t="s">
        <v>1056</v>
      </c>
      <c r="U530" s="11">
        <v>6776</v>
      </c>
      <c r="V530" s="12">
        <v>42108</v>
      </c>
      <c r="W530" s="13" t="str">
        <f>TEXT(Table1[[#This Row],[Order Date]],"mmmm")</f>
        <v>April</v>
      </c>
      <c r="X530" s="7" t="str">
        <f>TEXT(Table1[[#This Row],[Order Date]],"yyyy")</f>
        <v>2015</v>
      </c>
      <c r="Y530" s="12">
        <v>42113</v>
      </c>
      <c r="Z530" s="11">
        <v>-193.58</v>
      </c>
      <c r="AA530" s="11">
        <v>4</v>
      </c>
      <c r="AB530" s="11">
        <v>396.19</v>
      </c>
      <c r="AC530" s="11">
        <v>90844</v>
      </c>
      <c r="AD530" s="6" t="str">
        <f>IF(COUNTIF(Returns!$A$2:$A$1635,Orders!AC530)&gt;0,"Returned","Not Returned")</f>
        <v>Not Returned</v>
      </c>
    </row>
    <row r="531" spans="1:30" ht="12.75" customHeight="1" thickTop="1" thickBot="1" x14ac:dyDescent="0.25">
      <c r="A531" s="8">
        <v>23479</v>
      </c>
      <c r="B531" s="1" t="s">
        <v>37</v>
      </c>
      <c r="C531" s="1">
        <v>0.03</v>
      </c>
      <c r="D531" s="1">
        <v>31.74</v>
      </c>
      <c r="E531" s="1">
        <v>12.62</v>
      </c>
      <c r="F531" s="1">
        <v>945</v>
      </c>
      <c r="G531" s="6" t="str">
        <f>IF(COUNTIF(Table1[Customer ID],Table1[[#This Row],[Customer ID]])&gt;1,"Repeat Customer","One-Time Customer")</f>
        <v>One-Time Customer</v>
      </c>
      <c r="H531" s="1" t="s">
        <v>1057</v>
      </c>
      <c r="I531" s="1" t="s">
        <v>49</v>
      </c>
      <c r="J531" s="1" t="s">
        <v>40</v>
      </c>
      <c r="K531" s="1" t="s">
        <v>29</v>
      </c>
      <c r="L531" s="1" t="s">
        <v>109</v>
      </c>
      <c r="M531" s="1" t="s">
        <v>59</v>
      </c>
      <c r="N531" s="1" t="s">
        <v>1058</v>
      </c>
      <c r="O531" s="1">
        <v>0.37</v>
      </c>
      <c r="P531" s="6">
        <f>Table1[[#This Row],[Profit]]/Table1[[#This Row],[Sales]]</f>
        <v>-4.3576494427558198E-2</v>
      </c>
      <c r="Q531" s="1" t="s">
        <v>33</v>
      </c>
      <c r="R531" s="1" t="s">
        <v>34</v>
      </c>
      <c r="S531" s="1" t="s">
        <v>45</v>
      </c>
      <c r="T531" s="1" t="s">
        <v>1059</v>
      </c>
      <c r="U531" s="1">
        <v>95070</v>
      </c>
      <c r="V531" s="9">
        <v>42069</v>
      </c>
      <c r="W531" s="13" t="str">
        <f>TEXT(Table1[[#This Row],[Order Date]],"mmmm")</f>
        <v>March</v>
      </c>
      <c r="X531" s="7" t="str">
        <f>TEXT(Table1[[#This Row],[Order Date]],"yyyy")</f>
        <v>2015</v>
      </c>
      <c r="Y531" s="9">
        <v>42069</v>
      </c>
      <c r="Z531" s="1">
        <v>-4.3009999999999939</v>
      </c>
      <c r="AA531" s="1">
        <v>3</v>
      </c>
      <c r="AB531" s="1">
        <v>98.7</v>
      </c>
      <c r="AC531" s="1">
        <v>86567</v>
      </c>
      <c r="AD531" s="6" t="str">
        <f>IF(COUNTIF(Returns!$A$2:$A$1635,Orders!AC531)&gt;0,"Returned","Not Returned")</f>
        <v>Not Returned</v>
      </c>
    </row>
    <row r="532" spans="1:30" ht="12.75" customHeight="1" thickTop="1" thickBot="1" x14ac:dyDescent="0.25">
      <c r="A532" s="10">
        <v>24459</v>
      </c>
      <c r="B532" s="11" t="s">
        <v>47</v>
      </c>
      <c r="C532" s="11">
        <v>0.09</v>
      </c>
      <c r="D532" s="11">
        <v>90.98</v>
      </c>
      <c r="E532" s="11">
        <v>56.2</v>
      </c>
      <c r="F532" s="11">
        <v>946</v>
      </c>
      <c r="G532" s="6" t="str">
        <f>IF(COUNTIF(Table1[Customer ID],Table1[[#This Row],[Customer ID]])&gt;1,"Repeat Customer","One-Time Customer")</f>
        <v>One-Time Customer</v>
      </c>
      <c r="H532" s="11" t="s">
        <v>1060</v>
      </c>
      <c r="I532" s="11" t="s">
        <v>27</v>
      </c>
      <c r="J532" s="11" t="s">
        <v>40</v>
      </c>
      <c r="K532" s="11" t="s">
        <v>41</v>
      </c>
      <c r="L532" s="11" t="s">
        <v>50</v>
      </c>
      <c r="M532" s="11" t="s">
        <v>86</v>
      </c>
      <c r="N532" s="11" t="s">
        <v>1061</v>
      </c>
      <c r="O532" s="11">
        <v>0.74</v>
      </c>
      <c r="P532" s="6">
        <f>Table1[[#This Row],[Profit]]/Table1[[#This Row],[Sales]]</f>
        <v>-0.8809945916833104</v>
      </c>
      <c r="Q532" s="11" t="s">
        <v>33</v>
      </c>
      <c r="R532" s="11" t="s">
        <v>53</v>
      </c>
      <c r="S532" s="11" t="s">
        <v>188</v>
      </c>
      <c r="T532" s="11" t="s">
        <v>511</v>
      </c>
      <c r="U532" s="11">
        <v>4210</v>
      </c>
      <c r="V532" s="12">
        <v>42064</v>
      </c>
      <c r="W532" s="13" t="str">
        <f>TEXT(Table1[[#This Row],[Order Date]],"mmmm")</f>
        <v>March</v>
      </c>
      <c r="X532" s="7" t="str">
        <f>TEXT(Table1[[#This Row],[Order Date]],"yyyy")</f>
        <v>2015</v>
      </c>
      <c r="Y532" s="12">
        <v>42065</v>
      </c>
      <c r="Z532" s="11">
        <v>-1570.32</v>
      </c>
      <c r="AA532" s="11">
        <v>20</v>
      </c>
      <c r="AB532" s="11">
        <v>1782.44</v>
      </c>
      <c r="AC532" s="11">
        <v>86566</v>
      </c>
      <c r="AD532" s="6" t="str">
        <f>IF(COUNTIF(Returns!$A$2:$A$1635,Orders!AC532)&gt;0,"Returned","Not Returned")</f>
        <v>Not Returned</v>
      </c>
    </row>
    <row r="533" spans="1:30" ht="12.75" customHeight="1" thickTop="1" thickBot="1" x14ac:dyDescent="0.25">
      <c r="A533" s="8">
        <v>24693</v>
      </c>
      <c r="B533" s="1" t="s">
        <v>47</v>
      </c>
      <c r="C533" s="1">
        <v>0.08</v>
      </c>
      <c r="D533" s="1">
        <v>14.2</v>
      </c>
      <c r="E533" s="1">
        <v>5.3</v>
      </c>
      <c r="F533" s="1">
        <v>947</v>
      </c>
      <c r="G533" s="6" t="str">
        <f>IF(COUNTIF(Table1[Customer ID],Table1[[#This Row],[Customer ID]])&gt;1,"Repeat Customer","One-Time Customer")</f>
        <v>One-Time Customer</v>
      </c>
      <c r="H533" s="1" t="s">
        <v>1062</v>
      </c>
      <c r="I533" s="1" t="s">
        <v>27</v>
      </c>
      <c r="J533" s="1" t="s">
        <v>40</v>
      </c>
      <c r="K533" s="1" t="s">
        <v>41</v>
      </c>
      <c r="L533" s="1" t="s">
        <v>50</v>
      </c>
      <c r="M533" s="1" t="s">
        <v>31</v>
      </c>
      <c r="N533" s="1" t="s">
        <v>730</v>
      </c>
      <c r="O533" s="1">
        <v>0.46</v>
      </c>
      <c r="P533" s="6">
        <f>Table1[[#This Row],[Profit]]/Table1[[#This Row],[Sales]]</f>
        <v>0.37761752877548194</v>
      </c>
      <c r="Q533" s="1" t="s">
        <v>33</v>
      </c>
      <c r="R533" s="1" t="s">
        <v>53</v>
      </c>
      <c r="S533" s="1" t="s">
        <v>54</v>
      </c>
      <c r="T533" s="1" t="s">
        <v>1063</v>
      </c>
      <c r="U533" s="1">
        <v>7002</v>
      </c>
      <c r="V533" s="9">
        <v>42015</v>
      </c>
      <c r="W533" s="13" t="str">
        <f>TEXT(Table1[[#This Row],[Order Date]],"mmmm")</f>
        <v>January</v>
      </c>
      <c r="X533" s="7" t="str">
        <f>TEXT(Table1[[#This Row],[Order Date]],"yyyy")</f>
        <v>2015</v>
      </c>
      <c r="Y533" s="9">
        <v>42017</v>
      </c>
      <c r="Z533" s="1">
        <v>27.23</v>
      </c>
      <c r="AA533" s="1">
        <v>5</v>
      </c>
      <c r="AB533" s="1">
        <v>72.11</v>
      </c>
      <c r="AC533" s="1">
        <v>86565</v>
      </c>
      <c r="AD533" s="6" t="str">
        <f>IF(COUNTIF(Returns!$A$2:$A$1635,Orders!AC533)&gt;0,"Returned","Not Returned")</f>
        <v>Not Returned</v>
      </c>
    </row>
    <row r="534" spans="1:30" ht="12.75" customHeight="1" thickTop="1" thickBot="1" x14ac:dyDescent="0.25">
      <c r="A534" s="10">
        <v>1279</v>
      </c>
      <c r="B534" s="11" t="s">
        <v>1064</v>
      </c>
      <c r="C534" s="11">
        <v>0.06</v>
      </c>
      <c r="D534" s="11">
        <v>40.98</v>
      </c>
      <c r="E534" s="11">
        <v>2.99</v>
      </c>
      <c r="F534" s="11">
        <v>949</v>
      </c>
      <c r="G534" s="6" t="str">
        <f>IF(COUNTIF(Table1[Customer ID],Table1[[#This Row],[Customer ID]])&gt;1,"Repeat Customer","One-Time Customer")</f>
        <v>Repeat Customer</v>
      </c>
      <c r="H534" s="11" t="s">
        <v>1065</v>
      </c>
      <c r="I534" s="11" t="s">
        <v>49</v>
      </c>
      <c r="J534" s="11" t="s">
        <v>114</v>
      </c>
      <c r="K534" s="11" t="s">
        <v>29</v>
      </c>
      <c r="L534" s="11" t="s">
        <v>109</v>
      </c>
      <c r="M534" s="11" t="s">
        <v>59</v>
      </c>
      <c r="N534" s="11" t="s">
        <v>1066</v>
      </c>
      <c r="O534" s="11">
        <v>0.36</v>
      </c>
      <c r="P534" s="6">
        <f>Table1[[#This Row],[Profit]]/Table1[[#This Row],[Sales]]</f>
        <v>-0.15302619982373208</v>
      </c>
      <c r="Q534" s="11" t="s">
        <v>33</v>
      </c>
      <c r="R534" s="11" t="s">
        <v>34</v>
      </c>
      <c r="S534" s="11" t="s">
        <v>45</v>
      </c>
      <c r="T534" s="11" t="s">
        <v>663</v>
      </c>
      <c r="U534" s="11">
        <v>90049</v>
      </c>
      <c r="V534" s="12">
        <v>42006</v>
      </c>
      <c r="W534" s="13" t="str">
        <f>TEXT(Table1[[#This Row],[Order Date]],"mmmm")</f>
        <v>January</v>
      </c>
      <c r="X534" s="7" t="str">
        <f>TEXT(Table1[[#This Row],[Order Date]],"yyyy")</f>
        <v>2015</v>
      </c>
      <c r="Y534" s="12">
        <v>42008</v>
      </c>
      <c r="Z534" s="11">
        <v>-19.099200000000003</v>
      </c>
      <c r="AA534" s="11">
        <v>3</v>
      </c>
      <c r="AB534" s="11">
        <v>124.81</v>
      </c>
      <c r="AC534" s="11">
        <v>9285</v>
      </c>
      <c r="AD534" s="6" t="str">
        <f>IF(COUNTIF(Returns!$A$2:$A$1635,Orders!AC534)&gt;0,"Returned","Not Returned")</f>
        <v>Not Returned</v>
      </c>
    </row>
    <row r="535" spans="1:30" ht="12.75" customHeight="1" thickTop="1" thickBot="1" x14ac:dyDescent="0.25">
      <c r="A535" s="8">
        <v>1128</v>
      </c>
      <c r="B535" s="1" t="s">
        <v>106</v>
      </c>
      <c r="C535" s="1">
        <v>0.02</v>
      </c>
      <c r="D535" s="1">
        <v>48.04</v>
      </c>
      <c r="E535" s="1">
        <v>5.09</v>
      </c>
      <c r="F535" s="1">
        <v>949</v>
      </c>
      <c r="G535" s="6" t="str">
        <f>IF(COUNTIF(Table1[Customer ID],Table1[[#This Row],[Customer ID]])&gt;1,"Repeat Customer","One-Time Customer")</f>
        <v>Repeat Customer</v>
      </c>
      <c r="H535" s="1" t="s">
        <v>1065</v>
      </c>
      <c r="I535" s="1" t="s">
        <v>49</v>
      </c>
      <c r="J535" s="1" t="s">
        <v>114</v>
      </c>
      <c r="K535" s="1" t="s">
        <v>29</v>
      </c>
      <c r="L535" s="1" t="s">
        <v>93</v>
      </c>
      <c r="M535" s="1" t="s">
        <v>59</v>
      </c>
      <c r="N535" s="1" t="s">
        <v>621</v>
      </c>
      <c r="O535" s="1">
        <v>0.37</v>
      </c>
      <c r="P535" s="6">
        <f>Table1[[#This Row],[Profit]]/Table1[[#This Row],[Sales]]</f>
        <v>0.42398901647528708</v>
      </c>
      <c r="Q535" s="1" t="s">
        <v>33</v>
      </c>
      <c r="R535" s="1" t="s">
        <v>34</v>
      </c>
      <c r="S535" s="1" t="s">
        <v>45</v>
      </c>
      <c r="T535" s="1" t="s">
        <v>663</v>
      </c>
      <c r="U535" s="1">
        <v>90049</v>
      </c>
      <c r="V535" s="9">
        <v>42085</v>
      </c>
      <c r="W535" s="13" t="str">
        <f>TEXT(Table1[[#This Row],[Order Date]],"mmmm")</f>
        <v>March</v>
      </c>
      <c r="X535" s="7" t="str">
        <f>TEXT(Table1[[#This Row],[Order Date]],"yyyy")</f>
        <v>2015</v>
      </c>
      <c r="Y535" s="9">
        <v>42089</v>
      </c>
      <c r="Z535" s="1">
        <v>373.67</v>
      </c>
      <c r="AA535" s="1">
        <v>18</v>
      </c>
      <c r="AB535" s="1">
        <v>881.32</v>
      </c>
      <c r="AC535" s="1">
        <v>8257</v>
      </c>
      <c r="AD535" s="6" t="str">
        <f>IF(COUNTIF(Returns!$A$2:$A$1635,Orders!AC535)&gt;0,"Returned","Not Returned")</f>
        <v>Not Returned</v>
      </c>
    </row>
    <row r="536" spans="1:30" ht="12.75" customHeight="1" thickTop="1" thickBot="1" x14ac:dyDescent="0.25">
      <c r="A536" s="10">
        <v>19279</v>
      </c>
      <c r="B536" s="11" t="s">
        <v>47</v>
      </c>
      <c r="C536" s="11">
        <v>0.06</v>
      </c>
      <c r="D536" s="11">
        <v>40.98</v>
      </c>
      <c r="E536" s="11">
        <v>2.99</v>
      </c>
      <c r="F536" s="11">
        <v>950</v>
      </c>
      <c r="G536" s="6" t="str">
        <f>IF(COUNTIF(Table1[Customer ID],Table1[[#This Row],[Customer ID]])&gt;1,"Repeat Customer","One-Time Customer")</f>
        <v>Repeat Customer</v>
      </c>
      <c r="H536" s="11" t="s">
        <v>1067</v>
      </c>
      <c r="I536" s="11" t="s">
        <v>49</v>
      </c>
      <c r="J536" s="11" t="s">
        <v>114</v>
      </c>
      <c r="K536" s="11" t="s">
        <v>29</v>
      </c>
      <c r="L536" s="11" t="s">
        <v>109</v>
      </c>
      <c r="M536" s="11" t="s">
        <v>59</v>
      </c>
      <c r="N536" s="11" t="s">
        <v>1066</v>
      </c>
      <c r="O536" s="11">
        <v>0.36</v>
      </c>
      <c r="P536" s="6">
        <f>Table1[[#This Row],[Profit]]/Table1[[#This Row],[Sales]]</f>
        <v>-0.35581442307692307</v>
      </c>
      <c r="Q536" s="11" t="s">
        <v>33</v>
      </c>
      <c r="R536" s="11" t="s">
        <v>61</v>
      </c>
      <c r="S536" s="11" t="s">
        <v>62</v>
      </c>
      <c r="T536" s="11" t="s">
        <v>63</v>
      </c>
      <c r="U536" s="11">
        <v>55372</v>
      </c>
      <c r="V536" s="12">
        <v>42006</v>
      </c>
      <c r="W536" s="13" t="str">
        <f>TEXT(Table1[[#This Row],[Order Date]],"mmmm")</f>
        <v>January</v>
      </c>
      <c r="X536" s="7" t="str">
        <f>TEXT(Table1[[#This Row],[Order Date]],"yyyy")</f>
        <v>2015</v>
      </c>
      <c r="Y536" s="12">
        <v>42008</v>
      </c>
      <c r="Z536" s="11">
        <v>-14.801880000000001</v>
      </c>
      <c r="AA536" s="11">
        <v>1</v>
      </c>
      <c r="AB536" s="11">
        <v>41.6</v>
      </c>
      <c r="AC536" s="11">
        <v>89083</v>
      </c>
      <c r="AD536" s="6" t="str">
        <f>IF(COUNTIF(Returns!$A$2:$A$1635,Orders!AC536)&gt;0,"Returned","Not Returned")</f>
        <v>Not Returned</v>
      </c>
    </row>
    <row r="537" spans="1:30" ht="12.75" customHeight="1" thickTop="1" thickBot="1" x14ac:dyDescent="0.25">
      <c r="A537" s="8">
        <v>19127</v>
      </c>
      <c r="B537" s="1" t="s">
        <v>106</v>
      </c>
      <c r="C537" s="1">
        <v>0.05</v>
      </c>
      <c r="D537" s="1">
        <v>1500.97</v>
      </c>
      <c r="E537" s="1">
        <v>29.7</v>
      </c>
      <c r="F537" s="1">
        <v>950</v>
      </c>
      <c r="G537" s="6" t="str">
        <f>IF(COUNTIF(Table1[Customer ID],Table1[[#This Row],[Customer ID]])&gt;1,"Repeat Customer","One-Time Customer")</f>
        <v>Repeat Customer</v>
      </c>
      <c r="H537" s="1" t="s">
        <v>1067</v>
      </c>
      <c r="I537" s="1" t="s">
        <v>39</v>
      </c>
      <c r="J537" s="1" t="s">
        <v>114</v>
      </c>
      <c r="K537" s="1" t="s">
        <v>77</v>
      </c>
      <c r="L537" s="1" t="s">
        <v>85</v>
      </c>
      <c r="M537" s="1" t="s">
        <v>43</v>
      </c>
      <c r="N537" s="1" t="s">
        <v>1068</v>
      </c>
      <c r="O537" s="1">
        <v>0.56999999999999995</v>
      </c>
      <c r="P537" s="6">
        <f>Table1[[#This Row],[Profit]]/Table1[[#This Row],[Sales]]</f>
        <v>-1.7107195335354857</v>
      </c>
      <c r="Q537" s="1" t="s">
        <v>33</v>
      </c>
      <c r="R537" s="1" t="s">
        <v>61</v>
      </c>
      <c r="S537" s="1" t="s">
        <v>62</v>
      </c>
      <c r="T537" s="1" t="s">
        <v>63</v>
      </c>
      <c r="U537" s="1">
        <v>55372</v>
      </c>
      <c r="V537" s="9">
        <v>42085</v>
      </c>
      <c r="W537" s="13" t="str">
        <f>TEXT(Table1[[#This Row],[Order Date]],"mmmm")</f>
        <v>March</v>
      </c>
      <c r="X537" s="7" t="str">
        <f>TEXT(Table1[[#This Row],[Order Date]],"yyyy")</f>
        <v>2015</v>
      </c>
      <c r="Y537" s="9">
        <v>42085</v>
      </c>
      <c r="Z537" s="1">
        <v>-2561.3235</v>
      </c>
      <c r="AA537" s="1">
        <v>1</v>
      </c>
      <c r="AB537" s="1">
        <v>1497.22</v>
      </c>
      <c r="AC537" s="1">
        <v>89084</v>
      </c>
      <c r="AD537" s="6" t="str">
        <f>IF(COUNTIF(Returns!$A$2:$A$1635,Orders!AC537)&gt;0,"Returned","Not Returned")</f>
        <v>Not Returned</v>
      </c>
    </row>
    <row r="538" spans="1:30" ht="12.75" customHeight="1" thickTop="1" thickBot="1" x14ac:dyDescent="0.25">
      <c r="A538" s="10">
        <v>19128</v>
      </c>
      <c r="B538" s="11" t="s">
        <v>106</v>
      </c>
      <c r="C538" s="11">
        <v>0.02</v>
      </c>
      <c r="D538" s="11">
        <v>48.04</v>
      </c>
      <c r="E538" s="11">
        <v>5.09</v>
      </c>
      <c r="F538" s="11">
        <v>950</v>
      </c>
      <c r="G538" s="6" t="str">
        <f>IF(COUNTIF(Table1[Customer ID],Table1[[#This Row],[Customer ID]])&gt;1,"Repeat Customer","One-Time Customer")</f>
        <v>Repeat Customer</v>
      </c>
      <c r="H538" s="11" t="s">
        <v>1067</v>
      </c>
      <c r="I538" s="11" t="s">
        <v>49</v>
      </c>
      <c r="J538" s="11" t="s">
        <v>114</v>
      </c>
      <c r="K538" s="11" t="s">
        <v>29</v>
      </c>
      <c r="L538" s="11" t="s">
        <v>93</v>
      </c>
      <c r="M538" s="11" t="s">
        <v>59</v>
      </c>
      <c r="N538" s="11" t="s">
        <v>621</v>
      </c>
      <c r="O538" s="11">
        <v>0.37</v>
      </c>
      <c r="P538" s="6">
        <f>Table1[[#This Row],[Profit]]/Table1[[#This Row],[Sales]]</f>
        <v>0.69</v>
      </c>
      <c r="Q538" s="11" t="s">
        <v>33</v>
      </c>
      <c r="R538" s="11" t="s">
        <v>61</v>
      </c>
      <c r="S538" s="11" t="s">
        <v>62</v>
      </c>
      <c r="T538" s="11" t="s">
        <v>63</v>
      </c>
      <c r="U538" s="11">
        <v>55372</v>
      </c>
      <c r="V538" s="12">
        <v>42085</v>
      </c>
      <c r="W538" s="13" t="str">
        <f>TEXT(Table1[[#This Row],[Order Date]],"mmmm")</f>
        <v>March</v>
      </c>
      <c r="X538" s="7" t="str">
        <f>TEXT(Table1[[#This Row],[Order Date]],"yyyy")</f>
        <v>2015</v>
      </c>
      <c r="Y538" s="12">
        <v>42089</v>
      </c>
      <c r="Z538" s="11">
        <v>168.91889999999998</v>
      </c>
      <c r="AA538" s="11">
        <v>5</v>
      </c>
      <c r="AB538" s="11">
        <v>244.81</v>
      </c>
      <c r="AC538" s="11">
        <v>89084</v>
      </c>
      <c r="AD538" s="6" t="str">
        <f>IF(COUNTIF(Returns!$A$2:$A$1635,Orders!AC538)&gt;0,"Returned","Not Returned")</f>
        <v>Not Returned</v>
      </c>
    </row>
    <row r="539" spans="1:30" ht="12.75" customHeight="1" thickTop="1" thickBot="1" x14ac:dyDescent="0.25">
      <c r="A539" s="8">
        <v>19129</v>
      </c>
      <c r="B539" s="1" t="s">
        <v>106</v>
      </c>
      <c r="C539" s="1">
        <v>0.03</v>
      </c>
      <c r="D539" s="1">
        <v>4.28</v>
      </c>
      <c r="E539" s="1">
        <v>1.6</v>
      </c>
      <c r="F539" s="1">
        <v>950</v>
      </c>
      <c r="G539" s="6" t="str">
        <f>IF(COUNTIF(Table1[Customer ID],Table1[[#This Row],[Customer ID]])&gt;1,"Repeat Customer","One-Time Customer")</f>
        <v>Repeat Customer</v>
      </c>
      <c r="H539" s="1" t="s">
        <v>1067</v>
      </c>
      <c r="I539" s="1" t="s">
        <v>49</v>
      </c>
      <c r="J539" s="1" t="s">
        <v>114</v>
      </c>
      <c r="K539" s="1" t="s">
        <v>29</v>
      </c>
      <c r="L539" s="1" t="s">
        <v>30</v>
      </c>
      <c r="M539" s="1" t="s">
        <v>31</v>
      </c>
      <c r="N539" s="1" t="s">
        <v>1069</v>
      </c>
      <c r="O539" s="1">
        <v>0.57999999999999996</v>
      </c>
      <c r="P539" s="6">
        <f>Table1[[#This Row],[Profit]]/Table1[[#This Row],[Sales]]</f>
        <v>-1.3626373626373627</v>
      </c>
      <c r="Q539" s="1" t="s">
        <v>33</v>
      </c>
      <c r="R539" s="1" t="s">
        <v>61</v>
      </c>
      <c r="S539" s="1" t="s">
        <v>62</v>
      </c>
      <c r="T539" s="1" t="s">
        <v>63</v>
      </c>
      <c r="U539" s="1">
        <v>55372</v>
      </c>
      <c r="V539" s="9">
        <v>42085</v>
      </c>
      <c r="W539" s="13" t="str">
        <f>TEXT(Table1[[#This Row],[Order Date]],"mmmm")</f>
        <v>March</v>
      </c>
      <c r="X539" s="7" t="str">
        <f>TEXT(Table1[[#This Row],[Order Date]],"yyyy")</f>
        <v>2015</v>
      </c>
      <c r="Y539" s="9">
        <v>42092</v>
      </c>
      <c r="Z539" s="1">
        <v>-6.2</v>
      </c>
      <c r="AA539" s="1">
        <v>1</v>
      </c>
      <c r="AB539" s="1">
        <v>4.55</v>
      </c>
      <c r="AC539" s="1">
        <v>89084</v>
      </c>
      <c r="AD539" s="6" t="str">
        <f>IF(COUNTIF(Returns!$A$2:$A$1635,Orders!AC539)&gt;0,"Returned","Not Returned")</f>
        <v>Not Returned</v>
      </c>
    </row>
    <row r="540" spans="1:30" ht="12.75" customHeight="1" thickTop="1" thickBot="1" x14ac:dyDescent="0.25">
      <c r="A540" s="10">
        <v>20073</v>
      </c>
      <c r="B540" s="11" t="s">
        <v>106</v>
      </c>
      <c r="C540" s="11">
        <v>0.1</v>
      </c>
      <c r="D540" s="11">
        <v>7.31</v>
      </c>
      <c r="E540" s="11">
        <v>0.49</v>
      </c>
      <c r="F540" s="11">
        <v>954</v>
      </c>
      <c r="G540" s="6" t="str">
        <f>IF(COUNTIF(Table1[Customer ID],Table1[[#This Row],[Customer ID]])&gt;1,"Repeat Customer","One-Time Customer")</f>
        <v>Repeat Customer</v>
      </c>
      <c r="H540" s="11" t="s">
        <v>1070</v>
      </c>
      <c r="I540" s="11" t="s">
        <v>49</v>
      </c>
      <c r="J540" s="11" t="s">
        <v>58</v>
      </c>
      <c r="K540" s="11" t="s">
        <v>29</v>
      </c>
      <c r="L540" s="11" t="s">
        <v>134</v>
      </c>
      <c r="M540" s="11" t="s">
        <v>59</v>
      </c>
      <c r="N540" s="11" t="s">
        <v>1071</v>
      </c>
      <c r="O540" s="11">
        <v>0.38</v>
      </c>
      <c r="P540" s="6">
        <f>Table1[[#This Row],[Profit]]/Table1[[#This Row],[Sales]]</f>
        <v>0.69</v>
      </c>
      <c r="Q540" s="11" t="s">
        <v>33</v>
      </c>
      <c r="R540" s="11" t="s">
        <v>61</v>
      </c>
      <c r="S540" s="11" t="s">
        <v>130</v>
      </c>
      <c r="T540" s="11" t="s">
        <v>1072</v>
      </c>
      <c r="U540" s="11">
        <v>75067</v>
      </c>
      <c r="V540" s="12">
        <v>42047</v>
      </c>
      <c r="W540" s="13" t="str">
        <f>TEXT(Table1[[#This Row],[Order Date]],"mmmm")</f>
        <v>February</v>
      </c>
      <c r="X540" s="7" t="str">
        <f>TEXT(Table1[[#This Row],[Order Date]],"yyyy")</f>
        <v>2015</v>
      </c>
      <c r="Y540" s="12">
        <v>42056</v>
      </c>
      <c r="Z540" s="11">
        <v>19.064699999999998</v>
      </c>
      <c r="AA540" s="11">
        <v>4</v>
      </c>
      <c r="AB540" s="11">
        <v>27.63</v>
      </c>
      <c r="AC540" s="11">
        <v>90771</v>
      </c>
      <c r="AD540" s="6" t="str">
        <f>IF(COUNTIF(Returns!$A$2:$A$1635,Orders!AC540)&gt;0,"Returned","Not Returned")</f>
        <v>Not Returned</v>
      </c>
    </row>
    <row r="541" spans="1:30" ht="12.75" customHeight="1" thickTop="1" thickBot="1" x14ac:dyDescent="0.25">
      <c r="A541" s="8">
        <v>20074</v>
      </c>
      <c r="B541" s="1" t="s">
        <v>106</v>
      </c>
      <c r="C541" s="1">
        <v>0.08</v>
      </c>
      <c r="D541" s="1">
        <v>6.7</v>
      </c>
      <c r="E541" s="1">
        <v>1.56</v>
      </c>
      <c r="F541" s="1">
        <v>954</v>
      </c>
      <c r="G541" s="6" t="str">
        <f>IF(COUNTIF(Table1[Customer ID],Table1[[#This Row],[Customer ID]])&gt;1,"Repeat Customer","One-Time Customer")</f>
        <v>Repeat Customer</v>
      </c>
      <c r="H541" s="1" t="s">
        <v>1070</v>
      </c>
      <c r="I541" s="1" t="s">
        <v>49</v>
      </c>
      <c r="J541" s="1" t="s">
        <v>58</v>
      </c>
      <c r="K541" s="1" t="s">
        <v>29</v>
      </c>
      <c r="L541" s="1" t="s">
        <v>30</v>
      </c>
      <c r="M541" s="1" t="s">
        <v>31</v>
      </c>
      <c r="N541" s="1" t="s">
        <v>1073</v>
      </c>
      <c r="O541" s="1">
        <v>0.52</v>
      </c>
      <c r="P541" s="6">
        <f>Table1[[#This Row],[Profit]]/Table1[[#This Row],[Sales]]</f>
        <v>0.33835309195770585</v>
      </c>
      <c r="Q541" s="1" t="s">
        <v>33</v>
      </c>
      <c r="R541" s="1" t="s">
        <v>61</v>
      </c>
      <c r="S541" s="1" t="s">
        <v>130</v>
      </c>
      <c r="T541" s="1" t="s">
        <v>1072</v>
      </c>
      <c r="U541" s="1">
        <v>75067</v>
      </c>
      <c r="V541" s="9">
        <v>42047</v>
      </c>
      <c r="W541" s="13" t="str">
        <f>TEXT(Table1[[#This Row],[Order Date]],"mmmm")</f>
        <v>February</v>
      </c>
      <c r="X541" s="7" t="str">
        <f>TEXT(Table1[[#This Row],[Order Date]],"yyyy")</f>
        <v>2015</v>
      </c>
      <c r="Y541" s="9">
        <v>42047</v>
      </c>
      <c r="Z541" s="1">
        <v>10.56</v>
      </c>
      <c r="AA541" s="1">
        <v>5</v>
      </c>
      <c r="AB541" s="1">
        <v>31.21</v>
      </c>
      <c r="AC541" s="1">
        <v>90771</v>
      </c>
      <c r="AD541" s="6" t="str">
        <f>IF(COUNTIF(Returns!$A$2:$A$1635,Orders!AC541)&gt;0,"Returned","Not Returned")</f>
        <v>Not Returned</v>
      </c>
    </row>
    <row r="542" spans="1:30" ht="12.75" customHeight="1" thickTop="1" thickBot="1" x14ac:dyDescent="0.25">
      <c r="A542" s="10">
        <v>25795</v>
      </c>
      <c r="B542" s="11" t="s">
        <v>37</v>
      </c>
      <c r="C542" s="11">
        <v>0.01</v>
      </c>
      <c r="D542" s="11">
        <v>145.44999999999999</v>
      </c>
      <c r="E542" s="11">
        <v>17.850000000000001</v>
      </c>
      <c r="F542" s="11">
        <v>959</v>
      </c>
      <c r="G542" s="6" t="str">
        <f>IF(COUNTIF(Table1[Customer ID],Table1[[#This Row],[Customer ID]])&gt;1,"Repeat Customer","One-Time Customer")</f>
        <v>One-Time Customer</v>
      </c>
      <c r="H542" s="11" t="s">
        <v>1074</v>
      </c>
      <c r="I542" s="11" t="s">
        <v>39</v>
      </c>
      <c r="J542" s="11" t="s">
        <v>28</v>
      </c>
      <c r="K542" s="11" t="s">
        <v>77</v>
      </c>
      <c r="L542" s="11" t="s">
        <v>85</v>
      </c>
      <c r="M542" s="11" t="s">
        <v>43</v>
      </c>
      <c r="N542" s="11" t="s">
        <v>1075</v>
      </c>
      <c r="O542" s="11">
        <v>0.56000000000000005</v>
      </c>
      <c r="P542" s="6">
        <f>Table1[[#This Row],[Profit]]/Table1[[#This Row],[Sales]]</f>
        <v>0.69</v>
      </c>
      <c r="Q542" s="11" t="s">
        <v>33</v>
      </c>
      <c r="R542" s="11" t="s">
        <v>61</v>
      </c>
      <c r="S542" s="11" t="s">
        <v>130</v>
      </c>
      <c r="T542" s="11" t="s">
        <v>1032</v>
      </c>
      <c r="U542" s="11">
        <v>76028</v>
      </c>
      <c r="V542" s="12">
        <v>42085</v>
      </c>
      <c r="W542" s="13" t="str">
        <f>TEXT(Table1[[#This Row],[Order Date]],"mmmm")</f>
        <v>March</v>
      </c>
      <c r="X542" s="7" t="str">
        <f>TEXT(Table1[[#This Row],[Order Date]],"yyyy")</f>
        <v>2015</v>
      </c>
      <c r="Y542" s="12">
        <v>42086</v>
      </c>
      <c r="Z542" s="11">
        <v>837.68069999999989</v>
      </c>
      <c r="AA542" s="11">
        <v>8</v>
      </c>
      <c r="AB542" s="11">
        <v>1214.03</v>
      </c>
      <c r="AC542" s="11">
        <v>91581</v>
      </c>
      <c r="AD542" s="6" t="str">
        <f>IF(COUNTIF(Returns!$A$2:$A$1635,Orders!AC542)&gt;0,"Returned","Not Returned")</f>
        <v>Not Returned</v>
      </c>
    </row>
    <row r="543" spans="1:30" ht="12.75" customHeight="1" thickTop="1" thickBot="1" x14ac:dyDescent="0.25">
      <c r="A543" s="8">
        <v>20428</v>
      </c>
      <c r="B543" s="1" t="s">
        <v>106</v>
      </c>
      <c r="C543" s="1">
        <v>0.03</v>
      </c>
      <c r="D543" s="1">
        <v>2.94</v>
      </c>
      <c r="E543" s="1">
        <v>0.96</v>
      </c>
      <c r="F543" s="1">
        <v>960</v>
      </c>
      <c r="G543" s="6" t="str">
        <f>IF(COUNTIF(Table1[Customer ID],Table1[[#This Row],[Customer ID]])&gt;1,"Repeat Customer","One-Time Customer")</f>
        <v>One-Time Customer</v>
      </c>
      <c r="H543" s="1" t="s">
        <v>1076</v>
      </c>
      <c r="I543" s="1" t="s">
        <v>49</v>
      </c>
      <c r="J543" s="1" t="s">
        <v>40</v>
      </c>
      <c r="K543" s="1" t="s">
        <v>29</v>
      </c>
      <c r="L543" s="1" t="s">
        <v>30</v>
      </c>
      <c r="M543" s="1" t="s">
        <v>31</v>
      </c>
      <c r="N543" s="1" t="s">
        <v>599</v>
      </c>
      <c r="O543" s="1">
        <v>0.57999999999999996</v>
      </c>
      <c r="P543" s="6">
        <f>Table1[[#This Row],[Profit]]/Table1[[#This Row],[Sales]]</f>
        <v>-1.1965811965811968</v>
      </c>
      <c r="Q543" s="1" t="s">
        <v>33</v>
      </c>
      <c r="R543" s="1" t="s">
        <v>34</v>
      </c>
      <c r="S543" s="1" t="s">
        <v>45</v>
      </c>
      <c r="T543" s="1" t="s">
        <v>1054</v>
      </c>
      <c r="U543" s="1">
        <v>90278</v>
      </c>
      <c r="V543" s="9">
        <v>42039</v>
      </c>
      <c r="W543" s="13" t="str">
        <f>TEXT(Table1[[#This Row],[Order Date]],"mmmm")</f>
        <v>February</v>
      </c>
      <c r="X543" s="7" t="str">
        <f>TEXT(Table1[[#This Row],[Order Date]],"yyyy")</f>
        <v>2015</v>
      </c>
      <c r="Y543" s="9">
        <v>42043</v>
      </c>
      <c r="Z543" s="1">
        <v>-4.2</v>
      </c>
      <c r="AA543" s="1">
        <v>1</v>
      </c>
      <c r="AB543" s="1">
        <v>3.51</v>
      </c>
      <c r="AC543" s="1">
        <v>89401</v>
      </c>
      <c r="AD543" s="6" t="str">
        <f>IF(COUNTIF(Returns!$A$2:$A$1635,Orders!AC543)&gt;0,"Returned","Not Returned")</f>
        <v>Not Returned</v>
      </c>
    </row>
    <row r="544" spans="1:30" ht="12.75" customHeight="1" thickTop="1" thickBot="1" x14ac:dyDescent="0.25">
      <c r="A544" s="10">
        <v>20685</v>
      </c>
      <c r="B544" s="11" t="s">
        <v>37</v>
      </c>
      <c r="C544" s="11">
        <v>0.05</v>
      </c>
      <c r="D544" s="11">
        <v>124.49</v>
      </c>
      <c r="E544" s="11">
        <v>51.94</v>
      </c>
      <c r="F544" s="11">
        <v>961</v>
      </c>
      <c r="G544" s="6" t="str">
        <f>IF(COUNTIF(Table1[Customer ID],Table1[[#This Row],[Customer ID]])&gt;1,"Repeat Customer","One-Time Customer")</f>
        <v>One-Time Customer</v>
      </c>
      <c r="H544" s="11" t="s">
        <v>1077</v>
      </c>
      <c r="I544" s="11" t="s">
        <v>39</v>
      </c>
      <c r="J544" s="11" t="s">
        <v>40</v>
      </c>
      <c r="K544" s="11" t="s">
        <v>41</v>
      </c>
      <c r="L544" s="11" t="s">
        <v>152</v>
      </c>
      <c r="M544" s="11" t="s">
        <v>121</v>
      </c>
      <c r="N544" s="11" t="s">
        <v>462</v>
      </c>
      <c r="O544" s="11">
        <v>0.63</v>
      </c>
      <c r="P544" s="6">
        <f>Table1[[#This Row],[Profit]]/Table1[[#This Row],[Sales]]</f>
        <v>-0.36766233766233769</v>
      </c>
      <c r="Q544" s="11" t="s">
        <v>33</v>
      </c>
      <c r="R544" s="11" t="s">
        <v>34</v>
      </c>
      <c r="S544" s="11" t="s">
        <v>45</v>
      </c>
      <c r="T544" s="11" t="s">
        <v>1078</v>
      </c>
      <c r="U544" s="11">
        <v>94061</v>
      </c>
      <c r="V544" s="12">
        <v>42059</v>
      </c>
      <c r="W544" s="13" t="str">
        <f>TEXT(Table1[[#This Row],[Order Date]],"mmmm")</f>
        <v>February</v>
      </c>
      <c r="X544" s="7" t="str">
        <f>TEXT(Table1[[#This Row],[Order Date]],"yyyy")</f>
        <v>2015</v>
      </c>
      <c r="Y544" s="12">
        <v>42059</v>
      </c>
      <c r="Z544" s="11">
        <v>-44.163600000000002</v>
      </c>
      <c r="AA544" s="11">
        <v>1</v>
      </c>
      <c r="AB544" s="11">
        <v>120.12</v>
      </c>
      <c r="AC544" s="11">
        <v>89402</v>
      </c>
      <c r="AD544" s="6" t="str">
        <f>IF(COUNTIF(Returns!$A$2:$A$1635,Orders!AC544)&gt;0,"Returned","Not Returned")</f>
        <v>Not Returned</v>
      </c>
    </row>
    <row r="545" spans="1:30" ht="12.75" customHeight="1" thickTop="1" thickBot="1" x14ac:dyDescent="0.25">
      <c r="A545" s="8">
        <v>2428</v>
      </c>
      <c r="B545" s="1" t="s">
        <v>106</v>
      </c>
      <c r="C545" s="1">
        <v>0.03</v>
      </c>
      <c r="D545" s="1">
        <v>2.94</v>
      </c>
      <c r="E545" s="1">
        <v>0.96</v>
      </c>
      <c r="F545" s="1">
        <v>962</v>
      </c>
      <c r="G545" s="6" t="str">
        <f>IF(COUNTIF(Table1[Customer ID],Table1[[#This Row],[Customer ID]])&gt;1,"Repeat Customer","One-Time Customer")</f>
        <v>One-Time Customer</v>
      </c>
      <c r="H545" s="1" t="s">
        <v>1079</v>
      </c>
      <c r="I545" s="1" t="s">
        <v>49</v>
      </c>
      <c r="J545" s="1" t="s">
        <v>40</v>
      </c>
      <c r="K545" s="1" t="s">
        <v>29</v>
      </c>
      <c r="L545" s="1" t="s">
        <v>30</v>
      </c>
      <c r="M545" s="1" t="s">
        <v>31</v>
      </c>
      <c r="N545" s="1" t="s">
        <v>599</v>
      </c>
      <c r="O545" s="1">
        <v>0.57999999999999996</v>
      </c>
      <c r="P545" s="6">
        <f>Table1[[#This Row],[Profit]]/Table1[[#This Row],[Sales]]</f>
        <v>-0.59914407988587737</v>
      </c>
      <c r="Q545" s="1" t="s">
        <v>33</v>
      </c>
      <c r="R545" s="1" t="s">
        <v>61</v>
      </c>
      <c r="S545" s="1" t="s">
        <v>178</v>
      </c>
      <c r="T545" s="1" t="s">
        <v>179</v>
      </c>
      <c r="U545" s="1">
        <v>60610</v>
      </c>
      <c r="V545" s="9">
        <v>42039</v>
      </c>
      <c r="W545" s="13" t="str">
        <f>TEXT(Table1[[#This Row],[Order Date]],"mmmm")</f>
        <v>February</v>
      </c>
      <c r="X545" s="7" t="str">
        <f>TEXT(Table1[[#This Row],[Order Date]],"yyyy")</f>
        <v>2015</v>
      </c>
      <c r="Y545" s="9">
        <v>42043</v>
      </c>
      <c r="Z545" s="1">
        <v>-4.2</v>
      </c>
      <c r="AA545" s="1">
        <v>2</v>
      </c>
      <c r="AB545" s="1">
        <v>7.01</v>
      </c>
      <c r="AC545" s="1">
        <v>17636</v>
      </c>
      <c r="AD545" s="6" t="str">
        <f>IF(COUNTIF(Returns!$A$2:$A$1635,Orders!AC545)&gt;0,"Returned","Not Returned")</f>
        <v>Not Returned</v>
      </c>
    </row>
    <row r="546" spans="1:30" ht="12.75" customHeight="1" thickTop="1" thickBot="1" x14ac:dyDescent="0.25">
      <c r="A546" s="10">
        <v>25093</v>
      </c>
      <c r="B546" s="11" t="s">
        <v>56</v>
      </c>
      <c r="C546" s="11">
        <v>0</v>
      </c>
      <c r="D546" s="11">
        <v>170.98</v>
      </c>
      <c r="E546" s="11">
        <v>35.89</v>
      </c>
      <c r="F546" s="11">
        <v>970</v>
      </c>
      <c r="G546" s="6" t="str">
        <f>IF(COUNTIF(Table1[Customer ID],Table1[[#This Row],[Customer ID]])&gt;1,"Repeat Customer","One-Time Customer")</f>
        <v>One-Time Customer</v>
      </c>
      <c r="H546" s="11" t="s">
        <v>1080</v>
      </c>
      <c r="I546" s="11" t="s">
        <v>39</v>
      </c>
      <c r="J546" s="11" t="s">
        <v>114</v>
      </c>
      <c r="K546" s="11" t="s">
        <v>41</v>
      </c>
      <c r="L546" s="11" t="s">
        <v>191</v>
      </c>
      <c r="M546" s="11" t="s">
        <v>121</v>
      </c>
      <c r="N546" s="11" t="s">
        <v>1047</v>
      </c>
      <c r="O546" s="11">
        <v>0.66</v>
      </c>
      <c r="P546" s="6">
        <f>Table1[[#This Row],[Profit]]/Table1[[#This Row],[Sales]]</f>
        <v>-7.0695092894820205E-2</v>
      </c>
      <c r="Q546" s="11" t="s">
        <v>33</v>
      </c>
      <c r="R546" s="11" t="s">
        <v>136</v>
      </c>
      <c r="S546" s="11" t="s">
        <v>137</v>
      </c>
      <c r="T546" s="11" t="s">
        <v>799</v>
      </c>
      <c r="U546" s="11">
        <v>24281</v>
      </c>
      <c r="V546" s="12">
        <v>42114</v>
      </c>
      <c r="W546" s="13" t="str">
        <f>TEXT(Table1[[#This Row],[Order Date]],"mmmm")</f>
        <v>April</v>
      </c>
      <c r="X546" s="7" t="str">
        <f>TEXT(Table1[[#This Row],[Order Date]],"yyyy")</f>
        <v>2015</v>
      </c>
      <c r="Y546" s="12">
        <v>42115</v>
      </c>
      <c r="Z546" s="11">
        <v>-102.66200000000001</v>
      </c>
      <c r="AA546" s="11">
        <v>8</v>
      </c>
      <c r="AB546" s="11">
        <v>1452.18</v>
      </c>
      <c r="AC546" s="11">
        <v>86173</v>
      </c>
      <c r="AD546" s="6" t="str">
        <f>IF(COUNTIF(Returns!$A$2:$A$1635,Orders!AC546)&gt;0,"Returned","Not Returned")</f>
        <v>Not Returned</v>
      </c>
    </row>
    <row r="547" spans="1:30" ht="12.75" customHeight="1" thickTop="1" thickBot="1" x14ac:dyDescent="0.25">
      <c r="A547" s="8">
        <v>20536</v>
      </c>
      <c r="B547" s="1" t="s">
        <v>106</v>
      </c>
      <c r="C547" s="1">
        <v>0.03</v>
      </c>
      <c r="D547" s="1">
        <v>284.98</v>
      </c>
      <c r="E547" s="1">
        <v>69.55</v>
      </c>
      <c r="F547" s="1">
        <v>972</v>
      </c>
      <c r="G547" s="6" t="str">
        <f>IF(COUNTIF(Table1[Customer ID],Table1[[#This Row],[Customer ID]])&gt;1,"Repeat Customer","One-Time Customer")</f>
        <v>Repeat Customer</v>
      </c>
      <c r="H547" s="1" t="s">
        <v>1081</v>
      </c>
      <c r="I547" s="1" t="s">
        <v>39</v>
      </c>
      <c r="J547" s="1" t="s">
        <v>28</v>
      </c>
      <c r="K547" s="1" t="s">
        <v>41</v>
      </c>
      <c r="L547" s="1" t="s">
        <v>42</v>
      </c>
      <c r="M547" s="1" t="s">
        <v>43</v>
      </c>
      <c r="N547" s="1" t="s">
        <v>1082</v>
      </c>
      <c r="O547" s="1">
        <v>0.6</v>
      </c>
      <c r="P547" s="6">
        <f>Table1[[#This Row],[Profit]]/Table1[[#This Row],[Sales]]</f>
        <v>-0.18822693661403339</v>
      </c>
      <c r="Q547" s="1" t="s">
        <v>33</v>
      </c>
      <c r="R547" s="1" t="s">
        <v>34</v>
      </c>
      <c r="S547" s="1" t="s">
        <v>45</v>
      </c>
      <c r="T547" s="1" t="s">
        <v>1083</v>
      </c>
      <c r="U547" s="1">
        <v>92503</v>
      </c>
      <c r="V547" s="9">
        <v>42063</v>
      </c>
      <c r="W547" s="13" t="str">
        <f>TEXT(Table1[[#This Row],[Order Date]],"mmmm")</f>
        <v>February</v>
      </c>
      <c r="X547" s="7" t="str">
        <f>TEXT(Table1[[#This Row],[Order Date]],"yyyy")</f>
        <v>2015</v>
      </c>
      <c r="Y547" s="9">
        <v>42068</v>
      </c>
      <c r="Z547" s="1">
        <v>-116.584</v>
      </c>
      <c r="AA547" s="1">
        <v>2</v>
      </c>
      <c r="AB547" s="1">
        <v>619.38</v>
      </c>
      <c r="AC547" s="1">
        <v>87259</v>
      </c>
      <c r="AD547" s="6" t="str">
        <f>IF(COUNTIF(Returns!$A$2:$A$1635,Orders!AC547)&gt;0,"Returned","Not Returned")</f>
        <v>Not Returned</v>
      </c>
    </row>
    <row r="548" spans="1:30" ht="12.75" customHeight="1" thickTop="1" thickBot="1" x14ac:dyDescent="0.25">
      <c r="A548" s="10">
        <v>20537</v>
      </c>
      <c r="B548" s="11" t="s">
        <v>106</v>
      </c>
      <c r="C548" s="11">
        <v>0</v>
      </c>
      <c r="D548" s="11">
        <v>12.99</v>
      </c>
      <c r="E548" s="11">
        <v>14.37</v>
      </c>
      <c r="F548" s="11">
        <v>972</v>
      </c>
      <c r="G548" s="6" t="str">
        <f>IF(COUNTIF(Table1[Customer ID],Table1[[#This Row],[Customer ID]])&gt;1,"Repeat Customer","One-Time Customer")</f>
        <v>Repeat Customer</v>
      </c>
      <c r="H548" s="11" t="s">
        <v>1081</v>
      </c>
      <c r="I548" s="11" t="s">
        <v>49</v>
      </c>
      <c r="J548" s="11" t="s">
        <v>28</v>
      </c>
      <c r="K548" s="11" t="s">
        <v>41</v>
      </c>
      <c r="L548" s="11" t="s">
        <v>50</v>
      </c>
      <c r="M548" s="11" t="s">
        <v>236</v>
      </c>
      <c r="N548" s="11" t="s">
        <v>568</v>
      </c>
      <c r="O548" s="11">
        <v>0.73</v>
      </c>
      <c r="P548" s="6">
        <f>Table1[[#This Row],[Profit]]/Table1[[#This Row],[Sales]]</f>
        <v>0.69</v>
      </c>
      <c r="Q548" s="11" t="s">
        <v>33</v>
      </c>
      <c r="R548" s="11" t="s">
        <v>34</v>
      </c>
      <c r="S548" s="11" t="s">
        <v>45</v>
      </c>
      <c r="T548" s="11" t="s">
        <v>1083</v>
      </c>
      <c r="U548" s="11">
        <v>92503</v>
      </c>
      <c r="V548" s="12">
        <v>42063</v>
      </c>
      <c r="W548" s="13" t="str">
        <f>TEXT(Table1[[#This Row],[Order Date]],"mmmm")</f>
        <v>February</v>
      </c>
      <c r="X548" s="7" t="str">
        <f>TEXT(Table1[[#This Row],[Order Date]],"yyyy")</f>
        <v>2015</v>
      </c>
      <c r="Y548" s="12">
        <v>42063</v>
      </c>
      <c r="Z548" s="11">
        <v>12.896100000000001</v>
      </c>
      <c r="AA548" s="11">
        <v>1</v>
      </c>
      <c r="AB548" s="11">
        <v>18.690000000000001</v>
      </c>
      <c r="AC548" s="11">
        <v>87259</v>
      </c>
      <c r="AD548" s="6" t="str">
        <f>IF(COUNTIF(Returns!$A$2:$A$1635,Orders!AC548)&gt;0,"Returned","Not Returned")</f>
        <v>Not Returned</v>
      </c>
    </row>
    <row r="549" spans="1:30" ht="12.75" customHeight="1" thickTop="1" thickBot="1" x14ac:dyDescent="0.25">
      <c r="A549" s="8">
        <v>24298</v>
      </c>
      <c r="B549" s="1" t="s">
        <v>106</v>
      </c>
      <c r="C549" s="1">
        <v>0.1</v>
      </c>
      <c r="D549" s="1">
        <v>2.2200000000000002</v>
      </c>
      <c r="E549" s="1">
        <v>5</v>
      </c>
      <c r="F549" s="1">
        <v>975</v>
      </c>
      <c r="G549" s="6" t="str">
        <f>IF(COUNTIF(Table1[Customer ID],Table1[[#This Row],[Customer ID]])&gt;1,"Repeat Customer","One-Time Customer")</f>
        <v>One-Time Customer</v>
      </c>
      <c r="H549" s="1" t="s">
        <v>1084</v>
      </c>
      <c r="I549" s="1" t="s">
        <v>49</v>
      </c>
      <c r="J549" s="1" t="s">
        <v>28</v>
      </c>
      <c r="K549" s="1" t="s">
        <v>29</v>
      </c>
      <c r="L549" s="1" t="s">
        <v>257</v>
      </c>
      <c r="M549" s="1" t="s">
        <v>59</v>
      </c>
      <c r="N549" s="1" t="s">
        <v>1085</v>
      </c>
      <c r="O549" s="1">
        <v>0.55000000000000004</v>
      </c>
      <c r="P549" s="6">
        <f>Table1[[#This Row],[Profit]]/Table1[[#This Row],[Sales]]</f>
        <v>-2.4226363636363635</v>
      </c>
      <c r="Q549" s="1" t="s">
        <v>33</v>
      </c>
      <c r="R549" s="1" t="s">
        <v>53</v>
      </c>
      <c r="S549" s="1" t="s">
        <v>193</v>
      </c>
      <c r="T549" s="1" t="s">
        <v>194</v>
      </c>
      <c r="U549" s="1">
        <v>2108</v>
      </c>
      <c r="V549" s="9">
        <v>42098</v>
      </c>
      <c r="W549" s="13" t="str">
        <f>TEXT(Table1[[#This Row],[Order Date]],"mmmm")</f>
        <v>April</v>
      </c>
      <c r="X549" s="7" t="str">
        <f>TEXT(Table1[[#This Row],[Order Date]],"yyyy")</f>
        <v>2015</v>
      </c>
      <c r="Y549" s="9">
        <v>42103</v>
      </c>
      <c r="Z549" s="1">
        <v>-21.319199999999999</v>
      </c>
      <c r="AA549" s="1">
        <v>3</v>
      </c>
      <c r="AB549" s="1">
        <v>8.8000000000000007</v>
      </c>
      <c r="AC549" s="1">
        <v>87260</v>
      </c>
      <c r="AD549" s="6" t="str">
        <f>IF(COUNTIF(Returns!$A$2:$A$1635,Orders!AC549)&gt;0,"Returned","Not Returned")</f>
        <v>Not Returned</v>
      </c>
    </row>
    <row r="550" spans="1:30" ht="12.75" customHeight="1" thickTop="1" thickBot="1" x14ac:dyDescent="0.25">
      <c r="A550" s="10">
        <v>22646</v>
      </c>
      <c r="B550" s="11" t="s">
        <v>56</v>
      </c>
      <c r="C550" s="11">
        <v>0</v>
      </c>
      <c r="D550" s="11">
        <v>37.76</v>
      </c>
      <c r="E550" s="11">
        <v>12.9</v>
      </c>
      <c r="F550" s="11">
        <v>980</v>
      </c>
      <c r="G550" s="6" t="str">
        <f>IF(COUNTIF(Table1[Customer ID],Table1[[#This Row],[Customer ID]])&gt;1,"Repeat Customer","One-Time Customer")</f>
        <v>One-Time Customer</v>
      </c>
      <c r="H550" s="11" t="s">
        <v>1086</v>
      </c>
      <c r="I550" s="11" t="s">
        <v>49</v>
      </c>
      <c r="J550" s="11" t="s">
        <v>28</v>
      </c>
      <c r="K550" s="11" t="s">
        <v>29</v>
      </c>
      <c r="L550" s="11" t="s">
        <v>141</v>
      </c>
      <c r="M550" s="11" t="s">
        <v>59</v>
      </c>
      <c r="N550" s="11" t="s">
        <v>1087</v>
      </c>
      <c r="O550" s="11">
        <v>0.56999999999999995</v>
      </c>
      <c r="P550" s="6">
        <f>Table1[[#This Row],[Profit]]/Table1[[#This Row],[Sales]]</f>
        <v>0.19666135792120704</v>
      </c>
      <c r="Q550" s="11" t="s">
        <v>33</v>
      </c>
      <c r="R550" s="11" t="s">
        <v>53</v>
      </c>
      <c r="S550" s="11" t="s">
        <v>149</v>
      </c>
      <c r="T550" s="11" t="s">
        <v>778</v>
      </c>
      <c r="U550" s="11">
        <v>5403</v>
      </c>
      <c r="V550" s="12">
        <v>42040</v>
      </c>
      <c r="W550" s="13" t="str">
        <f>TEXT(Table1[[#This Row],[Order Date]],"mmmm")</f>
        <v>February</v>
      </c>
      <c r="X550" s="7" t="str">
        <f>TEXT(Table1[[#This Row],[Order Date]],"yyyy")</f>
        <v>2015</v>
      </c>
      <c r="Y550" s="12">
        <v>42041</v>
      </c>
      <c r="Z550" s="11">
        <v>93.846800000000002</v>
      </c>
      <c r="AA550" s="11">
        <v>12</v>
      </c>
      <c r="AB550" s="11">
        <v>477.2</v>
      </c>
      <c r="AC550" s="11">
        <v>87258</v>
      </c>
      <c r="AD550" s="6" t="str">
        <f>IF(COUNTIF(Returns!$A$2:$A$1635,Orders!AC550)&gt;0,"Returned","Not Returned")</f>
        <v>Not Returned</v>
      </c>
    </row>
    <row r="551" spans="1:30" ht="12.75" customHeight="1" thickTop="1" thickBot="1" x14ac:dyDescent="0.25">
      <c r="A551" s="8">
        <v>20010</v>
      </c>
      <c r="B551" s="1" t="s">
        <v>106</v>
      </c>
      <c r="C551" s="1">
        <v>0.09</v>
      </c>
      <c r="D551" s="1">
        <v>300.97000000000003</v>
      </c>
      <c r="E551" s="1">
        <v>7.18</v>
      </c>
      <c r="F551" s="1">
        <v>983</v>
      </c>
      <c r="G551" s="6" t="str">
        <f>IF(COUNTIF(Table1[Customer ID],Table1[[#This Row],[Customer ID]])&gt;1,"Repeat Customer","One-Time Customer")</f>
        <v>One-Time Customer</v>
      </c>
      <c r="H551" s="1" t="s">
        <v>1088</v>
      </c>
      <c r="I551" s="1" t="s">
        <v>49</v>
      </c>
      <c r="J551" s="1" t="s">
        <v>28</v>
      </c>
      <c r="K551" s="1" t="s">
        <v>77</v>
      </c>
      <c r="L551" s="1" t="s">
        <v>180</v>
      </c>
      <c r="M551" s="1" t="s">
        <v>59</v>
      </c>
      <c r="N551" s="1" t="s">
        <v>1089</v>
      </c>
      <c r="O551" s="1">
        <v>0.48</v>
      </c>
      <c r="P551" s="6">
        <f>Table1[[#This Row],[Profit]]/Table1[[#This Row],[Sales]]</f>
        <v>6.2393360436458611E-3</v>
      </c>
      <c r="Q551" s="1" t="s">
        <v>33</v>
      </c>
      <c r="R551" s="1" t="s">
        <v>136</v>
      </c>
      <c r="S551" s="1" t="s">
        <v>958</v>
      </c>
      <c r="T551" s="1" t="s">
        <v>1090</v>
      </c>
      <c r="U551" s="1">
        <v>72143</v>
      </c>
      <c r="V551" s="9">
        <v>42121</v>
      </c>
      <c r="W551" s="13" t="str">
        <f>TEXT(Table1[[#This Row],[Order Date]],"mmmm")</f>
        <v>April</v>
      </c>
      <c r="X551" s="7" t="str">
        <f>TEXT(Table1[[#This Row],[Order Date]],"yyyy")</f>
        <v>2015</v>
      </c>
      <c r="Y551" s="9">
        <v>42121</v>
      </c>
      <c r="Z551" s="1">
        <v>17.771999999999998</v>
      </c>
      <c r="AA551" s="1">
        <v>10</v>
      </c>
      <c r="AB551" s="1">
        <v>2848.38</v>
      </c>
      <c r="AC551" s="1">
        <v>90201</v>
      </c>
      <c r="AD551" s="6" t="str">
        <f>IF(COUNTIF(Returns!$A$2:$A$1635,Orders!AC551)&gt;0,"Returned","Not Returned")</f>
        <v>Not Returned</v>
      </c>
    </row>
    <row r="552" spans="1:30" ht="12.75" customHeight="1" thickTop="1" thickBot="1" x14ac:dyDescent="0.25">
      <c r="A552" s="10">
        <v>25895</v>
      </c>
      <c r="B552" s="11" t="s">
        <v>25</v>
      </c>
      <c r="C552" s="11">
        <v>0.05</v>
      </c>
      <c r="D552" s="11">
        <v>4.28</v>
      </c>
      <c r="E552" s="11">
        <v>5.17</v>
      </c>
      <c r="F552" s="11">
        <v>993</v>
      </c>
      <c r="G552" s="6" t="str">
        <f>IF(COUNTIF(Table1[Customer ID],Table1[[#This Row],[Customer ID]])&gt;1,"Repeat Customer","One-Time Customer")</f>
        <v>One-Time Customer</v>
      </c>
      <c r="H552" s="11" t="s">
        <v>1091</v>
      </c>
      <c r="I552" s="11" t="s">
        <v>49</v>
      </c>
      <c r="J552" s="11" t="s">
        <v>58</v>
      </c>
      <c r="K552" s="11" t="s">
        <v>29</v>
      </c>
      <c r="L552" s="11" t="s">
        <v>93</v>
      </c>
      <c r="M552" s="11" t="s">
        <v>59</v>
      </c>
      <c r="N552" s="11" t="s">
        <v>481</v>
      </c>
      <c r="O552" s="11">
        <v>0.4</v>
      </c>
      <c r="P552" s="6">
        <f>Table1[[#This Row],[Profit]]/Table1[[#This Row],[Sales]]</f>
        <v>-2.7104717470191808</v>
      </c>
      <c r="Q552" s="11" t="s">
        <v>33</v>
      </c>
      <c r="R552" s="11" t="s">
        <v>34</v>
      </c>
      <c r="S552" s="11" t="s">
        <v>45</v>
      </c>
      <c r="T552" s="11" t="s">
        <v>1092</v>
      </c>
      <c r="U552" s="11">
        <v>93030</v>
      </c>
      <c r="V552" s="12">
        <v>42054</v>
      </c>
      <c r="W552" s="13" t="str">
        <f>TEXT(Table1[[#This Row],[Order Date]],"mmmm")</f>
        <v>February</v>
      </c>
      <c r="X552" s="7" t="str">
        <f>TEXT(Table1[[#This Row],[Order Date]],"yyyy")</f>
        <v>2015</v>
      </c>
      <c r="Y552" s="12">
        <v>42054</v>
      </c>
      <c r="Z552" s="11">
        <v>-104.57</v>
      </c>
      <c r="AA552" s="11">
        <v>9</v>
      </c>
      <c r="AB552" s="11">
        <v>38.58</v>
      </c>
      <c r="AC552" s="11">
        <v>89432</v>
      </c>
      <c r="AD552" s="6" t="str">
        <f>IF(COUNTIF(Returns!$A$2:$A$1635,Orders!AC552)&gt;0,"Returned","Not Returned")</f>
        <v>Not Returned</v>
      </c>
    </row>
    <row r="553" spans="1:30" ht="12.75" customHeight="1" thickTop="1" thickBot="1" x14ac:dyDescent="0.25">
      <c r="A553" s="8">
        <v>19004</v>
      </c>
      <c r="B553" s="1" t="s">
        <v>25</v>
      </c>
      <c r="C553" s="1">
        <v>0.1</v>
      </c>
      <c r="D553" s="1">
        <v>400.98</v>
      </c>
      <c r="E553" s="1">
        <v>76.37</v>
      </c>
      <c r="F553" s="1">
        <v>994</v>
      </c>
      <c r="G553" s="6" t="str">
        <f>IF(COUNTIF(Table1[Customer ID],Table1[[#This Row],[Customer ID]])&gt;1,"Repeat Customer","One-Time Customer")</f>
        <v>One-Time Customer</v>
      </c>
      <c r="H553" s="1" t="s">
        <v>1093</v>
      </c>
      <c r="I553" s="1" t="s">
        <v>39</v>
      </c>
      <c r="J553" s="1" t="s">
        <v>58</v>
      </c>
      <c r="K553" s="1" t="s">
        <v>41</v>
      </c>
      <c r="L553" s="1" t="s">
        <v>152</v>
      </c>
      <c r="M553" s="1" t="s">
        <v>121</v>
      </c>
      <c r="N553" s="1" t="s">
        <v>1094</v>
      </c>
      <c r="O553" s="1">
        <v>0.6</v>
      </c>
      <c r="P553" s="6">
        <f>Table1[[#This Row],[Profit]]/Table1[[#This Row],[Sales]]</f>
        <v>-1.1956622280898739</v>
      </c>
      <c r="Q553" s="1" t="s">
        <v>33</v>
      </c>
      <c r="R553" s="1" t="s">
        <v>53</v>
      </c>
      <c r="S553" s="1" t="s">
        <v>188</v>
      </c>
      <c r="T553" s="1" t="s">
        <v>433</v>
      </c>
      <c r="U553" s="1">
        <v>4073</v>
      </c>
      <c r="V553" s="9">
        <v>42077</v>
      </c>
      <c r="W553" s="13" t="str">
        <f>TEXT(Table1[[#This Row],[Order Date]],"mmmm")</f>
        <v>March</v>
      </c>
      <c r="X553" s="7" t="str">
        <f>TEXT(Table1[[#This Row],[Order Date]],"yyyy")</f>
        <v>2015</v>
      </c>
      <c r="Y553" s="9">
        <v>42078</v>
      </c>
      <c r="Z553" s="1">
        <v>-969.0483660000001</v>
      </c>
      <c r="AA553" s="1">
        <v>2</v>
      </c>
      <c r="AB553" s="1">
        <v>810.47</v>
      </c>
      <c r="AC553" s="1">
        <v>89433</v>
      </c>
      <c r="AD553" s="6" t="str">
        <f>IF(COUNTIF(Returns!$A$2:$A$1635,Orders!AC553)&gt;0,"Returned","Not Returned")</f>
        <v>Not Returned</v>
      </c>
    </row>
    <row r="554" spans="1:30" ht="12.75" customHeight="1" thickTop="1" thickBot="1" x14ac:dyDescent="0.25">
      <c r="A554" s="10">
        <v>23840</v>
      </c>
      <c r="B554" s="11" t="s">
        <v>106</v>
      </c>
      <c r="C554" s="11">
        <v>0.09</v>
      </c>
      <c r="D554" s="11">
        <v>7.64</v>
      </c>
      <c r="E554" s="11">
        <v>5.83</v>
      </c>
      <c r="F554" s="11">
        <v>995</v>
      </c>
      <c r="G554" s="6" t="str">
        <f>IF(COUNTIF(Table1[Customer ID],Table1[[#This Row],[Customer ID]])&gt;1,"Repeat Customer","One-Time Customer")</f>
        <v>One-Time Customer</v>
      </c>
      <c r="H554" s="11" t="s">
        <v>1095</v>
      </c>
      <c r="I554" s="11" t="s">
        <v>49</v>
      </c>
      <c r="J554" s="11" t="s">
        <v>58</v>
      </c>
      <c r="K554" s="11" t="s">
        <v>29</v>
      </c>
      <c r="L554" s="11" t="s">
        <v>93</v>
      </c>
      <c r="M554" s="11" t="s">
        <v>31</v>
      </c>
      <c r="N554" s="11" t="s">
        <v>1026</v>
      </c>
      <c r="O554" s="11">
        <v>0.36</v>
      </c>
      <c r="P554" s="6">
        <f>Table1[[#This Row],[Profit]]/Table1[[#This Row],[Sales]]</f>
        <v>5.5361801455444233E-2</v>
      </c>
      <c r="Q554" s="11" t="s">
        <v>33</v>
      </c>
      <c r="R554" s="11" t="s">
        <v>53</v>
      </c>
      <c r="S554" s="11" t="s">
        <v>188</v>
      </c>
      <c r="T554" s="11" t="s">
        <v>1096</v>
      </c>
      <c r="U554" s="11">
        <v>4070</v>
      </c>
      <c r="V554" s="12">
        <v>42134</v>
      </c>
      <c r="W554" s="13" t="str">
        <f>TEXT(Table1[[#This Row],[Order Date]],"mmmm")</f>
        <v>May</v>
      </c>
      <c r="X554" s="7" t="str">
        <f>TEXT(Table1[[#This Row],[Order Date]],"yyyy")</f>
        <v>2015</v>
      </c>
      <c r="Y554" s="12">
        <v>42139</v>
      </c>
      <c r="Z554" s="11">
        <v>4.0320000000000036</v>
      </c>
      <c r="AA554" s="11">
        <v>9</v>
      </c>
      <c r="AB554" s="11">
        <v>72.83</v>
      </c>
      <c r="AC554" s="11">
        <v>89434</v>
      </c>
      <c r="AD554" s="6" t="str">
        <f>IF(COUNTIF(Returns!$A$2:$A$1635,Orders!AC554)&gt;0,"Returned","Not Returned")</f>
        <v>Not Returned</v>
      </c>
    </row>
    <row r="555" spans="1:30" ht="12.75" customHeight="1" thickTop="1" thickBot="1" x14ac:dyDescent="0.25">
      <c r="A555" s="8">
        <v>22639</v>
      </c>
      <c r="B555" s="1" t="s">
        <v>106</v>
      </c>
      <c r="C555" s="1">
        <v>0.08</v>
      </c>
      <c r="D555" s="1">
        <v>67.84</v>
      </c>
      <c r="E555" s="1">
        <v>0.99</v>
      </c>
      <c r="F555" s="1">
        <v>997</v>
      </c>
      <c r="G555" s="6" t="str">
        <f>IF(COUNTIF(Table1[Customer ID],Table1[[#This Row],[Customer ID]])&gt;1,"Repeat Customer","One-Time Customer")</f>
        <v>One-Time Customer</v>
      </c>
      <c r="H555" s="1" t="s">
        <v>1097</v>
      </c>
      <c r="I555" s="1" t="s">
        <v>49</v>
      </c>
      <c r="J555" s="1" t="s">
        <v>58</v>
      </c>
      <c r="K555" s="1" t="s">
        <v>29</v>
      </c>
      <c r="L555" s="1" t="s">
        <v>257</v>
      </c>
      <c r="M555" s="1" t="s">
        <v>59</v>
      </c>
      <c r="N555" s="1" t="s">
        <v>1098</v>
      </c>
      <c r="O555" s="1">
        <v>0.57999999999999996</v>
      </c>
      <c r="P555" s="6">
        <f>Table1[[#This Row],[Profit]]/Table1[[#This Row],[Sales]]</f>
        <v>-0.37125981778196671</v>
      </c>
      <c r="Q555" s="1" t="s">
        <v>33</v>
      </c>
      <c r="R555" s="1" t="s">
        <v>53</v>
      </c>
      <c r="S555" s="1" t="s">
        <v>54</v>
      </c>
      <c r="T555" s="1" t="s">
        <v>1063</v>
      </c>
      <c r="U555" s="1">
        <v>7002</v>
      </c>
      <c r="V555" s="9">
        <v>42028</v>
      </c>
      <c r="W555" s="13" t="str">
        <f>TEXT(Table1[[#This Row],[Order Date]],"mmmm")</f>
        <v>January</v>
      </c>
      <c r="X555" s="7" t="str">
        <f>TEXT(Table1[[#This Row],[Order Date]],"yyyy")</f>
        <v>2015</v>
      </c>
      <c r="Y555" s="9">
        <v>42033</v>
      </c>
      <c r="Z555" s="1">
        <v>-23.634399999999999</v>
      </c>
      <c r="AA555" s="1">
        <v>1</v>
      </c>
      <c r="AB555" s="1">
        <v>63.66</v>
      </c>
      <c r="AC555" s="1">
        <v>89431</v>
      </c>
      <c r="AD555" s="6" t="str">
        <f>IF(COUNTIF(Returns!$A$2:$A$1635,Orders!AC555)&gt;0,"Returned","Not Returned")</f>
        <v>Not Returned</v>
      </c>
    </row>
    <row r="556" spans="1:30" ht="12.75" customHeight="1" thickTop="1" thickBot="1" x14ac:dyDescent="0.25">
      <c r="A556" s="10">
        <v>19003</v>
      </c>
      <c r="B556" s="11" t="s">
        <v>25</v>
      </c>
      <c r="C556" s="11">
        <v>0.08</v>
      </c>
      <c r="D556" s="11">
        <v>45.19</v>
      </c>
      <c r="E556" s="11">
        <v>1.99</v>
      </c>
      <c r="F556" s="11">
        <v>999</v>
      </c>
      <c r="G556" s="6" t="str">
        <f>IF(COUNTIF(Table1[Customer ID],Table1[[#This Row],[Customer ID]])&gt;1,"Repeat Customer","One-Time Customer")</f>
        <v>One-Time Customer</v>
      </c>
      <c r="H556" s="11" t="s">
        <v>1099</v>
      </c>
      <c r="I556" s="11" t="s">
        <v>49</v>
      </c>
      <c r="J556" s="11" t="s">
        <v>58</v>
      </c>
      <c r="K556" s="11" t="s">
        <v>77</v>
      </c>
      <c r="L556" s="11" t="s">
        <v>180</v>
      </c>
      <c r="M556" s="11" t="s">
        <v>51</v>
      </c>
      <c r="N556" s="11" t="s">
        <v>1100</v>
      </c>
      <c r="O556" s="11">
        <v>0.55000000000000004</v>
      </c>
      <c r="P556" s="6">
        <f>Table1[[#This Row],[Profit]]/Table1[[#This Row],[Sales]]</f>
        <v>-0.56461248231410155</v>
      </c>
      <c r="Q556" s="11" t="s">
        <v>33</v>
      </c>
      <c r="R556" s="11" t="s">
        <v>53</v>
      </c>
      <c r="S556" s="11" t="s">
        <v>54</v>
      </c>
      <c r="T556" s="11" t="s">
        <v>1101</v>
      </c>
      <c r="U556" s="11">
        <v>7450</v>
      </c>
      <c r="V556" s="12">
        <v>42077</v>
      </c>
      <c r="W556" s="13" t="str">
        <f>TEXT(Table1[[#This Row],[Order Date]],"mmmm")</f>
        <v>March</v>
      </c>
      <c r="X556" s="7" t="str">
        <f>TEXT(Table1[[#This Row],[Order Date]],"yyyy")</f>
        <v>2015</v>
      </c>
      <c r="Y556" s="12">
        <v>42078</v>
      </c>
      <c r="Z556" s="11">
        <v>-71.83</v>
      </c>
      <c r="AA556" s="11">
        <v>3</v>
      </c>
      <c r="AB556" s="11">
        <v>127.22</v>
      </c>
      <c r="AC556" s="11">
        <v>89433</v>
      </c>
      <c r="AD556" s="6" t="str">
        <f>IF(COUNTIF(Returns!$A$2:$A$1635,Orders!AC556)&gt;0,"Returned","Not Returned")</f>
        <v>Not Returned</v>
      </c>
    </row>
    <row r="557" spans="1:30" ht="12.75" customHeight="1" thickTop="1" thickBot="1" x14ac:dyDescent="0.25">
      <c r="A557" s="8">
        <v>19002</v>
      </c>
      <c r="B557" s="1" t="s">
        <v>25</v>
      </c>
      <c r="C557" s="1">
        <v>0.03</v>
      </c>
      <c r="D557" s="1">
        <v>33.979999999999997</v>
      </c>
      <c r="E557" s="1">
        <v>19.989999999999998</v>
      </c>
      <c r="F557" s="1">
        <v>1000</v>
      </c>
      <c r="G557" s="6" t="str">
        <f>IF(COUNTIF(Table1[Customer ID],Table1[[#This Row],[Customer ID]])&gt;1,"Repeat Customer","One-Time Customer")</f>
        <v>One-Time Customer</v>
      </c>
      <c r="H557" s="1" t="s">
        <v>1102</v>
      </c>
      <c r="I557" s="1" t="s">
        <v>49</v>
      </c>
      <c r="J557" s="1" t="s">
        <v>58</v>
      </c>
      <c r="K557" s="1" t="s">
        <v>41</v>
      </c>
      <c r="L557" s="1" t="s">
        <v>50</v>
      </c>
      <c r="M557" s="1" t="s">
        <v>59</v>
      </c>
      <c r="N557" s="1" t="s">
        <v>1103</v>
      </c>
      <c r="O557" s="1">
        <v>0.55000000000000004</v>
      </c>
      <c r="P557" s="6">
        <f>Table1[[#This Row],[Profit]]/Table1[[#This Row],[Sales]]</f>
        <v>-1.7112200536490822E-3</v>
      </c>
      <c r="Q557" s="1" t="s">
        <v>33</v>
      </c>
      <c r="R557" s="1" t="s">
        <v>53</v>
      </c>
      <c r="S557" s="1" t="s">
        <v>149</v>
      </c>
      <c r="T557" s="1" t="s">
        <v>1104</v>
      </c>
      <c r="U557" s="1">
        <v>5201</v>
      </c>
      <c r="V557" s="9">
        <v>42077</v>
      </c>
      <c r="W557" s="13" t="str">
        <f>TEXT(Table1[[#This Row],[Order Date]],"mmmm")</f>
        <v>March</v>
      </c>
      <c r="X557" s="7" t="str">
        <f>TEXT(Table1[[#This Row],[Order Date]],"yyyy")</f>
        <v>2015</v>
      </c>
      <c r="Y557" s="9">
        <v>42078</v>
      </c>
      <c r="Z557" s="1">
        <v>-0.74000000000000909</v>
      </c>
      <c r="AA557" s="1">
        <v>12</v>
      </c>
      <c r="AB557" s="1">
        <v>432.44</v>
      </c>
      <c r="AC557" s="1">
        <v>89433</v>
      </c>
      <c r="AD557" s="6" t="str">
        <f>IF(COUNTIF(Returns!$A$2:$A$1635,Orders!AC557)&gt;0,"Returned","Not Returned")</f>
        <v>Not Returned</v>
      </c>
    </row>
    <row r="558" spans="1:30" ht="12.75" customHeight="1" thickTop="1" thickBot="1" x14ac:dyDescent="0.25">
      <c r="A558" s="10">
        <v>19380</v>
      </c>
      <c r="B558" s="11" t="s">
        <v>106</v>
      </c>
      <c r="C558" s="11">
        <v>0.06</v>
      </c>
      <c r="D558" s="11">
        <v>10.14</v>
      </c>
      <c r="E558" s="11">
        <v>2.27</v>
      </c>
      <c r="F558" s="11">
        <v>1005</v>
      </c>
      <c r="G558" s="6" t="str">
        <f>IF(COUNTIF(Table1[Customer ID],Table1[[#This Row],[Customer ID]])&gt;1,"Repeat Customer","One-Time Customer")</f>
        <v>Repeat Customer</v>
      </c>
      <c r="H558" s="11" t="s">
        <v>1105</v>
      </c>
      <c r="I558" s="11" t="s">
        <v>49</v>
      </c>
      <c r="J558" s="11" t="s">
        <v>58</v>
      </c>
      <c r="K558" s="11" t="s">
        <v>29</v>
      </c>
      <c r="L558" s="11" t="s">
        <v>93</v>
      </c>
      <c r="M558" s="11" t="s">
        <v>31</v>
      </c>
      <c r="N558" s="11" t="s">
        <v>270</v>
      </c>
      <c r="O558" s="11">
        <v>0.36</v>
      </c>
      <c r="P558" s="6">
        <f>Table1[[#This Row],[Profit]]/Table1[[#This Row],[Sales]]</f>
        <v>-0.31855500821018062</v>
      </c>
      <c r="Q558" s="11" t="s">
        <v>33</v>
      </c>
      <c r="R558" s="11" t="s">
        <v>61</v>
      </c>
      <c r="S558" s="11" t="s">
        <v>178</v>
      </c>
      <c r="T558" s="11" t="s">
        <v>766</v>
      </c>
      <c r="U558" s="11">
        <v>60089</v>
      </c>
      <c r="V558" s="12">
        <v>42067</v>
      </c>
      <c r="W558" s="13" t="str">
        <f>TEXT(Table1[[#This Row],[Order Date]],"mmmm")</f>
        <v>March</v>
      </c>
      <c r="X558" s="7" t="str">
        <f>TEXT(Table1[[#This Row],[Order Date]],"yyyy")</f>
        <v>2015</v>
      </c>
      <c r="Y558" s="12">
        <v>42067</v>
      </c>
      <c r="Z558" s="11">
        <v>-3.88</v>
      </c>
      <c r="AA558" s="11">
        <v>1</v>
      </c>
      <c r="AB558" s="11">
        <v>12.18</v>
      </c>
      <c r="AC558" s="11">
        <v>90043</v>
      </c>
      <c r="AD558" s="6" t="str">
        <f>IF(COUNTIF(Returns!$A$2:$A$1635,Orders!AC558)&gt;0,"Returned","Not Returned")</f>
        <v>Not Returned</v>
      </c>
    </row>
    <row r="559" spans="1:30" ht="12.75" customHeight="1" thickTop="1" thickBot="1" x14ac:dyDescent="0.25">
      <c r="A559" s="8">
        <v>20167</v>
      </c>
      <c r="B559" s="1" t="s">
        <v>25</v>
      </c>
      <c r="C559" s="1">
        <v>0.02</v>
      </c>
      <c r="D559" s="1">
        <v>40.99</v>
      </c>
      <c r="E559" s="1">
        <v>17.48</v>
      </c>
      <c r="F559" s="1">
        <v>1005</v>
      </c>
      <c r="G559" s="6" t="str">
        <f>IF(COUNTIF(Table1[Customer ID],Table1[[#This Row],[Customer ID]])&gt;1,"Repeat Customer","One-Time Customer")</f>
        <v>Repeat Customer</v>
      </c>
      <c r="H559" s="1" t="s">
        <v>1105</v>
      </c>
      <c r="I559" s="1" t="s">
        <v>49</v>
      </c>
      <c r="J559" s="1" t="s">
        <v>58</v>
      </c>
      <c r="K559" s="1" t="s">
        <v>29</v>
      </c>
      <c r="L559" s="1" t="s">
        <v>93</v>
      </c>
      <c r="M559" s="1" t="s">
        <v>59</v>
      </c>
      <c r="N559" s="1" t="s">
        <v>1106</v>
      </c>
      <c r="O559" s="1">
        <v>0.36</v>
      </c>
      <c r="P559" s="6">
        <f>Table1[[#This Row],[Profit]]/Table1[[#This Row],[Sales]]</f>
        <v>0.57983523247372248</v>
      </c>
      <c r="Q559" s="1" t="s">
        <v>33</v>
      </c>
      <c r="R559" s="1" t="s">
        <v>61</v>
      </c>
      <c r="S559" s="1" t="s">
        <v>178</v>
      </c>
      <c r="T559" s="1" t="s">
        <v>766</v>
      </c>
      <c r="U559" s="1">
        <v>60089</v>
      </c>
      <c r="V559" s="9">
        <v>42062</v>
      </c>
      <c r="W559" s="13" t="str">
        <f>TEXT(Table1[[#This Row],[Order Date]],"mmmm")</f>
        <v>February</v>
      </c>
      <c r="X559" s="7" t="str">
        <f>TEXT(Table1[[#This Row],[Order Date]],"yyyy")</f>
        <v>2015</v>
      </c>
      <c r="Y559" s="9">
        <v>42063</v>
      </c>
      <c r="Z559" s="1">
        <v>551.09280000000001</v>
      </c>
      <c r="AA559" s="1">
        <v>23</v>
      </c>
      <c r="AB559" s="1">
        <v>950.43</v>
      </c>
      <c r="AC559" s="1">
        <v>90044</v>
      </c>
      <c r="AD559" s="6" t="str">
        <f>IF(COUNTIF(Returns!$A$2:$A$1635,Orders!AC559)&gt;0,"Returned","Not Returned")</f>
        <v>Not Returned</v>
      </c>
    </row>
    <row r="560" spans="1:30" ht="12.75" customHeight="1" thickTop="1" thickBot="1" x14ac:dyDescent="0.25">
      <c r="A560" s="10">
        <v>18529</v>
      </c>
      <c r="B560" s="11" t="s">
        <v>25</v>
      </c>
      <c r="C560" s="11">
        <v>0.01</v>
      </c>
      <c r="D560" s="11">
        <v>3.15</v>
      </c>
      <c r="E560" s="11">
        <v>0.49</v>
      </c>
      <c r="F560" s="11">
        <v>1008</v>
      </c>
      <c r="G560" s="6" t="str">
        <f>IF(COUNTIF(Table1[Customer ID],Table1[[#This Row],[Customer ID]])&gt;1,"Repeat Customer","One-Time Customer")</f>
        <v>One-Time Customer</v>
      </c>
      <c r="H560" s="11" t="s">
        <v>1107</v>
      </c>
      <c r="I560" s="11" t="s">
        <v>49</v>
      </c>
      <c r="J560" s="11" t="s">
        <v>40</v>
      </c>
      <c r="K560" s="11" t="s">
        <v>29</v>
      </c>
      <c r="L560" s="11" t="s">
        <v>134</v>
      </c>
      <c r="M560" s="11" t="s">
        <v>59</v>
      </c>
      <c r="N560" s="11" t="s">
        <v>1108</v>
      </c>
      <c r="O560" s="11">
        <v>0.37</v>
      </c>
      <c r="P560" s="6">
        <f>Table1[[#This Row],[Profit]]/Table1[[#This Row],[Sales]]</f>
        <v>0.69</v>
      </c>
      <c r="Q560" s="11" t="s">
        <v>33</v>
      </c>
      <c r="R560" s="11" t="s">
        <v>53</v>
      </c>
      <c r="S560" s="11" t="s">
        <v>188</v>
      </c>
      <c r="T560" s="11" t="s">
        <v>1109</v>
      </c>
      <c r="U560" s="11">
        <v>4038</v>
      </c>
      <c r="V560" s="12">
        <v>42149</v>
      </c>
      <c r="W560" s="13" t="str">
        <f>TEXT(Table1[[#This Row],[Order Date]],"mmmm")</f>
        <v>May</v>
      </c>
      <c r="X560" s="7" t="str">
        <f>TEXT(Table1[[#This Row],[Order Date]],"yyyy")</f>
        <v>2015</v>
      </c>
      <c r="Y560" s="12">
        <v>42151</v>
      </c>
      <c r="Z560" s="11">
        <v>17.505299999999998</v>
      </c>
      <c r="AA560" s="11">
        <v>8</v>
      </c>
      <c r="AB560" s="11">
        <v>25.37</v>
      </c>
      <c r="AC560" s="11">
        <v>88371</v>
      </c>
      <c r="AD560" s="6" t="str">
        <f>IF(COUNTIF(Returns!$A$2:$A$1635,Orders!AC560)&gt;0,"Returned","Not Returned")</f>
        <v>Not Returned</v>
      </c>
    </row>
    <row r="561" spans="1:30" ht="12.75" customHeight="1" thickTop="1" thickBot="1" x14ac:dyDescent="0.25">
      <c r="A561" s="8">
        <v>18886</v>
      </c>
      <c r="B561" s="1" t="s">
        <v>25</v>
      </c>
      <c r="C561" s="1">
        <v>0.1</v>
      </c>
      <c r="D561" s="1">
        <v>550.98</v>
      </c>
      <c r="E561" s="1">
        <v>45.7</v>
      </c>
      <c r="F561" s="1">
        <v>1009</v>
      </c>
      <c r="G561" s="6" t="str">
        <f>IF(COUNTIF(Table1[Customer ID],Table1[[#This Row],[Customer ID]])&gt;1,"Repeat Customer","One-Time Customer")</f>
        <v>One-Time Customer</v>
      </c>
      <c r="H561" s="1" t="s">
        <v>1110</v>
      </c>
      <c r="I561" s="1" t="s">
        <v>39</v>
      </c>
      <c r="J561" s="1" t="s">
        <v>28</v>
      </c>
      <c r="K561" s="1" t="s">
        <v>41</v>
      </c>
      <c r="L561" s="1" t="s">
        <v>152</v>
      </c>
      <c r="M561" s="1" t="s">
        <v>121</v>
      </c>
      <c r="N561" s="1" t="s">
        <v>1111</v>
      </c>
      <c r="O561" s="1">
        <v>0.71</v>
      </c>
      <c r="P561" s="6">
        <f>Table1[[#This Row],[Profit]]/Table1[[#This Row],[Sales]]</f>
        <v>0.11754522758832626</v>
      </c>
      <c r="Q561" s="1" t="s">
        <v>33</v>
      </c>
      <c r="R561" s="1" t="s">
        <v>53</v>
      </c>
      <c r="S561" s="1" t="s">
        <v>188</v>
      </c>
      <c r="T561" s="1" t="s">
        <v>1112</v>
      </c>
      <c r="U561" s="1">
        <v>4072</v>
      </c>
      <c r="V561" s="9">
        <v>42174</v>
      </c>
      <c r="W561" s="13" t="str">
        <f>TEXT(Table1[[#This Row],[Order Date]],"mmmm")</f>
        <v>June</v>
      </c>
      <c r="X561" s="7" t="str">
        <f>TEXT(Table1[[#This Row],[Order Date]],"yyyy")</f>
        <v>2015</v>
      </c>
      <c r="Y561" s="9">
        <v>42176</v>
      </c>
      <c r="Z561" s="1">
        <v>818.54617499999995</v>
      </c>
      <c r="AA561" s="1">
        <v>14</v>
      </c>
      <c r="AB561" s="1">
        <v>6963.67</v>
      </c>
      <c r="AC561" s="1">
        <v>88372</v>
      </c>
      <c r="AD561" s="6" t="str">
        <f>IF(COUNTIF(Returns!$A$2:$A$1635,Orders!AC561)&gt;0,"Returned","Not Returned")</f>
        <v>Not Returned</v>
      </c>
    </row>
    <row r="562" spans="1:30" ht="12.75" customHeight="1" thickTop="1" thickBot="1" x14ac:dyDescent="0.25">
      <c r="A562" s="10">
        <v>21184</v>
      </c>
      <c r="B562" s="11" t="s">
        <v>47</v>
      </c>
      <c r="C562" s="11">
        <v>0.09</v>
      </c>
      <c r="D562" s="11">
        <v>28.48</v>
      </c>
      <c r="E562" s="11">
        <v>1.99</v>
      </c>
      <c r="F562" s="11">
        <v>1014</v>
      </c>
      <c r="G562" s="6" t="str">
        <f>IF(COUNTIF(Table1[Customer ID],Table1[[#This Row],[Customer ID]])&gt;1,"Repeat Customer","One-Time Customer")</f>
        <v>Repeat Customer</v>
      </c>
      <c r="H562" s="11" t="s">
        <v>1113</v>
      </c>
      <c r="I562" s="11" t="s">
        <v>49</v>
      </c>
      <c r="J562" s="11" t="s">
        <v>40</v>
      </c>
      <c r="K562" s="11" t="s">
        <v>77</v>
      </c>
      <c r="L562" s="11" t="s">
        <v>180</v>
      </c>
      <c r="M562" s="11" t="s">
        <v>51</v>
      </c>
      <c r="N562" s="11" t="s">
        <v>407</v>
      </c>
      <c r="O562" s="11">
        <v>0.4</v>
      </c>
      <c r="P562" s="6">
        <f>Table1[[#This Row],[Profit]]/Table1[[#This Row],[Sales]]</f>
        <v>-0.1070737341574577</v>
      </c>
      <c r="Q562" s="11" t="s">
        <v>33</v>
      </c>
      <c r="R562" s="11" t="s">
        <v>136</v>
      </c>
      <c r="S562" s="11" t="s">
        <v>958</v>
      </c>
      <c r="T562" s="11" t="s">
        <v>1114</v>
      </c>
      <c r="U562" s="11">
        <v>72022</v>
      </c>
      <c r="V562" s="12">
        <v>42064</v>
      </c>
      <c r="W562" s="13" t="str">
        <f>TEXT(Table1[[#This Row],[Order Date]],"mmmm")</f>
        <v>March</v>
      </c>
      <c r="X562" s="7" t="str">
        <f>TEXT(Table1[[#This Row],[Order Date]],"yyyy")</f>
        <v>2015</v>
      </c>
      <c r="Y562" s="12">
        <v>42065</v>
      </c>
      <c r="Z562" s="11">
        <v>-17.149999999999999</v>
      </c>
      <c r="AA562" s="11">
        <v>6</v>
      </c>
      <c r="AB562" s="11">
        <v>160.16999999999999</v>
      </c>
      <c r="AC562" s="11">
        <v>88387</v>
      </c>
      <c r="AD562" s="6" t="str">
        <f>IF(COUNTIF(Returns!$A$2:$A$1635,Orders!AC562)&gt;0,"Returned","Not Returned")</f>
        <v>Not Returned</v>
      </c>
    </row>
    <row r="563" spans="1:30" ht="12.75" customHeight="1" thickTop="1" thickBot="1" x14ac:dyDescent="0.25">
      <c r="A563" s="8">
        <v>21185</v>
      </c>
      <c r="B563" s="1" t="s">
        <v>47</v>
      </c>
      <c r="C563" s="1">
        <v>0</v>
      </c>
      <c r="D563" s="1">
        <v>2.08</v>
      </c>
      <c r="E563" s="1">
        <v>5.33</v>
      </c>
      <c r="F563" s="1">
        <v>1014</v>
      </c>
      <c r="G563" s="6" t="str">
        <f>IF(COUNTIF(Table1[Customer ID],Table1[[#This Row],[Customer ID]])&gt;1,"Repeat Customer","One-Time Customer")</f>
        <v>Repeat Customer</v>
      </c>
      <c r="H563" s="1" t="s">
        <v>1113</v>
      </c>
      <c r="I563" s="1" t="s">
        <v>49</v>
      </c>
      <c r="J563" s="1" t="s">
        <v>40</v>
      </c>
      <c r="K563" s="1" t="s">
        <v>41</v>
      </c>
      <c r="L563" s="1" t="s">
        <v>50</v>
      </c>
      <c r="M563" s="1" t="s">
        <v>59</v>
      </c>
      <c r="N563" s="1" t="s">
        <v>744</v>
      </c>
      <c r="O563" s="1">
        <v>0.43</v>
      </c>
      <c r="P563" s="6">
        <f>Table1[[#This Row],[Profit]]/Table1[[#This Row],[Sales]]</f>
        <v>-3.954484605087015</v>
      </c>
      <c r="Q563" s="1" t="s">
        <v>33</v>
      </c>
      <c r="R563" s="1" t="s">
        <v>136</v>
      </c>
      <c r="S563" s="1" t="s">
        <v>958</v>
      </c>
      <c r="T563" s="1" t="s">
        <v>1114</v>
      </c>
      <c r="U563" s="1">
        <v>72022</v>
      </c>
      <c r="V563" s="9">
        <v>42064</v>
      </c>
      <c r="W563" s="13" t="str">
        <f>TEXT(Table1[[#This Row],[Order Date]],"mmmm")</f>
        <v>March</v>
      </c>
      <c r="X563" s="7" t="str">
        <f>TEXT(Table1[[#This Row],[Order Date]],"yyyy")</f>
        <v>2015</v>
      </c>
      <c r="Y563" s="9">
        <v>42066</v>
      </c>
      <c r="Z563" s="1">
        <v>-29.540000000000003</v>
      </c>
      <c r="AA563" s="1">
        <v>3</v>
      </c>
      <c r="AB563" s="1">
        <v>7.47</v>
      </c>
      <c r="AC563" s="1">
        <v>88387</v>
      </c>
      <c r="AD563" s="6" t="str">
        <f>IF(COUNTIF(Returns!$A$2:$A$1635,Orders!AC563)&gt;0,"Returned","Not Returned")</f>
        <v>Not Returned</v>
      </c>
    </row>
    <row r="564" spans="1:30" ht="12.75" customHeight="1" thickTop="1" thickBot="1" x14ac:dyDescent="0.25">
      <c r="A564" s="10">
        <v>21186</v>
      </c>
      <c r="B564" s="11" t="s">
        <v>47</v>
      </c>
      <c r="C564" s="11">
        <v>0.06</v>
      </c>
      <c r="D564" s="11">
        <v>45.99</v>
      </c>
      <c r="E564" s="11">
        <v>4.99</v>
      </c>
      <c r="F564" s="11">
        <v>1014</v>
      </c>
      <c r="G564" s="6" t="str">
        <f>IF(COUNTIF(Table1[Customer ID],Table1[[#This Row],[Customer ID]])&gt;1,"Repeat Customer","One-Time Customer")</f>
        <v>Repeat Customer</v>
      </c>
      <c r="H564" s="11" t="s">
        <v>1113</v>
      </c>
      <c r="I564" s="11" t="s">
        <v>27</v>
      </c>
      <c r="J564" s="11" t="s">
        <v>40</v>
      </c>
      <c r="K564" s="11" t="s">
        <v>77</v>
      </c>
      <c r="L564" s="11" t="s">
        <v>78</v>
      </c>
      <c r="M564" s="11" t="s">
        <v>59</v>
      </c>
      <c r="N564" s="11" t="s">
        <v>1115</v>
      </c>
      <c r="O564" s="11">
        <v>0.56000000000000005</v>
      </c>
      <c r="P564" s="6">
        <f>Table1[[#This Row],[Profit]]/Table1[[#This Row],[Sales]]</f>
        <v>-0.88936112834065961</v>
      </c>
      <c r="Q564" s="11" t="s">
        <v>33</v>
      </c>
      <c r="R564" s="11" t="s">
        <v>136</v>
      </c>
      <c r="S564" s="11" t="s">
        <v>958</v>
      </c>
      <c r="T564" s="11" t="s">
        <v>1114</v>
      </c>
      <c r="U564" s="11">
        <v>72022</v>
      </c>
      <c r="V564" s="12">
        <v>42064</v>
      </c>
      <c r="W564" s="13" t="str">
        <f>TEXT(Table1[[#This Row],[Order Date]],"mmmm")</f>
        <v>March</v>
      </c>
      <c r="X564" s="7" t="str">
        <f>TEXT(Table1[[#This Row],[Order Date]],"yyyy")</f>
        <v>2015</v>
      </c>
      <c r="Y564" s="12">
        <v>42065</v>
      </c>
      <c r="Z564" s="11">
        <v>-329.78399999999999</v>
      </c>
      <c r="AA564" s="11">
        <v>10</v>
      </c>
      <c r="AB564" s="11">
        <v>370.81</v>
      </c>
      <c r="AC564" s="11">
        <v>88387</v>
      </c>
      <c r="AD564" s="6" t="str">
        <f>IF(COUNTIF(Returns!$A$2:$A$1635,Orders!AC564)&gt;0,"Returned","Not Returned")</f>
        <v>Not Returned</v>
      </c>
    </row>
    <row r="565" spans="1:30" ht="12.75" customHeight="1" thickTop="1" thickBot="1" x14ac:dyDescent="0.25">
      <c r="A565" s="8">
        <v>20880</v>
      </c>
      <c r="B565" s="1" t="s">
        <v>37</v>
      </c>
      <c r="C565" s="1">
        <v>0.08</v>
      </c>
      <c r="D565" s="1">
        <v>10.91</v>
      </c>
      <c r="E565" s="1">
        <v>2.99</v>
      </c>
      <c r="F565" s="1">
        <v>1014</v>
      </c>
      <c r="G565" s="6" t="str">
        <f>IF(COUNTIF(Table1[Customer ID],Table1[[#This Row],[Customer ID]])&gt;1,"Repeat Customer","One-Time Customer")</f>
        <v>Repeat Customer</v>
      </c>
      <c r="H565" s="1" t="s">
        <v>1113</v>
      </c>
      <c r="I565" s="1" t="s">
        <v>49</v>
      </c>
      <c r="J565" s="1" t="s">
        <v>40</v>
      </c>
      <c r="K565" s="1" t="s">
        <v>29</v>
      </c>
      <c r="L565" s="1" t="s">
        <v>109</v>
      </c>
      <c r="M565" s="1" t="s">
        <v>59</v>
      </c>
      <c r="N565" s="1" t="s">
        <v>1116</v>
      </c>
      <c r="O565" s="1">
        <v>0.38</v>
      </c>
      <c r="P565" s="6">
        <f>Table1[[#This Row],[Profit]]/Table1[[#This Row],[Sales]]</f>
        <v>-1.7501458454871242E-2</v>
      </c>
      <c r="Q565" s="1" t="s">
        <v>33</v>
      </c>
      <c r="R565" s="1" t="s">
        <v>136</v>
      </c>
      <c r="S565" s="1" t="s">
        <v>958</v>
      </c>
      <c r="T565" s="1" t="s">
        <v>1114</v>
      </c>
      <c r="U565" s="1">
        <v>72022</v>
      </c>
      <c r="V565" s="9">
        <v>42068</v>
      </c>
      <c r="W565" s="13" t="str">
        <f>TEXT(Table1[[#This Row],[Order Date]],"mmmm")</f>
        <v>March</v>
      </c>
      <c r="X565" s="7" t="str">
        <f>TEXT(Table1[[#This Row],[Order Date]],"yyyy")</f>
        <v>2015</v>
      </c>
      <c r="Y565" s="9">
        <v>42069</v>
      </c>
      <c r="Z565" s="1">
        <v>-2.1</v>
      </c>
      <c r="AA565" s="1">
        <v>11</v>
      </c>
      <c r="AB565" s="1">
        <v>119.99</v>
      </c>
      <c r="AC565" s="1">
        <v>88388</v>
      </c>
      <c r="AD565" s="6" t="str">
        <f>IF(COUNTIF(Returns!$A$2:$A$1635,Orders!AC565)&gt;0,"Returned","Not Returned")</f>
        <v>Not Returned</v>
      </c>
    </row>
    <row r="566" spans="1:30" ht="12.75" customHeight="1" thickTop="1" thickBot="1" x14ac:dyDescent="0.25">
      <c r="A566" s="10">
        <v>20531</v>
      </c>
      <c r="B566" s="11" t="s">
        <v>56</v>
      </c>
      <c r="C566" s="11">
        <v>0</v>
      </c>
      <c r="D566" s="11">
        <v>43.98</v>
      </c>
      <c r="E566" s="11">
        <v>8.99</v>
      </c>
      <c r="F566" s="11">
        <v>1015</v>
      </c>
      <c r="G566" s="6" t="str">
        <f>IF(COUNTIF(Table1[Customer ID],Table1[[#This Row],[Customer ID]])&gt;1,"Repeat Customer","One-Time Customer")</f>
        <v>One-Time Customer</v>
      </c>
      <c r="H566" s="11" t="s">
        <v>1117</v>
      </c>
      <c r="I566" s="11" t="s">
        <v>49</v>
      </c>
      <c r="J566" s="11" t="s">
        <v>40</v>
      </c>
      <c r="K566" s="11" t="s">
        <v>29</v>
      </c>
      <c r="L566" s="11" t="s">
        <v>30</v>
      </c>
      <c r="M566" s="11" t="s">
        <v>51</v>
      </c>
      <c r="N566" s="11" t="s">
        <v>1118</v>
      </c>
      <c r="O566" s="11">
        <v>0.57999999999999996</v>
      </c>
      <c r="P566" s="6">
        <f>Table1[[#This Row],[Profit]]/Table1[[#This Row],[Sales]]</f>
        <v>1.2747302904564315</v>
      </c>
      <c r="Q566" s="11" t="s">
        <v>33</v>
      </c>
      <c r="R566" s="11" t="s">
        <v>136</v>
      </c>
      <c r="S566" s="11" t="s">
        <v>322</v>
      </c>
      <c r="T566" s="11" t="s">
        <v>1119</v>
      </c>
      <c r="U566" s="11">
        <v>27502</v>
      </c>
      <c r="V566" s="12">
        <v>42081</v>
      </c>
      <c r="W566" s="13" t="str">
        <f>TEXT(Table1[[#This Row],[Order Date]],"mmmm")</f>
        <v>March</v>
      </c>
      <c r="X566" s="7" t="str">
        <f>TEXT(Table1[[#This Row],[Order Date]],"yyyy")</f>
        <v>2015</v>
      </c>
      <c r="Y566" s="12">
        <v>42081</v>
      </c>
      <c r="Z566" s="11">
        <v>829.46699999999998</v>
      </c>
      <c r="AA566" s="11">
        <v>14</v>
      </c>
      <c r="AB566" s="11">
        <v>650.70000000000005</v>
      </c>
      <c r="AC566" s="11">
        <v>88390</v>
      </c>
      <c r="AD566" s="6" t="str">
        <f>IF(COUNTIF(Returns!$A$2:$A$1635,Orders!AC566)&gt;0,"Returned","Not Returned")</f>
        <v>Not Returned</v>
      </c>
    </row>
    <row r="567" spans="1:30" ht="12.75" customHeight="1" thickTop="1" thickBot="1" x14ac:dyDescent="0.25">
      <c r="A567" s="8">
        <v>24752</v>
      </c>
      <c r="B567" s="1" t="s">
        <v>25</v>
      </c>
      <c r="C567" s="1">
        <v>0.02</v>
      </c>
      <c r="D567" s="1">
        <v>6.48</v>
      </c>
      <c r="E567" s="1">
        <v>7.86</v>
      </c>
      <c r="F567" s="1">
        <v>1016</v>
      </c>
      <c r="G567" s="6" t="str">
        <f>IF(COUNTIF(Table1[Customer ID],Table1[[#This Row],[Customer ID]])&gt;1,"Repeat Customer","One-Time Customer")</f>
        <v>One-Time Customer</v>
      </c>
      <c r="H567" s="1" t="s">
        <v>1120</v>
      </c>
      <c r="I567" s="1" t="s">
        <v>27</v>
      </c>
      <c r="J567" s="1" t="s">
        <v>40</v>
      </c>
      <c r="K567" s="1" t="s">
        <v>29</v>
      </c>
      <c r="L567" s="1" t="s">
        <v>93</v>
      </c>
      <c r="M567" s="1" t="s">
        <v>59</v>
      </c>
      <c r="N567" s="1" t="s">
        <v>1121</v>
      </c>
      <c r="O567" s="1">
        <v>0.37</v>
      </c>
      <c r="P567" s="6">
        <f>Table1[[#This Row],[Profit]]/Table1[[#This Row],[Sales]]</f>
        <v>9.7477651183172647</v>
      </c>
      <c r="Q567" s="1" t="s">
        <v>33</v>
      </c>
      <c r="R567" s="1" t="s">
        <v>136</v>
      </c>
      <c r="S567" s="1" t="s">
        <v>322</v>
      </c>
      <c r="T567" s="1" t="s">
        <v>1122</v>
      </c>
      <c r="U567" s="1">
        <v>28806</v>
      </c>
      <c r="V567" s="9">
        <v>42167</v>
      </c>
      <c r="W567" s="13" t="str">
        <f>TEXT(Table1[[#This Row],[Order Date]],"mmmm")</f>
        <v>June</v>
      </c>
      <c r="X567" s="7" t="str">
        <f>TEXT(Table1[[#This Row],[Order Date]],"yyyy")</f>
        <v>2015</v>
      </c>
      <c r="Y567" s="9">
        <v>42168</v>
      </c>
      <c r="Z567" s="1">
        <v>111.22199999999999</v>
      </c>
      <c r="AA567" s="1">
        <v>1</v>
      </c>
      <c r="AB567" s="1">
        <v>11.41</v>
      </c>
      <c r="AC567" s="1">
        <v>88389</v>
      </c>
      <c r="AD567" s="6" t="str">
        <f>IF(COUNTIF(Returns!$A$2:$A$1635,Orders!AC567)&gt;0,"Returned","Not Returned")</f>
        <v>Not Returned</v>
      </c>
    </row>
    <row r="568" spans="1:30" ht="12.75" customHeight="1" thickTop="1" thickBot="1" x14ac:dyDescent="0.25">
      <c r="A568" s="10">
        <v>25027</v>
      </c>
      <c r="B568" s="11" t="s">
        <v>56</v>
      </c>
      <c r="C568" s="11">
        <v>0.05</v>
      </c>
      <c r="D568" s="11">
        <v>35.89</v>
      </c>
      <c r="E568" s="11">
        <v>14.72</v>
      </c>
      <c r="F568" s="11">
        <v>1018</v>
      </c>
      <c r="G568" s="6" t="str">
        <f>IF(COUNTIF(Table1[Customer ID],Table1[[#This Row],[Customer ID]])&gt;1,"Repeat Customer","One-Time Customer")</f>
        <v>Repeat Customer</v>
      </c>
      <c r="H568" s="11" t="s">
        <v>1123</v>
      </c>
      <c r="I568" s="11" t="s">
        <v>49</v>
      </c>
      <c r="J568" s="11" t="s">
        <v>40</v>
      </c>
      <c r="K568" s="11" t="s">
        <v>29</v>
      </c>
      <c r="L568" s="11" t="s">
        <v>69</v>
      </c>
      <c r="M568" s="11" t="s">
        <v>59</v>
      </c>
      <c r="N568" s="11" t="s">
        <v>1124</v>
      </c>
      <c r="O568" s="11">
        <v>0.4</v>
      </c>
      <c r="P568" s="6">
        <f>Table1[[#This Row],[Profit]]/Table1[[#This Row],[Sales]]</f>
        <v>3.3607195872955214E-2</v>
      </c>
      <c r="Q568" s="11" t="s">
        <v>33</v>
      </c>
      <c r="R568" s="11" t="s">
        <v>136</v>
      </c>
      <c r="S568" s="11" t="s">
        <v>322</v>
      </c>
      <c r="T568" s="11" t="s">
        <v>1125</v>
      </c>
      <c r="U568" s="11">
        <v>27511</v>
      </c>
      <c r="V568" s="12">
        <v>42102</v>
      </c>
      <c r="W568" s="13" t="str">
        <f>TEXT(Table1[[#This Row],[Order Date]],"mmmm")</f>
        <v>April</v>
      </c>
      <c r="X568" s="7" t="str">
        <f>TEXT(Table1[[#This Row],[Order Date]],"yyyy")</f>
        <v>2015</v>
      </c>
      <c r="Y568" s="12">
        <v>42103</v>
      </c>
      <c r="Z568" s="11">
        <v>22.866</v>
      </c>
      <c r="AA568" s="11">
        <v>19</v>
      </c>
      <c r="AB568" s="11">
        <v>680.39</v>
      </c>
      <c r="AC568" s="11">
        <v>88391</v>
      </c>
      <c r="AD568" s="6" t="str">
        <f>IF(COUNTIF(Returns!$A$2:$A$1635,Orders!AC568)&gt;0,"Returned","Not Returned")</f>
        <v>Not Returned</v>
      </c>
    </row>
    <row r="569" spans="1:30" ht="12.75" customHeight="1" thickTop="1" thickBot="1" x14ac:dyDescent="0.25">
      <c r="A569" s="8">
        <v>25028</v>
      </c>
      <c r="B569" s="1" t="s">
        <v>56</v>
      </c>
      <c r="C569" s="1">
        <v>0</v>
      </c>
      <c r="D569" s="1">
        <v>11.48</v>
      </c>
      <c r="E569" s="1">
        <v>5.43</v>
      </c>
      <c r="F569" s="1">
        <v>1018</v>
      </c>
      <c r="G569" s="6" t="str">
        <f>IF(COUNTIF(Table1[Customer ID],Table1[[#This Row],[Customer ID]])&gt;1,"Repeat Customer","One-Time Customer")</f>
        <v>Repeat Customer</v>
      </c>
      <c r="H569" s="1" t="s">
        <v>1123</v>
      </c>
      <c r="I569" s="1" t="s">
        <v>49</v>
      </c>
      <c r="J569" s="1" t="s">
        <v>40</v>
      </c>
      <c r="K569" s="1" t="s">
        <v>29</v>
      </c>
      <c r="L569" s="1" t="s">
        <v>93</v>
      </c>
      <c r="M569" s="1" t="s">
        <v>59</v>
      </c>
      <c r="N569" s="1" t="s">
        <v>1126</v>
      </c>
      <c r="O569" s="1">
        <v>0.36</v>
      </c>
      <c r="P569" s="6">
        <f>Table1[[#This Row],[Profit]]/Table1[[#This Row],[Sales]]</f>
        <v>1.5324152542372882</v>
      </c>
      <c r="Q569" s="1" t="s">
        <v>33</v>
      </c>
      <c r="R569" s="1" t="s">
        <v>136</v>
      </c>
      <c r="S569" s="1" t="s">
        <v>322</v>
      </c>
      <c r="T569" s="1" t="s">
        <v>1125</v>
      </c>
      <c r="U569" s="1">
        <v>27511</v>
      </c>
      <c r="V569" s="9">
        <v>42102</v>
      </c>
      <c r="W569" s="13" t="str">
        <f>TEXT(Table1[[#This Row],[Order Date]],"mmmm")</f>
        <v>April</v>
      </c>
      <c r="X569" s="7" t="str">
        <f>TEXT(Table1[[#This Row],[Order Date]],"yyyy")</f>
        <v>2015</v>
      </c>
      <c r="Y569" s="9">
        <v>42102</v>
      </c>
      <c r="Z569" s="1">
        <v>115.72799999999999</v>
      </c>
      <c r="AA569" s="1">
        <v>6</v>
      </c>
      <c r="AB569" s="1">
        <v>75.52</v>
      </c>
      <c r="AC569" s="1">
        <v>88391</v>
      </c>
      <c r="AD569" s="6" t="str">
        <f>IF(COUNTIF(Returns!$A$2:$A$1635,Orders!AC569)&gt;0,"Returned","Not Returned")</f>
        <v>Not Returned</v>
      </c>
    </row>
    <row r="570" spans="1:30" ht="12.75" customHeight="1" thickTop="1" thickBot="1" x14ac:dyDescent="0.25">
      <c r="A570" s="10">
        <v>24926</v>
      </c>
      <c r="B570" s="11" t="s">
        <v>47</v>
      </c>
      <c r="C570" s="11">
        <v>0.09</v>
      </c>
      <c r="D570" s="11">
        <v>517.48</v>
      </c>
      <c r="E570" s="11">
        <v>16.63</v>
      </c>
      <c r="F570" s="11">
        <v>1020</v>
      </c>
      <c r="G570" s="6" t="str">
        <f>IF(COUNTIF(Table1[Customer ID],Table1[[#This Row],[Customer ID]])&gt;1,"Repeat Customer","One-Time Customer")</f>
        <v>Repeat Customer</v>
      </c>
      <c r="H570" s="11" t="s">
        <v>1127</v>
      </c>
      <c r="I570" s="11" t="s">
        <v>39</v>
      </c>
      <c r="J570" s="11" t="s">
        <v>58</v>
      </c>
      <c r="K570" s="11" t="s">
        <v>77</v>
      </c>
      <c r="L570" s="11" t="s">
        <v>85</v>
      </c>
      <c r="M570" s="11" t="s">
        <v>121</v>
      </c>
      <c r="N570" s="11" t="s">
        <v>1128</v>
      </c>
      <c r="O570" s="11">
        <v>0.59</v>
      </c>
      <c r="P570" s="6">
        <f>Table1[[#This Row],[Profit]]/Table1[[#This Row],[Sales]]</f>
        <v>0.38621556652254796</v>
      </c>
      <c r="Q570" s="11" t="s">
        <v>33</v>
      </c>
      <c r="R570" s="11" t="s">
        <v>61</v>
      </c>
      <c r="S570" s="11" t="s">
        <v>183</v>
      </c>
      <c r="T570" s="11" t="s">
        <v>1129</v>
      </c>
      <c r="U570" s="11">
        <v>66762</v>
      </c>
      <c r="V570" s="12">
        <v>42070</v>
      </c>
      <c r="W570" s="13" t="str">
        <f>TEXT(Table1[[#This Row],[Order Date]],"mmmm")</f>
        <v>March</v>
      </c>
      <c r="X570" s="7" t="str">
        <f>TEXT(Table1[[#This Row],[Order Date]],"yyyy")</f>
        <v>2015</v>
      </c>
      <c r="Y570" s="12">
        <v>42070</v>
      </c>
      <c r="Z570" s="11">
        <v>909.36</v>
      </c>
      <c r="AA570" s="11">
        <v>5</v>
      </c>
      <c r="AB570" s="11">
        <v>2354.54</v>
      </c>
      <c r="AC570" s="11">
        <v>88632</v>
      </c>
      <c r="AD570" s="6" t="str">
        <f>IF(COUNTIF(Returns!$A$2:$A$1635,Orders!AC570)&gt;0,"Returned","Not Returned")</f>
        <v>Not Returned</v>
      </c>
    </row>
    <row r="571" spans="1:30" ht="12.75" customHeight="1" thickTop="1" thickBot="1" x14ac:dyDescent="0.25">
      <c r="A571" s="8">
        <v>23562</v>
      </c>
      <c r="B571" s="1" t="s">
        <v>47</v>
      </c>
      <c r="C571" s="1">
        <v>7.0000000000000007E-2</v>
      </c>
      <c r="D571" s="1">
        <v>4.13</v>
      </c>
      <c r="E571" s="1">
        <v>5.04</v>
      </c>
      <c r="F571" s="1">
        <v>1020</v>
      </c>
      <c r="G571" s="6" t="str">
        <f>IF(COUNTIF(Table1[Customer ID],Table1[[#This Row],[Customer ID]])&gt;1,"Repeat Customer","One-Time Customer")</f>
        <v>Repeat Customer</v>
      </c>
      <c r="H571" s="1" t="s">
        <v>1127</v>
      </c>
      <c r="I571" s="1" t="s">
        <v>49</v>
      </c>
      <c r="J571" s="1" t="s">
        <v>58</v>
      </c>
      <c r="K571" s="1" t="s">
        <v>29</v>
      </c>
      <c r="L571" s="1" t="s">
        <v>109</v>
      </c>
      <c r="M571" s="1" t="s">
        <v>59</v>
      </c>
      <c r="N571" s="1" t="s">
        <v>677</v>
      </c>
      <c r="O571" s="1">
        <v>0.38</v>
      </c>
      <c r="P571" s="6">
        <f>Table1[[#This Row],[Profit]]/Table1[[#This Row],[Sales]]</f>
        <v>-0.96666329370098658</v>
      </c>
      <c r="Q571" s="1" t="s">
        <v>33</v>
      </c>
      <c r="R571" s="1" t="s">
        <v>61</v>
      </c>
      <c r="S571" s="1" t="s">
        <v>183</v>
      </c>
      <c r="T571" s="1" t="s">
        <v>1129</v>
      </c>
      <c r="U571" s="1">
        <v>66762</v>
      </c>
      <c r="V571" s="9">
        <v>42041</v>
      </c>
      <c r="W571" s="13" t="str">
        <f>TEXT(Table1[[#This Row],[Order Date]],"mmmm")</f>
        <v>February</v>
      </c>
      <c r="X571" s="7" t="str">
        <f>TEXT(Table1[[#This Row],[Order Date]],"yyyy")</f>
        <v>2015</v>
      </c>
      <c r="Y571" s="9">
        <v>42042</v>
      </c>
      <c r="Z571" s="1">
        <v>-76.424400000000006</v>
      </c>
      <c r="AA571" s="1">
        <v>20</v>
      </c>
      <c r="AB571" s="1">
        <v>79.06</v>
      </c>
      <c r="AC571" s="1">
        <v>88634</v>
      </c>
      <c r="AD571" s="6" t="str">
        <f>IF(COUNTIF(Returns!$A$2:$A$1635,Orders!AC571)&gt;0,"Returned","Not Returned")</f>
        <v>Not Returned</v>
      </c>
    </row>
    <row r="572" spans="1:30" ht="12.75" customHeight="1" thickTop="1" thickBot="1" x14ac:dyDescent="0.25">
      <c r="A572" s="10">
        <v>23563</v>
      </c>
      <c r="B572" s="11" t="s">
        <v>47</v>
      </c>
      <c r="C572" s="11">
        <v>0</v>
      </c>
      <c r="D572" s="11">
        <v>4.4800000000000004</v>
      </c>
      <c r="E572" s="11">
        <v>2.5</v>
      </c>
      <c r="F572" s="11">
        <v>1020</v>
      </c>
      <c r="G572" s="6" t="str">
        <f>IF(COUNTIF(Table1[Customer ID],Table1[[#This Row],[Customer ID]])&gt;1,"Repeat Customer","One-Time Customer")</f>
        <v>Repeat Customer</v>
      </c>
      <c r="H572" s="11" t="s">
        <v>1127</v>
      </c>
      <c r="I572" s="11" t="s">
        <v>49</v>
      </c>
      <c r="J572" s="11" t="s">
        <v>58</v>
      </c>
      <c r="K572" s="11" t="s">
        <v>29</v>
      </c>
      <c r="L572" s="11" t="s">
        <v>69</v>
      </c>
      <c r="M572" s="11" t="s">
        <v>59</v>
      </c>
      <c r="N572" s="11" t="s">
        <v>1130</v>
      </c>
      <c r="O572" s="11">
        <v>0.37</v>
      </c>
      <c r="P572" s="6">
        <f>Table1[[#This Row],[Profit]]/Table1[[#This Row],[Sales]]</f>
        <v>0.13404973902364137</v>
      </c>
      <c r="Q572" s="11" t="s">
        <v>33</v>
      </c>
      <c r="R572" s="11" t="s">
        <v>61</v>
      </c>
      <c r="S572" s="11" t="s">
        <v>183</v>
      </c>
      <c r="T572" s="11" t="s">
        <v>1129</v>
      </c>
      <c r="U572" s="11">
        <v>66762</v>
      </c>
      <c r="V572" s="12">
        <v>42041</v>
      </c>
      <c r="W572" s="13" t="str">
        <f>TEXT(Table1[[#This Row],[Order Date]],"mmmm")</f>
        <v>February</v>
      </c>
      <c r="X572" s="7" t="str">
        <f>TEXT(Table1[[#This Row],[Order Date]],"yyyy")</f>
        <v>2015</v>
      </c>
      <c r="Y572" s="12">
        <v>42043</v>
      </c>
      <c r="Z572" s="11">
        <v>8.7319999999999993</v>
      </c>
      <c r="AA572" s="11">
        <v>14</v>
      </c>
      <c r="AB572" s="11">
        <v>65.14</v>
      </c>
      <c r="AC572" s="11">
        <v>88634</v>
      </c>
      <c r="AD572" s="6" t="str">
        <f>IF(COUNTIF(Returns!$A$2:$A$1635,Orders!AC572)&gt;0,"Returned","Not Returned")</f>
        <v>Not Returned</v>
      </c>
    </row>
    <row r="573" spans="1:30" ht="12.75" customHeight="1" thickTop="1" thickBot="1" x14ac:dyDescent="0.25">
      <c r="A573" s="8">
        <v>18921</v>
      </c>
      <c r="B573" s="1" t="s">
        <v>47</v>
      </c>
      <c r="C573" s="1">
        <v>0.02</v>
      </c>
      <c r="D573" s="1">
        <v>39.06</v>
      </c>
      <c r="E573" s="1">
        <v>10.55</v>
      </c>
      <c r="F573" s="1">
        <v>1023</v>
      </c>
      <c r="G573" s="6" t="str">
        <f>IF(COUNTIF(Table1[Customer ID],Table1[[#This Row],[Customer ID]])&gt;1,"Repeat Customer","One-Time Customer")</f>
        <v>Repeat Customer</v>
      </c>
      <c r="H573" s="1" t="s">
        <v>1131</v>
      </c>
      <c r="I573" s="1" t="s">
        <v>49</v>
      </c>
      <c r="J573" s="1" t="s">
        <v>58</v>
      </c>
      <c r="K573" s="1" t="s">
        <v>29</v>
      </c>
      <c r="L573" s="1" t="s">
        <v>109</v>
      </c>
      <c r="M573" s="1" t="s">
        <v>59</v>
      </c>
      <c r="N573" s="1" t="s">
        <v>1132</v>
      </c>
      <c r="O573" s="1">
        <v>0.37</v>
      </c>
      <c r="P573" s="6">
        <f>Table1[[#This Row],[Profit]]/Table1[[#This Row],[Sales]]</f>
        <v>0.69</v>
      </c>
      <c r="Q573" s="1" t="s">
        <v>33</v>
      </c>
      <c r="R573" s="1" t="s">
        <v>53</v>
      </c>
      <c r="S573" s="1" t="s">
        <v>234</v>
      </c>
      <c r="T573" s="1" t="s">
        <v>1133</v>
      </c>
      <c r="U573" s="1">
        <v>15221</v>
      </c>
      <c r="V573" s="9">
        <v>42139</v>
      </c>
      <c r="W573" s="13" t="str">
        <f>TEXT(Table1[[#This Row],[Order Date]],"mmmm")</f>
        <v>May</v>
      </c>
      <c r="X573" s="7" t="str">
        <f>TEXT(Table1[[#This Row],[Order Date]],"yyyy")</f>
        <v>2015</v>
      </c>
      <c r="Y573" s="9">
        <v>42139</v>
      </c>
      <c r="Z573" s="1">
        <v>442.0899</v>
      </c>
      <c r="AA573" s="1">
        <v>16</v>
      </c>
      <c r="AB573" s="1">
        <v>640.71</v>
      </c>
      <c r="AC573" s="1">
        <v>88633</v>
      </c>
      <c r="AD573" s="6" t="str">
        <f>IF(COUNTIF(Returns!$A$2:$A$1635,Orders!AC573)&gt;0,"Returned","Not Returned")</f>
        <v>Not Returned</v>
      </c>
    </row>
    <row r="574" spans="1:30" ht="12.75" customHeight="1" thickTop="1" thickBot="1" x14ac:dyDescent="0.25">
      <c r="A574" s="10">
        <v>18922</v>
      </c>
      <c r="B574" s="11" t="s">
        <v>47</v>
      </c>
      <c r="C574" s="11">
        <v>0.1</v>
      </c>
      <c r="D574" s="11">
        <v>37.700000000000003</v>
      </c>
      <c r="E574" s="11">
        <v>2.99</v>
      </c>
      <c r="F574" s="11">
        <v>1023</v>
      </c>
      <c r="G574" s="6" t="str">
        <f>IF(COUNTIF(Table1[Customer ID],Table1[[#This Row],[Customer ID]])&gt;1,"Repeat Customer","One-Time Customer")</f>
        <v>Repeat Customer</v>
      </c>
      <c r="H574" s="11" t="s">
        <v>1131</v>
      </c>
      <c r="I574" s="11" t="s">
        <v>49</v>
      </c>
      <c r="J574" s="11" t="s">
        <v>58</v>
      </c>
      <c r="K574" s="11" t="s">
        <v>29</v>
      </c>
      <c r="L574" s="11" t="s">
        <v>109</v>
      </c>
      <c r="M574" s="11" t="s">
        <v>59</v>
      </c>
      <c r="N574" s="11" t="s">
        <v>552</v>
      </c>
      <c r="O574" s="11">
        <v>0.35</v>
      </c>
      <c r="P574" s="6">
        <f>Table1[[#This Row],[Profit]]/Table1[[#This Row],[Sales]]</f>
        <v>0.69</v>
      </c>
      <c r="Q574" s="11" t="s">
        <v>33</v>
      </c>
      <c r="R574" s="11" t="s">
        <v>53</v>
      </c>
      <c r="S574" s="11" t="s">
        <v>234</v>
      </c>
      <c r="T574" s="11" t="s">
        <v>1133</v>
      </c>
      <c r="U574" s="11">
        <v>15221</v>
      </c>
      <c r="V574" s="12">
        <v>42139</v>
      </c>
      <c r="W574" s="13" t="str">
        <f>TEXT(Table1[[#This Row],[Order Date]],"mmmm")</f>
        <v>May</v>
      </c>
      <c r="X574" s="7" t="str">
        <f>TEXT(Table1[[#This Row],[Order Date]],"yyyy")</f>
        <v>2015</v>
      </c>
      <c r="Y574" s="12">
        <v>42140</v>
      </c>
      <c r="Z574" s="11">
        <v>455.12399999999997</v>
      </c>
      <c r="AA574" s="11">
        <v>18</v>
      </c>
      <c r="AB574" s="11">
        <v>659.6</v>
      </c>
      <c r="AC574" s="11">
        <v>88633</v>
      </c>
      <c r="AD574" s="6" t="str">
        <f>IF(COUNTIF(Returns!$A$2:$A$1635,Orders!AC574)&gt;0,"Returned","Not Returned")</f>
        <v>Not Returned</v>
      </c>
    </row>
    <row r="575" spans="1:30" ht="12.75" customHeight="1" thickTop="1" thickBot="1" x14ac:dyDescent="0.25">
      <c r="A575" s="8">
        <v>21402</v>
      </c>
      <c r="B575" s="1" t="s">
        <v>37</v>
      </c>
      <c r="C575" s="1">
        <v>0.08</v>
      </c>
      <c r="D575" s="1">
        <v>65.989999999999995</v>
      </c>
      <c r="E575" s="1">
        <v>5.92</v>
      </c>
      <c r="F575" s="1">
        <v>1026</v>
      </c>
      <c r="G575" s="6" t="str">
        <f>IF(COUNTIF(Table1[Customer ID],Table1[[#This Row],[Customer ID]])&gt;1,"Repeat Customer","One-Time Customer")</f>
        <v>Repeat Customer</v>
      </c>
      <c r="H575" s="1" t="s">
        <v>1134</v>
      </c>
      <c r="I575" s="1" t="s">
        <v>49</v>
      </c>
      <c r="J575" s="1" t="s">
        <v>58</v>
      </c>
      <c r="K575" s="1" t="s">
        <v>77</v>
      </c>
      <c r="L575" s="1" t="s">
        <v>78</v>
      </c>
      <c r="M575" s="1" t="s">
        <v>59</v>
      </c>
      <c r="N575" s="1" t="s">
        <v>1135</v>
      </c>
      <c r="O575" s="1">
        <v>0.57999999999999996</v>
      </c>
      <c r="P575" s="6">
        <f>Table1[[#This Row],[Profit]]/Table1[[#This Row],[Sales]]</f>
        <v>0.54887626582278481</v>
      </c>
      <c r="Q575" s="1" t="s">
        <v>33</v>
      </c>
      <c r="R575" s="1" t="s">
        <v>53</v>
      </c>
      <c r="S575" s="1" t="s">
        <v>71</v>
      </c>
      <c r="T575" s="1" t="s">
        <v>1136</v>
      </c>
      <c r="U575" s="1">
        <v>11722</v>
      </c>
      <c r="V575" s="9">
        <v>42042</v>
      </c>
      <c r="W575" s="13" t="str">
        <f>TEXT(Table1[[#This Row],[Order Date]],"mmmm")</f>
        <v>February</v>
      </c>
      <c r="X575" s="7" t="str">
        <f>TEXT(Table1[[#This Row],[Order Date]],"yyyy")</f>
        <v>2015</v>
      </c>
      <c r="Y575" s="9">
        <v>42042</v>
      </c>
      <c r="Z575" s="1">
        <v>624.40163999999993</v>
      </c>
      <c r="AA575" s="1">
        <v>22</v>
      </c>
      <c r="AB575" s="1">
        <v>1137.5999999999999</v>
      </c>
      <c r="AC575" s="1">
        <v>89005</v>
      </c>
      <c r="AD575" s="6" t="str">
        <f>IF(COUNTIF(Returns!$A$2:$A$1635,Orders!AC575)&gt;0,"Returned","Not Returned")</f>
        <v>Not Returned</v>
      </c>
    </row>
    <row r="576" spans="1:30" ht="12.75" customHeight="1" thickTop="1" thickBot="1" x14ac:dyDescent="0.25">
      <c r="A576" s="10">
        <v>20872</v>
      </c>
      <c r="B576" s="11" t="s">
        <v>25</v>
      </c>
      <c r="C576" s="11">
        <v>0.1</v>
      </c>
      <c r="D576" s="11">
        <v>5.98</v>
      </c>
      <c r="E576" s="11">
        <v>3.85</v>
      </c>
      <c r="F576" s="11">
        <v>1026</v>
      </c>
      <c r="G576" s="6" t="str">
        <f>IF(COUNTIF(Table1[Customer ID],Table1[[#This Row],[Customer ID]])&gt;1,"Repeat Customer","One-Time Customer")</f>
        <v>Repeat Customer</v>
      </c>
      <c r="H576" s="11" t="s">
        <v>1134</v>
      </c>
      <c r="I576" s="11" t="s">
        <v>49</v>
      </c>
      <c r="J576" s="11" t="s">
        <v>58</v>
      </c>
      <c r="K576" s="11" t="s">
        <v>77</v>
      </c>
      <c r="L576" s="11" t="s">
        <v>180</v>
      </c>
      <c r="M576" s="11" t="s">
        <v>51</v>
      </c>
      <c r="N576" s="11" t="s">
        <v>1137</v>
      </c>
      <c r="O576" s="11">
        <v>0.68</v>
      </c>
      <c r="P576" s="6">
        <f>Table1[[#This Row],[Profit]]/Table1[[#This Row],[Sales]]</f>
        <v>0.12485648300890802</v>
      </c>
      <c r="Q576" s="11" t="s">
        <v>33</v>
      </c>
      <c r="R576" s="11" t="s">
        <v>53</v>
      </c>
      <c r="S576" s="11" t="s">
        <v>71</v>
      </c>
      <c r="T576" s="11" t="s">
        <v>1136</v>
      </c>
      <c r="U576" s="11">
        <v>11722</v>
      </c>
      <c r="V576" s="12">
        <v>42153</v>
      </c>
      <c r="W576" s="13" t="str">
        <f>TEXT(Table1[[#This Row],[Order Date]],"mmmm")</f>
        <v>May</v>
      </c>
      <c r="X576" s="7" t="str">
        <f>TEXT(Table1[[#This Row],[Order Date]],"yyyy")</f>
        <v>2015</v>
      </c>
      <c r="Y576" s="12">
        <v>42154</v>
      </c>
      <c r="Z576" s="11">
        <v>18.922000000000011</v>
      </c>
      <c r="AA576" s="11">
        <v>26</v>
      </c>
      <c r="AB576" s="11">
        <v>151.55000000000001</v>
      </c>
      <c r="AC576" s="11">
        <v>89008</v>
      </c>
      <c r="AD576" s="6" t="str">
        <f>IF(COUNTIF(Returns!$A$2:$A$1635,Orders!AC576)&gt;0,"Returned","Not Returned")</f>
        <v>Not Returned</v>
      </c>
    </row>
    <row r="577" spans="1:30" ht="12.75" customHeight="1" thickTop="1" thickBot="1" x14ac:dyDescent="0.25">
      <c r="A577" s="8">
        <v>20873</v>
      </c>
      <c r="B577" s="1" t="s">
        <v>25</v>
      </c>
      <c r="C577" s="1">
        <v>7.0000000000000007E-2</v>
      </c>
      <c r="D577" s="1">
        <v>2.61</v>
      </c>
      <c r="E577" s="1">
        <v>0.5</v>
      </c>
      <c r="F577" s="1">
        <v>1026</v>
      </c>
      <c r="G577" s="6" t="str">
        <f>IF(COUNTIF(Table1[Customer ID],Table1[[#This Row],[Customer ID]])&gt;1,"Repeat Customer","One-Time Customer")</f>
        <v>Repeat Customer</v>
      </c>
      <c r="H577" s="1" t="s">
        <v>1134</v>
      </c>
      <c r="I577" s="1" t="s">
        <v>49</v>
      </c>
      <c r="J577" s="1" t="s">
        <v>58</v>
      </c>
      <c r="K577" s="1" t="s">
        <v>29</v>
      </c>
      <c r="L577" s="1" t="s">
        <v>134</v>
      </c>
      <c r="M577" s="1" t="s">
        <v>59</v>
      </c>
      <c r="N577" s="1" t="s">
        <v>1138</v>
      </c>
      <c r="O577" s="1">
        <v>0.39</v>
      </c>
      <c r="P577" s="6">
        <f>Table1[[#This Row],[Profit]]/Table1[[#This Row],[Sales]]</f>
        <v>0.69</v>
      </c>
      <c r="Q577" s="1" t="s">
        <v>33</v>
      </c>
      <c r="R577" s="1" t="s">
        <v>53</v>
      </c>
      <c r="S577" s="1" t="s">
        <v>71</v>
      </c>
      <c r="T577" s="1" t="s">
        <v>1136</v>
      </c>
      <c r="U577" s="1">
        <v>11722</v>
      </c>
      <c r="V577" s="9">
        <v>42153</v>
      </c>
      <c r="W577" s="13" t="str">
        <f>TEXT(Table1[[#This Row],[Order Date]],"mmmm")</f>
        <v>May</v>
      </c>
      <c r="X577" s="7" t="str">
        <f>TEXT(Table1[[#This Row],[Order Date]],"yyyy")</f>
        <v>2015</v>
      </c>
      <c r="Y577" s="9">
        <v>42156</v>
      </c>
      <c r="Z577" s="1">
        <v>39.350699999999996</v>
      </c>
      <c r="AA577" s="1">
        <v>22</v>
      </c>
      <c r="AB577" s="1">
        <v>57.03</v>
      </c>
      <c r="AC577" s="1">
        <v>89008</v>
      </c>
      <c r="AD577" s="6" t="str">
        <f>IF(COUNTIF(Returns!$A$2:$A$1635,Orders!AC577)&gt;0,"Returned","Not Returned")</f>
        <v>Not Returned</v>
      </c>
    </row>
    <row r="578" spans="1:30" ht="12.75" customHeight="1" thickTop="1" thickBot="1" x14ac:dyDescent="0.25">
      <c r="A578" s="10">
        <v>22662</v>
      </c>
      <c r="B578" s="11" t="s">
        <v>25</v>
      </c>
      <c r="C578" s="11">
        <v>0.1</v>
      </c>
      <c r="D578" s="11">
        <v>73.98</v>
      </c>
      <c r="E578" s="11">
        <v>4</v>
      </c>
      <c r="F578" s="11">
        <v>1027</v>
      </c>
      <c r="G578" s="6" t="str">
        <f>IF(COUNTIF(Table1[Customer ID],Table1[[#This Row],[Customer ID]])&gt;1,"Repeat Customer","One-Time Customer")</f>
        <v>Repeat Customer</v>
      </c>
      <c r="H578" s="11" t="s">
        <v>1139</v>
      </c>
      <c r="I578" s="11" t="s">
        <v>49</v>
      </c>
      <c r="J578" s="11" t="s">
        <v>58</v>
      </c>
      <c r="K578" s="11" t="s">
        <v>77</v>
      </c>
      <c r="L578" s="11" t="s">
        <v>180</v>
      </c>
      <c r="M578" s="11" t="s">
        <v>59</v>
      </c>
      <c r="N578" s="11" t="s">
        <v>1140</v>
      </c>
      <c r="O578" s="11">
        <v>0.79</v>
      </c>
      <c r="P578" s="6">
        <f>Table1[[#This Row],[Profit]]/Table1[[#This Row],[Sales]]</f>
        <v>-0.66201077095873051</v>
      </c>
      <c r="Q578" s="11" t="s">
        <v>33</v>
      </c>
      <c r="R578" s="11" t="s">
        <v>53</v>
      </c>
      <c r="S578" s="11" t="s">
        <v>71</v>
      </c>
      <c r="T578" s="11" t="s">
        <v>1141</v>
      </c>
      <c r="U578" s="11">
        <v>14225</v>
      </c>
      <c r="V578" s="12">
        <v>42075</v>
      </c>
      <c r="W578" s="13" t="str">
        <f>TEXT(Table1[[#This Row],[Order Date]],"mmmm")</f>
        <v>March</v>
      </c>
      <c r="X578" s="7" t="str">
        <f>TEXT(Table1[[#This Row],[Order Date]],"yyyy")</f>
        <v>2015</v>
      </c>
      <c r="Y578" s="12">
        <v>42076</v>
      </c>
      <c r="Z578" s="11">
        <v>-229.87</v>
      </c>
      <c r="AA578" s="11">
        <v>5</v>
      </c>
      <c r="AB578" s="11">
        <v>347.23</v>
      </c>
      <c r="AC578" s="11">
        <v>89004</v>
      </c>
      <c r="AD578" s="6" t="str">
        <f>IF(COUNTIF(Returns!$A$2:$A$1635,Orders!AC578)&gt;0,"Returned","Not Returned")</f>
        <v>Not Returned</v>
      </c>
    </row>
    <row r="579" spans="1:30" ht="12.75" customHeight="1" thickTop="1" thickBot="1" x14ac:dyDescent="0.25">
      <c r="A579" s="8">
        <v>22663</v>
      </c>
      <c r="B579" s="1" t="s">
        <v>25</v>
      </c>
      <c r="C579" s="1">
        <v>0.05</v>
      </c>
      <c r="D579" s="1">
        <v>51.98</v>
      </c>
      <c r="E579" s="1">
        <v>10.17</v>
      </c>
      <c r="F579" s="1">
        <v>1027</v>
      </c>
      <c r="G579" s="6" t="str">
        <f>IF(COUNTIF(Table1[Customer ID],Table1[[#This Row],[Customer ID]])&gt;1,"Repeat Customer","One-Time Customer")</f>
        <v>Repeat Customer</v>
      </c>
      <c r="H579" s="1" t="s">
        <v>1139</v>
      </c>
      <c r="I579" s="1" t="s">
        <v>49</v>
      </c>
      <c r="J579" s="1" t="s">
        <v>58</v>
      </c>
      <c r="K579" s="1" t="s">
        <v>77</v>
      </c>
      <c r="L579" s="1" t="s">
        <v>85</v>
      </c>
      <c r="M579" s="1" t="s">
        <v>86</v>
      </c>
      <c r="N579" s="1" t="s">
        <v>1142</v>
      </c>
      <c r="O579" s="1">
        <v>0.37</v>
      </c>
      <c r="P579" s="6">
        <f>Table1[[#This Row],[Profit]]/Table1[[#This Row],[Sales]]</f>
        <v>0.69</v>
      </c>
      <c r="Q579" s="1" t="s">
        <v>33</v>
      </c>
      <c r="R579" s="1" t="s">
        <v>53</v>
      </c>
      <c r="S579" s="1" t="s">
        <v>71</v>
      </c>
      <c r="T579" s="1" t="s">
        <v>1141</v>
      </c>
      <c r="U579" s="1">
        <v>14225</v>
      </c>
      <c r="V579" s="9">
        <v>42075</v>
      </c>
      <c r="W579" s="13" t="str">
        <f>TEXT(Table1[[#This Row],[Order Date]],"mmmm")</f>
        <v>March</v>
      </c>
      <c r="X579" s="7" t="str">
        <f>TEXT(Table1[[#This Row],[Order Date]],"yyyy")</f>
        <v>2015</v>
      </c>
      <c r="Y579" s="9">
        <v>42076</v>
      </c>
      <c r="Z579" s="1">
        <v>329.9787</v>
      </c>
      <c r="AA579" s="1">
        <v>9</v>
      </c>
      <c r="AB579" s="1">
        <v>478.23</v>
      </c>
      <c r="AC579" s="1">
        <v>89004</v>
      </c>
      <c r="AD579" s="6" t="str">
        <f>IF(COUNTIF(Returns!$A$2:$A$1635,Orders!AC579)&gt;0,"Returned","Not Returned")</f>
        <v>Not Returned</v>
      </c>
    </row>
    <row r="580" spans="1:30" ht="12.75" customHeight="1" thickTop="1" thickBot="1" x14ac:dyDescent="0.25">
      <c r="A580" s="10">
        <v>24325</v>
      </c>
      <c r="B580" s="11" t="s">
        <v>56</v>
      </c>
      <c r="C580" s="11">
        <v>7.0000000000000007E-2</v>
      </c>
      <c r="D580" s="11">
        <v>7.08</v>
      </c>
      <c r="E580" s="11">
        <v>2.35</v>
      </c>
      <c r="F580" s="11">
        <v>1028</v>
      </c>
      <c r="G580" s="6" t="str">
        <f>IF(COUNTIF(Table1[Customer ID],Table1[[#This Row],[Customer ID]])&gt;1,"Repeat Customer","One-Time Customer")</f>
        <v>Repeat Customer</v>
      </c>
      <c r="H580" s="11" t="s">
        <v>1143</v>
      </c>
      <c r="I580" s="11" t="s">
        <v>27</v>
      </c>
      <c r="J580" s="11" t="s">
        <v>58</v>
      </c>
      <c r="K580" s="11" t="s">
        <v>29</v>
      </c>
      <c r="L580" s="11" t="s">
        <v>30</v>
      </c>
      <c r="M580" s="11" t="s">
        <v>31</v>
      </c>
      <c r="N580" s="11" t="s">
        <v>1144</v>
      </c>
      <c r="O580" s="11">
        <v>0.47</v>
      </c>
      <c r="P580" s="6">
        <f>Table1[[#This Row],[Profit]]/Table1[[#This Row],[Sales]]</f>
        <v>0.32498401193775317</v>
      </c>
      <c r="Q580" s="11" t="s">
        <v>33</v>
      </c>
      <c r="R580" s="11" t="s">
        <v>53</v>
      </c>
      <c r="S580" s="11" t="s">
        <v>71</v>
      </c>
      <c r="T580" s="11" t="s">
        <v>1145</v>
      </c>
      <c r="U580" s="11">
        <v>11725</v>
      </c>
      <c r="V580" s="12">
        <v>42092</v>
      </c>
      <c r="W580" s="13" t="str">
        <f>TEXT(Table1[[#This Row],[Order Date]],"mmmm")</f>
        <v>March</v>
      </c>
      <c r="X580" s="7" t="str">
        <f>TEXT(Table1[[#This Row],[Order Date]],"yyyy")</f>
        <v>2015</v>
      </c>
      <c r="Y580" s="12">
        <v>42093</v>
      </c>
      <c r="Z580" s="11">
        <v>30.49</v>
      </c>
      <c r="AA580" s="11">
        <v>13</v>
      </c>
      <c r="AB580" s="11">
        <v>93.82</v>
      </c>
      <c r="AC580" s="11">
        <v>89006</v>
      </c>
      <c r="AD580" s="6" t="str">
        <f>IF(COUNTIF(Returns!$A$2:$A$1635,Orders!AC580)&gt;0,"Returned","Not Returned")</f>
        <v>Not Returned</v>
      </c>
    </row>
    <row r="581" spans="1:30" ht="12.75" customHeight="1" thickTop="1" thickBot="1" x14ac:dyDescent="0.25">
      <c r="A581" s="8">
        <v>23398</v>
      </c>
      <c r="B581" s="1" t="s">
        <v>37</v>
      </c>
      <c r="C581" s="1">
        <v>0.05</v>
      </c>
      <c r="D581" s="1">
        <v>83.1</v>
      </c>
      <c r="E581" s="1">
        <v>6.13</v>
      </c>
      <c r="F581" s="1">
        <v>1028</v>
      </c>
      <c r="G581" s="6" t="str">
        <f>IF(COUNTIF(Table1[Customer ID],Table1[[#This Row],[Customer ID]])&gt;1,"Repeat Customer","One-Time Customer")</f>
        <v>Repeat Customer</v>
      </c>
      <c r="H581" s="1" t="s">
        <v>1143</v>
      </c>
      <c r="I581" s="1" t="s">
        <v>27</v>
      </c>
      <c r="J581" s="1" t="s">
        <v>58</v>
      </c>
      <c r="K581" s="1" t="s">
        <v>77</v>
      </c>
      <c r="L581" s="1" t="s">
        <v>180</v>
      </c>
      <c r="M581" s="1" t="s">
        <v>59</v>
      </c>
      <c r="N581" s="1" t="s">
        <v>1146</v>
      </c>
      <c r="O581" s="1">
        <v>0.45</v>
      </c>
      <c r="P581" s="6">
        <f>Table1[[#This Row],[Profit]]/Table1[[#This Row],[Sales]]</f>
        <v>0.69</v>
      </c>
      <c r="Q581" s="1" t="s">
        <v>33</v>
      </c>
      <c r="R581" s="1" t="s">
        <v>53</v>
      </c>
      <c r="S581" s="1" t="s">
        <v>71</v>
      </c>
      <c r="T581" s="1" t="s">
        <v>1145</v>
      </c>
      <c r="U581" s="1">
        <v>11725</v>
      </c>
      <c r="V581" s="9">
        <v>42132</v>
      </c>
      <c r="W581" s="13" t="str">
        <f>TEXT(Table1[[#This Row],[Order Date]],"mmmm")</f>
        <v>May</v>
      </c>
      <c r="X581" s="7" t="str">
        <f>TEXT(Table1[[#This Row],[Order Date]],"yyyy")</f>
        <v>2015</v>
      </c>
      <c r="Y581" s="9">
        <v>42133</v>
      </c>
      <c r="Z581" s="1">
        <v>1152.5276999999999</v>
      </c>
      <c r="AA581" s="1">
        <v>20</v>
      </c>
      <c r="AB581" s="1">
        <v>1670.33</v>
      </c>
      <c r="AC581" s="1">
        <v>89007</v>
      </c>
      <c r="AD581" s="6" t="str">
        <f>IF(COUNTIF(Returns!$A$2:$A$1635,Orders!AC581)&gt;0,"Returned","Not Returned")</f>
        <v>Not Returned</v>
      </c>
    </row>
    <row r="582" spans="1:30" ht="12.75" customHeight="1" thickTop="1" thickBot="1" x14ac:dyDescent="0.25">
      <c r="A582" s="10">
        <v>21959</v>
      </c>
      <c r="B582" s="11" t="s">
        <v>47</v>
      </c>
      <c r="C582" s="11">
        <v>7.0000000000000007E-2</v>
      </c>
      <c r="D582" s="11">
        <v>125.99</v>
      </c>
      <c r="E582" s="11">
        <v>2.5</v>
      </c>
      <c r="F582" s="11">
        <v>1035</v>
      </c>
      <c r="G582" s="6" t="str">
        <f>IF(COUNTIF(Table1[Customer ID],Table1[[#This Row],[Customer ID]])&gt;1,"Repeat Customer","One-Time Customer")</f>
        <v>One-Time Customer</v>
      </c>
      <c r="H582" s="11" t="s">
        <v>1147</v>
      </c>
      <c r="I582" s="11" t="s">
        <v>49</v>
      </c>
      <c r="J582" s="11" t="s">
        <v>40</v>
      </c>
      <c r="K582" s="11" t="s">
        <v>77</v>
      </c>
      <c r="L582" s="11" t="s">
        <v>78</v>
      </c>
      <c r="M582" s="11" t="s">
        <v>59</v>
      </c>
      <c r="N582" s="11" t="s">
        <v>1148</v>
      </c>
      <c r="O582" s="11">
        <v>0.6</v>
      </c>
      <c r="P582" s="6">
        <f>Table1[[#This Row],[Profit]]/Table1[[#This Row],[Sales]]</f>
        <v>-6.00860920568645</v>
      </c>
      <c r="Q582" s="11" t="s">
        <v>33</v>
      </c>
      <c r="R582" s="11" t="s">
        <v>53</v>
      </c>
      <c r="S582" s="11" t="s">
        <v>154</v>
      </c>
      <c r="T582" s="11" t="s">
        <v>1149</v>
      </c>
      <c r="U582" s="11">
        <v>43015</v>
      </c>
      <c r="V582" s="12">
        <v>42076</v>
      </c>
      <c r="W582" s="13" t="str">
        <f>TEXT(Table1[[#This Row],[Order Date]],"mmmm")</f>
        <v>March</v>
      </c>
      <c r="X582" s="7" t="str">
        <f>TEXT(Table1[[#This Row],[Order Date]],"yyyy")</f>
        <v>2015</v>
      </c>
      <c r="Y582" s="12">
        <v>42076</v>
      </c>
      <c r="Z582" s="11">
        <v>-604.40600000000006</v>
      </c>
      <c r="AA582" s="11">
        <v>1</v>
      </c>
      <c r="AB582" s="11">
        <v>100.59</v>
      </c>
      <c r="AC582" s="11">
        <v>90710</v>
      </c>
      <c r="AD582" s="6" t="str">
        <f>IF(COUNTIF(Returns!$A$2:$A$1635,Orders!AC582)&gt;0,"Returned","Not Returned")</f>
        <v>Not Returned</v>
      </c>
    </row>
    <row r="583" spans="1:30" ht="12.75" customHeight="1" thickTop="1" thickBot="1" x14ac:dyDescent="0.25">
      <c r="A583" s="8">
        <v>21960</v>
      </c>
      <c r="B583" s="1" t="s">
        <v>47</v>
      </c>
      <c r="C583" s="1">
        <v>0.03</v>
      </c>
      <c r="D583" s="1">
        <v>99.99</v>
      </c>
      <c r="E583" s="1">
        <v>19.989999999999998</v>
      </c>
      <c r="F583" s="1">
        <v>1036</v>
      </c>
      <c r="G583" s="6" t="str">
        <f>IF(COUNTIF(Table1[Customer ID],Table1[[#This Row],[Customer ID]])&gt;1,"Repeat Customer","One-Time Customer")</f>
        <v>One-Time Customer</v>
      </c>
      <c r="H583" s="1" t="s">
        <v>1150</v>
      </c>
      <c r="I583" s="1" t="s">
        <v>49</v>
      </c>
      <c r="J583" s="1" t="s">
        <v>40</v>
      </c>
      <c r="K583" s="1" t="s">
        <v>77</v>
      </c>
      <c r="L583" s="1" t="s">
        <v>180</v>
      </c>
      <c r="M583" s="1" t="s">
        <v>59</v>
      </c>
      <c r="N583" s="1" t="s">
        <v>1151</v>
      </c>
      <c r="O583" s="1">
        <v>0.52</v>
      </c>
      <c r="P583" s="6">
        <f>Table1[[#This Row],[Profit]]/Table1[[#This Row],[Sales]]</f>
        <v>0.49075838096193058</v>
      </c>
      <c r="Q583" s="1" t="s">
        <v>33</v>
      </c>
      <c r="R583" s="1" t="s">
        <v>53</v>
      </c>
      <c r="S583" s="1" t="s">
        <v>154</v>
      </c>
      <c r="T583" s="1" t="s">
        <v>1152</v>
      </c>
      <c r="U583" s="1">
        <v>43017</v>
      </c>
      <c r="V583" s="9">
        <v>42076</v>
      </c>
      <c r="W583" s="13" t="str">
        <f>TEXT(Table1[[#This Row],[Order Date]],"mmmm")</f>
        <v>March</v>
      </c>
      <c r="X583" s="7" t="str">
        <f>TEXT(Table1[[#This Row],[Order Date]],"yyyy")</f>
        <v>2015</v>
      </c>
      <c r="Y583" s="9">
        <v>42077</v>
      </c>
      <c r="Z583" s="1">
        <v>293.66000000000003</v>
      </c>
      <c r="AA583" s="1">
        <v>6</v>
      </c>
      <c r="AB583" s="1">
        <v>598.38</v>
      </c>
      <c r="AC583" s="1">
        <v>90710</v>
      </c>
      <c r="AD583" s="6" t="str">
        <f>IF(COUNTIF(Returns!$A$2:$A$1635,Orders!AC583)&gt;0,"Returned","Not Returned")</f>
        <v>Not Returned</v>
      </c>
    </row>
    <row r="584" spans="1:30" ht="12.75" customHeight="1" thickTop="1" thickBot="1" x14ac:dyDescent="0.25">
      <c r="A584" s="10">
        <v>20669</v>
      </c>
      <c r="B584" s="11" t="s">
        <v>47</v>
      </c>
      <c r="C584" s="11">
        <v>0.1</v>
      </c>
      <c r="D584" s="11">
        <v>7.64</v>
      </c>
      <c r="E584" s="11">
        <v>5.83</v>
      </c>
      <c r="F584" s="11">
        <v>1038</v>
      </c>
      <c r="G584" s="6" t="str">
        <f>IF(COUNTIF(Table1[Customer ID],Table1[[#This Row],[Customer ID]])&gt;1,"Repeat Customer","One-Time Customer")</f>
        <v>One-Time Customer</v>
      </c>
      <c r="H584" s="11" t="s">
        <v>1153</v>
      </c>
      <c r="I584" s="11" t="s">
        <v>49</v>
      </c>
      <c r="J584" s="11" t="s">
        <v>28</v>
      </c>
      <c r="K584" s="11" t="s">
        <v>29</v>
      </c>
      <c r="L584" s="11" t="s">
        <v>93</v>
      </c>
      <c r="M584" s="11" t="s">
        <v>31</v>
      </c>
      <c r="N584" s="11" t="s">
        <v>1026</v>
      </c>
      <c r="O584" s="11">
        <v>0.36</v>
      </c>
      <c r="P584" s="6">
        <f>Table1[[#This Row],[Profit]]/Table1[[#This Row],[Sales]]</f>
        <v>-10.243582317073169</v>
      </c>
      <c r="Q584" s="11" t="s">
        <v>33</v>
      </c>
      <c r="R584" s="11" t="s">
        <v>136</v>
      </c>
      <c r="S584" s="11" t="s">
        <v>362</v>
      </c>
      <c r="T584" s="11" t="s">
        <v>1154</v>
      </c>
      <c r="U584" s="11">
        <v>33430</v>
      </c>
      <c r="V584" s="12">
        <v>42171</v>
      </c>
      <c r="W584" s="13" t="str">
        <f>TEXT(Table1[[#This Row],[Order Date]],"mmmm")</f>
        <v>June</v>
      </c>
      <c r="X584" s="7" t="str">
        <f>TEXT(Table1[[#This Row],[Order Date]],"yyyy")</f>
        <v>2015</v>
      </c>
      <c r="Y584" s="12">
        <v>42172</v>
      </c>
      <c r="Z584" s="11">
        <v>-403.18739999999997</v>
      </c>
      <c r="AA584" s="11">
        <v>5</v>
      </c>
      <c r="AB584" s="11">
        <v>39.36</v>
      </c>
      <c r="AC584" s="11">
        <v>90641</v>
      </c>
      <c r="AD584" s="6" t="str">
        <f>IF(COUNTIF(Returns!$A$2:$A$1635,Orders!AC584)&gt;0,"Returned","Not Returned")</f>
        <v>Not Returned</v>
      </c>
    </row>
    <row r="585" spans="1:30" ht="12.75" customHeight="1" thickTop="1" thickBot="1" x14ac:dyDescent="0.25">
      <c r="A585" s="8">
        <v>18404</v>
      </c>
      <c r="B585" s="1" t="s">
        <v>47</v>
      </c>
      <c r="C585" s="1">
        <v>0.06</v>
      </c>
      <c r="D585" s="1">
        <v>55.94</v>
      </c>
      <c r="E585" s="1">
        <v>4</v>
      </c>
      <c r="F585" s="1">
        <v>1041</v>
      </c>
      <c r="G585" s="6" t="str">
        <f>IF(COUNTIF(Table1[Customer ID],Table1[[#This Row],[Customer ID]])&gt;1,"Repeat Customer","One-Time Customer")</f>
        <v>Repeat Customer</v>
      </c>
      <c r="H585" s="1" t="s">
        <v>1155</v>
      </c>
      <c r="I585" s="1" t="s">
        <v>49</v>
      </c>
      <c r="J585" s="1" t="s">
        <v>58</v>
      </c>
      <c r="K585" s="1" t="s">
        <v>77</v>
      </c>
      <c r="L585" s="1" t="s">
        <v>180</v>
      </c>
      <c r="M585" s="1" t="s">
        <v>59</v>
      </c>
      <c r="N585" s="1" t="s">
        <v>1156</v>
      </c>
      <c r="O585" s="1">
        <v>0.74</v>
      </c>
      <c r="P585" s="6">
        <f>Table1[[#This Row],[Profit]]/Table1[[#This Row],[Sales]]</f>
        <v>-4.266195743098801E-2</v>
      </c>
      <c r="Q585" s="1" t="s">
        <v>33</v>
      </c>
      <c r="R585" s="1" t="s">
        <v>34</v>
      </c>
      <c r="S585" s="1" t="s">
        <v>45</v>
      </c>
      <c r="T585" s="1" t="s">
        <v>1157</v>
      </c>
      <c r="U585" s="1">
        <v>95695</v>
      </c>
      <c r="V585" s="9">
        <v>42111</v>
      </c>
      <c r="W585" s="13" t="str">
        <f>TEXT(Table1[[#This Row],[Order Date]],"mmmm")</f>
        <v>April</v>
      </c>
      <c r="X585" s="7" t="str">
        <f>TEXT(Table1[[#This Row],[Order Date]],"yyyy")</f>
        <v>2015</v>
      </c>
      <c r="Y585" s="9">
        <v>42112</v>
      </c>
      <c r="Z585" s="1">
        <v>-13.77</v>
      </c>
      <c r="AA585" s="1">
        <v>6</v>
      </c>
      <c r="AB585" s="1">
        <v>322.77</v>
      </c>
      <c r="AC585" s="1">
        <v>87846</v>
      </c>
      <c r="AD585" s="6" t="str">
        <f>IF(COUNTIF(Returns!$A$2:$A$1635,Orders!AC585)&gt;0,"Returned","Not Returned")</f>
        <v>Not Returned</v>
      </c>
    </row>
    <row r="586" spans="1:30" ht="12.75" customHeight="1" thickTop="1" thickBot="1" x14ac:dyDescent="0.25">
      <c r="A586" s="10">
        <v>18405</v>
      </c>
      <c r="B586" s="11" t="s">
        <v>47</v>
      </c>
      <c r="C586" s="11">
        <v>7.0000000000000007E-2</v>
      </c>
      <c r="D586" s="11">
        <v>6.3</v>
      </c>
      <c r="E586" s="11">
        <v>0.5</v>
      </c>
      <c r="F586" s="11">
        <v>1041</v>
      </c>
      <c r="G586" s="6" t="str">
        <f>IF(COUNTIF(Table1[Customer ID],Table1[[#This Row],[Customer ID]])&gt;1,"Repeat Customer","One-Time Customer")</f>
        <v>Repeat Customer</v>
      </c>
      <c r="H586" s="11" t="s">
        <v>1155</v>
      </c>
      <c r="I586" s="11" t="s">
        <v>49</v>
      </c>
      <c r="J586" s="11" t="s">
        <v>58</v>
      </c>
      <c r="K586" s="11" t="s">
        <v>29</v>
      </c>
      <c r="L586" s="11" t="s">
        <v>134</v>
      </c>
      <c r="M586" s="11" t="s">
        <v>59</v>
      </c>
      <c r="N586" s="11" t="s">
        <v>1158</v>
      </c>
      <c r="O586" s="11">
        <v>0.39</v>
      </c>
      <c r="P586" s="6">
        <f>Table1[[#This Row],[Profit]]/Table1[[#This Row],[Sales]]</f>
        <v>0.69</v>
      </c>
      <c r="Q586" s="11" t="s">
        <v>33</v>
      </c>
      <c r="R586" s="11" t="s">
        <v>34</v>
      </c>
      <c r="S586" s="11" t="s">
        <v>45</v>
      </c>
      <c r="T586" s="11" t="s">
        <v>1157</v>
      </c>
      <c r="U586" s="11">
        <v>95695</v>
      </c>
      <c r="V586" s="12">
        <v>42111</v>
      </c>
      <c r="W586" s="13" t="str">
        <f>TEXT(Table1[[#This Row],[Order Date]],"mmmm")</f>
        <v>April</v>
      </c>
      <c r="X586" s="7" t="str">
        <f>TEXT(Table1[[#This Row],[Order Date]],"yyyy")</f>
        <v>2015</v>
      </c>
      <c r="Y586" s="12">
        <v>42111</v>
      </c>
      <c r="Z586" s="11">
        <v>44.912100000000002</v>
      </c>
      <c r="AA586" s="11">
        <v>11</v>
      </c>
      <c r="AB586" s="11">
        <v>65.09</v>
      </c>
      <c r="AC586" s="11">
        <v>87846</v>
      </c>
      <c r="AD586" s="6" t="str">
        <f>IF(COUNTIF(Returns!$A$2:$A$1635,Orders!AC586)&gt;0,"Returned","Not Returned")</f>
        <v>Not Returned</v>
      </c>
    </row>
    <row r="587" spans="1:30" ht="12.75" customHeight="1" thickTop="1" thickBot="1" x14ac:dyDescent="0.25">
      <c r="A587" s="8">
        <v>20937</v>
      </c>
      <c r="B587" s="1" t="s">
        <v>47</v>
      </c>
      <c r="C587" s="1">
        <v>0</v>
      </c>
      <c r="D587" s="1">
        <v>14.42</v>
      </c>
      <c r="E587" s="1">
        <v>6.75</v>
      </c>
      <c r="F587" s="1">
        <v>1042</v>
      </c>
      <c r="G587" s="6" t="str">
        <f>IF(COUNTIF(Table1[Customer ID],Table1[[#This Row],[Customer ID]])&gt;1,"Repeat Customer","One-Time Customer")</f>
        <v>One-Time Customer</v>
      </c>
      <c r="H587" s="1" t="s">
        <v>1159</v>
      </c>
      <c r="I587" s="1" t="s">
        <v>27</v>
      </c>
      <c r="J587" s="1" t="s">
        <v>58</v>
      </c>
      <c r="K587" s="1" t="s">
        <v>29</v>
      </c>
      <c r="L587" s="1" t="s">
        <v>257</v>
      </c>
      <c r="M587" s="1" t="s">
        <v>86</v>
      </c>
      <c r="N587" s="1" t="s">
        <v>571</v>
      </c>
      <c r="O587" s="1">
        <v>0.52</v>
      </c>
      <c r="P587" s="6">
        <f>Table1[[#This Row],[Profit]]/Table1[[#This Row],[Sales]]</f>
        <v>9.4280517380759904E-2</v>
      </c>
      <c r="Q587" s="1" t="s">
        <v>33</v>
      </c>
      <c r="R587" s="1" t="s">
        <v>34</v>
      </c>
      <c r="S587" s="1" t="s">
        <v>45</v>
      </c>
      <c r="T587" s="1" t="s">
        <v>1160</v>
      </c>
      <c r="U587" s="1">
        <v>95991</v>
      </c>
      <c r="V587" s="9">
        <v>42140</v>
      </c>
      <c r="W587" s="13" t="str">
        <f>TEXT(Table1[[#This Row],[Order Date]],"mmmm")</f>
        <v>May</v>
      </c>
      <c r="X587" s="7" t="str">
        <f>TEXT(Table1[[#This Row],[Order Date]],"yyyy")</f>
        <v>2015</v>
      </c>
      <c r="Y587" s="9">
        <v>42141</v>
      </c>
      <c r="Z587" s="1">
        <v>9.33</v>
      </c>
      <c r="AA587" s="1">
        <v>6</v>
      </c>
      <c r="AB587" s="1">
        <v>98.96</v>
      </c>
      <c r="AC587" s="1">
        <v>87847</v>
      </c>
      <c r="AD587" s="6" t="str">
        <f>IF(COUNTIF(Returns!$A$2:$A$1635,Orders!AC587)&gt;0,"Returned","Not Returned")</f>
        <v>Not Returned</v>
      </c>
    </row>
    <row r="588" spans="1:30" ht="12.75" customHeight="1" thickTop="1" thickBot="1" x14ac:dyDescent="0.25">
      <c r="A588" s="10">
        <v>3926</v>
      </c>
      <c r="B588" s="11" t="s">
        <v>47</v>
      </c>
      <c r="C588" s="11">
        <v>0.02</v>
      </c>
      <c r="D588" s="11">
        <v>209.84</v>
      </c>
      <c r="E588" s="11">
        <v>21.21</v>
      </c>
      <c r="F588" s="11">
        <v>1044</v>
      </c>
      <c r="G588" s="6" t="str">
        <f>IF(COUNTIF(Table1[Customer ID],Table1[[#This Row],[Customer ID]])&gt;1,"Repeat Customer","One-Time Customer")</f>
        <v>Repeat Customer</v>
      </c>
      <c r="H588" s="11" t="s">
        <v>1161</v>
      </c>
      <c r="I588" s="11" t="s">
        <v>49</v>
      </c>
      <c r="J588" s="11" t="s">
        <v>40</v>
      </c>
      <c r="K588" s="11" t="s">
        <v>41</v>
      </c>
      <c r="L588" s="11" t="s">
        <v>50</v>
      </c>
      <c r="M588" s="11" t="s">
        <v>236</v>
      </c>
      <c r="N588" s="11" t="s">
        <v>1162</v>
      </c>
      <c r="O588" s="11">
        <v>0.59</v>
      </c>
      <c r="P588" s="6">
        <f>Table1[[#This Row],[Profit]]/Table1[[#This Row],[Sales]]</f>
        <v>0.19141887393020118</v>
      </c>
      <c r="Q588" s="11" t="s">
        <v>33</v>
      </c>
      <c r="R588" s="11" t="s">
        <v>34</v>
      </c>
      <c r="S588" s="11" t="s">
        <v>45</v>
      </c>
      <c r="T588" s="11" t="s">
        <v>663</v>
      </c>
      <c r="U588" s="11">
        <v>90004</v>
      </c>
      <c r="V588" s="12">
        <v>42169</v>
      </c>
      <c r="W588" s="13" t="str">
        <f>TEXT(Table1[[#This Row],[Order Date]],"mmmm")</f>
        <v>June</v>
      </c>
      <c r="X588" s="7" t="str">
        <f>TEXT(Table1[[#This Row],[Order Date]],"yyyy")</f>
        <v>2015</v>
      </c>
      <c r="Y588" s="12">
        <v>42169</v>
      </c>
      <c r="Z588" s="11">
        <v>2593.14</v>
      </c>
      <c r="AA588" s="11">
        <v>62</v>
      </c>
      <c r="AB588" s="11">
        <v>13546.94</v>
      </c>
      <c r="AC588" s="11">
        <v>28001</v>
      </c>
      <c r="AD588" s="6" t="str">
        <f>IF(COUNTIF(Returns!$A$2:$A$1635,Orders!AC588)&gt;0,"Returned","Not Returned")</f>
        <v>Not Returned</v>
      </c>
    </row>
    <row r="589" spans="1:30" ht="12.75" customHeight="1" thickTop="1" thickBot="1" x14ac:dyDescent="0.25">
      <c r="A589" s="8">
        <v>3927</v>
      </c>
      <c r="B589" s="1" t="s">
        <v>47</v>
      </c>
      <c r="C589" s="1">
        <v>0.01</v>
      </c>
      <c r="D589" s="1">
        <v>194.3</v>
      </c>
      <c r="E589" s="1">
        <v>11.54</v>
      </c>
      <c r="F589" s="1">
        <v>1044</v>
      </c>
      <c r="G589" s="6" t="str">
        <f>IF(COUNTIF(Table1[Customer ID],Table1[[#This Row],[Customer ID]])&gt;1,"Repeat Customer","One-Time Customer")</f>
        <v>Repeat Customer</v>
      </c>
      <c r="H589" s="1" t="s">
        <v>1161</v>
      </c>
      <c r="I589" s="1" t="s">
        <v>49</v>
      </c>
      <c r="J589" s="1" t="s">
        <v>40</v>
      </c>
      <c r="K589" s="1" t="s">
        <v>41</v>
      </c>
      <c r="L589" s="1" t="s">
        <v>50</v>
      </c>
      <c r="M589" s="1" t="s">
        <v>236</v>
      </c>
      <c r="N589" s="1" t="s">
        <v>1163</v>
      </c>
      <c r="O589" s="1">
        <v>0.59</v>
      </c>
      <c r="P589" s="6">
        <f>Table1[[#This Row],[Profit]]/Table1[[#This Row],[Sales]]</f>
        <v>0.18163442237548133</v>
      </c>
      <c r="Q589" s="1" t="s">
        <v>33</v>
      </c>
      <c r="R589" s="1" t="s">
        <v>34</v>
      </c>
      <c r="S589" s="1" t="s">
        <v>45</v>
      </c>
      <c r="T589" s="1" t="s">
        <v>663</v>
      </c>
      <c r="U589" s="1">
        <v>90004</v>
      </c>
      <c r="V589" s="9">
        <v>42169</v>
      </c>
      <c r="W589" s="13" t="str">
        <f>TEXT(Table1[[#This Row],[Order Date]],"mmmm")</f>
        <v>June</v>
      </c>
      <c r="X589" s="7" t="str">
        <f>TEXT(Table1[[#This Row],[Order Date]],"yyyy")</f>
        <v>2015</v>
      </c>
      <c r="Y589" s="9">
        <v>42171</v>
      </c>
      <c r="Z589" s="1">
        <v>1162.76</v>
      </c>
      <c r="AA589" s="1">
        <v>32</v>
      </c>
      <c r="AB589" s="1">
        <v>6401.65</v>
      </c>
      <c r="AC589" s="1">
        <v>28001</v>
      </c>
      <c r="AD589" s="6" t="str">
        <f>IF(COUNTIF(Returns!$A$2:$A$1635,Orders!AC589)&gt;0,"Returned","Not Returned")</f>
        <v>Not Returned</v>
      </c>
    </row>
    <row r="590" spans="1:30" ht="12.75" customHeight="1" thickTop="1" thickBot="1" x14ac:dyDescent="0.25">
      <c r="A590" s="10">
        <v>6711</v>
      </c>
      <c r="B590" s="11" t="s">
        <v>25</v>
      </c>
      <c r="C590" s="11">
        <v>0</v>
      </c>
      <c r="D590" s="11">
        <v>6.68</v>
      </c>
      <c r="E590" s="11">
        <v>5.66</v>
      </c>
      <c r="F590" s="11">
        <v>1044</v>
      </c>
      <c r="G590" s="6" t="str">
        <f>IF(COUNTIF(Table1[Customer ID],Table1[[#This Row],[Customer ID]])&gt;1,"Repeat Customer","One-Time Customer")</f>
        <v>Repeat Customer</v>
      </c>
      <c r="H590" s="11" t="s">
        <v>1161</v>
      </c>
      <c r="I590" s="11" t="s">
        <v>49</v>
      </c>
      <c r="J590" s="11" t="s">
        <v>40</v>
      </c>
      <c r="K590" s="11" t="s">
        <v>29</v>
      </c>
      <c r="L590" s="11" t="s">
        <v>93</v>
      </c>
      <c r="M590" s="11" t="s">
        <v>59</v>
      </c>
      <c r="N590" s="11" t="s">
        <v>1164</v>
      </c>
      <c r="O590" s="11">
        <v>0.37</v>
      </c>
      <c r="P590" s="6">
        <f>Table1[[#This Row],[Profit]]/Table1[[#This Row],[Sales]]</f>
        <v>-0.12461937155814706</v>
      </c>
      <c r="Q590" s="11" t="s">
        <v>33</v>
      </c>
      <c r="R590" s="11" t="s">
        <v>34</v>
      </c>
      <c r="S590" s="11" t="s">
        <v>45</v>
      </c>
      <c r="T590" s="11" t="s">
        <v>663</v>
      </c>
      <c r="U590" s="11">
        <v>90004</v>
      </c>
      <c r="V590" s="12">
        <v>42062</v>
      </c>
      <c r="W590" s="13" t="str">
        <f>TEXT(Table1[[#This Row],[Order Date]],"mmmm")</f>
        <v>February</v>
      </c>
      <c r="X590" s="7" t="str">
        <f>TEXT(Table1[[#This Row],[Order Date]],"yyyy")</f>
        <v>2015</v>
      </c>
      <c r="Y590" s="12">
        <v>42063</v>
      </c>
      <c r="Z590" s="11">
        <v>-76.94</v>
      </c>
      <c r="AA590" s="11">
        <v>90</v>
      </c>
      <c r="AB590" s="11">
        <v>617.4</v>
      </c>
      <c r="AC590" s="11">
        <v>47813</v>
      </c>
      <c r="AD590" s="6" t="str">
        <f>IF(COUNTIF(Returns!$A$2:$A$1635,Orders!AC590)&gt;0,"Returned","Not Returned")</f>
        <v>Returned</v>
      </c>
    </row>
    <row r="591" spans="1:30" ht="12.75" customHeight="1" thickTop="1" thickBot="1" x14ac:dyDescent="0.25">
      <c r="A591" s="8">
        <v>24711</v>
      </c>
      <c r="B591" s="1" t="s">
        <v>25</v>
      </c>
      <c r="C591" s="1">
        <v>0</v>
      </c>
      <c r="D591" s="1">
        <v>6.68</v>
      </c>
      <c r="E591" s="1">
        <v>5.66</v>
      </c>
      <c r="F591" s="1">
        <v>1047</v>
      </c>
      <c r="G591" s="6" t="str">
        <f>IF(COUNTIF(Table1[Customer ID],Table1[[#This Row],[Customer ID]])&gt;1,"Repeat Customer","One-Time Customer")</f>
        <v>One-Time Customer</v>
      </c>
      <c r="H591" s="1" t="s">
        <v>1165</v>
      </c>
      <c r="I591" s="1" t="s">
        <v>49</v>
      </c>
      <c r="J591" s="1" t="s">
        <v>40</v>
      </c>
      <c r="K591" s="1" t="s">
        <v>29</v>
      </c>
      <c r="L591" s="1" t="s">
        <v>93</v>
      </c>
      <c r="M591" s="1" t="s">
        <v>59</v>
      </c>
      <c r="N591" s="1" t="s">
        <v>1164</v>
      </c>
      <c r="O591" s="1">
        <v>0.37</v>
      </c>
      <c r="P591" s="6">
        <f>Table1[[#This Row],[Profit]]/Table1[[#This Row],[Sales]]</f>
        <v>-0.25357332995309928</v>
      </c>
      <c r="Q591" s="1" t="s">
        <v>33</v>
      </c>
      <c r="R591" s="1" t="s">
        <v>53</v>
      </c>
      <c r="S591" s="1" t="s">
        <v>193</v>
      </c>
      <c r="T591" s="1" t="s">
        <v>194</v>
      </c>
      <c r="U591" s="1">
        <v>2109</v>
      </c>
      <c r="V591" s="9">
        <v>42062</v>
      </c>
      <c r="W591" s="13" t="str">
        <f>TEXT(Table1[[#This Row],[Order Date]],"mmmm")</f>
        <v>February</v>
      </c>
      <c r="X591" s="7" t="str">
        <f>TEXT(Table1[[#This Row],[Order Date]],"yyyy")</f>
        <v>2015</v>
      </c>
      <c r="Y591" s="9">
        <v>42063</v>
      </c>
      <c r="Z591" s="1">
        <v>-40.008800000000001</v>
      </c>
      <c r="AA591" s="1">
        <v>23</v>
      </c>
      <c r="AB591" s="1">
        <v>157.78</v>
      </c>
      <c r="AC591" s="1">
        <v>89389</v>
      </c>
      <c r="AD591" s="6" t="str">
        <f>IF(COUNTIF(Returns!$A$2:$A$1635,Orders!AC591)&gt;0,"Returned","Not Returned")</f>
        <v>Not Returned</v>
      </c>
    </row>
    <row r="592" spans="1:30" ht="14.25" thickTop="1" thickBot="1" x14ac:dyDescent="0.25">
      <c r="A592" s="10">
        <v>26259</v>
      </c>
      <c r="B592" s="11" t="s">
        <v>37</v>
      </c>
      <c r="C592" s="11">
        <v>0.03</v>
      </c>
      <c r="D592" s="11">
        <v>5.44</v>
      </c>
      <c r="E592" s="11">
        <v>7.46</v>
      </c>
      <c r="F592" s="11">
        <v>1054</v>
      </c>
      <c r="G592" s="6" t="str">
        <f>IF(COUNTIF(Table1[Customer ID],Table1[[#This Row],[Customer ID]])&gt;1,"Repeat Customer","One-Time Customer")</f>
        <v>Repeat Customer</v>
      </c>
      <c r="H592" s="11" t="s">
        <v>1166</v>
      </c>
      <c r="I592" s="11" t="s">
        <v>27</v>
      </c>
      <c r="J592" s="11" t="s">
        <v>28</v>
      </c>
      <c r="K592" s="11" t="s">
        <v>29</v>
      </c>
      <c r="L592" s="11" t="s">
        <v>109</v>
      </c>
      <c r="M592" s="11" t="s">
        <v>59</v>
      </c>
      <c r="N592" s="11" t="s">
        <v>1167</v>
      </c>
      <c r="O592" s="11">
        <v>0.36</v>
      </c>
      <c r="P592" s="6">
        <f>Table1[[#This Row],[Profit]]/Table1[[#This Row],[Sales]]</f>
        <v>-1.9651843405549223</v>
      </c>
      <c r="Q592" s="11" t="s">
        <v>33</v>
      </c>
      <c r="R592" s="11" t="s">
        <v>34</v>
      </c>
      <c r="S592" s="11" t="s">
        <v>378</v>
      </c>
      <c r="T592" s="11" t="s">
        <v>1168</v>
      </c>
      <c r="U592" s="11">
        <v>85374</v>
      </c>
      <c r="V592" s="12">
        <v>42149</v>
      </c>
      <c r="W592" s="13" t="str">
        <f>TEXT(Table1[[#This Row],[Order Date]],"mmmm")</f>
        <v>May</v>
      </c>
      <c r="X592" s="7" t="str">
        <f>TEXT(Table1[[#This Row],[Order Date]],"yyyy")</f>
        <v>2015</v>
      </c>
      <c r="Y592" s="12">
        <v>42151</v>
      </c>
      <c r="Z592" s="11">
        <v>-51.704000000000001</v>
      </c>
      <c r="AA592" s="11">
        <v>4</v>
      </c>
      <c r="AB592" s="11">
        <v>26.31</v>
      </c>
      <c r="AC592" s="11">
        <v>90069</v>
      </c>
      <c r="AD592" s="6" t="str">
        <f>IF(COUNTIF(Returns!$A$2:$A$1635,Orders!AC592)&gt;0,"Returned","Not Returned")</f>
        <v>Not Returned</v>
      </c>
    </row>
    <row r="593" spans="1:30" ht="14.25" thickTop="1" thickBot="1" x14ac:dyDescent="0.25">
      <c r="A593" s="8">
        <v>26260</v>
      </c>
      <c r="B593" s="1" t="s">
        <v>37</v>
      </c>
      <c r="C593" s="1">
        <v>0.08</v>
      </c>
      <c r="D593" s="1">
        <v>26.38</v>
      </c>
      <c r="E593" s="1">
        <v>5.58</v>
      </c>
      <c r="F593" s="1">
        <v>1054</v>
      </c>
      <c r="G593" s="6" t="str">
        <f>IF(COUNTIF(Table1[Customer ID],Table1[[#This Row],[Customer ID]])&gt;1,"Repeat Customer","One-Time Customer")</f>
        <v>Repeat Customer</v>
      </c>
      <c r="H593" s="1" t="s">
        <v>1166</v>
      </c>
      <c r="I593" s="1" t="s">
        <v>49</v>
      </c>
      <c r="J593" s="1" t="s">
        <v>28</v>
      </c>
      <c r="K593" s="1" t="s">
        <v>29</v>
      </c>
      <c r="L593" s="1" t="s">
        <v>93</v>
      </c>
      <c r="M593" s="1" t="s">
        <v>59</v>
      </c>
      <c r="N593" s="1" t="s">
        <v>1169</v>
      </c>
      <c r="O593" s="1">
        <v>0.39</v>
      </c>
      <c r="P593" s="6">
        <f>Table1[[#This Row],[Profit]]/Table1[[#This Row],[Sales]]</f>
        <v>0.69</v>
      </c>
      <c r="Q593" s="1" t="s">
        <v>33</v>
      </c>
      <c r="R593" s="1" t="s">
        <v>34</v>
      </c>
      <c r="S593" s="1" t="s">
        <v>378</v>
      </c>
      <c r="T593" s="1" t="s">
        <v>1168</v>
      </c>
      <c r="U593" s="1">
        <v>85374</v>
      </c>
      <c r="V593" s="9">
        <v>42149</v>
      </c>
      <c r="W593" s="13" t="str">
        <f>TEXT(Table1[[#This Row],[Order Date]],"mmmm")</f>
        <v>May</v>
      </c>
      <c r="X593" s="7" t="str">
        <f>TEXT(Table1[[#This Row],[Order Date]],"yyyy")</f>
        <v>2015</v>
      </c>
      <c r="Y593" s="9">
        <v>42150</v>
      </c>
      <c r="Z593" s="1">
        <v>144.7482</v>
      </c>
      <c r="AA593" s="1">
        <v>8</v>
      </c>
      <c r="AB593" s="1">
        <v>209.78</v>
      </c>
      <c r="AC593" s="1">
        <v>90069</v>
      </c>
      <c r="AD593" s="6" t="str">
        <f>IF(COUNTIF(Returns!$A$2:$A$1635,Orders!AC593)&gt;0,"Returned","Not Returned")</f>
        <v>Not Returned</v>
      </c>
    </row>
    <row r="594" spans="1:30" ht="14.25" thickTop="1" thickBot="1" x14ac:dyDescent="0.25">
      <c r="A594" s="10">
        <v>26261</v>
      </c>
      <c r="B594" s="11" t="s">
        <v>37</v>
      </c>
      <c r="C594" s="11">
        <v>0.06</v>
      </c>
      <c r="D594" s="11">
        <v>20.99</v>
      </c>
      <c r="E594" s="11">
        <v>2.5</v>
      </c>
      <c r="F594" s="11">
        <v>1054</v>
      </c>
      <c r="G594" s="6" t="str">
        <f>IF(COUNTIF(Table1[Customer ID],Table1[[#This Row],[Customer ID]])&gt;1,"Repeat Customer","One-Time Customer")</f>
        <v>Repeat Customer</v>
      </c>
      <c r="H594" s="11" t="s">
        <v>1166</v>
      </c>
      <c r="I594" s="11" t="s">
        <v>49</v>
      </c>
      <c r="J594" s="11" t="s">
        <v>28</v>
      </c>
      <c r="K594" s="11" t="s">
        <v>77</v>
      </c>
      <c r="L594" s="11" t="s">
        <v>78</v>
      </c>
      <c r="M594" s="11" t="s">
        <v>31</v>
      </c>
      <c r="N594" s="11" t="s">
        <v>1170</v>
      </c>
      <c r="O594" s="11">
        <v>0.81</v>
      </c>
      <c r="P594" s="6">
        <f>Table1[[#This Row],[Profit]]/Table1[[#This Row],[Sales]]</f>
        <v>-6.2921480650588899</v>
      </c>
      <c r="Q594" s="11" t="s">
        <v>33</v>
      </c>
      <c r="R594" s="11" t="s">
        <v>34</v>
      </c>
      <c r="S594" s="11" t="s">
        <v>378</v>
      </c>
      <c r="T594" s="11" t="s">
        <v>1168</v>
      </c>
      <c r="U594" s="11">
        <v>85374</v>
      </c>
      <c r="V594" s="12">
        <v>42149</v>
      </c>
      <c r="W594" s="13" t="str">
        <f>TEXT(Table1[[#This Row],[Order Date]],"mmmm")</f>
        <v>May</v>
      </c>
      <c r="X594" s="7" t="str">
        <f>TEXT(Table1[[#This Row],[Order Date]],"yyyy")</f>
        <v>2015</v>
      </c>
      <c r="Y594" s="12">
        <v>42151</v>
      </c>
      <c r="Z594" s="11">
        <v>-112.18899999999999</v>
      </c>
      <c r="AA594" s="11">
        <v>1</v>
      </c>
      <c r="AB594" s="11">
        <v>17.829999999999998</v>
      </c>
      <c r="AC594" s="11">
        <v>90069</v>
      </c>
      <c r="AD594" s="6" t="str">
        <f>IF(COUNTIF(Returns!$A$2:$A$1635,Orders!AC594)&gt;0,"Returned","Not Returned")</f>
        <v>Not Returned</v>
      </c>
    </row>
    <row r="595" spans="1:30" ht="12.75" customHeight="1" thickTop="1" thickBot="1" x14ac:dyDescent="0.25">
      <c r="A595" s="8">
        <v>8200</v>
      </c>
      <c r="B595" s="1" t="s">
        <v>56</v>
      </c>
      <c r="C595" s="1">
        <v>0.09</v>
      </c>
      <c r="D595" s="1">
        <v>138.75</v>
      </c>
      <c r="E595" s="1">
        <v>52.42</v>
      </c>
      <c r="F595" s="1">
        <v>1060</v>
      </c>
      <c r="G595" s="6" t="str">
        <f>IF(COUNTIF(Table1[Customer ID],Table1[[#This Row],[Customer ID]])&gt;1,"Repeat Customer","One-Time Customer")</f>
        <v>Repeat Customer</v>
      </c>
      <c r="H595" s="1" t="s">
        <v>1171</v>
      </c>
      <c r="I595" s="1" t="s">
        <v>39</v>
      </c>
      <c r="J595" s="1" t="s">
        <v>58</v>
      </c>
      <c r="K595" s="1" t="s">
        <v>41</v>
      </c>
      <c r="L595" s="1" t="s">
        <v>152</v>
      </c>
      <c r="M595" s="1" t="s">
        <v>121</v>
      </c>
      <c r="N595" s="1" t="s">
        <v>1172</v>
      </c>
      <c r="O595" s="1">
        <v>0.74</v>
      </c>
      <c r="P595" s="6">
        <f>Table1[[#This Row],[Profit]]/Table1[[#This Row],[Sales]]</f>
        <v>-0.17642754194375326</v>
      </c>
      <c r="Q595" s="1" t="s">
        <v>33</v>
      </c>
      <c r="R595" s="1" t="s">
        <v>136</v>
      </c>
      <c r="S595" s="1" t="s">
        <v>387</v>
      </c>
      <c r="T595" s="1" t="s">
        <v>580</v>
      </c>
      <c r="U595" s="1">
        <v>30318</v>
      </c>
      <c r="V595" s="9">
        <v>42087</v>
      </c>
      <c r="W595" s="13" t="str">
        <f>TEXT(Table1[[#This Row],[Order Date]],"mmmm")</f>
        <v>March</v>
      </c>
      <c r="X595" s="7" t="str">
        <f>TEXT(Table1[[#This Row],[Order Date]],"yyyy")</f>
        <v>2015</v>
      </c>
      <c r="Y595" s="9">
        <v>42088</v>
      </c>
      <c r="Z595" s="1">
        <v>-445.97177625000006</v>
      </c>
      <c r="AA595" s="1">
        <v>23</v>
      </c>
      <c r="AB595" s="1">
        <v>2527.79</v>
      </c>
      <c r="AC595" s="1">
        <v>58628</v>
      </c>
      <c r="AD595" s="6" t="str">
        <f>IF(COUNTIF(Returns!$A$2:$A$1635,Orders!AC595)&gt;0,"Returned","Not Returned")</f>
        <v>Not Returned</v>
      </c>
    </row>
    <row r="596" spans="1:30" ht="12.75" customHeight="1" thickTop="1" thickBot="1" x14ac:dyDescent="0.25">
      <c r="A596" s="10">
        <v>7980</v>
      </c>
      <c r="B596" s="11" t="s">
        <v>106</v>
      </c>
      <c r="C596" s="11">
        <v>7.0000000000000007E-2</v>
      </c>
      <c r="D596" s="11">
        <v>6.3</v>
      </c>
      <c r="E596" s="11">
        <v>0.5</v>
      </c>
      <c r="F596" s="11">
        <v>1060</v>
      </c>
      <c r="G596" s="6" t="str">
        <f>IF(COUNTIF(Table1[Customer ID],Table1[[#This Row],[Customer ID]])&gt;1,"Repeat Customer","One-Time Customer")</f>
        <v>Repeat Customer</v>
      </c>
      <c r="H596" s="11" t="s">
        <v>1171</v>
      </c>
      <c r="I596" s="11" t="s">
        <v>49</v>
      </c>
      <c r="J596" s="11" t="s">
        <v>58</v>
      </c>
      <c r="K596" s="11" t="s">
        <v>29</v>
      </c>
      <c r="L596" s="11" t="s">
        <v>134</v>
      </c>
      <c r="M596" s="11" t="s">
        <v>59</v>
      </c>
      <c r="N596" s="11" t="s">
        <v>211</v>
      </c>
      <c r="O596" s="11">
        <v>0.39</v>
      </c>
      <c r="P596" s="6">
        <f>Table1[[#This Row],[Profit]]/Table1[[#This Row],[Sales]]</f>
        <v>3.4195454172478865E-2</v>
      </c>
      <c r="Q596" s="11" t="s">
        <v>33</v>
      </c>
      <c r="R596" s="11" t="s">
        <v>136</v>
      </c>
      <c r="S596" s="11" t="s">
        <v>387</v>
      </c>
      <c r="T596" s="11" t="s">
        <v>580</v>
      </c>
      <c r="U596" s="11">
        <v>30318</v>
      </c>
      <c r="V596" s="12">
        <v>42154</v>
      </c>
      <c r="W596" s="13" t="str">
        <f>TEXT(Table1[[#This Row],[Order Date]],"mmmm")</f>
        <v>May</v>
      </c>
      <c r="X596" s="7" t="str">
        <f>TEXT(Table1[[#This Row],[Order Date]],"yyyy")</f>
        <v>2015</v>
      </c>
      <c r="Y596" s="12">
        <v>42154</v>
      </c>
      <c r="Z596" s="11">
        <v>4.1673999999999998</v>
      </c>
      <c r="AA596" s="11">
        <v>20</v>
      </c>
      <c r="AB596" s="11">
        <v>121.87</v>
      </c>
      <c r="AC596" s="11">
        <v>57061</v>
      </c>
      <c r="AD596" s="6" t="str">
        <f>IF(COUNTIF(Returns!$A$2:$A$1635,Orders!AC596)&gt;0,"Returned","Not Returned")</f>
        <v>Not Returned</v>
      </c>
    </row>
    <row r="597" spans="1:30" ht="12.75" customHeight="1" thickTop="1" thickBot="1" x14ac:dyDescent="0.25">
      <c r="A597" s="8">
        <v>26200</v>
      </c>
      <c r="B597" s="1" t="s">
        <v>56</v>
      </c>
      <c r="C597" s="1">
        <v>0.09</v>
      </c>
      <c r="D597" s="1">
        <v>138.75</v>
      </c>
      <c r="E597" s="1">
        <v>52.42</v>
      </c>
      <c r="F597" s="1">
        <v>1062</v>
      </c>
      <c r="G597" s="6" t="str">
        <f>IF(COUNTIF(Table1[Customer ID],Table1[[#This Row],[Customer ID]])&gt;1,"Repeat Customer","One-Time Customer")</f>
        <v>Repeat Customer</v>
      </c>
      <c r="H597" s="1" t="s">
        <v>1173</v>
      </c>
      <c r="I597" s="1" t="s">
        <v>39</v>
      </c>
      <c r="J597" s="1" t="s">
        <v>58</v>
      </c>
      <c r="K597" s="1" t="s">
        <v>41</v>
      </c>
      <c r="L597" s="1" t="s">
        <v>152</v>
      </c>
      <c r="M597" s="1" t="s">
        <v>121</v>
      </c>
      <c r="N597" s="1" t="s">
        <v>1172</v>
      </c>
      <c r="O597" s="1">
        <v>0.74</v>
      </c>
      <c r="P597" s="6">
        <f>Table1[[#This Row],[Profit]]/Table1[[#This Row],[Sales]]</f>
        <v>-0.50850311637499634</v>
      </c>
      <c r="Q597" s="1" t="s">
        <v>33</v>
      </c>
      <c r="R597" s="1" t="s">
        <v>53</v>
      </c>
      <c r="S597" s="1" t="s">
        <v>71</v>
      </c>
      <c r="T597" s="1" t="s">
        <v>1174</v>
      </c>
      <c r="U597" s="1">
        <v>11727</v>
      </c>
      <c r="V597" s="9">
        <v>42087</v>
      </c>
      <c r="W597" s="13" t="str">
        <f>TEXT(Table1[[#This Row],[Order Date]],"mmmm")</f>
        <v>March</v>
      </c>
      <c r="X597" s="7" t="str">
        <f>TEXT(Table1[[#This Row],[Order Date]],"yyyy")</f>
        <v>2015</v>
      </c>
      <c r="Y597" s="9">
        <v>42088</v>
      </c>
      <c r="Z597" s="1">
        <v>-335.31712500000003</v>
      </c>
      <c r="AA597" s="1">
        <v>6</v>
      </c>
      <c r="AB597" s="1">
        <v>659.42</v>
      </c>
      <c r="AC597" s="1">
        <v>91354</v>
      </c>
      <c r="AD597" s="6" t="str">
        <f>IF(COUNTIF(Returns!$A$2:$A$1635,Orders!AC597)&gt;0,"Returned","Not Returned")</f>
        <v>Not Returned</v>
      </c>
    </row>
    <row r="598" spans="1:30" ht="12.75" customHeight="1" thickTop="1" thickBot="1" x14ac:dyDescent="0.25">
      <c r="A598" s="10">
        <v>25979</v>
      </c>
      <c r="B598" s="11" t="s">
        <v>106</v>
      </c>
      <c r="C598" s="11">
        <v>0.04</v>
      </c>
      <c r="D598" s="11">
        <v>22.38</v>
      </c>
      <c r="E598" s="11">
        <v>15.1</v>
      </c>
      <c r="F598" s="11">
        <v>1062</v>
      </c>
      <c r="G598" s="6" t="str">
        <f>IF(COUNTIF(Table1[Customer ID],Table1[[#This Row],[Customer ID]])&gt;1,"Repeat Customer","One-Time Customer")</f>
        <v>Repeat Customer</v>
      </c>
      <c r="H598" s="11" t="s">
        <v>1173</v>
      </c>
      <c r="I598" s="11" t="s">
        <v>49</v>
      </c>
      <c r="J598" s="11" t="s">
        <v>58</v>
      </c>
      <c r="K598" s="11" t="s">
        <v>29</v>
      </c>
      <c r="L598" s="11" t="s">
        <v>109</v>
      </c>
      <c r="M598" s="11" t="s">
        <v>59</v>
      </c>
      <c r="N598" s="11" t="s">
        <v>1175</v>
      </c>
      <c r="O598" s="11">
        <v>0.38</v>
      </c>
      <c r="P598" s="6">
        <f>Table1[[#This Row],[Profit]]/Table1[[#This Row],[Sales]]</f>
        <v>3.9704111218496804E-2</v>
      </c>
      <c r="Q598" s="11" t="s">
        <v>33</v>
      </c>
      <c r="R598" s="11" t="s">
        <v>53</v>
      </c>
      <c r="S598" s="11" t="s">
        <v>71</v>
      </c>
      <c r="T598" s="11" t="s">
        <v>1174</v>
      </c>
      <c r="U598" s="11">
        <v>11727</v>
      </c>
      <c r="V598" s="12">
        <v>42154</v>
      </c>
      <c r="W598" s="13" t="str">
        <f>TEXT(Table1[[#This Row],[Order Date]],"mmmm")</f>
        <v>May</v>
      </c>
      <c r="X598" s="7" t="str">
        <f>TEXT(Table1[[#This Row],[Order Date]],"yyyy")</f>
        <v>2015</v>
      </c>
      <c r="Y598" s="12">
        <v>42162</v>
      </c>
      <c r="Z598" s="11">
        <v>16.021800000000013</v>
      </c>
      <c r="AA598" s="11">
        <v>18</v>
      </c>
      <c r="AB598" s="11">
        <v>403.53</v>
      </c>
      <c r="AC598" s="11">
        <v>91355</v>
      </c>
      <c r="AD598" s="6" t="str">
        <f>IF(COUNTIF(Returns!$A$2:$A$1635,Orders!AC598)&gt;0,"Returned","Not Returned")</f>
        <v>Not Returned</v>
      </c>
    </row>
    <row r="599" spans="1:30" ht="12.75" customHeight="1" thickTop="1" thickBot="1" x14ac:dyDescent="0.25">
      <c r="A599" s="8">
        <v>25981</v>
      </c>
      <c r="B599" s="1" t="s">
        <v>106</v>
      </c>
      <c r="C599" s="1">
        <v>0.06</v>
      </c>
      <c r="D599" s="1">
        <v>17.78</v>
      </c>
      <c r="E599" s="1">
        <v>5.03</v>
      </c>
      <c r="F599" s="1">
        <v>1062</v>
      </c>
      <c r="G599" s="6" t="str">
        <f>IF(COUNTIF(Table1[Customer ID],Table1[[#This Row],[Customer ID]])&gt;1,"Repeat Customer","One-Time Customer")</f>
        <v>Repeat Customer</v>
      </c>
      <c r="H599" s="1" t="s">
        <v>1173</v>
      </c>
      <c r="I599" s="1" t="s">
        <v>49</v>
      </c>
      <c r="J599" s="1" t="s">
        <v>58</v>
      </c>
      <c r="K599" s="1" t="s">
        <v>41</v>
      </c>
      <c r="L599" s="1" t="s">
        <v>50</v>
      </c>
      <c r="M599" s="1" t="s">
        <v>59</v>
      </c>
      <c r="N599" s="1" t="s">
        <v>1176</v>
      </c>
      <c r="O599" s="1">
        <v>0.54</v>
      </c>
      <c r="P599" s="6">
        <f>Table1[[#This Row],[Profit]]/Table1[[#This Row],[Sales]]</f>
        <v>0.69</v>
      </c>
      <c r="Q599" s="1" t="s">
        <v>33</v>
      </c>
      <c r="R599" s="1" t="s">
        <v>53</v>
      </c>
      <c r="S599" s="1" t="s">
        <v>71</v>
      </c>
      <c r="T599" s="1" t="s">
        <v>1174</v>
      </c>
      <c r="U599" s="1">
        <v>11727</v>
      </c>
      <c r="V599" s="9">
        <v>42154</v>
      </c>
      <c r="W599" s="13" t="str">
        <f>TEXT(Table1[[#This Row],[Order Date]],"mmmm")</f>
        <v>May</v>
      </c>
      <c r="X599" s="7" t="str">
        <f>TEXT(Table1[[#This Row],[Order Date]],"yyyy")</f>
        <v>2015</v>
      </c>
      <c r="Y599" s="9">
        <v>42157</v>
      </c>
      <c r="Z599" s="1">
        <v>38.067299999999996</v>
      </c>
      <c r="AA599" s="1">
        <v>3</v>
      </c>
      <c r="AB599" s="1">
        <v>55.17</v>
      </c>
      <c r="AC599" s="1">
        <v>91355</v>
      </c>
      <c r="AD599" s="6" t="str">
        <f>IF(COUNTIF(Returns!$A$2:$A$1635,Orders!AC599)&gt;0,"Returned","Not Returned")</f>
        <v>Not Returned</v>
      </c>
    </row>
    <row r="600" spans="1:30" ht="12.75" customHeight="1" thickTop="1" thickBot="1" x14ac:dyDescent="0.25">
      <c r="A600" s="10">
        <v>19445</v>
      </c>
      <c r="B600" s="11" t="s">
        <v>47</v>
      </c>
      <c r="C600" s="11">
        <v>0.01</v>
      </c>
      <c r="D600" s="11">
        <v>15.99</v>
      </c>
      <c r="E600" s="11">
        <v>13.18</v>
      </c>
      <c r="F600" s="11">
        <v>1065</v>
      </c>
      <c r="G600" s="6" t="str">
        <f>IF(COUNTIF(Table1[Customer ID],Table1[[#This Row],[Customer ID]])&gt;1,"Repeat Customer","One-Time Customer")</f>
        <v>One-Time Customer</v>
      </c>
      <c r="H600" s="11" t="s">
        <v>1177</v>
      </c>
      <c r="I600" s="11" t="s">
        <v>49</v>
      </c>
      <c r="J600" s="11" t="s">
        <v>28</v>
      </c>
      <c r="K600" s="11" t="s">
        <v>29</v>
      </c>
      <c r="L600" s="11" t="s">
        <v>109</v>
      </c>
      <c r="M600" s="11" t="s">
        <v>59</v>
      </c>
      <c r="N600" s="11" t="s">
        <v>638</v>
      </c>
      <c r="O600" s="11">
        <v>0.37</v>
      </c>
      <c r="P600" s="6">
        <f>Table1[[#This Row],[Profit]]/Table1[[#This Row],[Sales]]</f>
        <v>-0.26344701144552779</v>
      </c>
      <c r="Q600" s="11" t="s">
        <v>33</v>
      </c>
      <c r="R600" s="11" t="s">
        <v>61</v>
      </c>
      <c r="S600" s="11" t="s">
        <v>178</v>
      </c>
      <c r="T600" s="11" t="s">
        <v>1178</v>
      </c>
      <c r="U600" s="11">
        <v>60459</v>
      </c>
      <c r="V600" s="12">
        <v>42053</v>
      </c>
      <c r="W600" s="13" t="str">
        <f>TEXT(Table1[[#This Row],[Order Date]],"mmmm")</f>
        <v>February</v>
      </c>
      <c r="X600" s="7" t="str">
        <f>TEXT(Table1[[#This Row],[Order Date]],"yyyy")</f>
        <v>2015</v>
      </c>
      <c r="Y600" s="12">
        <v>42055</v>
      </c>
      <c r="Z600" s="11">
        <v>-99.435440000000014</v>
      </c>
      <c r="AA600" s="11">
        <v>23</v>
      </c>
      <c r="AB600" s="11">
        <v>377.44</v>
      </c>
      <c r="AC600" s="11">
        <v>88899</v>
      </c>
      <c r="AD600" s="6" t="str">
        <f>IF(COUNTIF(Returns!$A$2:$A$1635,Orders!AC600)&gt;0,"Returned","Not Returned")</f>
        <v>Not Returned</v>
      </c>
    </row>
    <row r="601" spans="1:30" ht="12.75" customHeight="1" thickTop="1" thickBot="1" x14ac:dyDescent="0.25">
      <c r="A601" s="8">
        <v>20445</v>
      </c>
      <c r="B601" s="1" t="s">
        <v>106</v>
      </c>
      <c r="C601" s="1">
        <v>0.04</v>
      </c>
      <c r="D601" s="1">
        <v>22.84</v>
      </c>
      <c r="E601" s="1">
        <v>16.87</v>
      </c>
      <c r="F601" s="1">
        <v>1068</v>
      </c>
      <c r="G601" s="6" t="str">
        <f>IF(COUNTIF(Table1[Customer ID],Table1[[#This Row],[Customer ID]])&gt;1,"Repeat Customer","One-Time Customer")</f>
        <v>One-Time Customer</v>
      </c>
      <c r="H601" s="1" t="s">
        <v>1179</v>
      </c>
      <c r="I601" s="1" t="s">
        <v>49</v>
      </c>
      <c r="J601" s="1" t="s">
        <v>40</v>
      </c>
      <c r="K601" s="1" t="s">
        <v>29</v>
      </c>
      <c r="L601" s="1" t="s">
        <v>93</v>
      </c>
      <c r="M601" s="1" t="s">
        <v>59</v>
      </c>
      <c r="N601" s="1" t="s">
        <v>1180</v>
      </c>
      <c r="O601" s="1">
        <v>0.39</v>
      </c>
      <c r="P601" s="6">
        <f>Table1[[#This Row],[Profit]]/Table1[[#This Row],[Sales]]</f>
        <v>-0.33966480446927377</v>
      </c>
      <c r="Q601" s="1" t="s">
        <v>33</v>
      </c>
      <c r="R601" s="1" t="s">
        <v>61</v>
      </c>
      <c r="S601" s="1" t="s">
        <v>178</v>
      </c>
      <c r="T601" s="1" t="s">
        <v>1181</v>
      </c>
      <c r="U601" s="1">
        <v>60409</v>
      </c>
      <c r="V601" s="9">
        <v>42079</v>
      </c>
      <c r="W601" s="13" t="str">
        <f>TEXT(Table1[[#This Row],[Order Date]],"mmmm")</f>
        <v>March</v>
      </c>
      <c r="X601" s="7" t="str">
        <f>TEXT(Table1[[#This Row],[Order Date]],"yyyy")</f>
        <v>2015</v>
      </c>
      <c r="Y601" s="9">
        <v>42079</v>
      </c>
      <c r="Z601" s="1">
        <v>-97.28</v>
      </c>
      <c r="AA601" s="1">
        <v>12</v>
      </c>
      <c r="AB601" s="1">
        <v>286.39999999999998</v>
      </c>
      <c r="AC601" s="1">
        <v>87109</v>
      </c>
      <c r="AD601" s="6" t="str">
        <f>IF(COUNTIF(Returns!$A$2:$A$1635,Orders!AC601)&gt;0,"Returned","Not Returned")</f>
        <v>Not Returned</v>
      </c>
    </row>
    <row r="602" spans="1:30" ht="12.75" customHeight="1" thickTop="1" thickBot="1" x14ac:dyDescent="0.25">
      <c r="A602" s="10">
        <v>24737</v>
      </c>
      <c r="B602" s="11" t="s">
        <v>56</v>
      </c>
      <c r="C602" s="11">
        <v>0.02</v>
      </c>
      <c r="D602" s="11">
        <v>15.94</v>
      </c>
      <c r="E602" s="11">
        <v>5.45</v>
      </c>
      <c r="F602" s="11">
        <v>1069</v>
      </c>
      <c r="G602" s="6" t="str">
        <f>IF(COUNTIF(Table1[Customer ID],Table1[[#This Row],[Customer ID]])&gt;1,"Repeat Customer","One-Time Customer")</f>
        <v>One-Time Customer</v>
      </c>
      <c r="H602" s="11" t="s">
        <v>1182</v>
      </c>
      <c r="I602" s="11" t="s">
        <v>49</v>
      </c>
      <c r="J602" s="11" t="s">
        <v>40</v>
      </c>
      <c r="K602" s="11" t="s">
        <v>29</v>
      </c>
      <c r="L602" s="11" t="s">
        <v>30</v>
      </c>
      <c r="M602" s="11" t="s">
        <v>51</v>
      </c>
      <c r="N602" s="11" t="s">
        <v>1183</v>
      </c>
      <c r="O602" s="11">
        <v>0.55000000000000004</v>
      </c>
      <c r="P602" s="6">
        <f>Table1[[#This Row],[Profit]]/Table1[[#This Row],[Sales]]</f>
        <v>0.21015142848541413</v>
      </c>
      <c r="Q602" s="11" t="s">
        <v>33</v>
      </c>
      <c r="R602" s="11" t="s">
        <v>61</v>
      </c>
      <c r="S602" s="11" t="s">
        <v>178</v>
      </c>
      <c r="T602" s="11" t="s">
        <v>1184</v>
      </c>
      <c r="U602" s="11">
        <v>62901</v>
      </c>
      <c r="V602" s="12">
        <v>42138</v>
      </c>
      <c r="W602" s="13" t="str">
        <f>TEXT(Table1[[#This Row],[Order Date]],"mmmm")</f>
        <v>May</v>
      </c>
      <c r="X602" s="7" t="str">
        <f>TEXT(Table1[[#This Row],[Order Date]],"yyyy")</f>
        <v>2015</v>
      </c>
      <c r="Y602" s="12">
        <v>42139</v>
      </c>
      <c r="Z602" s="11">
        <v>139.61200000000002</v>
      </c>
      <c r="AA602" s="11">
        <v>41</v>
      </c>
      <c r="AB602" s="11">
        <v>664.34</v>
      </c>
      <c r="AC602" s="11">
        <v>87110</v>
      </c>
      <c r="AD602" s="6" t="str">
        <f>IF(COUNTIF(Returns!$A$2:$A$1635,Orders!AC602)&gt;0,"Returned","Not Returned")</f>
        <v>Not Returned</v>
      </c>
    </row>
    <row r="603" spans="1:30" ht="12.75" customHeight="1" thickTop="1" thickBot="1" x14ac:dyDescent="0.25">
      <c r="A603" s="8">
        <v>22685</v>
      </c>
      <c r="B603" s="1" t="s">
        <v>37</v>
      </c>
      <c r="C603" s="1">
        <v>0.01</v>
      </c>
      <c r="D603" s="1">
        <v>150.88999999999999</v>
      </c>
      <c r="E603" s="1">
        <v>60.2</v>
      </c>
      <c r="F603" s="1">
        <v>1072</v>
      </c>
      <c r="G603" s="6" t="str">
        <f>IF(COUNTIF(Table1[Customer ID],Table1[[#This Row],[Customer ID]])&gt;1,"Repeat Customer","One-Time Customer")</f>
        <v>One-Time Customer</v>
      </c>
      <c r="H603" s="1" t="s">
        <v>1185</v>
      </c>
      <c r="I603" s="1" t="s">
        <v>39</v>
      </c>
      <c r="J603" s="1" t="s">
        <v>28</v>
      </c>
      <c r="K603" s="1" t="s">
        <v>41</v>
      </c>
      <c r="L603" s="1" t="s">
        <v>42</v>
      </c>
      <c r="M603" s="1" t="s">
        <v>43</v>
      </c>
      <c r="N603" s="1" t="s">
        <v>1186</v>
      </c>
      <c r="O603" s="1">
        <v>0.77</v>
      </c>
      <c r="P603" s="6">
        <f>Table1[[#This Row],[Profit]]/Table1[[#This Row],[Sales]]</f>
        <v>-1.0680632694866219</v>
      </c>
      <c r="Q603" s="1" t="s">
        <v>33</v>
      </c>
      <c r="R603" s="1" t="s">
        <v>53</v>
      </c>
      <c r="S603" s="1" t="s">
        <v>234</v>
      </c>
      <c r="T603" s="1" t="s">
        <v>1187</v>
      </c>
      <c r="U603" s="1">
        <v>18018</v>
      </c>
      <c r="V603" s="9">
        <v>42090</v>
      </c>
      <c r="W603" s="13" t="str">
        <f>TEXT(Table1[[#This Row],[Order Date]],"mmmm")</f>
        <v>March</v>
      </c>
      <c r="X603" s="7" t="str">
        <f>TEXT(Table1[[#This Row],[Order Date]],"yyyy")</f>
        <v>2015</v>
      </c>
      <c r="Y603" s="9">
        <v>42093</v>
      </c>
      <c r="Z603" s="1">
        <v>-505.76</v>
      </c>
      <c r="AA603" s="1">
        <v>3</v>
      </c>
      <c r="AB603" s="1">
        <v>473.53</v>
      </c>
      <c r="AC603" s="1">
        <v>89631</v>
      </c>
      <c r="AD603" s="6" t="str">
        <f>IF(COUNTIF(Returns!$A$2:$A$1635,Orders!AC603)&gt;0,"Returned","Not Returned")</f>
        <v>Not Returned</v>
      </c>
    </row>
    <row r="604" spans="1:30" ht="12.75" customHeight="1" thickTop="1" thickBot="1" x14ac:dyDescent="0.25">
      <c r="A604" s="10">
        <v>26176</v>
      </c>
      <c r="B604" s="11" t="s">
        <v>25</v>
      </c>
      <c r="C604" s="11">
        <v>0.04</v>
      </c>
      <c r="D604" s="11">
        <v>19.23</v>
      </c>
      <c r="E604" s="11">
        <v>6.15</v>
      </c>
      <c r="F604" s="11">
        <v>1075</v>
      </c>
      <c r="G604" s="6" t="str">
        <f>IF(COUNTIF(Table1[Customer ID],Table1[[#This Row],[Customer ID]])&gt;1,"Repeat Customer","One-Time Customer")</f>
        <v>One-Time Customer</v>
      </c>
      <c r="H604" s="11" t="s">
        <v>1188</v>
      </c>
      <c r="I604" s="11" t="s">
        <v>49</v>
      </c>
      <c r="J604" s="11" t="s">
        <v>40</v>
      </c>
      <c r="K604" s="11" t="s">
        <v>41</v>
      </c>
      <c r="L604" s="11" t="s">
        <v>50</v>
      </c>
      <c r="M604" s="11" t="s">
        <v>51</v>
      </c>
      <c r="N604" s="11" t="s">
        <v>472</v>
      </c>
      <c r="O604" s="11">
        <v>0.44</v>
      </c>
      <c r="P604" s="6">
        <f>Table1[[#This Row],[Profit]]/Table1[[#This Row],[Sales]]</f>
        <v>0.68999999999999984</v>
      </c>
      <c r="Q604" s="11" t="s">
        <v>33</v>
      </c>
      <c r="R604" s="11" t="s">
        <v>61</v>
      </c>
      <c r="S604" s="11" t="s">
        <v>178</v>
      </c>
      <c r="T604" s="11" t="s">
        <v>1189</v>
      </c>
      <c r="U604" s="11">
        <v>60441</v>
      </c>
      <c r="V604" s="12">
        <v>42072</v>
      </c>
      <c r="W604" s="13" t="str">
        <f>TEXT(Table1[[#This Row],[Order Date]],"mmmm")</f>
        <v>March</v>
      </c>
      <c r="X604" s="7" t="str">
        <f>TEXT(Table1[[#This Row],[Order Date]],"yyyy")</f>
        <v>2015</v>
      </c>
      <c r="Y604" s="12">
        <v>42073</v>
      </c>
      <c r="Z604" s="11">
        <v>152.43479999999997</v>
      </c>
      <c r="AA604" s="11">
        <v>11</v>
      </c>
      <c r="AB604" s="11">
        <v>220.92</v>
      </c>
      <c r="AC604" s="11">
        <v>86422</v>
      </c>
      <c r="AD604" s="6" t="str">
        <f>IF(COUNTIF(Returns!$A$2:$A$1635,Orders!AC604)&gt;0,"Returned","Not Returned")</f>
        <v>Not Returned</v>
      </c>
    </row>
    <row r="605" spans="1:30" ht="12.75" customHeight="1" thickTop="1" thickBot="1" x14ac:dyDescent="0.25">
      <c r="A605" s="8">
        <v>23312</v>
      </c>
      <c r="B605" s="1" t="s">
        <v>37</v>
      </c>
      <c r="C605" s="1">
        <v>0.08</v>
      </c>
      <c r="D605" s="1">
        <v>13.9</v>
      </c>
      <c r="E605" s="1">
        <v>7.59</v>
      </c>
      <c r="F605" s="1">
        <v>1080</v>
      </c>
      <c r="G605" s="6" t="str">
        <f>IF(COUNTIF(Table1[Customer ID],Table1[[#This Row],[Customer ID]])&gt;1,"Repeat Customer","One-Time Customer")</f>
        <v>One-Time Customer</v>
      </c>
      <c r="H605" s="1" t="s">
        <v>1190</v>
      </c>
      <c r="I605" s="1" t="s">
        <v>49</v>
      </c>
      <c r="J605" s="1" t="s">
        <v>28</v>
      </c>
      <c r="K605" s="1" t="s">
        <v>29</v>
      </c>
      <c r="L605" s="1" t="s">
        <v>174</v>
      </c>
      <c r="M605" s="1" t="s">
        <v>51</v>
      </c>
      <c r="N605" s="1" t="s">
        <v>694</v>
      </c>
      <c r="O605" s="1">
        <v>0.56000000000000005</v>
      </c>
      <c r="P605" s="6">
        <f>Table1[[#This Row],[Profit]]/Table1[[#This Row],[Sales]]</f>
        <v>5.021129270403752E-2</v>
      </c>
      <c r="Q605" s="1" t="s">
        <v>33</v>
      </c>
      <c r="R605" s="1" t="s">
        <v>61</v>
      </c>
      <c r="S605" s="1" t="s">
        <v>178</v>
      </c>
      <c r="T605" s="1" t="s">
        <v>1191</v>
      </c>
      <c r="U605" s="1">
        <v>60174</v>
      </c>
      <c r="V605" s="9">
        <v>42132</v>
      </c>
      <c r="W605" s="13" t="str">
        <f>TEXT(Table1[[#This Row],[Order Date]],"mmmm")</f>
        <v>May</v>
      </c>
      <c r="X605" s="7" t="str">
        <f>TEXT(Table1[[#This Row],[Order Date]],"yyyy")</f>
        <v>2015</v>
      </c>
      <c r="Y605" s="9">
        <v>42133</v>
      </c>
      <c r="Z605" s="1">
        <v>9.862000000000009</v>
      </c>
      <c r="AA605" s="1">
        <v>14</v>
      </c>
      <c r="AB605" s="1">
        <v>196.41</v>
      </c>
      <c r="AC605" s="1">
        <v>88461</v>
      </c>
      <c r="AD605" s="6" t="str">
        <f>IF(COUNTIF(Returns!$A$2:$A$1635,Orders!AC605)&gt;0,"Returned","Not Returned")</f>
        <v>Not Returned</v>
      </c>
    </row>
    <row r="606" spans="1:30" ht="12.75" customHeight="1" thickTop="1" thickBot="1" x14ac:dyDescent="0.25">
      <c r="A606" s="10">
        <v>24324</v>
      </c>
      <c r="B606" s="11" t="s">
        <v>37</v>
      </c>
      <c r="C606" s="11">
        <v>7.0000000000000007E-2</v>
      </c>
      <c r="D606" s="11">
        <v>55.99</v>
      </c>
      <c r="E606" s="11">
        <v>5</v>
      </c>
      <c r="F606" s="11">
        <v>1083</v>
      </c>
      <c r="G606" s="6" t="str">
        <f>IF(COUNTIF(Table1[Customer ID],Table1[[#This Row],[Customer ID]])&gt;1,"Repeat Customer","One-Time Customer")</f>
        <v>One-Time Customer</v>
      </c>
      <c r="H606" s="11" t="s">
        <v>1192</v>
      </c>
      <c r="I606" s="11" t="s">
        <v>27</v>
      </c>
      <c r="J606" s="11" t="s">
        <v>28</v>
      </c>
      <c r="K606" s="11" t="s">
        <v>77</v>
      </c>
      <c r="L606" s="11" t="s">
        <v>78</v>
      </c>
      <c r="M606" s="11" t="s">
        <v>51</v>
      </c>
      <c r="N606" s="11" t="s">
        <v>398</v>
      </c>
      <c r="O606" s="11">
        <v>0.83</v>
      </c>
      <c r="P606" s="6">
        <f>Table1[[#This Row],[Profit]]/Table1[[#This Row],[Sales]]</f>
        <v>-4.3082655325443788</v>
      </c>
      <c r="Q606" s="11" t="s">
        <v>33</v>
      </c>
      <c r="R606" s="11" t="s">
        <v>61</v>
      </c>
      <c r="S606" s="11" t="s">
        <v>178</v>
      </c>
      <c r="T606" s="11" t="s">
        <v>1193</v>
      </c>
      <c r="U606" s="11">
        <v>62701</v>
      </c>
      <c r="V606" s="12">
        <v>42094</v>
      </c>
      <c r="W606" s="13" t="str">
        <f>TEXT(Table1[[#This Row],[Order Date]],"mmmm")</f>
        <v>March</v>
      </c>
      <c r="X606" s="7" t="str">
        <f>TEXT(Table1[[#This Row],[Order Date]],"yyyy")</f>
        <v>2015</v>
      </c>
      <c r="Y606" s="12">
        <v>42096</v>
      </c>
      <c r="Z606" s="11">
        <v>-232.99100000000001</v>
      </c>
      <c r="AA606" s="11">
        <v>1</v>
      </c>
      <c r="AB606" s="11">
        <v>54.08</v>
      </c>
      <c r="AC606" s="11">
        <v>88460</v>
      </c>
      <c r="AD606" s="6" t="str">
        <f>IF(COUNTIF(Returns!$A$2:$A$1635,Orders!AC606)&gt;0,"Returned","Not Returned")</f>
        <v>Not Returned</v>
      </c>
    </row>
    <row r="607" spans="1:30" ht="12.75" customHeight="1" thickTop="1" thickBot="1" x14ac:dyDescent="0.25">
      <c r="A607" s="8">
        <v>18047</v>
      </c>
      <c r="B607" s="1" t="s">
        <v>37</v>
      </c>
      <c r="C607" s="1">
        <v>0.05</v>
      </c>
      <c r="D607" s="1">
        <v>7.64</v>
      </c>
      <c r="E607" s="1">
        <v>5.83</v>
      </c>
      <c r="F607" s="1">
        <v>1085</v>
      </c>
      <c r="G607" s="6" t="str">
        <f>IF(COUNTIF(Table1[Customer ID],Table1[[#This Row],[Customer ID]])&gt;1,"Repeat Customer","One-Time Customer")</f>
        <v>Repeat Customer</v>
      </c>
      <c r="H607" s="1" t="s">
        <v>1194</v>
      </c>
      <c r="I607" s="1" t="s">
        <v>49</v>
      </c>
      <c r="J607" s="1" t="s">
        <v>40</v>
      </c>
      <c r="K607" s="1" t="s">
        <v>29</v>
      </c>
      <c r="L607" s="1" t="s">
        <v>93</v>
      </c>
      <c r="M607" s="1" t="s">
        <v>31</v>
      </c>
      <c r="N607" s="1" t="s">
        <v>1026</v>
      </c>
      <c r="O607" s="1">
        <v>0.36</v>
      </c>
      <c r="P607" s="6">
        <f>Table1[[#This Row],[Profit]]/Table1[[#This Row],[Sales]]</f>
        <v>-0.85364985163204743</v>
      </c>
      <c r="Q607" s="1" t="s">
        <v>33</v>
      </c>
      <c r="R607" s="1" t="s">
        <v>53</v>
      </c>
      <c r="S607" s="1" t="s">
        <v>71</v>
      </c>
      <c r="T607" s="1" t="s">
        <v>1195</v>
      </c>
      <c r="U607" s="1">
        <v>11729</v>
      </c>
      <c r="V607" s="9">
        <v>42009</v>
      </c>
      <c r="W607" s="13" t="str">
        <f>TEXT(Table1[[#This Row],[Order Date]],"mmmm")</f>
        <v>January</v>
      </c>
      <c r="X607" s="7" t="str">
        <f>TEXT(Table1[[#This Row],[Order Date]],"yyyy")</f>
        <v>2015</v>
      </c>
      <c r="Y607" s="9">
        <v>42010</v>
      </c>
      <c r="Z607" s="1">
        <v>-40.275199999999998</v>
      </c>
      <c r="AA607" s="1">
        <v>6</v>
      </c>
      <c r="AB607" s="1">
        <v>47.18</v>
      </c>
      <c r="AC607" s="1">
        <v>86122</v>
      </c>
      <c r="AD607" s="6" t="str">
        <f>IF(COUNTIF(Returns!$A$2:$A$1635,Orders!AC607)&gt;0,"Returned","Not Returned")</f>
        <v>Not Returned</v>
      </c>
    </row>
    <row r="608" spans="1:30" ht="12.75" customHeight="1" thickTop="1" thickBot="1" x14ac:dyDescent="0.25">
      <c r="A608" s="10">
        <v>25279</v>
      </c>
      <c r="B608" s="11" t="s">
        <v>25</v>
      </c>
      <c r="C608" s="11">
        <v>0.04</v>
      </c>
      <c r="D608" s="11">
        <v>9.06</v>
      </c>
      <c r="E608" s="11">
        <v>9.86</v>
      </c>
      <c r="F608" s="11">
        <v>1085</v>
      </c>
      <c r="G608" s="6" t="str">
        <f>IF(COUNTIF(Table1[Customer ID],Table1[[#This Row],[Customer ID]])&gt;1,"Repeat Customer","One-Time Customer")</f>
        <v>Repeat Customer</v>
      </c>
      <c r="H608" s="11" t="s">
        <v>1194</v>
      </c>
      <c r="I608" s="11" t="s">
        <v>49</v>
      </c>
      <c r="J608" s="11" t="s">
        <v>40</v>
      </c>
      <c r="K608" s="11" t="s">
        <v>29</v>
      </c>
      <c r="L608" s="11" t="s">
        <v>93</v>
      </c>
      <c r="M608" s="11" t="s">
        <v>59</v>
      </c>
      <c r="N608" s="11" t="s">
        <v>601</v>
      </c>
      <c r="O608" s="11">
        <v>0.4</v>
      </c>
      <c r="P608" s="6">
        <f>Table1[[#This Row],[Profit]]/Table1[[#This Row],[Sales]]</f>
        <v>-1.7249757045675413</v>
      </c>
      <c r="Q608" s="11" t="s">
        <v>33</v>
      </c>
      <c r="R608" s="11" t="s">
        <v>53</v>
      </c>
      <c r="S608" s="11" t="s">
        <v>71</v>
      </c>
      <c r="T608" s="11" t="s">
        <v>1195</v>
      </c>
      <c r="U608" s="11">
        <v>11729</v>
      </c>
      <c r="V608" s="12">
        <v>42118</v>
      </c>
      <c r="W608" s="13" t="str">
        <f>TEXT(Table1[[#This Row],[Order Date]],"mmmm")</f>
        <v>April</v>
      </c>
      <c r="X608" s="7" t="str">
        <f>TEXT(Table1[[#This Row],[Order Date]],"yyyy")</f>
        <v>2015</v>
      </c>
      <c r="Y608" s="12">
        <v>42119</v>
      </c>
      <c r="Z608" s="11">
        <v>-53.25</v>
      </c>
      <c r="AA608" s="11">
        <v>3</v>
      </c>
      <c r="AB608" s="11">
        <v>30.87</v>
      </c>
      <c r="AC608" s="11">
        <v>86123</v>
      </c>
      <c r="AD608" s="6" t="str">
        <f>IF(COUNTIF(Returns!$A$2:$A$1635,Orders!AC608)&gt;0,"Returned","Not Returned")</f>
        <v>Not Returned</v>
      </c>
    </row>
    <row r="609" spans="1:30" ht="12.75" customHeight="1" thickTop="1" thickBot="1" x14ac:dyDescent="0.25">
      <c r="A609" s="8">
        <v>23104</v>
      </c>
      <c r="B609" s="1" t="s">
        <v>37</v>
      </c>
      <c r="C609" s="1">
        <v>0.06</v>
      </c>
      <c r="D609" s="1">
        <v>30.42</v>
      </c>
      <c r="E609" s="1">
        <v>8.65</v>
      </c>
      <c r="F609" s="1">
        <v>1085</v>
      </c>
      <c r="G609" s="6" t="str">
        <f>IF(COUNTIF(Table1[Customer ID],Table1[[#This Row],[Customer ID]])&gt;1,"Repeat Customer","One-Time Customer")</f>
        <v>Repeat Customer</v>
      </c>
      <c r="H609" s="1" t="s">
        <v>1194</v>
      </c>
      <c r="I609" s="1" t="s">
        <v>49</v>
      </c>
      <c r="J609" s="1" t="s">
        <v>28</v>
      </c>
      <c r="K609" s="1" t="s">
        <v>77</v>
      </c>
      <c r="L609" s="1" t="s">
        <v>180</v>
      </c>
      <c r="M609" s="1" t="s">
        <v>59</v>
      </c>
      <c r="N609" s="1" t="s">
        <v>1196</v>
      </c>
      <c r="O609" s="1">
        <v>0.74</v>
      </c>
      <c r="P609" s="6">
        <f>Table1[[#This Row],[Profit]]/Table1[[#This Row],[Sales]]</f>
        <v>-0.51528878822197055</v>
      </c>
      <c r="Q609" s="1" t="s">
        <v>33</v>
      </c>
      <c r="R609" s="1" t="s">
        <v>53</v>
      </c>
      <c r="S609" s="1" t="s">
        <v>71</v>
      </c>
      <c r="T609" s="1" t="s">
        <v>1195</v>
      </c>
      <c r="U609" s="1">
        <v>11729</v>
      </c>
      <c r="V609" s="9">
        <v>42137</v>
      </c>
      <c r="W609" s="13" t="str">
        <f>TEXT(Table1[[#This Row],[Order Date]],"mmmm")</f>
        <v>May</v>
      </c>
      <c r="X609" s="7" t="str">
        <f>TEXT(Table1[[#This Row],[Order Date]],"yyyy")</f>
        <v>2015</v>
      </c>
      <c r="Y609" s="9">
        <v>42139</v>
      </c>
      <c r="Z609" s="1">
        <v>-159.25</v>
      </c>
      <c r="AA609" s="1">
        <v>10</v>
      </c>
      <c r="AB609" s="1">
        <v>309.05</v>
      </c>
      <c r="AC609" s="1">
        <v>86124</v>
      </c>
      <c r="AD609" s="6" t="str">
        <f>IF(COUNTIF(Returns!$A$2:$A$1635,Orders!AC609)&gt;0,"Returned","Not Returned")</f>
        <v>Not Returned</v>
      </c>
    </row>
    <row r="610" spans="1:30" ht="12.75" customHeight="1" thickTop="1" thickBot="1" x14ac:dyDescent="0.25">
      <c r="A610" s="10">
        <v>23105</v>
      </c>
      <c r="B610" s="11" t="s">
        <v>37</v>
      </c>
      <c r="C610" s="11">
        <v>0.02</v>
      </c>
      <c r="D610" s="11">
        <v>37.94</v>
      </c>
      <c r="E610" s="11">
        <v>5.08</v>
      </c>
      <c r="F610" s="11">
        <v>1085</v>
      </c>
      <c r="G610" s="6" t="str">
        <f>IF(COUNTIF(Table1[Customer ID],Table1[[#This Row],[Customer ID]])&gt;1,"Repeat Customer","One-Time Customer")</f>
        <v>Repeat Customer</v>
      </c>
      <c r="H610" s="11" t="s">
        <v>1194</v>
      </c>
      <c r="I610" s="11" t="s">
        <v>49</v>
      </c>
      <c r="J610" s="11" t="s">
        <v>28</v>
      </c>
      <c r="K610" s="11" t="s">
        <v>29</v>
      </c>
      <c r="L610" s="11" t="s">
        <v>93</v>
      </c>
      <c r="M610" s="11" t="s">
        <v>31</v>
      </c>
      <c r="N610" s="11" t="s">
        <v>892</v>
      </c>
      <c r="O610" s="11">
        <v>0.38</v>
      </c>
      <c r="P610" s="6">
        <f>Table1[[#This Row],[Profit]]/Table1[[#This Row],[Sales]]</f>
        <v>0.69</v>
      </c>
      <c r="Q610" s="11" t="s">
        <v>33</v>
      </c>
      <c r="R610" s="11" t="s">
        <v>53</v>
      </c>
      <c r="S610" s="11" t="s">
        <v>71</v>
      </c>
      <c r="T610" s="11" t="s">
        <v>1195</v>
      </c>
      <c r="U610" s="11">
        <v>11729</v>
      </c>
      <c r="V610" s="12">
        <v>42137</v>
      </c>
      <c r="W610" s="13" t="str">
        <f>TEXT(Table1[[#This Row],[Order Date]],"mmmm")</f>
        <v>May</v>
      </c>
      <c r="X610" s="7" t="str">
        <f>TEXT(Table1[[#This Row],[Order Date]],"yyyy")</f>
        <v>2015</v>
      </c>
      <c r="Y610" s="12">
        <v>42138</v>
      </c>
      <c r="Z610" s="11">
        <v>206.517</v>
      </c>
      <c r="AA610" s="11">
        <v>8</v>
      </c>
      <c r="AB610" s="11">
        <v>299.3</v>
      </c>
      <c r="AC610" s="11">
        <v>86124</v>
      </c>
      <c r="AD610" s="6" t="str">
        <f>IF(COUNTIF(Returns!$A$2:$A$1635,Orders!AC610)&gt;0,"Returned","Not Returned")</f>
        <v>Not Returned</v>
      </c>
    </row>
    <row r="611" spans="1:30" ht="12.75" customHeight="1" thickTop="1" thickBot="1" x14ac:dyDescent="0.25">
      <c r="A611" s="8">
        <v>25280</v>
      </c>
      <c r="B611" s="1" t="s">
        <v>25</v>
      </c>
      <c r="C611" s="1">
        <v>0.04</v>
      </c>
      <c r="D611" s="1">
        <v>14.27</v>
      </c>
      <c r="E611" s="1">
        <v>7.27</v>
      </c>
      <c r="F611" s="1">
        <v>1086</v>
      </c>
      <c r="G611" s="6" t="str">
        <f>IF(COUNTIF(Table1[Customer ID],Table1[[#This Row],[Customer ID]])&gt;1,"Repeat Customer","One-Time Customer")</f>
        <v>One-Time Customer</v>
      </c>
      <c r="H611" s="1" t="s">
        <v>1197</v>
      </c>
      <c r="I611" s="1" t="s">
        <v>49</v>
      </c>
      <c r="J611" s="1" t="s">
        <v>40</v>
      </c>
      <c r="K611" s="1" t="s">
        <v>29</v>
      </c>
      <c r="L611" s="1" t="s">
        <v>109</v>
      </c>
      <c r="M611" s="1" t="s">
        <v>59</v>
      </c>
      <c r="N611" s="1" t="s">
        <v>1198</v>
      </c>
      <c r="O611" s="1">
        <v>0.38</v>
      </c>
      <c r="P611" s="6">
        <f>Table1[[#This Row],[Profit]]/Table1[[#This Row],[Sales]]</f>
        <v>4.6971706454465072E-2</v>
      </c>
      <c r="Q611" s="1" t="s">
        <v>33</v>
      </c>
      <c r="R611" s="1" t="s">
        <v>53</v>
      </c>
      <c r="S611" s="1" t="s">
        <v>71</v>
      </c>
      <c r="T611" s="1" t="s">
        <v>1199</v>
      </c>
      <c r="U611" s="1">
        <v>11746</v>
      </c>
      <c r="V611" s="9">
        <v>42118</v>
      </c>
      <c r="W611" s="13" t="str">
        <f>TEXT(Table1[[#This Row],[Order Date]],"mmmm")</f>
        <v>April</v>
      </c>
      <c r="X611" s="7" t="str">
        <f>TEXT(Table1[[#This Row],[Order Date]],"yyyy")</f>
        <v>2015</v>
      </c>
      <c r="Y611" s="9">
        <v>42119</v>
      </c>
      <c r="Z611" s="1">
        <v>2.125</v>
      </c>
      <c r="AA611" s="1">
        <v>3</v>
      </c>
      <c r="AB611" s="1">
        <v>45.24</v>
      </c>
      <c r="AC611" s="1">
        <v>86123</v>
      </c>
      <c r="AD611" s="6" t="str">
        <f>IF(COUNTIF(Returns!$A$2:$A$1635,Orders!AC611)&gt;0,"Returned","Not Returned")</f>
        <v>Not Returned</v>
      </c>
    </row>
    <row r="612" spans="1:30" ht="12.75" customHeight="1" thickTop="1" thickBot="1" x14ac:dyDescent="0.25">
      <c r="A612" s="10">
        <v>22537</v>
      </c>
      <c r="B612" s="11" t="s">
        <v>56</v>
      </c>
      <c r="C612" s="11">
        <v>0.02</v>
      </c>
      <c r="D612" s="11">
        <v>15.14</v>
      </c>
      <c r="E612" s="11">
        <v>4.53</v>
      </c>
      <c r="F612" s="11">
        <v>1101</v>
      </c>
      <c r="G612" s="6" t="str">
        <f>IF(COUNTIF(Table1[Customer ID],Table1[[#This Row],[Customer ID]])&gt;1,"Repeat Customer","One-Time Customer")</f>
        <v>One-Time Customer</v>
      </c>
      <c r="H612" s="11" t="s">
        <v>1200</v>
      </c>
      <c r="I612" s="11" t="s">
        <v>49</v>
      </c>
      <c r="J612" s="11" t="s">
        <v>58</v>
      </c>
      <c r="K612" s="11" t="s">
        <v>29</v>
      </c>
      <c r="L612" s="11" t="s">
        <v>141</v>
      </c>
      <c r="M612" s="11" t="s">
        <v>59</v>
      </c>
      <c r="N612" s="11" t="s">
        <v>1201</v>
      </c>
      <c r="O612" s="11">
        <v>0.81</v>
      </c>
      <c r="P612" s="6">
        <f>Table1[[#This Row],[Profit]]/Table1[[#This Row],[Sales]]</f>
        <v>0.11532732261858109</v>
      </c>
      <c r="Q612" s="11" t="s">
        <v>33</v>
      </c>
      <c r="R612" s="11" t="s">
        <v>34</v>
      </c>
      <c r="S612" s="11" t="s">
        <v>45</v>
      </c>
      <c r="T612" s="11" t="s">
        <v>1092</v>
      </c>
      <c r="U612" s="11">
        <v>93030</v>
      </c>
      <c r="V612" s="12">
        <v>42129</v>
      </c>
      <c r="W612" s="13" t="str">
        <f>TEXT(Table1[[#This Row],[Order Date]],"mmmm")</f>
        <v>May</v>
      </c>
      <c r="X612" s="7" t="str">
        <f>TEXT(Table1[[#This Row],[Order Date]],"yyyy")</f>
        <v>2015</v>
      </c>
      <c r="Y612" s="12">
        <v>42130</v>
      </c>
      <c r="Z612" s="11">
        <v>5.8840000000000074</v>
      </c>
      <c r="AA612" s="11">
        <v>3</v>
      </c>
      <c r="AB612" s="11">
        <v>51.02</v>
      </c>
      <c r="AC612" s="11">
        <v>91488</v>
      </c>
      <c r="AD612" s="6" t="str">
        <f>IF(COUNTIF(Returns!$A$2:$A$1635,Orders!AC612)&gt;0,"Returned","Not Returned")</f>
        <v>Not Returned</v>
      </c>
    </row>
    <row r="613" spans="1:30" ht="12.75" customHeight="1" thickTop="1" thickBot="1" x14ac:dyDescent="0.25">
      <c r="A613" s="8">
        <v>21847</v>
      </c>
      <c r="B613" s="1" t="s">
        <v>37</v>
      </c>
      <c r="C613" s="1">
        <v>0.05</v>
      </c>
      <c r="D613" s="1">
        <v>328.14</v>
      </c>
      <c r="E613" s="1">
        <v>91.05</v>
      </c>
      <c r="F613" s="1">
        <v>1103</v>
      </c>
      <c r="G613" s="6" t="str">
        <f>IF(COUNTIF(Table1[Customer ID],Table1[[#This Row],[Customer ID]])&gt;1,"Repeat Customer","One-Time Customer")</f>
        <v>One-Time Customer</v>
      </c>
      <c r="H613" s="1" t="s">
        <v>1202</v>
      </c>
      <c r="I613" s="1" t="s">
        <v>39</v>
      </c>
      <c r="J613" s="1" t="s">
        <v>40</v>
      </c>
      <c r="K613" s="1" t="s">
        <v>29</v>
      </c>
      <c r="L613" s="1" t="s">
        <v>257</v>
      </c>
      <c r="M613" s="1" t="s">
        <v>43</v>
      </c>
      <c r="N613" s="1" t="s">
        <v>468</v>
      </c>
      <c r="O613" s="1">
        <v>0.56999999999999995</v>
      </c>
      <c r="P613" s="6">
        <f>Table1[[#This Row],[Profit]]/Table1[[#This Row],[Sales]]</f>
        <v>0.33693085856183363</v>
      </c>
      <c r="Q613" s="1" t="s">
        <v>33</v>
      </c>
      <c r="R613" s="1" t="s">
        <v>61</v>
      </c>
      <c r="S613" s="1" t="s">
        <v>496</v>
      </c>
      <c r="T613" s="1" t="s">
        <v>1203</v>
      </c>
      <c r="U613" s="1">
        <v>68046</v>
      </c>
      <c r="V613" s="9">
        <v>42104</v>
      </c>
      <c r="W613" s="13" t="str">
        <f>TEXT(Table1[[#This Row],[Order Date]],"mmmm")</f>
        <v>April</v>
      </c>
      <c r="X613" s="7" t="str">
        <f>TEXT(Table1[[#This Row],[Order Date]],"yyyy")</f>
        <v>2015</v>
      </c>
      <c r="Y613" s="9">
        <v>42105</v>
      </c>
      <c r="Z613" s="1">
        <v>772.04</v>
      </c>
      <c r="AA613" s="1">
        <v>7</v>
      </c>
      <c r="AB613" s="1">
        <v>2291.39</v>
      </c>
      <c r="AC613" s="1">
        <v>90977</v>
      </c>
      <c r="AD613" s="6" t="str">
        <f>IF(COUNTIF(Returns!$A$2:$A$1635,Orders!AC613)&gt;0,"Returned","Not Returned")</f>
        <v>Not Returned</v>
      </c>
    </row>
    <row r="614" spans="1:30" ht="12.75" customHeight="1" thickTop="1" thickBot="1" x14ac:dyDescent="0.25">
      <c r="A614" s="10">
        <v>3847</v>
      </c>
      <c r="B614" s="11" t="s">
        <v>37</v>
      </c>
      <c r="C614" s="11">
        <v>0.05</v>
      </c>
      <c r="D614" s="11">
        <v>328.14</v>
      </c>
      <c r="E614" s="11">
        <v>91.05</v>
      </c>
      <c r="F614" s="11">
        <v>1104</v>
      </c>
      <c r="G614" s="6" t="str">
        <f>IF(COUNTIF(Table1[Customer ID],Table1[[#This Row],[Customer ID]])&gt;1,"Repeat Customer","One-Time Customer")</f>
        <v>One-Time Customer</v>
      </c>
      <c r="H614" s="11" t="s">
        <v>1204</v>
      </c>
      <c r="I614" s="11" t="s">
        <v>39</v>
      </c>
      <c r="J614" s="11" t="s">
        <v>40</v>
      </c>
      <c r="K614" s="11" t="s">
        <v>29</v>
      </c>
      <c r="L614" s="11" t="s">
        <v>257</v>
      </c>
      <c r="M614" s="11" t="s">
        <v>43</v>
      </c>
      <c r="N614" s="11" t="s">
        <v>468</v>
      </c>
      <c r="O614" s="11">
        <v>0.56999999999999995</v>
      </c>
      <c r="P614" s="6">
        <f>Table1[[#This Row],[Profit]]/Table1[[#This Row],[Sales]]</f>
        <v>8.1327979167632292E-2</v>
      </c>
      <c r="Q614" s="11" t="s">
        <v>33</v>
      </c>
      <c r="R614" s="11" t="s">
        <v>53</v>
      </c>
      <c r="S614" s="11" t="s">
        <v>71</v>
      </c>
      <c r="T614" s="11" t="s">
        <v>90</v>
      </c>
      <c r="U614" s="11">
        <v>10282</v>
      </c>
      <c r="V614" s="12">
        <v>42104</v>
      </c>
      <c r="W614" s="13" t="str">
        <f>TEXT(Table1[[#This Row],[Order Date]],"mmmm")</f>
        <v>April</v>
      </c>
      <c r="X614" s="7" t="str">
        <f>TEXT(Table1[[#This Row],[Order Date]],"yyyy")</f>
        <v>2015</v>
      </c>
      <c r="Y614" s="12">
        <v>42105</v>
      </c>
      <c r="Z614" s="11">
        <v>772.04</v>
      </c>
      <c r="AA614" s="11">
        <v>29</v>
      </c>
      <c r="AB614" s="11">
        <v>9492.92</v>
      </c>
      <c r="AC614" s="11">
        <v>27456</v>
      </c>
      <c r="AD614" s="6" t="str">
        <f>IF(COUNTIF(Returns!$A$2:$A$1635,Orders!AC614)&gt;0,"Returned","Not Returned")</f>
        <v>Not Returned</v>
      </c>
    </row>
    <row r="615" spans="1:30" ht="12.75" customHeight="1" thickTop="1" thickBot="1" x14ac:dyDescent="0.25">
      <c r="A615" s="8">
        <v>2808</v>
      </c>
      <c r="B615" s="1" t="s">
        <v>56</v>
      </c>
      <c r="C615" s="1">
        <v>0.04</v>
      </c>
      <c r="D615" s="1">
        <v>6.35</v>
      </c>
      <c r="E615" s="1">
        <v>1.02</v>
      </c>
      <c r="F615" s="1">
        <v>1106</v>
      </c>
      <c r="G615" s="6" t="str">
        <f>IF(COUNTIF(Table1[Customer ID],Table1[[#This Row],[Customer ID]])&gt;1,"Repeat Customer","One-Time Customer")</f>
        <v>Repeat Customer</v>
      </c>
      <c r="H615" s="1" t="s">
        <v>1205</v>
      </c>
      <c r="I615" s="1" t="s">
        <v>49</v>
      </c>
      <c r="J615" s="1" t="s">
        <v>58</v>
      </c>
      <c r="K615" s="1" t="s">
        <v>29</v>
      </c>
      <c r="L615" s="1" t="s">
        <v>93</v>
      </c>
      <c r="M615" s="1" t="s">
        <v>31</v>
      </c>
      <c r="N615" s="1" t="s">
        <v>887</v>
      </c>
      <c r="O615" s="1">
        <v>0.39</v>
      </c>
      <c r="P615" s="6">
        <f>Table1[[#This Row],[Profit]]/Table1[[#This Row],[Sales]]</f>
        <v>0.25719848023361697</v>
      </c>
      <c r="Q615" s="1" t="s">
        <v>33</v>
      </c>
      <c r="R615" s="1" t="s">
        <v>61</v>
      </c>
      <c r="S615" s="1" t="s">
        <v>130</v>
      </c>
      <c r="T615" s="1" t="s">
        <v>787</v>
      </c>
      <c r="U615" s="1">
        <v>75220</v>
      </c>
      <c r="V615" s="9">
        <v>42144</v>
      </c>
      <c r="W615" s="13" t="str">
        <f>TEXT(Table1[[#This Row],[Order Date]],"mmmm")</f>
        <v>May</v>
      </c>
      <c r="X615" s="7" t="str">
        <f>TEXT(Table1[[#This Row],[Order Date]],"yyyy")</f>
        <v>2015</v>
      </c>
      <c r="Y615" s="9">
        <v>42147</v>
      </c>
      <c r="Z615" s="1">
        <v>81.91</v>
      </c>
      <c r="AA615" s="1">
        <v>52</v>
      </c>
      <c r="AB615" s="1">
        <v>318.47000000000003</v>
      </c>
      <c r="AC615" s="1">
        <v>20261</v>
      </c>
      <c r="AD615" s="6" t="str">
        <f>IF(COUNTIF(Returns!$A$2:$A$1635,Orders!AC615)&gt;0,"Returned","Not Returned")</f>
        <v>Not Returned</v>
      </c>
    </row>
    <row r="616" spans="1:30" ht="12.75" customHeight="1" thickTop="1" thickBot="1" x14ac:dyDescent="0.25">
      <c r="A616" s="10">
        <v>106</v>
      </c>
      <c r="B616" s="11" t="s">
        <v>25</v>
      </c>
      <c r="C616" s="11">
        <v>0.01</v>
      </c>
      <c r="D616" s="11">
        <v>9.31</v>
      </c>
      <c r="E616" s="11">
        <v>3.98</v>
      </c>
      <c r="F616" s="11">
        <v>1106</v>
      </c>
      <c r="G616" s="6" t="str">
        <f>IF(COUNTIF(Table1[Customer ID],Table1[[#This Row],[Customer ID]])&gt;1,"Repeat Customer","One-Time Customer")</f>
        <v>Repeat Customer</v>
      </c>
      <c r="H616" s="11" t="s">
        <v>1205</v>
      </c>
      <c r="I616" s="11" t="s">
        <v>49</v>
      </c>
      <c r="J616" s="11" t="s">
        <v>58</v>
      </c>
      <c r="K616" s="11" t="s">
        <v>29</v>
      </c>
      <c r="L616" s="11" t="s">
        <v>174</v>
      </c>
      <c r="M616" s="11" t="s">
        <v>51</v>
      </c>
      <c r="N616" s="11" t="s">
        <v>1206</v>
      </c>
      <c r="O616" s="11">
        <v>0.56000000000000005</v>
      </c>
      <c r="P616" s="6">
        <f>Table1[[#This Row],[Profit]]/Table1[[#This Row],[Sales]]</f>
        <v>-1.8570260324383261E-2</v>
      </c>
      <c r="Q616" s="11" t="s">
        <v>33</v>
      </c>
      <c r="R616" s="11" t="s">
        <v>61</v>
      </c>
      <c r="S616" s="11" t="s">
        <v>130</v>
      </c>
      <c r="T616" s="11" t="s">
        <v>787</v>
      </c>
      <c r="U616" s="11">
        <v>75220</v>
      </c>
      <c r="V616" s="12">
        <v>42145</v>
      </c>
      <c r="W616" s="13" t="str">
        <f>TEXT(Table1[[#This Row],[Order Date]],"mmmm")</f>
        <v>May</v>
      </c>
      <c r="X616" s="7" t="str">
        <f>TEXT(Table1[[#This Row],[Order Date]],"yyyy")</f>
        <v>2015</v>
      </c>
      <c r="Y616" s="12">
        <v>42146</v>
      </c>
      <c r="Z616" s="11">
        <v>-10.9</v>
      </c>
      <c r="AA616" s="11">
        <v>61</v>
      </c>
      <c r="AB616" s="11">
        <v>586.96</v>
      </c>
      <c r="AC616" s="11">
        <v>646</v>
      </c>
      <c r="AD616" s="6" t="str">
        <f>IF(COUNTIF(Returns!$A$2:$A$1635,Orders!AC616)&gt;0,"Returned","Not Returned")</f>
        <v>Not Returned</v>
      </c>
    </row>
    <row r="617" spans="1:30" ht="12.75" customHeight="1" thickTop="1" thickBot="1" x14ac:dyDescent="0.25">
      <c r="A617" s="8">
        <v>6443</v>
      </c>
      <c r="B617" s="1" t="s">
        <v>37</v>
      </c>
      <c r="C617" s="1">
        <v>0.08</v>
      </c>
      <c r="D617" s="1">
        <v>140.81</v>
      </c>
      <c r="E617" s="1">
        <v>24.49</v>
      </c>
      <c r="F617" s="1">
        <v>1106</v>
      </c>
      <c r="G617" s="6" t="str">
        <f>IF(COUNTIF(Table1[Customer ID],Table1[[#This Row],[Customer ID]])&gt;1,"Repeat Customer","One-Time Customer")</f>
        <v>Repeat Customer</v>
      </c>
      <c r="H617" s="1" t="s">
        <v>1205</v>
      </c>
      <c r="I617" s="1" t="s">
        <v>49</v>
      </c>
      <c r="J617" s="1" t="s">
        <v>114</v>
      </c>
      <c r="K617" s="1" t="s">
        <v>41</v>
      </c>
      <c r="L617" s="1" t="s">
        <v>42</v>
      </c>
      <c r="M617" s="1" t="s">
        <v>236</v>
      </c>
      <c r="N617" s="1" t="s">
        <v>1207</v>
      </c>
      <c r="O617" s="1">
        <v>0.56999999999999995</v>
      </c>
      <c r="P617" s="6">
        <f>Table1[[#This Row],[Profit]]/Table1[[#This Row],[Sales]]</f>
        <v>0.10935998871617179</v>
      </c>
      <c r="Q617" s="1" t="s">
        <v>33</v>
      </c>
      <c r="R617" s="1" t="s">
        <v>61</v>
      </c>
      <c r="S617" s="1" t="s">
        <v>130</v>
      </c>
      <c r="T617" s="1" t="s">
        <v>787</v>
      </c>
      <c r="U617" s="1">
        <v>75220</v>
      </c>
      <c r="V617" s="9">
        <v>42161</v>
      </c>
      <c r="W617" s="13" t="str">
        <f>TEXT(Table1[[#This Row],[Order Date]],"mmmm")</f>
        <v>June</v>
      </c>
      <c r="X617" s="7" t="str">
        <f>TEXT(Table1[[#This Row],[Order Date]],"yyyy")</f>
        <v>2015</v>
      </c>
      <c r="Y617" s="9">
        <v>42163</v>
      </c>
      <c r="Z617" s="1">
        <v>1232.79</v>
      </c>
      <c r="AA617" s="1">
        <v>81</v>
      </c>
      <c r="AB617" s="1">
        <v>11272.77</v>
      </c>
      <c r="AC617" s="1">
        <v>45824</v>
      </c>
      <c r="AD617" s="6" t="str">
        <f>IF(COUNTIF(Returns!$A$2:$A$1635,Orders!AC617)&gt;0,"Returned","Not Returned")</f>
        <v>Not Returned</v>
      </c>
    </row>
    <row r="618" spans="1:30" ht="12.75" customHeight="1" thickTop="1" thickBot="1" x14ac:dyDescent="0.25">
      <c r="A618" s="10">
        <v>18106</v>
      </c>
      <c r="B618" s="11" t="s">
        <v>25</v>
      </c>
      <c r="C618" s="11">
        <v>0.01</v>
      </c>
      <c r="D618" s="11">
        <v>9.31</v>
      </c>
      <c r="E618" s="11">
        <v>3.98</v>
      </c>
      <c r="F618" s="11">
        <v>1107</v>
      </c>
      <c r="G618" s="6" t="str">
        <f>IF(COUNTIF(Table1[Customer ID],Table1[[#This Row],[Customer ID]])&gt;1,"Repeat Customer","One-Time Customer")</f>
        <v>One-Time Customer</v>
      </c>
      <c r="H618" s="11" t="s">
        <v>1208</v>
      </c>
      <c r="I618" s="11" t="s">
        <v>49</v>
      </c>
      <c r="J618" s="11" t="s">
        <v>58</v>
      </c>
      <c r="K618" s="11" t="s">
        <v>29</v>
      </c>
      <c r="L618" s="11" t="s">
        <v>174</v>
      </c>
      <c r="M618" s="11" t="s">
        <v>51</v>
      </c>
      <c r="N618" s="11" t="s">
        <v>1206</v>
      </c>
      <c r="O618" s="11">
        <v>0.56000000000000005</v>
      </c>
      <c r="P618" s="6">
        <f>Table1[[#This Row],[Profit]]/Table1[[#This Row],[Sales]]</f>
        <v>1.510427492551792E-2</v>
      </c>
      <c r="Q618" s="11" t="s">
        <v>33</v>
      </c>
      <c r="R618" s="11" t="s">
        <v>61</v>
      </c>
      <c r="S618" s="11" t="s">
        <v>130</v>
      </c>
      <c r="T618" s="11" t="s">
        <v>1209</v>
      </c>
      <c r="U618" s="11">
        <v>77566</v>
      </c>
      <c r="V618" s="12">
        <v>42145</v>
      </c>
      <c r="W618" s="13" t="str">
        <f>TEXT(Table1[[#This Row],[Order Date]],"mmmm")</f>
        <v>May</v>
      </c>
      <c r="X618" s="7" t="str">
        <f>TEXT(Table1[[#This Row],[Order Date]],"yyyy")</f>
        <v>2015</v>
      </c>
      <c r="Y618" s="12">
        <v>42146</v>
      </c>
      <c r="Z618" s="11">
        <v>2.1800000000000015</v>
      </c>
      <c r="AA618" s="11">
        <v>15</v>
      </c>
      <c r="AB618" s="11">
        <v>144.33000000000001</v>
      </c>
      <c r="AC618" s="11">
        <v>86411</v>
      </c>
      <c r="AD618" s="6" t="str">
        <f>IF(COUNTIF(Returns!$A$2:$A$1635,Orders!AC618)&gt;0,"Returned","Not Returned")</f>
        <v>Not Returned</v>
      </c>
    </row>
    <row r="619" spans="1:30" ht="12.75" customHeight="1" thickTop="1" thickBot="1" x14ac:dyDescent="0.25">
      <c r="A619" s="8">
        <v>20807</v>
      </c>
      <c r="B619" s="1" t="s">
        <v>56</v>
      </c>
      <c r="C619" s="1">
        <v>0.09</v>
      </c>
      <c r="D619" s="1">
        <v>31.74</v>
      </c>
      <c r="E619" s="1">
        <v>12.62</v>
      </c>
      <c r="F619" s="1">
        <v>1108</v>
      </c>
      <c r="G619" s="6" t="str">
        <f>IF(COUNTIF(Table1[Customer ID],Table1[[#This Row],[Customer ID]])&gt;1,"Repeat Customer","One-Time Customer")</f>
        <v>Repeat Customer</v>
      </c>
      <c r="H619" s="1" t="s">
        <v>1210</v>
      </c>
      <c r="I619" s="1" t="s">
        <v>27</v>
      </c>
      <c r="J619" s="1" t="s">
        <v>58</v>
      </c>
      <c r="K619" s="1" t="s">
        <v>29</v>
      </c>
      <c r="L619" s="1" t="s">
        <v>109</v>
      </c>
      <c r="M619" s="1" t="s">
        <v>59</v>
      </c>
      <c r="N619" s="1" t="s">
        <v>1058</v>
      </c>
      <c r="O619" s="1">
        <v>0.37</v>
      </c>
      <c r="P619" s="6">
        <f>Table1[[#This Row],[Profit]]/Table1[[#This Row],[Sales]]</f>
        <v>0.24804102753649973</v>
      </c>
      <c r="Q619" s="1" t="s">
        <v>33</v>
      </c>
      <c r="R619" s="1" t="s">
        <v>61</v>
      </c>
      <c r="S619" s="1" t="s">
        <v>130</v>
      </c>
      <c r="T619" s="1" t="s">
        <v>1211</v>
      </c>
      <c r="U619" s="1">
        <v>75146</v>
      </c>
      <c r="V619" s="9">
        <v>42144</v>
      </c>
      <c r="W619" s="13" t="str">
        <f>TEXT(Table1[[#This Row],[Order Date]],"mmmm")</f>
        <v>May</v>
      </c>
      <c r="X619" s="7" t="str">
        <f>TEXT(Table1[[#This Row],[Order Date]],"yyyy")</f>
        <v>2015</v>
      </c>
      <c r="Y619" s="9">
        <v>42144</v>
      </c>
      <c r="Z619" s="1">
        <v>67.107500000000002</v>
      </c>
      <c r="AA619" s="1">
        <v>9</v>
      </c>
      <c r="AB619" s="1">
        <v>270.55</v>
      </c>
      <c r="AC619" s="1">
        <v>86409</v>
      </c>
      <c r="AD619" s="6" t="str">
        <f>IF(COUNTIF(Returns!$A$2:$A$1635,Orders!AC619)&gt;0,"Returned","Not Returned")</f>
        <v>Not Returned</v>
      </c>
    </row>
    <row r="620" spans="1:30" ht="12.75" customHeight="1" thickTop="1" thickBot="1" x14ac:dyDescent="0.25">
      <c r="A620" s="10">
        <v>20808</v>
      </c>
      <c r="B620" s="11" t="s">
        <v>56</v>
      </c>
      <c r="C620" s="11">
        <v>0.04</v>
      </c>
      <c r="D620" s="11">
        <v>6.35</v>
      </c>
      <c r="E620" s="11">
        <v>1.02</v>
      </c>
      <c r="F620" s="11">
        <v>1108</v>
      </c>
      <c r="G620" s="6" t="str">
        <f>IF(COUNTIF(Table1[Customer ID],Table1[[#This Row],[Customer ID]])&gt;1,"Repeat Customer","One-Time Customer")</f>
        <v>Repeat Customer</v>
      </c>
      <c r="H620" s="11" t="s">
        <v>1210</v>
      </c>
      <c r="I620" s="11" t="s">
        <v>49</v>
      </c>
      <c r="J620" s="11" t="s">
        <v>58</v>
      </c>
      <c r="K620" s="11" t="s">
        <v>29</v>
      </c>
      <c r="L620" s="11" t="s">
        <v>93</v>
      </c>
      <c r="M620" s="11" t="s">
        <v>31</v>
      </c>
      <c r="N620" s="11" t="s">
        <v>887</v>
      </c>
      <c r="O620" s="11">
        <v>0.39</v>
      </c>
      <c r="P620" s="6">
        <f>Table1[[#This Row],[Profit]]/Table1[[#This Row],[Sales]]</f>
        <v>0.69</v>
      </c>
      <c r="Q620" s="11" t="s">
        <v>33</v>
      </c>
      <c r="R620" s="11" t="s">
        <v>61</v>
      </c>
      <c r="S620" s="11" t="s">
        <v>130</v>
      </c>
      <c r="T620" s="11" t="s">
        <v>1211</v>
      </c>
      <c r="U620" s="11">
        <v>75146</v>
      </c>
      <c r="V620" s="12">
        <v>42144</v>
      </c>
      <c r="W620" s="13" t="str">
        <f>TEXT(Table1[[#This Row],[Order Date]],"mmmm")</f>
        <v>May</v>
      </c>
      <c r="X620" s="7" t="str">
        <f>TEXT(Table1[[#This Row],[Order Date]],"yyyy")</f>
        <v>2015</v>
      </c>
      <c r="Y620" s="12">
        <v>42147</v>
      </c>
      <c r="Z620" s="11">
        <v>54.937799999999996</v>
      </c>
      <c r="AA620" s="11">
        <v>13</v>
      </c>
      <c r="AB620" s="11">
        <v>79.62</v>
      </c>
      <c r="AC620" s="11">
        <v>86409</v>
      </c>
      <c r="AD620" s="6" t="str">
        <f>IF(COUNTIF(Returns!$A$2:$A$1635,Orders!AC620)&gt;0,"Returned","Not Returned")</f>
        <v>Not Returned</v>
      </c>
    </row>
    <row r="621" spans="1:30" ht="12.75" customHeight="1" thickTop="1" thickBot="1" x14ac:dyDescent="0.25">
      <c r="A621" s="8">
        <v>20809</v>
      </c>
      <c r="B621" s="1" t="s">
        <v>56</v>
      </c>
      <c r="C621" s="1">
        <v>0.02</v>
      </c>
      <c r="D621" s="1">
        <v>65.989999999999995</v>
      </c>
      <c r="E621" s="1">
        <v>8.99</v>
      </c>
      <c r="F621" s="1">
        <v>1108</v>
      </c>
      <c r="G621" s="6" t="str">
        <f>IF(COUNTIF(Table1[Customer ID],Table1[[#This Row],[Customer ID]])&gt;1,"Repeat Customer","One-Time Customer")</f>
        <v>Repeat Customer</v>
      </c>
      <c r="H621" s="1" t="s">
        <v>1210</v>
      </c>
      <c r="I621" s="1" t="s">
        <v>27</v>
      </c>
      <c r="J621" s="1" t="s">
        <v>58</v>
      </c>
      <c r="K621" s="1" t="s">
        <v>77</v>
      </c>
      <c r="L621" s="1" t="s">
        <v>78</v>
      </c>
      <c r="M621" s="1" t="s">
        <v>59</v>
      </c>
      <c r="N621" s="1" t="s">
        <v>615</v>
      </c>
      <c r="O621" s="1">
        <v>0.56000000000000005</v>
      </c>
      <c r="P621" s="6">
        <f>Table1[[#This Row],[Profit]]/Table1[[#This Row],[Sales]]</f>
        <v>0.35064715813168257</v>
      </c>
      <c r="Q621" s="1" t="s">
        <v>33</v>
      </c>
      <c r="R621" s="1" t="s">
        <v>61</v>
      </c>
      <c r="S621" s="1" t="s">
        <v>130</v>
      </c>
      <c r="T621" s="1" t="s">
        <v>1211</v>
      </c>
      <c r="U621" s="1">
        <v>75146</v>
      </c>
      <c r="V621" s="9">
        <v>42144</v>
      </c>
      <c r="W621" s="13" t="str">
        <f>TEXT(Table1[[#This Row],[Order Date]],"mmmm")</f>
        <v>May</v>
      </c>
      <c r="X621" s="7" t="str">
        <f>TEXT(Table1[[#This Row],[Order Date]],"yyyy")</f>
        <v>2015</v>
      </c>
      <c r="Y621" s="9">
        <v>42145</v>
      </c>
      <c r="Z621" s="1">
        <v>168.23699999999999</v>
      </c>
      <c r="AA621" s="1">
        <v>8</v>
      </c>
      <c r="AB621" s="1">
        <v>479.79</v>
      </c>
      <c r="AC621" s="1">
        <v>86409</v>
      </c>
      <c r="AD621" s="6" t="str">
        <f>IF(COUNTIF(Returns!$A$2:$A$1635,Orders!AC621)&gt;0,"Returned","Not Returned")</f>
        <v>Not Returned</v>
      </c>
    </row>
    <row r="622" spans="1:30" ht="12.75" customHeight="1" thickTop="1" thickBot="1" x14ac:dyDescent="0.25">
      <c r="A622" s="10">
        <v>22480</v>
      </c>
      <c r="B622" s="11" t="s">
        <v>56</v>
      </c>
      <c r="C622" s="11">
        <v>0.08</v>
      </c>
      <c r="D622" s="11">
        <v>8.3699999999999992</v>
      </c>
      <c r="E622" s="11">
        <v>10.16</v>
      </c>
      <c r="F622" s="11">
        <v>1109</v>
      </c>
      <c r="G622" s="6" t="str">
        <f>IF(COUNTIF(Table1[Customer ID],Table1[[#This Row],[Customer ID]])&gt;1,"Repeat Customer","One-Time Customer")</f>
        <v>One-Time Customer</v>
      </c>
      <c r="H622" s="11" t="s">
        <v>1212</v>
      </c>
      <c r="I622" s="11" t="s">
        <v>49</v>
      </c>
      <c r="J622" s="11" t="s">
        <v>114</v>
      </c>
      <c r="K622" s="11" t="s">
        <v>41</v>
      </c>
      <c r="L622" s="11" t="s">
        <v>50</v>
      </c>
      <c r="M622" s="11" t="s">
        <v>236</v>
      </c>
      <c r="N622" s="11" t="s">
        <v>1213</v>
      </c>
      <c r="O622" s="11">
        <v>0.59</v>
      </c>
      <c r="P622" s="6">
        <f>Table1[[#This Row],[Profit]]/Table1[[#This Row],[Sales]]</f>
        <v>-1.5527296082209379</v>
      </c>
      <c r="Q622" s="11" t="s">
        <v>33</v>
      </c>
      <c r="R622" s="11" t="s">
        <v>61</v>
      </c>
      <c r="S622" s="11" t="s">
        <v>130</v>
      </c>
      <c r="T622" s="11" t="s">
        <v>1214</v>
      </c>
      <c r="U622" s="11">
        <v>78041</v>
      </c>
      <c r="V622" s="12">
        <v>42184</v>
      </c>
      <c r="W622" s="13" t="str">
        <f>TEXT(Table1[[#This Row],[Order Date]],"mmmm")</f>
        <v>June</v>
      </c>
      <c r="X622" s="7" t="str">
        <f>TEXT(Table1[[#This Row],[Order Date]],"yyyy")</f>
        <v>2015</v>
      </c>
      <c r="Y622" s="12">
        <v>42184</v>
      </c>
      <c r="Z622" s="11">
        <v>-169.232</v>
      </c>
      <c r="AA622" s="11">
        <v>13</v>
      </c>
      <c r="AB622" s="11">
        <v>108.99</v>
      </c>
      <c r="AC622" s="11">
        <v>86410</v>
      </c>
      <c r="AD622" s="6" t="str">
        <f>IF(COUNTIF(Returns!$A$2:$A$1635,Orders!AC622)&gt;0,"Returned","Not Returned")</f>
        <v>Not Returned</v>
      </c>
    </row>
    <row r="623" spans="1:30" ht="12.75" customHeight="1" thickTop="1" thickBot="1" x14ac:dyDescent="0.25">
      <c r="A623" s="8">
        <v>20176</v>
      </c>
      <c r="B623" s="1" t="s">
        <v>37</v>
      </c>
      <c r="C623" s="1">
        <v>0.03</v>
      </c>
      <c r="D623" s="1">
        <v>300.98</v>
      </c>
      <c r="E623" s="1">
        <v>54.92</v>
      </c>
      <c r="F623" s="1">
        <v>1112</v>
      </c>
      <c r="G623" s="6" t="str">
        <f>IF(COUNTIF(Table1[Customer ID],Table1[[#This Row],[Customer ID]])&gt;1,"Repeat Customer","One-Time Customer")</f>
        <v>Repeat Customer</v>
      </c>
      <c r="H623" s="1" t="s">
        <v>1215</v>
      </c>
      <c r="I623" s="1" t="s">
        <v>39</v>
      </c>
      <c r="J623" s="1" t="s">
        <v>28</v>
      </c>
      <c r="K623" s="1" t="s">
        <v>41</v>
      </c>
      <c r="L623" s="1" t="s">
        <v>191</v>
      </c>
      <c r="M623" s="1" t="s">
        <v>121</v>
      </c>
      <c r="N623" s="1" t="s">
        <v>192</v>
      </c>
      <c r="O623" s="1">
        <v>0.55000000000000004</v>
      </c>
      <c r="P623" s="6">
        <f>Table1[[#This Row],[Profit]]/Table1[[#This Row],[Sales]]</f>
        <v>0.36072724798884293</v>
      </c>
      <c r="Q623" s="1" t="s">
        <v>33</v>
      </c>
      <c r="R623" s="1" t="s">
        <v>34</v>
      </c>
      <c r="S623" s="1" t="s">
        <v>45</v>
      </c>
      <c r="T623" s="1" t="s">
        <v>1216</v>
      </c>
      <c r="U623" s="1">
        <v>92399</v>
      </c>
      <c r="V623" s="9">
        <v>42096</v>
      </c>
      <c r="W623" s="13" t="str">
        <f>TEXT(Table1[[#This Row],[Order Date]],"mmmm")</f>
        <v>April</v>
      </c>
      <c r="X623" s="7" t="str">
        <f>TEXT(Table1[[#This Row],[Order Date]],"yyyy")</f>
        <v>2015</v>
      </c>
      <c r="Y623" s="9">
        <v>42098</v>
      </c>
      <c r="Z623" s="1">
        <v>1272.5808</v>
      </c>
      <c r="AA623" s="1">
        <v>12</v>
      </c>
      <c r="AB623" s="1">
        <v>3527.82</v>
      </c>
      <c r="AC623" s="1">
        <v>90832</v>
      </c>
      <c r="AD623" s="6" t="str">
        <f>IF(COUNTIF(Returns!$A$2:$A$1635,Orders!AC623)&gt;0,"Returned","Not Returned")</f>
        <v>Not Returned</v>
      </c>
    </row>
    <row r="624" spans="1:30" ht="12.75" customHeight="1" thickTop="1" thickBot="1" x14ac:dyDescent="0.25">
      <c r="A624" s="10">
        <v>20177</v>
      </c>
      <c r="B624" s="11" t="s">
        <v>37</v>
      </c>
      <c r="C624" s="11">
        <v>0.02</v>
      </c>
      <c r="D624" s="11">
        <v>2550.14</v>
      </c>
      <c r="E624" s="11">
        <v>29.7</v>
      </c>
      <c r="F624" s="11">
        <v>1112</v>
      </c>
      <c r="G624" s="6" t="str">
        <f>IF(COUNTIF(Table1[Customer ID],Table1[[#This Row],[Customer ID]])&gt;1,"Repeat Customer","One-Time Customer")</f>
        <v>Repeat Customer</v>
      </c>
      <c r="H624" s="11" t="s">
        <v>1215</v>
      </c>
      <c r="I624" s="11" t="s">
        <v>39</v>
      </c>
      <c r="J624" s="11" t="s">
        <v>28</v>
      </c>
      <c r="K624" s="11" t="s">
        <v>77</v>
      </c>
      <c r="L624" s="11" t="s">
        <v>85</v>
      </c>
      <c r="M624" s="11" t="s">
        <v>43</v>
      </c>
      <c r="N624" s="11" t="s">
        <v>1217</v>
      </c>
      <c r="O624" s="11">
        <v>0.56999999999999995</v>
      </c>
      <c r="P624" s="6">
        <f>Table1[[#This Row],[Profit]]/Table1[[#This Row],[Sales]]</f>
        <v>-1.1474027112453467</v>
      </c>
      <c r="Q624" s="11" t="s">
        <v>33</v>
      </c>
      <c r="R624" s="11" t="s">
        <v>34</v>
      </c>
      <c r="S624" s="11" t="s">
        <v>45</v>
      </c>
      <c r="T624" s="11" t="s">
        <v>1216</v>
      </c>
      <c r="U624" s="11">
        <v>92399</v>
      </c>
      <c r="V624" s="12">
        <v>42096</v>
      </c>
      <c r="W624" s="13" t="str">
        <f>TEXT(Table1[[#This Row],[Order Date]],"mmmm")</f>
        <v>April</v>
      </c>
      <c r="X624" s="7" t="str">
        <f>TEXT(Table1[[#This Row],[Order Date]],"yyyy")</f>
        <v>2015</v>
      </c>
      <c r="Y624" s="12">
        <v>42098</v>
      </c>
      <c r="Z624" s="11">
        <v>-5390.7388920000003</v>
      </c>
      <c r="AA624" s="11">
        <v>2</v>
      </c>
      <c r="AB624" s="11">
        <v>4698.21</v>
      </c>
      <c r="AC624" s="11">
        <v>90832</v>
      </c>
      <c r="AD624" s="6" t="str">
        <f>IF(COUNTIF(Returns!$A$2:$A$1635,Orders!AC624)&gt;0,"Returned","Not Returned")</f>
        <v>Not Returned</v>
      </c>
    </row>
    <row r="625" spans="1:30" ht="12.75" customHeight="1" thickTop="1" thickBot="1" x14ac:dyDescent="0.25">
      <c r="A625" s="8">
        <v>26060</v>
      </c>
      <c r="B625" s="1" t="s">
        <v>47</v>
      </c>
      <c r="C625" s="1">
        <v>0.01</v>
      </c>
      <c r="D625" s="1">
        <v>2.89</v>
      </c>
      <c r="E625" s="1">
        <v>0.5</v>
      </c>
      <c r="F625" s="1">
        <v>1113</v>
      </c>
      <c r="G625" s="6" t="str">
        <f>IF(COUNTIF(Table1[Customer ID],Table1[[#This Row],[Customer ID]])&gt;1,"Repeat Customer","One-Time Customer")</f>
        <v>Repeat Customer</v>
      </c>
      <c r="H625" s="1" t="s">
        <v>1218</v>
      </c>
      <c r="I625" s="1" t="s">
        <v>49</v>
      </c>
      <c r="J625" s="1" t="s">
        <v>28</v>
      </c>
      <c r="K625" s="1" t="s">
        <v>29</v>
      </c>
      <c r="L625" s="1" t="s">
        <v>134</v>
      </c>
      <c r="M625" s="1" t="s">
        <v>59</v>
      </c>
      <c r="N625" s="1" t="s">
        <v>789</v>
      </c>
      <c r="O625" s="1">
        <v>0.38</v>
      </c>
      <c r="P625" s="6">
        <f>Table1[[#This Row],[Profit]]/Table1[[#This Row],[Sales]]</f>
        <v>0.69</v>
      </c>
      <c r="Q625" s="1" t="s">
        <v>33</v>
      </c>
      <c r="R625" s="1" t="s">
        <v>34</v>
      </c>
      <c r="S625" s="1" t="s">
        <v>255</v>
      </c>
      <c r="T625" s="1" t="s">
        <v>1219</v>
      </c>
      <c r="U625" s="1">
        <v>80004</v>
      </c>
      <c r="V625" s="9">
        <v>42100</v>
      </c>
      <c r="W625" s="13" t="str">
        <f>TEXT(Table1[[#This Row],[Order Date]],"mmmm")</f>
        <v>April</v>
      </c>
      <c r="X625" s="7" t="str">
        <f>TEXT(Table1[[#This Row],[Order Date]],"yyyy")</f>
        <v>2015</v>
      </c>
      <c r="Y625" s="9">
        <v>42101</v>
      </c>
      <c r="Z625" s="1">
        <v>29.725199999999997</v>
      </c>
      <c r="AA625" s="1">
        <v>14</v>
      </c>
      <c r="AB625" s="1">
        <v>43.08</v>
      </c>
      <c r="AC625" s="1">
        <v>90833</v>
      </c>
      <c r="AD625" s="6" t="str">
        <f>IF(COUNTIF(Returns!$A$2:$A$1635,Orders!AC625)&gt;0,"Returned","Not Returned")</f>
        <v>Not Returned</v>
      </c>
    </row>
    <row r="626" spans="1:30" ht="12.75" customHeight="1" thickTop="1" thickBot="1" x14ac:dyDescent="0.25">
      <c r="A626" s="10">
        <v>26061</v>
      </c>
      <c r="B626" s="11" t="s">
        <v>47</v>
      </c>
      <c r="C626" s="11">
        <v>0</v>
      </c>
      <c r="D626" s="11">
        <v>55.99</v>
      </c>
      <c r="E626" s="11">
        <v>5</v>
      </c>
      <c r="F626" s="11">
        <v>1113</v>
      </c>
      <c r="G626" s="6" t="str">
        <f>IF(COUNTIF(Table1[Customer ID],Table1[[#This Row],[Customer ID]])&gt;1,"Repeat Customer","One-Time Customer")</f>
        <v>Repeat Customer</v>
      </c>
      <c r="H626" s="11" t="s">
        <v>1218</v>
      </c>
      <c r="I626" s="11" t="s">
        <v>49</v>
      </c>
      <c r="J626" s="11" t="s">
        <v>28</v>
      </c>
      <c r="K626" s="11" t="s">
        <v>77</v>
      </c>
      <c r="L626" s="11" t="s">
        <v>78</v>
      </c>
      <c r="M626" s="11" t="s">
        <v>51</v>
      </c>
      <c r="N626" s="11" t="s">
        <v>689</v>
      </c>
      <c r="O626" s="11">
        <v>0.8</v>
      </c>
      <c r="P626" s="6">
        <f>Table1[[#This Row],[Profit]]/Table1[[#This Row],[Sales]]</f>
        <v>-0.72262773722627738</v>
      </c>
      <c r="Q626" s="11" t="s">
        <v>33</v>
      </c>
      <c r="R626" s="11" t="s">
        <v>34</v>
      </c>
      <c r="S626" s="11" t="s">
        <v>255</v>
      </c>
      <c r="T626" s="11" t="s">
        <v>1219</v>
      </c>
      <c r="U626" s="11">
        <v>80004</v>
      </c>
      <c r="V626" s="12">
        <v>42100</v>
      </c>
      <c r="W626" s="13" t="str">
        <f>TEXT(Table1[[#This Row],[Order Date]],"mmmm")</f>
        <v>April</v>
      </c>
      <c r="X626" s="7" t="str">
        <f>TEXT(Table1[[#This Row],[Order Date]],"yyyy")</f>
        <v>2015</v>
      </c>
      <c r="Y626" s="12">
        <v>42102</v>
      </c>
      <c r="Z626" s="11">
        <v>-187.11</v>
      </c>
      <c r="AA626" s="11">
        <v>5</v>
      </c>
      <c r="AB626" s="11">
        <v>258.93</v>
      </c>
      <c r="AC626" s="11">
        <v>90833</v>
      </c>
      <c r="AD626" s="6" t="str">
        <f>IF(COUNTIF(Returns!$A$2:$A$1635,Orders!AC626)&gt;0,"Returned","Not Returned")</f>
        <v>Not Returned</v>
      </c>
    </row>
    <row r="627" spans="1:30" ht="14.25" thickTop="1" thickBot="1" x14ac:dyDescent="0.25">
      <c r="A627" s="8">
        <v>21579</v>
      </c>
      <c r="B627" s="1" t="s">
        <v>37</v>
      </c>
      <c r="C627" s="1">
        <v>0.06</v>
      </c>
      <c r="D627" s="1">
        <v>64.650000000000006</v>
      </c>
      <c r="E627" s="1">
        <v>35</v>
      </c>
      <c r="F627" s="1">
        <v>1117</v>
      </c>
      <c r="G627" s="6" t="str">
        <f>IF(COUNTIF(Table1[Customer ID],Table1[[#This Row],[Customer ID]])&gt;1,"Repeat Customer","One-Time Customer")</f>
        <v>One-Time Customer</v>
      </c>
      <c r="H627" s="1" t="s">
        <v>1220</v>
      </c>
      <c r="I627" s="1" t="s">
        <v>49</v>
      </c>
      <c r="J627" s="1" t="s">
        <v>40</v>
      </c>
      <c r="K627" s="1" t="s">
        <v>29</v>
      </c>
      <c r="L627" s="1" t="s">
        <v>141</v>
      </c>
      <c r="M627" s="1" t="s">
        <v>236</v>
      </c>
      <c r="N627" s="1" t="s">
        <v>928</v>
      </c>
      <c r="O627" s="1">
        <v>0.8</v>
      </c>
      <c r="P627" s="6">
        <f>Table1[[#This Row],[Profit]]/Table1[[#This Row],[Sales]]</f>
        <v>-0.50175504322766573</v>
      </c>
      <c r="Q627" s="1" t="s">
        <v>33</v>
      </c>
      <c r="R627" s="1" t="s">
        <v>34</v>
      </c>
      <c r="S627" s="1" t="s">
        <v>378</v>
      </c>
      <c r="T627" s="1" t="s">
        <v>1221</v>
      </c>
      <c r="U627" s="1">
        <v>85705</v>
      </c>
      <c r="V627" s="9">
        <v>42040</v>
      </c>
      <c r="W627" s="13" t="str">
        <f>TEXT(Table1[[#This Row],[Order Date]],"mmmm")</f>
        <v>February</v>
      </c>
      <c r="X627" s="7" t="str">
        <f>TEXT(Table1[[#This Row],[Order Date]],"yyyy")</f>
        <v>2015</v>
      </c>
      <c r="Y627" s="9">
        <v>42041</v>
      </c>
      <c r="Z627" s="1">
        <v>-139.28720000000001</v>
      </c>
      <c r="AA627" s="1">
        <v>4</v>
      </c>
      <c r="AB627" s="1">
        <v>277.60000000000002</v>
      </c>
      <c r="AC627" s="1">
        <v>86768</v>
      </c>
      <c r="AD627" s="6" t="str">
        <f>IF(COUNTIF(Returns!$A$2:$A$1635,Orders!AC627)&gt;0,"Returned","Not Returned")</f>
        <v>Not Returned</v>
      </c>
    </row>
    <row r="628" spans="1:30" ht="12.75" customHeight="1" thickTop="1" thickBot="1" x14ac:dyDescent="0.25">
      <c r="A628" s="10">
        <v>21329</v>
      </c>
      <c r="B628" s="11" t="s">
        <v>106</v>
      </c>
      <c r="C628" s="11">
        <v>0.04</v>
      </c>
      <c r="D628" s="11">
        <v>19.98</v>
      </c>
      <c r="E628" s="11">
        <v>8.68</v>
      </c>
      <c r="F628" s="11">
        <v>1121</v>
      </c>
      <c r="G628" s="6" t="str">
        <f>IF(COUNTIF(Table1[Customer ID],Table1[[#This Row],[Customer ID]])&gt;1,"Repeat Customer","One-Time Customer")</f>
        <v>Repeat Customer</v>
      </c>
      <c r="H628" s="11" t="s">
        <v>1222</v>
      </c>
      <c r="I628" s="11" t="s">
        <v>49</v>
      </c>
      <c r="J628" s="11" t="s">
        <v>114</v>
      </c>
      <c r="K628" s="11" t="s">
        <v>29</v>
      </c>
      <c r="L628" s="11" t="s">
        <v>93</v>
      </c>
      <c r="M628" s="11" t="s">
        <v>59</v>
      </c>
      <c r="N628" s="11" t="s">
        <v>1223</v>
      </c>
      <c r="O628" s="11">
        <v>0.37</v>
      </c>
      <c r="P628" s="6">
        <f>Table1[[#This Row],[Profit]]/Table1[[#This Row],[Sales]]</f>
        <v>0.64270411806712691</v>
      </c>
      <c r="Q628" s="11" t="s">
        <v>33</v>
      </c>
      <c r="R628" s="11" t="s">
        <v>34</v>
      </c>
      <c r="S628" s="11" t="s">
        <v>45</v>
      </c>
      <c r="T628" s="11" t="s">
        <v>1224</v>
      </c>
      <c r="U628" s="11">
        <v>92592</v>
      </c>
      <c r="V628" s="12">
        <v>42042</v>
      </c>
      <c r="W628" s="13" t="str">
        <f>TEXT(Table1[[#This Row],[Order Date]],"mmmm")</f>
        <v>February</v>
      </c>
      <c r="X628" s="7" t="str">
        <f>TEXT(Table1[[#This Row],[Order Date]],"yyyy")</f>
        <v>2015</v>
      </c>
      <c r="Y628" s="12">
        <v>42049</v>
      </c>
      <c r="Z628" s="11">
        <v>108</v>
      </c>
      <c r="AA628" s="11">
        <v>8</v>
      </c>
      <c r="AB628" s="11">
        <v>168.04</v>
      </c>
      <c r="AC628" s="11">
        <v>86767</v>
      </c>
      <c r="AD628" s="6" t="str">
        <f>IF(COUNTIF(Returns!$A$2:$A$1635,Orders!AC628)&gt;0,"Returned","Not Returned")</f>
        <v>Not Returned</v>
      </c>
    </row>
    <row r="629" spans="1:30" ht="12.75" customHeight="1" thickTop="1" thickBot="1" x14ac:dyDescent="0.25">
      <c r="A629" s="8">
        <v>21330</v>
      </c>
      <c r="B629" s="1" t="s">
        <v>106</v>
      </c>
      <c r="C629" s="1">
        <v>0.08</v>
      </c>
      <c r="D629" s="1">
        <v>125.99</v>
      </c>
      <c r="E629" s="1">
        <v>7.69</v>
      </c>
      <c r="F629" s="1">
        <v>1121</v>
      </c>
      <c r="G629" s="6" t="str">
        <f>IF(COUNTIF(Table1[Customer ID],Table1[[#This Row],[Customer ID]])&gt;1,"Repeat Customer","One-Time Customer")</f>
        <v>Repeat Customer</v>
      </c>
      <c r="H629" s="1" t="s">
        <v>1222</v>
      </c>
      <c r="I629" s="1" t="s">
        <v>49</v>
      </c>
      <c r="J629" s="1" t="s">
        <v>114</v>
      </c>
      <c r="K629" s="1" t="s">
        <v>77</v>
      </c>
      <c r="L629" s="1" t="s">
        <v>78</v>
      </c>
      <c r="M629" s="1" t="s">
        <v>59</v>
      </c>
      <c r="N629" s="1" t="s">
        <v>1225</v>
      </c>
      <c r="O629" s="1">
        <v>0.57999999999999996</v>
      </c>
      <c r="P629" s="6">
        <f>Table1[[#This Row],[Profit]]/Table1[[#This Row],[Sales]]</f>
        <v>0.53614135842833988</v>
      </c>
      <c r="Q629" s="1" t="s">
        <v>33</v>
      </c>
      <c r="R629" s="1" t="s">
        <v>34</v>
      </c>
      <c r="S629" s="1" t="s">
        <v>45</v>
      </c>
      <c r="T629" s="1" t="s">
        <v>1224</v>
      </c>
      <c r="U629" s="1">
        <v>92592</v>
      </c>
      <c r="V629" s="9">
        <v>42042</v>
      </c>
      <c r="W629" s="13" t="str">
        <f>TEXT(Table1[[#This Row],[Order Date]],"mmmm")</f>
        <v>February</v>
      </c>
      <c r="X629" s="7" t="str">
        <f>TEXT(Table1[[#This Row],[Order Date]],"yyyy")</f>
        <v>2015</v>
      </c>
      <c r="Y629" s="9">
        <v>42044</v>
      </c>
      <c r="Z629" s="1">
        <v>377.154</v>
      </c>
      <c r="AA629" s="1">
        <v>7</v>
      </c>
      <c r="AB629" s="1">
        <v>703.46</v>
      </c>
      <c r="AC629" s="1">
        <v>86767</v>
      </c>
      <c r="AD629" s="6" t="str">
        <f>IF(COUNTIF(Returns!$A$2:$A$1635,Orders!AC629)&gt;0,"Returned","Not Returned")</f>
        <v>Not Returned</v>
      </c>
    </row>
    <row r="630" spans="1:30" ht="12.75" customHeight="1" thickTop="1" thickBot="1" x14ac:dyDescent="0.25">
      <c r="A630" s="10">
        <v>20612</v>
      </c>
      <c r="B630" s="11" t="s">
        <v>25</v>
      </c>
      <c r="C630" s="11">
        <v>0.03</v>
      </c>
      <c r="D630" s="11">
        <v>7.3</v>
      </c>
      <c r="E630" s="11">
        <v>7.72</v>
      </c>
      <c r="F630" s="11">
        <v>1123</v>
      </c>
      <c r="G630" s="6" t="str">
        <f>IF(COUNTIF(Table1[Customer ID],Table1[[#This Row],[Customer ID]])&gt;1,"Repeat Customer","One-Time Customer")</f>
        <v>Repeat Customer</v>
      </c>
      <c r="H630" s="11" t="s">
        <v>1226</v>
      </c>
      <c r="I630" s="11" t="s">
        <v>49</v>
      </c>
      <c r="J630" s="11" t="s">
        <v>58</v>
      </c>
      <c r="K630" s="11" t="s">
        <v>29</v>
      </c>
      <c r="L630" s="11" t="s">
        <v>109</v>
      </c>
      <c r="M630" s="11" t="s">
        <v>59</v>
      </c>
      <c r="N630" s="11" t="s">
        <v>1227</v>
      </c>
      <c r="O630" s="11">
        <v>0.38</v>
      </c>
      <c r="P630" s="6">
        <f>Table1[[#This Row],[Profit]]/Table1[[#This Row],[Sales]]</f>
        <v>-1.2262522922497829</v>
      </c>
      <c r="Q630" s="11" t="s">
        <v>33</v>
      </c>
      <c r="R630" s="11" t="s">
        <v>34</v>
      </c>
      <c r="S630" s="11" t="s">
        <v>45</v>
      </c>
      <c r="T630" s="11" t="s">
        <v>547</v>
      </c>
      <c r="U630" s="11">
        <v>95661</v>
      </c>
      <c r="V630" s="12">
        <v>42078</v>
      </c>
      <c r="W630" s="13" t="str">
        <f>TEXT(Table1[[#This Row],[Order Date]],"mmmm")</f>
        <v>March</v>
      </c>
      <c r="X630" s="7" t="str">
        <f>TEXT(Table1[[#This Row],[Order Date]],"yyyy")</f>
        <v>2015</v>
      </c>
      <c r="Y630" s="12">
        <v>42081</v>
      </c>
      <c r="Z630" s="11">
        <v>-127.05200000000001</v>
      </c>
      <c r="AA630" s="11">
        <v>14</v>
      </c>
      <c r="AB630" s="11">
        <v>103.61</v>
      </c>
      <c r="AC630" s="11">
        <v>87015</v>
      </c>
      <c r="AD630" s="6" t="str">
        <f>IF(COUNTIF(Returns!$A$2:$A$1635,Orders!AC630)&gt;0,"Returned","Not Returned")</f>
        <v>Not Returned</v>
      </c>
    </row>
    <row r="631" spans="1:30" ht="12.75" customHeight="1" thickTop="1" thickBot="1" x14ac:dyDescent="0.25">
      <c r="A631" s="8">
        <v>18212</v>
      </c>
      <c r="B631" s="1" t="s">
        <v>25</v>
      </c>
      <c r="C631" s="1">
        <v>0.09</v>
      </c>
      <c r="D631" s="1">
        <v>175.99</v>
      </c>
      <c r="E631" s="1">
        <v>4.99</v>
      </c>
      <c r="F631" s="1">
        <v>1123</v>
      </c>
      <c r="G631" s="6" t="str">
        <f>IF(COUNTIF(Table1[Customer ID],Table1[[#This Row],[Customer ID]])&gt;1,"Repeat Customer","One-Time Customer")</f>
        <v>Repeat Customer</v>
      </c>
      <c r="H631" s="1" t="s">
        <v>1226</v>
      </c>
      <c r="I631" s="1" t="s">
        <v>49</v>
      </c>
      <c r="J631" s="1" t="s">
        <v>58</v>
      </c>
      <c r="K631" s="1" t="s">
        <v>77</v>
      </c>
      <c r="L631" s="1" t="s">
        <v>78</v>
      </c>
      <c r="M631" s="1" t="s">
        <v>59</v>
      </c>
      <c r="N631" s="1" t="s">
        <v>139</v>
      </c>
      <c r="O631" s="1">
        <v>0.59</v>
      </c>
      <c r="P631" s="6">
        <f>Table1[[#This Row],[Profit]]/Table1[[#This Row],[Sales]]</f>
        <v>0.69000000000000006</v>
      </c>
      <c r="Q631" s="1" t="s">
        <v>33</v>
      </c>
      <c r="R631" s="1" t="s">
        <v>34</v>
      </c>
      <c r="S631" s="1" t="s">
        <v>45</v>
      </c>
      <c r="T631" s="1" t="s">
        <v>547</v>
      </c>
      <c r="U631" s="1">
        <v>95661</v>
      </c>
      <c r="V631" s="9">
        <v>42175</v>
      </c>
      <c r="W631" s="13" t="str">
        <f>TEXT(Table1[[#This Row],[Order Date]],"mmmm")</f>
        <v>June</v>
      </c>
      <c r="X631" s="7" t="str">
        <f>TEXT(Table1[[#This Row],[Order Date]],"yyyy")</f>
        <v>2015</v>
      </c>
      <c r="Y631" s="9">
        <v>42177</v>
      </c>
      <c r="Z631" s="1">
        <v>2169.7464</v>
      </c>
      <c r="AA631" s="1">
        <v>22</v>
      </c>
      <c r="AB631" s="1">
        <v>3144.56</v>
      </c>
      <c r="AC631" s="1">
        <v>87016</v>
      </c>
      <c r="AD631" s="6" t="str">
        <f>IF(COUNTIF(Returns!$A$2:$A$1635,Orders!AC631)&gt;0,"Returned","Not Returned")</f>
        <v>Not Returned</v>
      </c>
    </row>
    <row r="632" spans="1:30" ht="12.75" customHeight="1" thickTop="1" thickBot="1" x14ac:dyDescent="0.25">
      <c r="A632" s="10">
        <v>18211</v>
      </c>
      <c r="B632" s="11" t="s">
        <v>25</v>
      </c>
      <c r="C632" s="11">
        <v>0.09</v>
      </c>
      <c r="D632" s="11">
        <v>160.97999999999999</v>
      </c>
      <c r="E632" s="11">
        <v>35.020000000000003</v>
      </c>
      <c r="F632" s="11">
        <v>1124</v>
      </c>
      <c r="G632" s="6" t="str">
        <f>IF(COUNTIF(Table1[Customer ID],Table1[[#This Row],[Customer ID]])&gt;1,"Repeat Customer","One-Time Customer")</f>
        <v>One-Time Customer</v>
      </c>
      <c r="H632" s="11" t="s">
        <v>1228</v>
      </c>
      <c r="I632" s="11" t="s">
        <v>39</v>
      </c>
      <c r="J632" s="11" t="s">
        <v>58</v>
      </c>
      <c r="K632" s="11" t="s">
        <v>41</v>
      </c>
      <c r="L632" s="11" t="s">
        <v>191</v>
      </c>
      <c r="M632" s="11" t="s">
        <v>121</v>
      </c>
      <c r="N632" s="11" t="s">
        <v>748</v>
      </c>
      <c r="O632" s="11">
        <v>0.72</v>
      </c>
      <c r="P632" s="6">
        <f>Table1[[#This Row],[Profit]]/Table1[[#This Row],[Sales]]</f>
        <v>-8.6667269752960782E-2</v>
      </c>
      <c r="Q632" s="11" t="s">
        <v>33</v>
      </c>
      <c r="R632" s="11" t="s">
        <v>53</v>
      </c>
      <c r="S632" s="11" t="s">
        <v>228</v>
      </c>
      <c r="T632" s="11" t="s">
        <v>1229</v>
      </c>
      <c r="U632" s="11">
        <v>6360</v>
      </c>
      <c r="V632" s="12">
        <v>42175</v>
      </c>
      <c r="W632" s="13" t="str">
        <f>TEXT(Table1[[#This Row],[Order Date]],"mmmm")</f>
        <v>June</v>
      </c>
      <c r="X632" s="7" t="str">
        <f>TEXT(Table1[[#This Row],[Order Date]],"yyyy")</f>
        <v>2015</v>
      </c>
      <c r="Y632" s="12">
        <v>42176</v>
      </c>
      <c r="Z632" s="11">
        <v>-229.93</v>
      </c>
      <c r="AA632" s="11">
        <v>18</v>
      </c>
      <c r="AB632" s="11">
        <v>2653.02</v>
      </c>
      <c r="AC632" s="11">
        <v>87016</v>
      </c>
      <c r="AD632" s="6" t="str">
        <f>IF(COUNTIF(Returns!$A$2:$A$1635,Orders!AC632)&gt;0,"Returned","Not Returned")</f>
        <v>Not Returned</v>
      </c>
    </row>
    <row r="633" spans="1:30" ht="12.75" customHeight="1" thickTop="1" thickBot="1" x14ac:dyDescent="0.25">
      <c r="A633" s="8">
        <v>22052</v>
      </c>
      <c r="B633" s="1" t="s">
        <v>56</v>
      </c>
      <c r="C633" s="1">
        <v>0.02</v>
      </c>
      <c r="D633" s="1">
        <v>4.0599999999999996</v>
      </c>
      <c r="E633" s="1">
        <v>6.89</v>
      </c>
      <c r="F633" s="1">
        <v>1127</v>
      </c>
      <c r="G633" s="6" t="str">
        <f>IF(COUNTIF(Table1[Customer ID],Table1[[#This Row],[Customer ID]])&gt;1,"Repeat Customer","One-Time Customer")</f>
        <v>Repeat Customer</v>
      </c>
      <c r="H633" s="1" t="s">
        <v>1230</v>
      </c>
      <c r="I633" s="1" t="s">
        <v>49</v>
      </c>
      <c r="J633" s="1" t="s">
        <v>114</v>
      </c>
      <c r="K633" s="1" t="s">
        <v>29</v>
      </c>
      <c r="L633" s="1" t="s">
        <v>257</v>
      </c>
      <c r="M633" s="1" t="s">
        <v>59</v>
      </c>
      <c r="N633" s="1" t="s">
        <v>910</v>
      </c>
      <c r="O633" s="1">
        <v>0.6</v>
      </c>
      <c r="P633" s="6">
        <f>Table1[[#This Row],[Profit]]/Table1[[#This Row],[Sales]]</f>
        <v>-1.4030115252207751</v>
      </c>
      <c r="Q633" s="1" t="s">
        <v>33</v>
      </c>
      <c r="R633" s="1" t="s">
        <v>61</v>
      </c>
      <c r="S633" s="1" t="s">
        <v>130</v>
      </c>
      <c r="T633" s="1" t="s">
        <v>1231</v>
      </c>
      <c r="U633" s="1">
        <v>78852</v>
      </c>
      <c r="V633" s="9">
        <v>42059</v>
      </c>
      <c r="W633" s="13" t="str">
        <f>TEXT(Table1[[#This Row],[Order Date]],"mmmm")</f>
        <v>February</v>
      </c>
      <c r="X633" s="7" t="str">
        <f>TEXT(Table1[[#This Row],[Order Date]],"yyyy")</f>
        <v>2015</v>
      </c>
      <c r="Y633" s="9">
        <v>42061</v>
      </c>
      <c r="Z633" s="1">
        <v>-93.735199999999992</v>
      </c>
      <c r="AA633" s="1">
        <v>16</v>
      </c>
      <c r="AB633" s="1">
        <v>66.81</v>
      </c>
      <c r="AC633" s="1">
        <v>87221</v>
      </c>
      <c r="AD633" s="6" t="str">
        <f>IF(COUNTIF(Returns!$A$2:$A$1635,Orders!AC633)&gt;0,"Returned","Not Returned")</f>
        <v>Not Returned</v>
      </c>
    </row>
    <row r="634" spans="1:30" ht="12.75" customHeight="1" thickTop="1" thickBot="1" x14ac:dyDescent="0.25">
      <c r="A634" s="10">
        <v>26377</v>
      </c>
      <c r="B634" s="11" t="s">
        <v>106</v>
      </c>
      <c r="C634" s="11">
        <v>0.04</v>
      </c>
      <c r="D634" s="11">
        <v>4.71</v>
      </c>
      <c r="E634" s="11">
        <v>0.7</v>
      </c>
      <c r="F634" s="11">
        <v>1127</v>
      </c>
      <c r="G634" s="6" t="str">
        <f>IF(COUNTIF(Table1[Customer ID],Table1[[#This Row],[Customer ID]])&gt;1,"Repeat Customer","One-Time Customer")</f>
        <v>Repeat Customer</v>
      </c>
      <c r="H634" s="11" t="s">
        <v>1230</v>
      </c>
      <c r="I634" s="11" t="s">
        <v>49</v>
      </c>
      <c r="J634" s="11" t="s">
        <v>114</v>
      </c>
      <c r="K634" s="11" t="s">
        <v>29</v>
      </c>
      <c r="L634" s="11" t="s">
        <v>66</v>
      </c>
      <c r="M634" s="11" t="s">
        <v>31</v>
      </c>
      <c r="N634" s="11" t="s">
        <v>1232</v>
      </c>
      <c r="O634" s="11">
        <v>0.8</v>
      </c>
      <c r="P634" s="6">
        <f>Table1[[#This Row],[Profit]]/Table1[[#This Row],[Sales]]</f>
        <v>5.0044189129474156E-2</v>
      </c>
      <c r="Q634" s="11" t="s">
        <v>33</v>
      </c>
      <c r="R634" s="11" t="s">
        <v>61</v>
      </c>
      <c r="S634" s="11" t="s">
        <v>130</v>
      </c>
      <c r="T634" s="11" t="s">
        <v>1231</v>
      </c>
      <c r="U634" s="11">
        <v>78852</v>
      </c>
      <c r="V634" s="12">
        <v>42177</v>
      </c>
      <c r="W634" s="13" t="str">
        <f>TEXT(Table1[[#This Row],[Order Date]],"mmmm")</f>
        <v>June</v>
      </c>
      <c r="X634" s="7" t="str">
        <f>TEXT(Table1[[#This Row],[Order Date]],"yyyy")</f>
        <v>2015</v>
      </c>
      <c r="Y634" s="12">
        <v>42181</v>
      </c>
      <c r="Z634" s="11">
        <v>4.53</v>
      </c>
      <c r="AA634" s="11">
        <v>19</v>
      </c>
      <c r="AB634" s="11">
        <v>90.52</v>
      </c>
      <c r="AC634" s="11">
        <v>87222</v>
      </c>
      <c r="AD634" s="6" t="str">
        <f>IF(COUNTIF(Returns!$A$2:$A$1635,Orders!AC634)&gt;0,"Returned","Not Returned")</f>
        <v>Not Returned</v>
      </c>
    </row>
    <row r="635" spans="1:30" ht="12.75" customHeight="1" thickTop="1" thickBot="1" x14ac:dyDescent="0.25">
      <c r="A635" s="8">
        <v>26378</v>
      </c>
      <c r="B635" s="1" t="s">
        <v>106</v>
      </c>
      <c r="C635" s="1">
        <v>0.06</v>
      </c>
      <c r="D635" s="1">
        <v>4.2</v>
      </c>
      <c r="E635" s="1">
        <v>2.2599999999999998</v>
      </c>
      <c r="F635" s="1">
        <v>1128</v>
      </c>
      <c r="G635" s="6" t="str">
        <f>IF(COUNTIF(Table1[Customer ID],Table1[[#This Row],[Customer ID]])&gt;1,"Repeat Customer","One-Time Customer")</f>
        <v>One-Time Customer</v>
      </c>
      <c r="H635" s="1" t="s">
        <v>1233</v>
      </c>
      <c r="I635" s="1" t="s">
        <v>49</v>
      </c>
      <c r="J635" s="1" t="s">
        <v>114</v>
      </c>
      <c r="K635" s="1" t="s">
        <v>29</v>
      </c>
      <c r="L635" s="1" t="s">
        <v>93</v>
      </c>
      <c r="M635" s="1" t="s">
        <v>31</v>
      </c>
      <c r="N635" s="1" t="s">
        <v>1234</v>
      </c>
      <c r="O635" s="1">
        <v>0.36</v>
      </c>
      <c r="P635" s="6">
        <f>Table1[[#This Row],[Profit]]/Table1[[#This Row],[Sales]]</f>
        <v>0.17473646596390924</v>
      </c>
      <c r="Q635" s="1" t="s">
        <v>33</v>
      </c>
      <c r="R635" s="1" t="s">
        <v>61</v>
      </c>
      <c r="S635" s="1" t="s">
        <v>130</v>
      </c>
      <c r="T635" s="1" t="s">
        <v>1235</v>
      </c>
      <c r="U635" s="1">
        <v>78539</v>
      </c>
      <c r="V635" s="9">
        <v>42177</v>
      </c>
      <c r="W635" s="13" t="str">
        <f>TEXT(Table1[[#This Row],[Order Date]],"mmmm")</f>
        <v>June</v>
      </c>
      <c r="X635" s="7" t="str">
        <f>TEXT(Table1[[#This Row],[Order Date]],"yyyy")</f>
        <v>2015</v>
      </c>
      <c r="Y635" s="9">
        <v>42182</v>
      </c>
      <c r="Z635" s="1">
        <v>9.7799999999999994</v>
      </c>
      <c r="AA635" s="1">
        <v>13</v>
      </c>
      <c r="AB635" s="1">
        <v>55.97</v>
      </c>
      <c r="AC635" s="1">
        <v>87222</v>
      </c>
      <c r="AD635" s="6" t="str">
        <f>IF(COUNTIF(Returns!$A$2:$A$1635,Orders!AC635)&gt;0,"Returned","Not Returned")</f>
        <v>Not Returned</v>
      </c>
    </row>
    <row r="636" spans="1:30" ht="12.75" customHeight="1" thickTop="1" thickBot="1" x14ac:dyDescent="0.25">
      <c r="A636" s="10">
        <v>4501</v>
      </c>
      <c r="B636" s="11" t="s">
        <v>106</v>
      </c>
      <c r="C636" s="11">
        <v>0.04</v>
      </c>
      <c r="D636" s="11">
        <v>8.6</v>
      </c>
      <c r="E636" s="11">
        <v>6.19</v>
      </c>
      <c r="F636" s="11">
        <v>1129</v>
      </c>
      <c r="G636" s="6" t="str">
        <f>IF(COUNTIF(Table1[Customer ID],Table1[[#This Row],[Customer ID]])&gt;1,"Repeat Customer","One-Time Customer")</f>
        <v>Repeat Customer</v>
      </c>
      <c r="H636" s="11" t="s">
        <v>1236</v>
      </c>
      <c r="I636" s="11" t="s">
        <v>49</v>
      </c>
      <c r="J636" s="11" t="s">
        <v>40</v>
      </c>
      <c r="K636" s="11" t="s">
        <v>29</v>
      </c>
      <c r="L636" s="11" t="s">
        <v>109</v>
      </c>
      <c r="M636" s="11" t="s">
        <v>59</v>
      </c>
      <c r="N636" s="11" t="s">
        <v>924</v>
      </c>
      <c r="O636" s="11">
        <v>0.38</v>
      </c>
      <c r="P636" s="6">
        <f>Table1[[#This Row],[Profit]]/Table1[[#This Row],[Sales]]</f>
        <v>-0.20475357761663351</v>
      </c>
      <c r="Q636" s="11" t="s">
        <v>33</v>
      </c>
      <c r="R636" s="11" t="s">
        <v>53</v>
      </c>
      <c r="S636" s="11" t="s">
        <v>193</v>
      </c>
      <c r="T636" s="11" t="s">
        <v>194</v>
      </c>
      <c r="U636" s="11">
        <v>2118</v>
      </c>
      <c r="V636" s="12">
        <v>42051</v>
      </c>
      <c r="W636" s="13" t="str">
        <f>TEXT(Table1[[#This Row],[Order Date]],"mmmm")</f>
        <v>February</v>
      </c>
      <c r="X636" s="7" t="str">
        <f>TEXT(Table1[[#This Row],[Order Date]],"yyyy")</f>
        <v>2015</v>
      </c>
      <c r="Y636" s="12">
        <v>42058</v>
      </c>
      <c r="Z636" s="11">
        <v>-63.813500000000005</v>
      </c>
      <c r="AA636" s="11">
        <v>37</v>
      </c>
      <c r="AB636" s="11">
        <v>311.66000000000003</v>
      </c>
      <c r="AC636" s="11">
        <v>32037</v>
      </c>
      <c r="AD636" s="6" t="str">
        <f>IF(COUNTIF(Returns!$A$2:$A$1635,Orders!AC636)&gt;0,"Returned","Not Returned")</f>
        <v>Not Returned</v>
      </c>
    </row>
    <row r="637" spans="1:30" ht="12.75" customHeight="1" thickTop="1" thickBot="1" x14ac:dyDescent="0.25">
      <c r="A637" s="8">
        <v>4502</v>
      </c>
      <c r="B637" s="1" t="s">
        <v>106</v>
      </c>
      <c r="C637" s="1">
        <v>7.0000000000000007E-2</v>
      </c>
      <c r="D637" s="1">
        <v>699.99</v>
      </c>
      <c r="E637" s="1">
        <v>24.49</v>
      </c>
      <c r="F637" s="1">
        <v>1129</v>
      </c>
      <c r="G637" s="6" t="str">
        <f>IF(COUNTIF(Table1[Customer ID],Table1[[#This Row],[Customer ID]])&gt;1,"Repeat Customer","One-Time Customer")</f>
        <v>Repeat Customer</v>
      </c>
      <c r="H637" s="1" t="s">
        <v>1236</v>
      </c>
      <c r="I637" s="1" t="s">
        <v>49</v>
      </c>
      <c r="J637" s="1" t="s">
        <v>40</v>
      </c>
      <c r="K637" s="1" t="s">
        <v>77</v>
      </c>
      <c r="L637" s="1" t="s">
        <v>587</v>
      </c>
      <c r="M637" s="1" t="s">
        <v>236</v>
      </c>
      <c r="N637" s="1" t="s">
        <v>1237</v>
      </c>
      <c r="O637" s="1">
        <v>0.54</v>
      </c>
      <c r="P637" s="6">
        <f>Table1[[#This Row],[Profit]]/Table1[[#This Row],[Sales]]</f>
        <v>3.2982476063395626E-2</v>
      </c>
      <c r="Q637" s="1" t="s">
        <v>33</v>
      </c>
      <c r="R637" s="1" t="s">
        <v>53</v>
      </c>
      <c r="S637" s="1" t="s">
        <v>193</v>
      </c>
      <c r="T637" s="1" t="s">
        <v>194</v>
      </c>
      <c r="U637" s="1">
        <v>2118</v>
      </c>
      <c r="V637" s="9">
        <v>42051</v>
      </c>
      <c r="W637" s="13" t="str">
        <f>TEXT(Table1[[#This Row],[Order Date]],"mmmm")</f>
        <v>February</v>
      </c>
      <c r="X637" s="7" t="str">
        <f>TEXT(Table1[[#This Row],[Order Date]],"yyyy")</f>
        <v>2015</v>
      </c>
      <c r="Y637" s="9">
        <v>42055</v>
      </c>
      <c r="Z637" s="1">
        <v>325.29000000000002</v>
      </c>
      <c r="AA637" s="1">
        <v>15</v>
      </c>
      <c r="AB637" s="1">
        <v>9862.51</v>
      </c>
      <c r="AC637" s="1">
        <v>32037</v>
      </c>
      <c r="AD637" s="6" t="str">
        <f>IF(COUNTIF(Returns!$A$2:$A$1635,Orders!AC637)&gt;0,"Returned","Not Returned")</f>
        <v>Not Returned</v>
      </c>
    </row>
    <row r="638" spans="1:30" ht="12.75" customHeight="1" thickTop="1" thickBot="1" x14ac:dyDescent="0.25">
      <c r="A638" s="10">
        <v>6891</v>
      </c>
      <c r="B638" s="11" t="s">
        <v>37</v>
      </c>
      <c r="C638" s="11">
        <v>0.05</v>
      </c>
      <c r="D638" s="11">
        <v>5.78</v>
      </c>
      <c r="E638" s="11">
        <v>7.64</v>
      </c>
      <c r="F638" s="11">
        <v>1129</v>
      </c>
      <c r="G638" s="6" t="str">
        <f>IF(COUNTIF(Table1[Customer ID],Table1[[#This Row],[Customer ID]])&gt;1,"Repeat Customer","One-Time Customer")</f>
        <v>Repeat Customer</v>
      </c>
      <c r="H638" s="11" t="s">
        <v>1236</v>
      </c>
      <c r="I638" s="11" t="s">
        <v>27</v>
      </c>
      <c r="J638" s="11" t="s">
        <v>28</v>
      </c>
      <c r="K638" s="11" t="s">
        <v>29</v>
      </c>
      <c r="L638" s="11" t="s">
        <v>93</v>
      </c>
      <c r="M638" s="11" t="s">
        <v>59</v>
      </c>
      <c r="N638" s="11" t="s">
        <v>1238</v>
      </c>
      <c r="O638" s="11">
        <v>0.36</v>
      </c>
      <c r="P638" s="6">
        <f>Table1[[#This Row],[Profit]]/Table1[[#This Row],[Sales]]</f>
        <v>-0.65413449072769292</v>
      </c>
      <c r="Q638" s="11" t="s">
        <v>33</v>
      </c>
      <c r="R638" s="11" t="s">
        <v>53</v>
      </c>
      <c r="S638" s="11" t="s">
        <v>193</v>
      </c>
      <c r="T638" s="11" t="s">
        <v>194</v>
      </c>
      <c r="U638" s="11">
        <v>2118</v>
      </c>
      <c r="V638" s="12">
        <v>42092</v>
      </c>
      <c r="W638" s="13" t="str">
        <f>TEXT(Table1[[#This Row],[Order Date]],"mmmm")</f>
        <v>March</v>
      </c>
      <c r="X638" s="7" t="str">
        <f>TEXT(Table1[[#This Row],[Order Date]],"yyyy")</f>
        <v>2015</v>
      </c>
      <c r="Y638" s="12">
        <v>42094</v>
      </c>
      <c r="Z638" s="11">
        <v>-116.05</v>
      </c>
      <c r="AA638" s="11">
        <v>29</v>
      </c>
      <c r="AB638" s="11">
        <v>177.41</v>
      </c>
      <c r="AC638" s="11">
        <v>49125</v>
      </c>
      <c r="AD638" s="6" t="str">
        <f>IF(COUNTIF(Returns!$A$2:$A$1635,Orders!AC638)&gt;0,"Returned","Not Returned")</f>
        <v>Not Returned</v>
      </c>
    </row>
    <row r="639" spans="1:30" ht="12.75" customHeight="1" thickTop="1" thickBot="1" x14ac:dyDescent="0.25">
      <c r="A639" s="8">
        <v>1917</v>
      </c>
      <c r="B639" s="1" t="s">
        <v>56</v>
      </c>
      <c r="C639" s="1">
        <v>0.02</v>
      </c>
      <c r="D639" s="1">
        <v>7.64</v>
      </c>
      <c r="E639" s="1">
        <v>1.39</v>
      </c>
      <c r="F639" s="1">
        <v>1129</v>
      </c>
      <c r="G639" s="6" t="str">
        <f>IF(COUNTIF(Table1[Customer ID],Table1[[#This Row],[Customer ID]])&gt;1,"Repeat Customer","One-Time Customer")</f>
        <v>Repeat Customer</v>
      </c>
      <c r="H639" s="1" t="s">
        <v>1236</v>
      </c>
      <c r="I639" s="1" t="s">
        <v>49</v>
      </c>
      <c r="J639" s="1" t="s">
        <v>40</v>
      </c>
      <c r="K639" s="1" t="s">
        <v>29</v>
      </c>
      <c r="L639" s="1" t="s">
        <v>69</v>
      </c>
      <c r="M639" s="1" t="s">
        <v>59</v>
      </c>
      <c r="N639" s="1" t="s">
        <v>1239</v>
      </c>
      <c r="O639" s="1">
        <v>0.36</v>
      </c>
      <c r="P639" s="6">
        <f>Table1[[#This Row],[Profit]]/Table1[[#This Row],[Sales]]</f>
        <v>0.2884667371163156</v>
      </c>
      <c r="Q639" s="1" t="s">
        <v>33</v>
      </c>
      <c r="R639" s="1" t="s">
        <v>53</v>
      </c>
      <c r="S639" s="1" t="s">
        <v>193</v>
      </c>
      <c r="T639" s="1" t="s">
        <v>194</v>
      </c>
      <c r="U639" s="1">
        <v>2118</v>
      </c>
      <c r="V639" s="9">
        <v>42145</v>
      </c>
      <c r="W639" s="13" t="str">
        <f>TEXT(Table1[[#This Row],[Order Date]],"mmmm")</f>
        <v>May</v>
      </c>
      <c r="X639" s="7" t="str">
        <f>TEXT(Table1[[#This Row],[Order Date]],"yyyy")</f>
        <v>2015</v>
      </c>
      <c r="Y639" s="9">
        <v>42147</v>
      </c>
      <c r="Z639" s="1">
        <v>117.38</v>
      </c>
      <c r="AA639" s="1">
        <v>52</v>
      </c>
      <c r="AB639" s="1">
        <v>406.91</v>
      </c>
      <c r="AC639" s="1">
        <v>13735</v>
      </c>
      <c r="AD639" s="6" t="str">
        <f>IF(COUNTIF(Returns!$A$2:$A$1635,Orders!AC639)&gt;0,"Returned","Not Returned")</f>
        <v>Not Returned</v>
      </c>
    </row>
    <row r="640" spans="1:30" ht="12.75" customHeight="1" thickTop="1" thickBot="1" x14ac:dyDescent="0.25">
      <c r="A640" s="10">
        <v>5568</v>
      </c>
      <c r="B640" s="11" t="s">
        <v>106</v>
      </c>
      <c r="C640" s="11">
        <v>0.03</v>
      </c>
      <c r="D640" s="11">
        <v>30.98</v>
      </c>
      <c r="E640" s="11">
        <v>6.5</v>
      </c>
      <c r="F640" s="11">
        <v>1129</v>
      </c>
      <c r="G640" s="6" t="str">
        <f>IF(COUNTIF(Table1[Customer ID],Table1[[#This Row],[Customer ID]])&gt;1,"Repeat Customer","One-Time Customer")</f>
        <v>Repeat Customer</v>
      </c>
      <c r="H640" s="11" t="s">
        <v>1236</v>
      </c>
      <c r="I640" s="11" t="s">
        <v>49</v>
      </c>
      <c r="J640" s="11" t="s">
        <v>28</v>
      </c>
      <c r="K640" s="11" t="s">
        <v>77</v>
      </c>
      <c r="L640" s="11" t="s">
        <v>180</v>
      </c>
      <c r="M640" s="11" t="s">
        <v>59</v>
      </c>
      <c r="N640" s="11" t="s">
        <v>1240</v>
      </c>
      <c r="O640" s="11">
        <v>0.79</v>
      </c>
      <c r="P640" s="6">
        <f>Table1[[#This Row],[Profit]]/Table1[[#This Row],[Sales]]</f>
        <v>-0.10825094400528493</v>
      </c>
      <c r="Q640" s="11" t="s">
        <v>33</v>
      </c>
      <c r="R640" s="11" t="s">
        <v>53</v>
      </c>
      <c r="S640" s="11" t="s">
        <v>193</v>
      </c>
      <c r="T640" s="11" t="s">
        <v>194</v>
      </c>
      <c r="U640" s="11">
        <v>2118</v>
      </c>
      <c r="V640" s="12">
        <v>42168</v>
      </c>
      <c r="W640" s="13" t="str">
        <f>TEXT(Table1[[#This Row],[Order Date]],"mmmm")</f>
        <v>June</v>
      </c>
      <c r="X640" s="7" t="str">
        <f>TEXT(Table1[[#This Row],[Order Date]],"yyyy")</f>
        <v>2015</v>
      </c>
      <c r="Y640" s="12">
        <v>42172</v>
      </c>
      <c r="Z640" s="11">
        <v>-144.19999999999999</v>
      </c>
      <c r="AA640" s="11">
        <v>44</v>
      </c>
      <c r="AB640" s="11">
        <v>1332.09</v>
      </c>
      <c r="AC640" s="11">
        <v>39430</v>
      </c>
      <c r="AD640" s="6" t="str">
        <f>IF(COUNTIF(Returns!$A$2:$A$1635,Orders!AC640)&gt;0,"Returned","Not Returned")</f>
        <v>Not Returned</v>
      </c>
    </row>
    <row r="641" spans="1:30" ht="12.75" customHeight="1" thickTop="1" thickBot="1" x14ac:dyDescent="0.25">
      <c r="A641" s="8">
        <v>8099</v>
      </c>
      <c r="B641" s="1" t="s">
        <v>106</v>
      </c>
      <c r="C641" s="1">
        <v>0.02</v>
      </c>
      <c r="D641" s="1">
        <v>4.9800000000000004</v>
      </c>
      <c r="E641" s="1">
        <v>6.07</v>
      </c>
      <c r="F641" s="1">
        <v>1129</v>
      </c>
      <c r="G641" s="6" t="str">
        <f>IF(COUNTIF(Table1[Customer ID],Table1[[#This Row],[Customer ID]])&gt;1,"Repeat Customer","One-Time Customer")</f>
        <v>Repeat Customer</v>
      </c>
      <c r="H641" s="1" t="s">
        <v>1236</v>
      </c>
      <c r="I641" s="1" t="s">
        <v>49</v>
      </c>
      <c r="J641" s="1" t="s">
        <v>40</v>
      </c>
      <c r="K641" s="1" t="s">
        <v>29</v>
      </c>
      <c r="L641" s="1" t="s">
        <v>93</v>
      </c>
      <c r="M641" s="1" t="s">
        <v>59</v>
      </c>
      <c r="N641" s="1" t="s">
        <v>173</v>
      </c>
      <c r="O641" s="1">
        <v>0.36</v>
      </c>
      <c r="P641" s="6">
        <f>Table1[[#This Row],[Profit]]/Table1[[#This Row],[Sales]]</f>
        <v>-0.44473933649289099</v>
      </c>
      <c r="Q641" s="1" t="s">
        <v>33</v>
      </c>
      <c r="R641" s="1" t="s">
        <v>53</v>
      </c>
      <c r="S641" s="1" t="s">
        <v>193</v>
      </c>
      <c r="T641" s="1" t="s">
        <v>194</v>
      </c>
      <c r="U641" s="1">
        <v>2118</v>
      </c>
      <c r="V641" s="9">
        <v>42030</v>
      </c>
      <c r="W641" s="13" t="str">
        <f>TEXT(Table1[[#This Row],[Order Date]],"mmmm")</f>
        <v>January</v>
      </c>
      <c r="X641" s="7" t="str">
        <f>TEXT(Table1[[#This Row],[Order Date]],"yyyy")</f>
        <v>2015</v>
      </c>
      <c r="Y641" s="9">
        <v>42032</v>
      </c>
      <c r="Z641" s="1">
        <v>-46.92</v>
      </c>
      <c r="AA641" s="1">
        <v>19</v>
      </c>
      <c r="AB641" s="1">
        <v>105.5</v>
      </c>
      <c r="AC641" s="1">
        <v>57794</v>
      </c>
      <c r="AD641" s="6" t="str">
        <f>IF(COUNTIF(Returns!$A$2:$A$1635,Orders!AC641)&gt;0,"Returned","Not Returned")</f>
        <v>Not Returned</v>
      </c>
    </row>
    <row r="642" spans="1:30" ht="12.75" customHeight="1" thickTop="1" thickBot="1" x14ac:dyDescent="0.25">
      <c r="A642" s="10">
        <v>19917</v>
      </c>
      <c r="B642" s="11" t="s">
        <v>56</v>
      </c>
      <c r="C642" s="11">
        <v>0.02</v>
      </c>
      <c r="D642" s="11">
        <v>7.64</v>
      </c>
      <c r="E642" s="11">
        <v>1.39</v>
      </c>
      <c r="F642" s="11">
        <v>1131</v>
      </c>
      <c r="G642" s="6" t="str">
        <f>IF(COUNTIF(Table1[Customer ID],Table1[[#This Row],[Customer ID]])&gt;1,"Repeat Customer","One-Time Customer")</f>
        <v>One-Time Customer</v>
      </c>
      <c r="H642" s="11" t="s">
        <v>1241</v>
      </c>
      <c r="I642" s="11" t="s">
        <v>49</v>
      </c>
      <c r="J642" s="11" t="s">
        <v>40</v>
      </c>
      <c r="K642" s="11" t="s">
        <v>29</v>
      </c>
      <c r="L642" s="11" t="s">
        <v>69</v>
      </c>
      <c r="M642" s="11" t="s">
        <v>59</v>
      </c>
      <c r="N642" s="11" t="s">
        <v>1239</v>
      </c>
      <c r="O642" s="11">
        <v>0.36</v>
      </c>
      <c r="P642" s="6">
        <f>Table1[[#This Row],[Profit]]/Table1[[#This Row],[Sales]]</f>
        <v>0.69</v>
      </c>
      <c r="Q642" s="11" t="s">
        <v>33</v>
      </c>
      <c r="R642" s="11" t="s">
        <v>61</v>
      </c>
      <c r="S642" s="11" t="s">
        <v>130</v>
      </c>
      <c r="T642" s="11" t="s">
        <v>1242</v>
      </c>
      <c r="U642" s="11">
        <v>79907</v>
      </c>
      <c r="V642" s="12">
        <v>42145</v>
      </c>
      <c r="W642" s="13" t="str">
        <f>TEXT(Table1[[#This Row],[Order Date]],"mmmm")</f>
        <v>May</v>
      </c>
      <c r="X642" s="7" t="str">
        <f>TEXT(Table1[[#This Row],[Order Date]],"yyyy")</f>
        <v>2015</v>
      </c>
      <c r="Y642" s="12">
        <v>42147</v>
      </c>
      <c r="Z642" s="11">
        <v>70.193699999999993</v>
      </c>
      <c r="AA642" s="11">
        <v>13</v>
      </c>
      <c r="AB642" s="11">
        <v>101.73</v>
      </c>
      <c r="AC642" s="11">
        <v>88103</v>
      </c>
      <c r="AD642" s="6" t="str">
        <f>IF(COUNTIF(Returns!$A$2:$A$1635,Orders!AC642)&gt;0,"Returned","Not Returned")</f>
        <v>Not Returned</v>
      </c>
    </row>
    <row r="643" spans="1:30" ht="12.75" customHeight="1" thickTop="1" thickBot="1" x14ac:dyDescent="0.25">
      <c r="A643" s="8">
        <v>23860</v>
      </c>
      <c r="B643" s="1" t="s">
        <v>56</v>
      </c>
      <c r="C643" s="1">
        <v>0.06</v>
      </c>
      <c r="D643" s="1">
        <v>6.37</v>
      </c>
      <c r="E643" s="1">
        <v>5.19</v>
      </c>
      <c r="F643" s="1">
        <v>1132</v>
      </c>
      <c r="G643" s="6" t="str">
        <f>IF(COUNTIF(Table1[Customer ID],Table1[[#This Row],[Customer ID]])&gt;1,"Repeat Customer","One-Time Customer")</f>
        <v>Repeat Customer</v>
      </c>
      <c r="H643" s="1" t="s">
        <v>1243</v>
      </c>
      <c r="I643" s="1" t="s">
        <v>49</v>
      </c>
      <c r="J643" s="1" t="s">
        <v>28</v>
      </c>
      <c r="K643" s="1" t="s">
        <v>29</v>
      </c>
      <c r="L643" s="1" t="s">
        <v>109</v>
      </c>
      <c r="M643" s="1" t="s">
        <v>59</v>
      </c>
      <c r="N643" s="1" t="s">
        <v>623</v>
      </c>
      <c r="O643" s="1">
        <v>0.38</v>
      </c>
      <c r="P643" s="6">
        <f>Table1[[#This Row],[Profit]]/Table1[[#This Row],[Sales]]</f>
        <v>-1.2790318302387267</v>
      </c>
      <c r="Q643" s="1" t="s">
        <v>33</v>
      </c>
      <c r="R643" s="1" t="s">
        <v>61</v>
      </c>
      <c r="S643" s="1" t="s">
        <v>130</v>
      </c>
      <c r="T643" s="1" t="s">
        <v>1244</v>
      </c>
      <c r="U643" s="1">
        <v>76039</v>
      </c>
      <c r="V643" s="9">
        <v>42045</v>
      </c>
      <c r="W643" s="13" t="str">
        <f>TEXT(Table1[[#This Row],[Order Date]],"mmmm")</f>
        <v>February</v>
      </c>
      <c r="X643" s="7" t="str">
        <f>TEXT(Table1[[#This Row],[Order Date]],"yyyy")</f>
        <v>2015</v>
      </c>
      <c r="Y643" s="9">
        <v>42046</v>
      </c>
      <c r="Z643" s="1">
        <v>-48.219499999999996</v>
      </c>
      <c r="AA643" s="1">
        <v>6</v>
      </c>
      <c r="AB643" s="1">
        <v>37.700000000000003</v>
      </c>
      <c r="AC643" s="1">
        <v>88101</v>
      </c>
      <c r="AD643" s="6" t="str">
        <f>IF(COUNTIF(Returns!$A$2:$A$1635,Orders!AC643)&gt;0,"Returned","Not Returned")</f>
        <v>Not Returned</v>
      </c>
    </row>
    <row r="644" spans="1:30" ht="12.75" customHeight="1" thickTop="1" thickBot="1" x14ac:dyDescent="0.25">
      <c r="A644" s="10">
        <v>22501</v>
      </c>
      <c r="B644" s="11" t="s">
        <v>106</v>
      </c>
      <c r="C644" s="11">
        <v>0.04</v>
      </c>
      <c r="D644" s="11">
        <v>8.6</v>
      </c>
      <c r="E644" s="11">
        <v>6.19</v>
      </c>
      <c r="F644" s="11">
        <v>1132</v>
      </c>
      <c r="G644" s="6" t="str">
        <f>IF(COUNTIF(Table1[Customer ID],Table1[[#This Row],[Customer ID]])&gt;1,"Repeat Customer","One-Time Customer")</f>
        <v>Repeat Customer</v>
      </c>
      <c r="H644" s="11" t="s">
        <v>1243</v>
      </c>
      <c r="I644" s="11" t="s">
        <v>49</v>
      </c>
      <c r="J644" s="11" t="s">
        <v>40</v>
      </c>
      <c r="K644" s="11" t="s">
        <v>29</v>
      </c>
      <c r="L644" s="11" t="s">
        <v>109</v>
      </c>
      <c r="M644" s="11" t="s">
        <v>59</v>
      </c>
      <c r="N644" s="11" t="s">
        <v>924</v>
      </c>
      <c r="O644" s="11">
        <v>0.38</v>
      </c>
      <c r="P644" s="6">
        <f>Table1[[#This Row],[Profit]]/Table1[[#This Row],[Sales]]</f>
        <v>-0.84175570505210395</v>
      </c>
      <c r="Q644" s="11" t="s">
        <v>33</v>
      </c>
      <c r="R644" s="11" t="s">
        <v>61</v>
      </c>
      <c r="S644" s="11" t="s">
        <v>130</v>
      </c>
      <c r="T644" s="11" t="s">
        <v>1244</v>
      </c>
      <c r="U644" s="11">
        <v>76039</v>
      </c>
      <c r="V644" s="12">
        <v>42051</v>
      </c>
      <c r="W644" s="13" t="str">
        <f>TEXT(Table1[[#This Row],[Order Date]],"mmmm")</f>
        <v>February</v>
      </c>
      <c r="X644" s="7" t="str">
        <f>TEXT(Table1[[#This Row],[Order Date]],"yyyy")</f>
        <v>2015</v>
      </c>
      <c r="Y644" s="12">
        <v>42058</v>
      </c>
      <c r="Z644" s="11">
        <v>-63.813500000000005</v>
      </c>
      <c r="AA644" s="11">
        <v>9</v>
      </c>
      <c r="AB644" s="11">
        <v>75.81</v>
      </c>
      <c r="AC644" s="11">
        <v>88102</v>
      </c>
      <c r="AD644" s="6" t="str">
        <f>IF(COUNTIF(Returns!$A$2:$A$1635,Orders!AC644)&gt;0,"Returned","Not Returned")</f>
        <v>Not Returned</v>
      </c>
    </row>
    <row r="645" spans="1:30" ht="12.75" customHeight="1" thickTop="1" thickBot="1" x14ac:dyDescent="0.25">
      <c r="A645" s="8">
        <v>22502</v>
      </c>
      <c r="B645" s="1" t="s">
        <v>106</v>
      </c>
      <c r="C645" s="1">
        <v>7.0000000000000007E-2</v>
      </c>
      <c r="D645" s="1">
        <v>699.99</v>
      </c>
      <c r="E645" s="1">
        <v>24.49</v>
      </c>
      <c r="F645" s="1">
        <v>1132</v>
      </c>
      <c r="G645" s="6" t="str">
        <f>IF(COUNTIF(Table1[Customer ID],Table1[[#This Row],[Customer ID]])&gt;1,"Repeat Customer","One-Time Customer")</f>
        <v>Repeat Customer</v>
      </c>
      <c r="H645" s="1" t="s">
        <v>1243</v>
      </c>
      <c r="I645" s="1" t="s">
        <v>49</v>
      </c>
      <c r="J645" s="1" t="s">
        <v>40</v>
      </c>
      <c r="K645" s="1" t="s">
        <v>77</v>
      </c>
      <c r="L645" s="1" t="s">
        <v>587</v>
      </c>
      <c r="M645" s="1" t="s">
        <v>236</v>
      </c>
      <c r="N645" s="1" t="s">
        <v>1237</v>
      </c>
      <c r="O645" s="1">
        <v>0.54</v>
      </c>
      <c r="P645" s="6">
        <f>Table1[[#This Row],[Profit]]/Table1[[#This Row],[Sales]]</f>
        <v>0.12368441064638784</v>
      </c>
      <c r="Q645" s="1" t="s">
        <v>33</v>
      </c>
      <c r="R645" s="1" t="s">
        <v>61</v>
      </c>
      <c r="S645" s="1" t="s">
        <v>130</v>
      </c>
      <c r="T645" s="1" t="s">
        <v>1244</v>
      </c>
      <c r="U645" s="1">
        <v>76039</v>
      </c>
      <c r="V645" s="9">
        <v>42051</v>
      </c>
      <c r="W645" s="13" t="str">
        <f>TEXT(Table1[[#This Row],[Order Date]],"mmmm")</f>
        <v>February</v>
      </c>
      <c r="X645" s="7" t="str">
        <f>TEXT(Table1[[#This Row],[Order Date]],"yyyy")</f>
        <v>2015</v>
      </c>
      <c r="Y645" s="9">
        <v>42055</v>
      </c>
      <c r="Z645" s="1">
        <v>325.29000000000002</v>
      </c>
      <c r="AA645" s="1">
        <v>4</v>
      </c>
      <c r="AB645" s="1">
        <v>2630</v>
      </c>
      <c r="AC645" s="1">
        <v>88102</v>
      </c>
      <c r="AD645" s="6" t="str">
        <f>IF(COUNTIF(Returns!$A$2:$A$1635,Orders!AC645)&gt;0,"Returned","Not Returned")</f>
        <v>Not Returned</v>
      </c>
    </row>
    <row r="646" spans="1:30" ht="12.75" customHeight="1" thickTop="1" thickBot="1" x14ac:dyDescent="0.25">
      <c r="A646" s="10">
        <v>23568</v>
      </c>
      <c r="B646" s="11" t="s">
        <v>106</v>
      </c>
      <c r="C646" s="11">
        <v>0.03</v>
      </c>
      <c r="D646" s="11">
        <v>30.98</v>
      </c>
      <c r="E646" s="11">
        <v>6.5</v>
      </c>
      <c r="F646" s="11">
        <v>1132</v>
      </c>
      <c r="G646" s="6" t="str">
        <f>IF(COUNTIF(Table1[Customer ID],Table1[[#This Row],[Customer ID]])&gt;1,"Repeat Customer","One-Time Customer")</f>
        <v>Repeat Customer</v>
      </c>
      <c r="H646" s="11" t="s">
        <v>1243</v>
      </c>
      <c r="I646" s="11" t="s">
        <v>49</v>
      </c>
      <c r="J646" s="11" t="s">
        <v>28</v>
      </c>
      <c r="K646" s="11" t="s">
        <v>77</v>
      </c>
      <c r="L646" s="11" t="s">
        <v>180</v>
      </c>
      <c r="M646" s="11" t="s">
        <v>59</v>
      </c>
      <c r="N646" s="11" t="s">
        <v>1240</v>
      </c>
      <c r="O646" s="11">
        <v>0.79</v>
      </c>
      <c r="P646" s="6">
        <f>Table1[[#This Row],[Profit]]/Table1[[#This Row],[Sales]]</f>
        <v>-0.34640562128400693</v>
      </c>
      <c r="Q646" s="11" t="s">
        <v>33</v>
      </c>
      <c r="R646" s="11" t="s">
        <v>61</v>
      </c>
      <c r="S646" s="11" t="s">
        <v>130</v>
      </c>
      <c r="T646" s="11" t="s">
        <v>1244</v>
      </c>
      <c r="U646" s="11">
        <v>76039</v>
      </c>
      <c r="V646" s="12">
        <v>42168</v>
      </c>
      <c r="W646" s="13" t="str">
        <f>TEXT(Table1[[#This Row],[Order Date]],"mmmm")</f>
        <v>June</v>
      </c>
      <c r="X646" s="7" t="str">
        <f>TEXT(Table1[[#This Row],[Order Date]],"yyyy")</f>
        <v>2015</v>
      </c>
      <c r="Y646" s="12">
        <v>42172</v>
      </c>
      <c r="Z646" s="11">
        <v>-115.35999999999999</v>
      </c>
      <c r="AA646" s="11">
        <v>11</v>
      </c>
      <c r="AB646" s="11">
        <v>333.02</v>
      </c>
      <c r="AC646" s="11">
        <v>88104</v>
      </c>
      <c r="AD646" s="6" t="str">
        <f>IF(COUNTIF(Returns!$A$2:$A$1635,Orders!AC646)&gt;0,"Returned","Not Returned")</f>
        <v>Not Returned</v>
      </c>
    </row>
    <row r="647" spans="1:30" ht="12.75" customHeight="1" thickTop="1" thickBot="1" x14ac:dyDescent="0.25">
      <c r="A647" s="8">
        <v>26099</v>
      </c>
      <c r="B647" s="1" t="s">
        <v>106</v>
      </c>
      <c r="C647" s="1">
        <v>0.02</v>
      </c>
      <c r="D647" s="1">
        <v>4.9800000000000004</v>
      </c>
      <c r="E647" s="1">
        <v>6.07</v>
      </c>
      <c r="F647" s="1">
        <v>1133</v>
      </c>
      <c r="G647" s="6" t="str">
        <f>IF(COUNTIF(Table1[Customer ID],Table1[[#This Row],[Customer ID]])&gt;1,"Repeat Customer","One-Time Customer")</f>
        <v>One-Time Customer</v>
      </c>
      <c r="H647" s="1" t="s">
        <v>1245</v>
      </c>
      <c r="I647" s="1" t="s">
        <v>49</v>
      </c>
      <c r="J647" s="1" t="s">
        <v>40</v>
      </c>
      <c r="K647" s="1" t="s">
        <v>29</v>
      </c>
      <c r="L647" s="1" t="s">
        <v>93</v>
      </c>
      <c r="M647" s="1" t="s">
        <v>59</v>
      </c>
      <c r="N647" s="1" t="s">
        <v>173</v>
      </c>
      <c r="O647" s="1">
        <v>0.36</v>
      </c>
      <c r="P647" s="6">
        <f>Table1[[#This Row],[Profit]]/Table1[[#This Row],[Sales]]</f>
        <v>-1.6902017291066282</v>
      </c>
      <c r="Q647" s="1" t="s">
        <v>33</v>
      </c>
      <c r="R647" s="1" t="s">
        <v>61</v>
      </c>
      <c r="S647" s="1" t="s">
        <v>130</v>
      </c>
      <c r="T647" s="1" t="s">
        <v>1246</v>
      </c>
      <c r="U647" s="1">
        <v>75234</v>
      </c>
      <c r="V647" s="9">
        <v>42030</v>
      </c>
      <c r="W647" s="13" t="str">
        <f>TEXT(Table1[[#This Row],[Order Date]],"mmmm")</f>
        <v>January</v>
      </c>
      <c r="X647" s="7" t="str">
        <f>TEXT(Table1[[#This Row],[Order Date]],"yyyy")</f>
        <v>2015</v>
      </c>
      <c r="Y647" s="9">
        <v>42032</v>
      </c>
      <c r="Z647" s="1">
        <v>-46.92</v>
      </c>
      <c r="AA647" s="1">
        <v>5</v>
      </c>
      <c r="AB647" s="1">
        <v>27.76</v>
      </c>
      <c r="AC647" s="1">
        <v>88105</v>
      </c>
      <c r="AD647" s="6" t="str">
        <f>IF(COUNTIF(Returns!$A$2:$A$1635,Orders!AC647)&gt;0,"Returned","Not Returned")</f>
        <v>Not Returned</v>
      </c>
    </row>
    <row r="648" spans="1:30" ht="12.75" customHeight="1" thickTop="1" thickBot="1" x14ac:dyDescent="0.25">
      <c r="A648" s="10">
        <v>22119</v>
      </c>
      <c r="B648" s="11" t="s">
        <v>25</v>
      </c>
      <c r="C648" s="11">
        <v>0.09</v>
      </c>
      <c r="D648" s="11">
        <v>270.97000000000003</v>
      </c>
      <c r="E648" s="11">
        <v>28.06</v>
      </c>
      <c r="F648" s="11">
        <v>1136</v>
      </c>
      <c r="G648" s="6" t="str">
        <f>IF(COUNTIF(Table1[Customer ID],Table1[[#This Row],[Customer ID]])&gt;1,"Repeat Customer","One-Time Customer")</f>
        <v>One-Time Customer</v>
      </c>
      <c r="H648" s="11" t="s">
        <v>1247</v>
      </c>
      <c r="I648" s="11" t="s">
        <v>39</v>
      </c>
      <c r="J648" s="11" t="s">
        <v>114</v>
      </c>
      <c r="K648" s="11" t="s">
        <v>77</v>
      </c>
      <c r="L648" s="11" t="s">
        <v>85</v>
      </c>
      <c r="M648" s="11" t="s">
        <v>43</v>
      </c>
      <c r="N648" s="11" t="s">
        <v>1248</v>
      </c>
      <c r="O648" s="11">
        <v>0.56000000000000005</v>
      </c>
      <c r="P648" s="6">
        <f>Table1[[#This Row],[Profit]]/Table1[[#This Row],[Sales]]</f>
        <v>0.69</v>
      </c>
      <c r="Q648" s="11" t="s">
        <v>33</v>
      </c>
      <c r="R648" s="11" t="s">
        <v>61</v>
      </c>
      <c r="S648" s="11" t="s">
        <v>178</v>
      </c>
      <c r="T648" s="11" t="s">
        <v>1249</v>
      </c>
      <c r="U648" s="11">
        <v>60188</v>
      </c>
      <c r="V648" s="12">
        <v>42006</v>
      </c>
      <c r="W648" s="13" t="str">
        <f>TEXT(Table1[[#This Row],[Order Date]],"mmmm")</f>
        <v>January</v>
      </c>
      <c r="X648" s="7" t="str">
        <f>TEXT(Table1[[#This Row],[Order Date]],"yyyy")</f>
        <v>2015</v>
      </c>
      <c r="Y648" s="12">
        <v>42008</v>
      </c>
      <c r="Z648" s="11">
        <v>2660.1432</v>
      </c>
      <c r="AA648" s="11">
        <v>15</v>
      </c>
      <c r="AB648" s="11">
        <v>3855.28</v>
      </c>
      <c r="AC648" s="11">
        <v>87940</v>
      </c>
      <c r="AD648" s="6" t="str">
        <f>IF(COUNTIF(Returns!$A$2:$A$1635,Orders!AC648)&gt;0,"Returned","Not Returned")</f>
        <v>Not Returned</v>
      </c>
    </row>
    <row r="649" spans="1:30" ht="12.75" customHeight="1" thickTop="1" thickBot="1" x14ac:dyDescent="0.25">
      <c r="A649" s="8">
        <v>19357</v>
      </c>
      <c r="B649" s="1" t="s">
        <v>56</v>
      </c>
      <c r="C649" s="1">
        <v>0.02</v>
      </c>
      <c r="D649" s="1">
        <v>160.97999999999999</v>
      </c>
      <c r="E649" s="1">
        <v>30</v>
      </c>
      <c r="F649" s="1">
        <v>1138</v>
      </c>
      <c r="G649" s="6" t="str">
        <f>IF(COUNTIF(Table1[Customer ID],Table1[[#This Row],[Customer ID]])&gt;1,"Repeat Customer","One-Time Customer")</f>
        <v>One-Time Customer</v>
      </c>
      <c r="H649" s="1" t="s">
        <v>1250</v>
      </c>
      <c r="I649" s="1" t="s">
        <v>39</v>
      </c>
      <c r="J649" s="1" t="s">
        <v>40</v>
      </c>
      <c r="K649" s="1" t="s">
        <v>41</v>
      </c>
      <c r="L649" s="1" t="s">
        <v>42</v>
      </c>
      <c r="M649" s="1" t="s">
        <v>43</v>
      </c>
      <c r="N649" s="1" t="s">
        <v>177</v>
      </c>
      <c r="O649" s="1">
        <v>0.62</v>
      </c>
      <c r="P649" s="6">
        <f>Table1[[#This Row],[Profit]]/Table1[[#This Row],[Sales]]</f>
        <v>-0.26555145721855677</v>
      </c>
      <c r="Q649" s="1" t="s">
        <v>33</v>
      </c>
      <c r="R649" s="1" t="s">
        <v>61</v>
      </c>
      <c r="S649" s="1" t="s">
        <v>130</v>
      </c>
      <c r="T649" s="1" t="s">
        <v>1251</v>
      </c>
      <c r="U649" s="1">
        <v>75056</v>
      </c>
      <c r="V649" s="9">
        <v>42051</v>
      </c>
      <c r="W649" s="13" t="str">
        <f>TEXT(Table1[[#This Row],[Order Date]],"mmmm")</f>
        <v>February</v>
      </c>
      <c r="X649" s="7" t="str">
        <f>TEXT(Table1[[#This Row],[Order Date]],"yyyy")</f>
        <v>2015</v>
      </c>
      <c r="Y649" s="9">
        <v>42054</v>
      </c>
      <c r="Z649" s="1">
        <v>-51.116</v>
      </c>
      <c r="AA649" s="1">
        <v>1</v>
      </c>
      <c r="AB649" s="1">
        <v>192.49</v>
      </c>
      <c r="AC649" s="1">
        <v>86574</v>
      </c>
      <c r="AD649" s="6" t="str">
        <f>IF(COUNTIF(Returns!$A$2:$A$1635,Orders!AC649)&gt;0,"Returned","Not Returned")</f>
        <v>Not Returned</v>
      </c>
    </row>
    <row r="650" spans="1:30" ht="12.75" customHeight="1" thickTop="1" thickBot="1" x14ac:dyDescent="0.25">
      <c r="A650" s="10">
        <v>25467</v>
      </c>
      <c r="B650" s="11" t="s">
        <v>56</v>
      </c>
      <c r="C650" s="11">
        <v>0.05</v>
      </c>
      <c r="D650" s="11">
        <v>363.25</v>
      </c>
      <c r="E650" s="11">
        <v>19.989999999999998</v>
      </c>
      <c r="F650" s="11">
        <v>1142</v>
      </c>
      <c r="G650" s="6" t="str">
        <f>IF(COUNTIF(Table1[Customer ID],Table1[[#This Row],[Customer ID]])&gt;1,"Repeat Customer","One-Time Customer")</f>
        <v>Repeat Customer</v>
      </c>
      <c r="H650" s="11" t="s">
        <v>1252</v>
      </c>
      <c r="I650" s="11" t="s">
        <v>49</v>
      </c>
      <c r="J650" s="11" t="s">
        <v>40</v>
      </c>
      <c r="K650" s="11" t="s">
        <v>29</v>
      </c>
      <c r="L650" s="11" t="s">
        <v>257</v>
      </c>
      <c r="M650" s="11" t="s">
        <v>59</v>
      </c>
      <c r="N650" s="11" t="s">
        <v>1253</v>
      </c>
      <c r="O650" s="11">
        <v>0.56999999999999995</v>
      </c>
      <c r="P650" s="6">
        <f>Table1[[#This Row],[Profit]]/Table1[[#This Row],[Sales]]</f>
        <v>0.69</v>
      </c>
      <c r="Q650" s="11" t="s">
        <v>33</v>
      </c>
      <c r="R650" s="11" t="s">
        <v>61</v>
      </c>
      <c r="S650" s="11" t="s">
        <v>130</v>
      </c>
      <c r="T650" s="11" t="s">
        <v>1254</v>
      </c>
      <c r="U650" s="11">
        <v>76706</v>
      </c>
      <c r="V650" s="12">
        <v>42008</v>
      </c>
      <c r="W650" s="13" t="str">
        <f>TEXT(Table1[[#This Row],[Order Date]],"mmmm")</f>
        <v>January</v>
      </c>
      <c r="X650" s="7" t="str">
        <f>TEXT(Table1[[#This Row],[Order Date]],"yyyy")</f>
        <v>2015</v>
      </c>
      <c r="Y650" s="12">
        <v>42010</v>
      </c>
      <c r="Z650" s="11">
        <v>1766.7795000000001</v>
      </c>
      <c r="AA650" s="11">
        <v>7</v>
      </c>
      <c r="AB650" s="11">
        <v>2560.5500000000002</v>
      </c>
      <c r="AC650" s="11">
        <v>86573</v>
      </c>
      <c r="AD650" s="6" t="str">
        <f>IF(COUNTIF(Returns!$A$2:$A$1635,Orders!AC650)&gt;0,"Returned","Not Returned")</f>
        <v>Not Returned</v>
      </c>
    </row>
    <row r="651" spans="1:30" ht="12.75" customHeight="1" thickTop="1" thickBot="1" x14ac:dyDescent="0.25">
      <c r="A651" s="8">
        <v>24539</v>
      </c>
      <c r="B651" s="1" t="s">
        <v>56</v>
      </c>
      <c r="C651" s="1">
        <v>0.01</v>
      </c>
      <c r="D651" s="1">
        <v>18.97</v>
      </c>
      <c r="E651" s="1">
        <v>9.5399999999999991</v>
      </c>
      <c r="F651" s="1">
        <v>1142</v>
      </c>
      <c r="G651" s="6" t="str">
        <f>IF(COUNTIF(Table1[Customer ID],Table1[[#This Row],[Customer ID]])&gt;1,"Repeat Customer","One-Time Customer")</f>
        <v>Repeat Customer</v>
      </c>
      <c r="H651" s="1" t="s">
        <v>1252</v>
      </c>
      <c r="I651" s="1" t="s">
        <v>49</v>
      </c>
      <c r="J651" s="1" t="s">
        <v>40</v>
      </c>
      <c r="K651" s="1" t="s">
        <v>29</v>
      </c>
      <c r="L651" s="1" t="s">
        <v>93</v>
      </c>
      <c r="M651" s="1" t="s">
        <v>59</v>
      </c>
      <c r="N651" s="1" t="s">
        <v>223</v>
      </c>
      <c r="O651" s="1">
        <v>0.37</v>
      </c>
      <c r="P651" s="6">
        <f>Table1[[#This Row],[Profit]]/Table1[[#This Row],[Sales]]</f>
        <v>0.37719067070760315</v>
      </c>
      <c r="Q651" s="1" t="s">
        <v>33</v>
      </c>
      <c r="R651" s="1" t="s">
        <v>61</v>
      </c>
      <c r="S651" s="1" t="s">
        <v>130</v>
      </c>
      <c r="T651" s="1" t="s">
        <v>1254</v>
      </c>
      <c r="U651" s="1">
        <v>76706</v>
      </c>
      <c r="V651" s="9">
        <v>42161</v>
      </c>
      <c r="W651" s="13" t="str">
        <f>TEXT(Table1[[#This Row],[Order Date]],"mmmm")</f>
        <v>June</v>
      </c>
      <c r="X651" s="7" t="str">
        <f>TEXT(Table1[[#This Row],[Order Date]],"yyyy")</f>
        <v>2015</v>
      </c>
      <c r="Y651" s="9">
        <v>42164</v>
      </c>
      <c r="Z651" s="1">
        <v>85.875</v>
      </c>
      <c r="AA651" s="1">
        <v>11</v>
      </c>
      <c r="AB651" s="1">
        <v>227.67</v>
      </c>
      <c r="AC651" s="1">
        <v>86575</v>
      </c>
      <c r="AD651" s="6" t="str">
        <f>IF(COUNTIF(Returns!$A$2:$A$1635,Orders!AC651)&gt;0,"Returned","Not Returned")</f>
        <v>Not Returned</v>
      </c>
    </row>
    <row r="652" spans="1:30" ht="12.75" customHeight="1" thickTop="1" thickBot="1" x14ac:dyDescent="0.25">
      <c r="A652" s="10">
        <v>25179</v>
      </c>
      <c r="B652" s="11" t="s">
        <v>106</v>
      </c>
      <c r="C652" s="11">
        <v>0.05</v>
      </c>
      <c r="D652" s="11">
        <v>7.59</v>
      </c>
      <c r="E652" s="11">
        <v>4</v>
      </c>
      <c r="F652" s="11">
        <v>1151</v>
      </c>
      <c r="G652" s="6" t="str">
        <f>IF(COUNTIF(Table1[Customer ID],Table1[[#This Row],[Customer ID]])&gt;1,"Repeat Customer","One-Time Customer")</f>
        <v>One-Time Customer</v>
      </c>
      <c r="H652" s="11" t="s">
        <v>1255</v>
      </c>
      <c r="I652" s="11" t="s">
        <v>49</v>
      </c>
      <c r="J652" s="11" t="s">
        <v>28</v>
      </c>
      <c r="K652" s="11" t="s">
        <v>41</v>
      </c>
      <c r="L652" s="11" t="s">
        <v>50</v>
      </c>
      <c r="M652" s="11" t="s">
        <v>31</v>
      </c>
      <c r="N652" s="11" t="s">
        <v>444</v>
      </c>
      <c r="O652" s="11">
        <v>0.42</v>
      </c>
      <c r="P652" s="6">
        <f>Table1[[#This Row],[Profit]]/Table1[[#This Row],[Sales]]</f>
        <v>0.69</v>
      </c>
      <c r="Q652" s="11" t="s">
        <v>33</v>
      </c>
      <c r="R652" s="11" t="s">
        <v>53</v>
      </c>
      <c r="S652" s="11" t="s">
        <v>193</v>
      </c>
      <c r="T652" s="11" t="s">
        <v>1256</v>
      </c>
      <c r="U652" s="11">
        <v>1075</v>
      </c>
      <c r="V652" s="12">
        <v>42164</v>
      </c>
      <c r="W652" s="13" t="str">
        <f>TEXT(Table1[[#This Row],[Order Date]],"mmmm")</f>
        <v>June</v>
      </c>
      <c r="X652" s="7" t="str">
        <f>TEXT(Table1[[#This Row],[Order Date]],"yyyy")</f>
        <v>2015</v>
      </c>
      <c r="Y652" s="12">
        <v>42164</v>
      </c>
      <c r="Z652" s="11">
        <v>6.0926999999999998</v>
      </c>
      <c r="AA652" s="11">
        <v>1</v>
      </c>
      <c r="AB652" s="11">
        <v>8.83</v>
      </c>
      <c r="AC652" s="11">
        <v>91344</v>
      </c>
      <c r="AD652" s="6" t="str">
        <f>IF(COUNTIF(Returns!$A$2:$A$1635,Orders!AC652)&gt;0,"Returned","Not Returned")</f>
        <v>Not Returned</v>
      </c>
    </row>
    <row r="653" spans="1:30" ht="12.75" customHeight="1" thickTop="1" thickBot="1" x14ac:dyDescent="0.25">
      <c r="A653" s="8">
        <v>24224</v>
      </c>
      <c r="B653" s="1" t="s">
        <v>47</v>
      </c>
      <c r="C653" s="1">
        <v>0.09</v>
      </c>
      <c r="D653" s="1">
        <v>9.11</v>
      </c>
      <c r="E653" s="1">
        <v>2.15</v>
      </c>
      <c r="F653" s="1">
        <v>1155</v>
      </c>
      <c r="G653" s="6" t="str">
        <f>IF(COUNTIF(Table1[Customer ID],Table1[[#This Row],[Customer ID]])&gt;1,"Repeat Customer","One-Time Customer")</f>
        <v>Repeat Customer</v>
      </c>
      <c r="H653" s="1" t="s">
        <v>1257</v>
      </c>
      <c r="I653" s="1" t="s">
        <v>27</v>
      </c>
      <c r="J653" s="1" t="s">
        <v>114</v>
      </c>
      <c r="K653" s="1" t="s">
        <v>29</v>
      </c>
      <c r="L653" s="1" t="s">
        <v>93</v>
      </c>
      <c r="M653" s="1" t="s">
        <v>31</v>
      </c>
      <c r="N653" s="1" t="s">
        <v>1258</v>
      </c>
      <c r="O653" s="1">
        <v>0.4</v>
      </c>
      <c r="P653" s="6">
        <f>Table1[[#This Row],[Profit]]/Table1[[#This Row],[Sales]]</f>
        <v>0.58993315896541709</v>
      </c>
      <c r="Q653" s="1" t="s">
        <v>33</v>
      </c>
      <c r="R653" s="1" t="s">
        <v>34</v>
      </c>
      <c r="S653" s="1" t="s">
        <v>45</v>
      </c>
      <c r="T653" s="1" t="s">
        <v>1259</v>
      </c>
      <c r="U653" s="1">
        <v>90640</v>
      </c>
      <c r="V653" s="9">
        <v>42006</v>
      </c>
      <c r="W653" s="13" t="str">
        <f>TEXT(Table1[[#This Row],[Order Date]],"mmmm")</f>
        <v>January</v>
      </c>
      <c r="X653" s="7" t="str">
        <f>TEXT(Table1[[#This Row],[Order Date]],"yyyy")</f>
        <v>2015</v>
      </c>
      <c r="Y653" s="9">
        <v>42008</v>
      </c>
      <c r="Z653" s="1">
        <v>20.299600000000002</v>
      </c>
      <c r="AA653" s="1">
        <v>4</v>
      </c>
      <c r="AB653" s="1">
        <v>34.409999999999997</v>
      </c>
      <c r="AC653" s="1">
        <v>90853</v>
      </c>
      <c r="AD653" s="6" t="str">
        <f>IF(COUNTIF(Returns!$A$2:$A$1635,Orders!AC653)&gt;0,"Returned","Not Returned")</f>
        <v>Not Returned</v>
      </c>
    </row>
    <row r="654" spans="1:30" ht="12.75" customHeight="1" thickTop="1" thickBot="1" x14ac:dyDescent="0.25">
      <c r="A654" s="10">
        <v>24225</v>
      </c>
      <c r="B654" s="11" t="s">
        <v>47</v>
      </c>
      <c r="C654" s="11">
        <v>0.08</v>
      </c>
      <c r="D654" s="11">
        <v>15.04</v>
      </c>
      <c r="E654" s="11">
        <v>1.97</v>
      </c>
      <c r="F654" s="11">
        <v>1155</v>
      </c>
      <c r="G654" s="6" t="str">
        <f>IF(COUNTIF(Table1[Customer ID],Table1[[#This Row],[Customer ID]])&gt;1,"Repeat Customer","One-Time Customer")</f>
        <v>Repeat Customer</v>
      </c>
      <c r="H654" s="11" t="s">
        <v>1257</v>
      </c>
      <c r="I654" s="11" t="s">
        <v>49</v>
      </c>
      <c r="J654" s="11" t="s">
        <v>114</v>
      </c>
      <c r="K654" s="11" t="s">
        <v>29</v>
      </c>
      <c r="L654" s="11" t="s">
        <v>93</v>
      </c>
      <c r="M654" s="11" t="s">
        <v>31</v>
      </c>
      <c r="N654" s="11" t="s">
        <v>659</v>
      </c>
      <c r="O654" s="11">
        <v>0.39</v>
      </c>
      <c r="P654" s="6">
        <f>Table1[[#This Row],[Profit]]/Table1[[#This Row],[Sales]]</f>
        <v>0.69</v>
      </c>
      <c r="Q654" s="11" t="s">
        <v>33</v>
      </c>
      <c r="R654" s="11" t="s">
        <v>34</v>
      </c>
      <c r="S654" s="11" t="s">
        <v>45</v>
      </c>
      <c r="T654" s="11" t="s">
        <v>1259</v>
      </c>
      <c r="U654" s="11">
        <v>90640</v>
      </c>
      <c r="V654" s="12">
        <v>42006</v>
      </c>
      <c r="W654" s="13" t="str">
        <f>TEXT(Table1[[#This Row],[Order Date]],"mmmm")</f>
        <v>January</v>
      </c>
      <c r="X654" s="7" t="str">
        <f>TEXT(Table1[[#This Row],[Order Date]],"yyyy")</f>
        <v>2015</v>
      </c>
      <c r="Y654" s="12">
        <v>42006</v>
      </c>
      <c r="Z654" s="11">
        <v>108.5163</v>
      </c>
      <c r="AA654" s="11">
        <v>11</v>
      </c>
      <c r="AB654" s="11">
        <v>157.27000000000001</v>
      </c>
      <c r="AC654" s="11">
        <v>90853</v>
      </c>
      <c r="AD654" s="6" t="str">
        <f>IF(COUNTIF(Returns!$A$2:$A$1635,Orders!AC654)&gt;0,"Returned","Not Returned")</f>
        <v>Not Returned</v>
      </c>
    </row>
    <row r="655" spans="1:30" ht="12.75" customHeight="1" thickTop="1" thickBot="1" x14ac:dyDescent="0.25">
      <c r="A655" s="8">
        <v>20212</v>
      </c>
      <c r="B655" s="1" t="s">
        <v>25</v>
      </c>
      <c r="C655" s="1">
        <v>0.06</v>
      </c>
      <c r="D655" s="1">
        <v>175.99</v>
      </c>
      <c r="E655" s="1">
        <v>8.99</v>
      </c>
      <c r="F655" s="1">
        <v>1156</v>
      </c>
      <c r="G655" s="6" t="str">
        <f>IF(COUNTIF(Table1[Customer ID],Table1[[#This Row],[Customer ID]])&gt;1,"Repeat Customer","One-Time Customer")</f>
        <v>One-Time Customer</v>
      </c>
      <c r="H655" s="1" t="s">
        <v>1260</v>
      </c>
      <c r="I655" s="1" t="s">
        <v>49</v>
      </c>
      <c r="J655" s="1" t="s">
        <v>114</v>
      </c>
      <c r="K655" s="1" t="s">
        <v>77</v>
      </c>
      <c r="L655" s="1" t="s">
        <v>78</v>
      </c>
      <c r="M655" s="1" t="s">
        <v>59</v>
      </c>
      <c r="N655" s="1" t="s">
        <v>168</v>
      </c>
      <c r="O655" s="1">
        <v>0.56999999999999995</v>
      </c>
      <c r="P655" s="6">
        <f>Table1[[#This Row],[Profit]]/Table1[[#This Row],[Sales]]</f>
        <v>4.7809792472184962E-2</v>
      </c>
      <c r="Q655" s="1" t="s">
        <v>33</v>
      </c>
      <c r="R655" s="1" t="s">
        <v>53</v>
      </c>
      <c r="S655" s="1" t="s">
        <v>193</v>
      </c>
      <c r="T655" s="1" t="s">
        <v>1261</v>
      </c>
      <c r="U655" s="1">
        <v>1876</v>
      </c>
      <c r="V655" s="9">
        <v>42049</v>
      </c>
      <c r="W655" s="13" t="str">
        <f>TEXT(Table1[[#This Row],[Order Date]],"mmmm")</f>
        <v>February</v>
      </c>
      <c r="X655" s="7" t="str">
        <f>TEXT(Table1[[#This Row],[Order Date]],"yyyy")</f>
        <v>2015</v>
      </c>
      <c r="Y655" s="9">
        <v>42050</v>
      </c>
      <c r="Z655" s="1">
        <v>48.47148</v>
      </c>
      <c r="AA655" s="1">
        <v>7</v>
      </c>
      <c r="AB655" s="1">
        <v>1013.84</v>
      </c>
      <c r="AC655" s="1">
        <v>90855</v>
      </c>
      <c r="AD655" s="6" t="str">
        <f>IF(COUNTIF(Returns!$A$2:$A$1635,Orders!AC655)&gt;0,"Returned","Not Returned")</f>
        <v>Not Returned</v>
      </c>
    </row>
    <row r="656" spans="1:30" ht="12.75" customHeight="1" thickTop="1" thickBot="1" x14ac:dyDescent="0.25">
      <c r="A656" s="10">
        <v>20897</v>
      </c>
      <c r="B656" s="11" t="s">
        <v>25</v>
      </c>
      <c r="C656" s="11">
        <v>0.04</v>
      </c>
      <c r="D656" s="11">
        <v>100.98</v>
      </c>
      <c r="E656" s="11">
        <v>35.840000000000003</v>
      </c>
      <c r="F656" s="11">
        <v>1159</v>
      </c>
      <c r="G656" s="6" t="str">
        <f>IF(COUNTIF(Table1[Customer ID],Table1[[#This Row],[Customer ID]])&gt;1,"Repeat Customer","One-Time Customer")</f>
        <v>One-Time Customer</v>
      </c>
      <c r="H656" s="11" t="s">
        <v>1262</v>
      </c>
      <c r="I656" s="11" t="s">
        <v>39</v>
      </c>
      <c r="J656" s="11" t="s">
        <v>114</v>
      </c>
      <c r="K656" s="11" t="s">
        <v>41</v>
      </c>
      <c r="L656" s="11" t="s">
        <v>191</v>
      </c>
      <c r="M656" s="11" t="s">
        <v>121</v>
      </c>
      <c r="N656" s="11" t="s">
        <v>260</v>
      </c>
      <c r="O656" s="11">
        <v>0.62</v>
      </c>
      <c r="P656" s="6">
        <f>Table1[[#This Row],[Profit]]/Table1[[#This Row],[Sales]]</f>
        <v>-1.3793227990970653</v>
      </c>
      <c r="Q656" s="11" t="s">
        <v>33</v>
      </c>
      <c r="R656" s="11" t="s">
        <v>53</v>
      </c>
      <c r="S656" s="11" t="s">
        <v>54</v>
      </c>
      <c r="T656" s="11" t="s">
        <v>1263</v>
      </c>
      <c r="U656" s="11">
        <v>7086</v>
      </c>
      <c r="V656" s="12">
        <v>42144</v>
      </c>
      <c r="W656" s="13" t="str">
        <f>TEXT(Table1[[#This Row],[Order Date]],"mmmm")</f>
        <v>May</v>
      </c>
      <c r="X656" s="7" t="str">
        <f>TEXT(Table1[[#This Row],[Order Date]],"yyyy")</f>
        <v>2015</v>
      </c>
      <c r="Y656" s="12">
        <v>42145</v>
      </c>
      <c r="Z656" s="11">
        <v>-152.76</v>
      </c>
      <c r="AA656" s="11">
        <v>1</v>
      </c>
      <c r="AB656" s="11">
        <v>110.75</v>
      </c>
      <c r="AC656" s="11">
        <v>90854</v>
      </c>
      <c r="AD656" s="6" t="str">
        <f>IF(COUNTIF(Returns!$A$2:$A$1635,Orders!AC656)&gt;0,"Returned","Not Returned")</f>
        <v>Not Returned</v>
      </c>
    </row>
    <row r="657" spans="1:30" ht="12.75" customHeight="1" thickTop="1" thickBot="1" x14ac:dyDescent="0.25">
      <c r="A657" s="8">
        <v>18860</v>
      </c>
      <c r="B657" s="1" t="s">
        <v>37</v>
      </c>
      <c r="C657" s="1">
        <v>0.09</v>
      </c>
      <c r="D657" s="1">
        <v>9.7799999999999994</v>
      </c>
      <c r="E657" s="1">
        <v>1.39</v>
      </c>
      <c r="F657" s="1">
        <v>1170</v>
      </c>
      <c r="G657" s="6" t="str">
        <f>IF(COUNTIF(Table1[Customer ID],Table1[[#This Row],[Customer ID]])&gt;1,"Repeat Customer","One-Time Customer")</f>
        <v>Repeat Customer</v>
      </c>
      <c r="H657" s="1" t="s">
        <v>1264</v>
      </c>
      <c r="I657" s="1" t="s">
        <v>49</v>
      </c>
      <c r="J657" s="1" t="s">
        <v>114</v>
      </c>
      <c r="K657" s="1" t="s">
        <v>29</v>
      </c>
      <c r="L657" s="1" t="s">
        <v>69</v>
      </c>
      <c r="M657" s="1" t="s">
        <v>59</v>
      </c>
      <c r="N657" s="1" t="s">
        <v>1265</v>
      </c>
      <c r="O657" s="1">
        <v>0.39</v>
      </c>
      <c r="P657" s="6">
        <f>Table1[[#This Row],[Profit]]/Table1[[#This Row],[Sales]]</f>
        <v>0.69</v>
      </c>
      <c r="Q657" s="1" t="s">
        <v>33</v>
      </c>
      <c r="R657" s="1" t="s">
        <v>53</v>
      </c>
      <c r="S657" s="1" t="s">
        <v>1149</v>
      </c>
      <c r="T657" s="1" t="s">
        <v>401</v>
      </c>
      <c r="U657" s="1">
        <v>19711</v>
      </c>
      <c r="V657" s="9">
        <v>42157</v>
      </c>
      <c r="W657" s="13" t="str">
        <f>TEXT(Table1[[#This Row],[Order Date]],"mmmm")</f>
        <v>June</v>
      </c>
      <c r="X657" s="7" t="str">
        <f>TEXT(Table1[[#This Row],[Order Date]],"yyyy")</f>
        <v>2015</v>
      </c>
      <c r="Y657" s="9">
        <v>42158</v>
      </c>
      <c r="Z657" s="1">
        <v>125.20739999999999</v>
      </c>
      <c r="AA657" s="1">
        <v>19</v>
      </c>
      <c r="AB657" s="1">
        <v>181.46</v>
      </c>
      <c r="AC657" s="1">
        <v>87520</v>
      </c>
      <c r="AD657" s="6" t="str">
        <f>IF(COUNTIF(Returns!$A$2:$A$1635,Orders!AC657)&gt;0,"Returned","Not Returned")</f>
        <v>Not Returned</v>
      </c>
    </row>
    <row r="658" spans="1:30" ht="12.75" customHeight="1" thickTop="1" thickBot="1" x14ac:dyDescent="0.25">
      <c r="A658" s="10">
        <v>18861</v>
      </c>
      <c r="B658" s="11" t="s">
        <v>37</v>
      </c>
      <c r="C658" s="11">
        <v>0</v>
      </c>
      <c r="D658" s="11">
        <v>200.99</v>
      </c>
      <c r="E658" s="11">
        <v>8.08</v>
      </c>
      <c r="F658" s="11">
        <v>1170</v>
      </c>
      <c r="G658" s="6" t="str">
        <f>IF(COUNTIF(Table1[Customer ID],Table1[[#This Row],[Customer ID]])&gt;1,"Repeat Customer","One-Time Customer")</f>
        <v>Repeat Customer</v>
      </c>
      <c r="H658" s="11" t="s">
        <v>1264</v>
      </c>
      <c r="I658" s="11" t="s">
        <v>49</v>
      </c>
      <c r="J658" s="11" t="s">
        <v>114</v>
      </c>
      <c r="K658" s="11" t="s">
        <v>77</v>
      </c>
      <c r="L658" s="11" t="s">
        <v>78</v>
      </c>
      <c r="M658" s="11" t="s">
        <v>59</v>
      </c>
      <c r="N658" s="11" t="s">
        <v>1266</v>
      </c>
      <c r="O658" s="11">
        <v>0.59</v>
      </c>
      <c r="P658" s="6">
        <f>Table1[[#This Row],[Profit]]/Table1[[#This Row],[Sales]]</f>
        <v>0.26157614048127847</v>
      </c>
      <c r="Q658" s="11" t="s">
        <v>33</v>
      </c>
      <c r="R658" s="11" t="s">
        <v>53</v>
      </c>
      <c r="S658" s="11" t="s">
        <v>1149</v>
      </c>
      <c r="T658" s="11" t="s">
        <v>401</v>
      </c>
      <c r="U658" s="11">
        <v>19711</v>
      </c>
      <c r="V658" s="12">
        <v>42157</v>
      </c>
      <c r="W658" s="13" t="str">
        <f>TEXT(Table1[[#This Row],[Order Date]],"mmmm")</f>
        <v>June</v>
      </c>
      <c r="X658" s="7" t="str">
        <f>TEXT(Table1[[#This Row],[Order Date]],"yyyy")</f>
        <v>2015</v>
      </c>
      <c r="Y658" s="12">
        <v>42159</v>
      </c>
      <c r="Z658" s="11">
        <v>281.53440000000001</v>
      </c>
      <c r="AA658" s="11">
        <v>6</v>
      </c>
      <c r="AB658" s="11">
        <v>1076.3</v>
      </c>
      <c r="AC658" s="11">
        <v>87520</v>
      </c>
      <c r="AD658" s="6" t="str">
        <f>IF(COUNTIF(Returns!$A$2:$A$1635,Orders!AC658)&gt;0,"Returned","Not Returned")</f>
        <v>Not Returned</v>
      </c>
    </row>
    <row r="659" spans="1:30" ht="12.75" customHeight="1" thickTop="1" thickBot="1" x14ac:dyDescent="0.25">
      <c r="A659" s="8">
        <v>19182</v>
      </c>
      <c r="B659" s="1" t="s">
        <v>25</v>
      </c>
      <c r="C659" s="1">
        <v>0.03</v>
      </c>
      <c r="D659" s="1">
        <v>4.4800000000000004</v>
      </c>
      <c r="E659" s="1">
        <v>49</v>
      </c>
      <c r="F659" s="1">
        <v>1178</v>
      </c>
      <c r="G659" s="6" t="str">
        <f>IF(COUNTIF(Table1[Customer ID],Table1[[#This Row],[Customer ID]])&gt;1,"Repeat Customer","One-Time Customer")</f>
        <v>Repeat Customer</v>
      </c>
      <c r="H659" s="1" t="s">
        <v>1267</v>
      </c>
      <c r="I659" s="1" t="s">
        <v>49</v>
      </c>
      <c r="J659" s="1" t="s">
        <v>114</v>
      </c>
      <c r="K659" s="1" t="s">
        <v>29</v>
      </c>
      <c r="L659" s="1" t="s">
        <v>257</v>
      </c>
      <c r="M659" s="1" t="s">
        <v>236</v>
      </c>
      <c r="N659" s="1" t="s">
        <v>680</v>
      </c>
      <c r="O659" s="1">
        <v>0.6</v>
      </c>
      <c r="P659" s="6">
        <f>Table1[[#This Row],[Profit]]/Table1[[#This Row],[Sales]]</f>
        <v>2.9946877912395147</v>
      </c>
      <c r="Q659" s="1" t="s">
        <v>33</v>
      </c>
      <c r="R659" s="1" t="s">
        <v>136</v>
      </c>
      <c r="S659" s="1" t="s">
        <v>362</v>
      </c>
      <c r="T659" s="1" t="s">
        <v>1268</v>
      </c>
      <c r="U659" s="1">
        <v>32701</v>
      </c>
      <c r="V659" s="9">
        <v>42103</v>
      </c>
      <c r="W659" s="13" t="str">
        <f>TEXT(Table1[[#This Row],[Order Date]],"mmmm")</f>
        <v>April</v>
      </c>
      <c r="X659" s="7" t="str">
        <f>TEXT(Table1[[#This Row],[Order Date]],"yyyy")</f>
        <v>2015</v>
      </c>
      <c r="Y659" s="9">
        <v>42105</v>
      </c>
      <c r="Z659" s="1">
        <v>64.265999999999991</v>
      </c>
      <c r="AA659" s="1">
        <v>2</v>
      </c>
      <c r="AB659" s="1">
        <v>21.46</v>
      </c>
      <c r="AC659" s="1">
        <v>89787</v>
      </c>
      <c r="AD659" s="6" t="str">
        <f>IF(COUNTIF(Returns!$A$2:$A$1635,Orders!AC659)&gt;0,"Returned","Not Returned")</f>
        <v>Not Returned</v>
      </c>
    </row>
    <row r="660" spans="1:30" ht="12.75" customHeight="1" thickTop="1" thickBot="1" x14ac:dyDescent="0.25">
      <c r="A660" s="10">
        <v>19183</v>
      </c>
      <c r="B660" s="11" t="s">
        <v>25</v>
      </c>
      <c r="C660" s="11">
        <v>0.06</v>
      </c>
      <c r="D660" s="11">
        <v>350.99</v>
      </c>
      <c r="E660" s="11">
        <v>39</v>
      </c>
      <c r="F660" s="11">
        <v>1178</v>
      </c>
      <c r="G660" s="6" t="str">
        <f>IF(COUNTIF(Table1[Customer ID],Table1[[#This Row],[Customer ID]])&gt;1,"Repeat Customer","One-Time Customer")</f>
        <v>Repeat Customer</v>
      </c>
      <c r="H660" s="11" t="s">
        <v>1267</v>
      </c>
      <c r="I660" s="11" t="s">
        <v>39</v>
      </c>
      <c r="J660" s="11" t="s">
        <v>114</v>
      </c>
      <c r="K660" s="11" t="s">
        <v>41</v>
      </c>
      <c r="L660" s="11" t="s">
        <v>42</v>
      </c>
      <c r="M660" s="11" t="s">
        <v>43</v>
      </c>
      <c r="N660" s="11" t="s">
        <v>1269</v>
      </c>
      <c r="O660" s="11">
        <v>0.55000000000000004</v>
      </c>
      <c r="P660" s="6">
        <f>Table1[[#This Row],[Profit]]/Table1[[#This Row],[Sales]]</f>
        <v>-8.6294435350948717E-2</v>
      </c>
      <c r="Q660" s="11" t="s">
        <v>33</v>
      </c>
      <c r="R660" s="11" t="s">
        <v>136</v>
      </c>
      <c r="S660" s="11" t="s">
        <v>362</v>
      </c>
      <c r="T660" s="11" t="s">
        <v>1268</v>
      </c>
      <c r="U660" s="11">
        <v>32701</v>
      </c>
      <c r="V660" s="12">
        <v>42103</v>
      </c>
      <c r="W660" s="13" t="str">
        <f>TEXT(Table1[[#This Row],[Order Date]],"mmmm")</f>
        <v>April</v>
      </c>
      <c r="X660" s="7" t="str">
        <f>TEXT(Table1[[#This Row],[Order Date]],"yyyy")</f>
        <v>2015</v>
      </c>
      <c r="Y660" s="12">
        <v>42105</v>
      </c>
      <c r="Z660" s="11">
        <v>-302.61559999999997</v>
      </c>
      <c r="AA660" s="11">
        <v>10</v>
      </c>
      <c r="AB660" s="11">
        <v>3506.78</v>
      </c>
      <c r="AC660" s="11">
        <v>89787</v>
      </c>
      <c r="AD660" s="6" t="str">
        <f>IF(COUNTIF(Returns!$A$2:$A$1635,Orders!AC660)&gt;0,"Returned","Not Returned")</f>
        <v>Not Returned</v>
      </c>
    </row>
    <row r="661" spans="1:30" ht="12.75" customHeight="1" thickTop="1" thickBot="1" x14ac:dyDescent="0.25">
      <c r="A661" s="8">
        <v>19184</v>
      </c>
      <c r="B661" s="1" t="s">
        <v>25</v>
      </c>
      <c r="C661" s="1">
        <v>0.09</v>
      </c>
      <c r="D661" s="1">
        <v>40.98</v>
      </c>
      <c r="E661" s="1">
        <v>6.5</v>
      </c>
      <c r="F661" s="1">
        <v>1178</v>
      </c>
      <c r="G661" s="6" t="str">
        <f>IF(COUNTIF(Table1[Customer ID],Table1[[#This Row],[Customer ID]])&gt;1,"Repeat Customer","One-Time Customer")</f>
        <v>Repeat Customer</v>
      </c>
      <c r="H661" s="1" t="s">
        <v>1267</v>
      </c>
      <c r="I661" s="1" t="s">
        <v>27</v>
      </c>
      <c r="J661" s="1" t="s">
        <v>114</v>
      </c>
      <c r="K661" s="1" t="s">
        <v>77</v>
      </c>
      <c r="L661" s="1" t="s">
        <v>180</v>
      </c>
      <c r="M661" s="1" t="s">
        <v>59</v>
      </c>
      <c r="N661" s="1" t="s">
        <v>1270</v>
      </c>
      <c r="O661" s="1">
        <v>0.74</v>
      </c>
      <c r="P661" s="6">
        <f>Table1[[#This Row],[Profit]]/Table1[[#This Row],[Sales]]</f>
        <v>2.1261907430236468E-2</v>
      </c>
      <c r="Q661" s="1" t="s">
        <v>33</v>
      </c>
      <c r="R661" s="1" t="s">
        <v>136</v>
      </c>
      <c r="S661" s="1" t="s">
        <v>362</v>
      </c>
      <c r="T661" s="1" t="s">
        <v>1268</v>
      </c>
      <c r="U661" s="1">
        <v>32701</v>
      </c>
      <c r="V661" s="9">
        <v>42103</v>
      </c>
      <c r="W661" s="13" t="str">
        <f>TEXT(Table1[[#This Row],[Order Date]],"mmmm")</f>
        <v>April</v>
      </c>
      <c r="X661" s="7" t="str">
        <f>TEXT(Table1[[#This Row],[Order Date]],"yyyy")</f>
        <v>2015</v>
      </c>
      <c r="Y661" s="9">
        <v>42105</v>
      </c>
      <c r="Z661" s="1">
        <v>5.6916000000000002</v>
      </c>
      <c r="AA661" s="1">
        <v>7</v>
      </c>
      <c r="AB661" s="1">
        <v>267.69</v>
      </c>
      <c r="AC661" s="1">
        <v>89787</v>
      </c>
      <c r="AD661" s="6" t="str">
        <f>IF(COUNTIF(Returns!$A$2:$A$1635,Orders!AC661)&gt;0,"Returned","Not Returned")</f>
        <v>Not Returned</v>
      </c>
    </row>
    <row r="662" spans="1:30" ht="12.75" customHeight="1" thickTop="1" thickBot="1" x14ac:dyDescent="0.25">
      <c r="A662" s="10">
        <v>19185</v>
      </c>
      <c r="B662" s="11" t="s">
        <v>25</v>
      </c>
      <c r="C662" s="11">
        <v>0.09</v>
      </c>
      <c r="D662" s="11">
        <v>349.45</v>
      </c>
      <c r="E662" s="11">
        <v>60</v>
      </c>
      <c r="F662" s="11">
        <v>1178</v>
      </c>
      <c r="G662" s="6" t="str">
        <f>IF(COUNTIF(Table1[Customer ID],Table1[[#This Row],[Customer ID]])&gt;1,"Repeat Customer","One-Time Customer")</f>
        <v>Repeat Customer</v>
      </c>
      <c r="H662" s="11" t="s">
        <v>1267</v>
      </c>
      <c r="I662" s="11" t="s">
        <v>39</v>
      </c>
      <c r="J662" s="11" t="s">
        <v>114</v>
      </c>
      <c r="K662" s="11" t="s">
        <v>41</v>
      </c>
      <c r="L662" s="11" t="s">
        <v>152</v>
      </c>
      <c r="M662" s="11" t="s">
        <v>43</v>
      </c>
      <c r="N662" s="11" t="s">
        <v>989</v>
      </c>
      <c r="O662" s="11"/>
      <c r="P662" s="6">
        <f>Table1[[#This Row],[Profit]]/Table1[[#This Row],[Sales]]</f>
        <v>-0.15997763581044178</v>
      </c>
      <c r="Q662" s="11" t="s">
        <v>33</v>
      </c>
      <c r="R662" s="11" t="s">
        <v>136</v>
      </c>
      <c r="S662" s="11" t="s">
        <v>362</v>
      </c>
      <c r="T662" s="11" t="s">
        <v>1268</v>
      </c>
      <c r="U662" s="11">
        <v>32701</v>
      </c>
      <c r="V662" s="12">
        <v>42103</v>
      </c>
      <c r="W662" s="13" t="str">
        <f>TEXT(Table1[[#This Row],[Order Date]],"mmmm")</f>
        <v>April</v>
      </c>
      <c r="X662" s="7" t="str">
        <f>TEXT(Table1[[#This Row],[Order Date]],"yyyy")</f>
        <v>2015</v>
      </c>
      <c r="Y662" s="12">
        <v>42104</v>
      </c>
      <c r="Z662" s="11">
        <v>-369.10999999999996</v>
      </c>
      <c r="AA662" s="11">
        <v>7</v>
      </c>
      <c r="AB662" s="11">
        <v>2307.2600000000002</v>
      </c>
      <c r="AC662" s="11">
        <v>89787</v>
      </c>
      <c r="AD662" s="6" t="str">
        <f>IF(COUNTIF(Returns!$A$2:$A$1635,Orders!AC662)&gt;0,"Returned","Not Returned")</f>
        <v>Not Returned</v>
      </c>
    </row>
    <row r="663" spans="1:30" ht="12.75" customHeight="1" thickTop="1" thickBot="1" x14ac:dyDescent="0.25">
      <c r="A663" s="8">
        <v>19484</v>
      </c>
      <c r="B663" s="1" t="s">
        <v>25</v>
      </c>
      <c r="C663" s="1">
        <v>7.0000000000000007E-2</v>
      </c>
      <c r="D663" s="1">
        <v>2.61</v>
      </c>
      <c r="E663" s="1">
        <v>0.5</v>
      </c>
      <c r="F663" s="1">
        <v>1182</v>
      </c>
      <c r="G663" s="6" t="str">
        <f>IF(COUNTIF(Table1[Customer ID],Table1[[#This Row],[Customer ID]])&gt;1,"Repeat Customer","One-Time Customer")</f>
        <v>One-Time Customer</v>
      </c>
      <c r="H663" s="1" t="s">
        <v>1271</v>
      </c>
      <c r="I663" s="1" t="s">
        <v>49</v>
      </c>
      <c r="J663" s="1" t="s">
        <v>40</v>
      </c>
      <c r="K663" s="1" t="s">
        <v>29</v>
      </c>
      <c r="L663" s="1" t="s">
        <v>134</v>
      </c>
      <c r="M663" s="1" t="s">
        <v>59</v>
      </c>
      <c r="N663" s="1" t="s">
        <v>1138</v>
      </c>
      <c r="O663" s="1">
        <v>0.39</v>
      </c>
      <c r="P663" s="6">
        <f>Table1[[#This Row],[Profit]]/Table1[[#This Row],[Sales]]</f>
        <v>0.69</v>
      </c>
      <c r="Q663" s="1" t="s">
        <v>33</v>
      </c>
      <c r="R663" s="1" t="s">
        <v>34</v>
      </c>
      <c r="S663" s="1" t="s">
        <v>212</v>
      </c>
      <c r="T663" s="1" t="s">
        <v>1272</v>
      </c>
      <c r="U663" s="1">
        <v>84660</v>
      </c>
      <c r="V663" s="9">
        <v>42147</v>
      </c>
      <c r="W663" s="13" t="str">
        <f>TEXT(Table1[[#This Row],[Order Date]],"mmmm")</f>
        <v>May</v>
      </c>
      <c r="X663" s="7" t="str">
        <f>TEXT(Table1[[#This Row],[Order Date]],"yyyy")</f>
        <v>2015</v>
      </c>
      <c r="Y663" s="9">
        <v>42147</v>
      </c>
      <c r="Z663" s="1">
        <v>27.013499999999997</v>
      </c>
      <c r="AA663" s="1">
        <v>15</v>
      </c>
      <c r="AB663" s="1">
        <v>39.15</v>
      </c>
      <c r="AC663" s="1">
        <v>86913</v>
      </c>
      <c r="AD663" s="6" t="str">
        <f>IF(COUNTIF(Returns!$A$2:$A$1635,Orders!AC663)&gt;0,"Returned","Not Returned")</f>
        <v>Not Returned</v>
      </c>
    </row>
    <row r="664" spans="1:30" ht="12.75" customHeight="1" thickTop="1" thickBot="1" x14ac:dyDescent="0.25">
      <c r="A664" s="10">
        <v>21522</v>
      </c>
      <c r="B664" s="11" t="s">
        <v>37</v>
      </c>
      <c r="C664" s="11">
        <v>0.04</v>
      </c>
      <c r="D664" s="11">
        <v>35.99</v>
      </c>
      <c r="E664" s="11">
        <v>3.3</v>
      </c>
      <c r="F664" s="11">
        <v>1183</v>
      </c>
      <c r="G664" s="6" t="str">
        <f>IF(COUNTIF(Table1[Customer ID],Table1[[#This Row],[Customer ID]])&gt;1,"Repeat Customer","One-Time Customer")</f>
        <v>One-Time Customer</v>
      </c>
      <c r="H664" s="11" t="s">
        <v>1273</v>
      </c>
      <c r="I664" s="11" t="s">
        <v>49</v>
      </c>
      <c r="J664" s="11" t="s">
        <v>40</v>
      </c>
      <c r="K664" s="11" t="s">
        <v>77</v>
      </c>
      <c r="L664" s="11" t="s">
        <v>78</v>
      </c>
      <c r="M664" s="11" t="s">
        <v>51</v>
      </c>
      <c r="N664" s="11" t="s">
        <v>1274</v>
      </c>
      <c r="O664" s="11">
        <v>0.39</v>
      </c>
      <c r="P664" s="6">
        <f>Table1[[#This Row],[Profit]]/Table1[[#This Row],[Sales]]</f>
        <v>0.69</v>
      </c>
      <c r="Q664" s="11" t="s">
        <v>33</v>
      </c>
      <c r="R664" s="11" t="s">
        <v>34</v>
      </c>
      <c r="S664" s="11" t="s">
        <v>212</v>
      </c>
      <c r="T664" s="11" t="s">
        <v>1275</v>
      </c>
      <c r="U664" s="11">
        <v>84663</v>
      </c>
      <c r="V664" s="12">
        <v>42184</v>
      </c>
      <c r="W664" s="13" t="str">
        <f>TEXT(Table1[[#This Row],[Order Date]],"mmmm")</f>
        <v>June</v>
      </c>
      <c r="X664" s="7" t="str">
        <f>TEXT(Table1[[#This Row],[Order Date]],"yyyy")</f>
        <v>2015</v>
      </c>
      <c r="Y664" s="12">
        <v>42184</v>
      </c>
      <c r="Z664" s="11">
        <v>184.19549999999998</v>
      </c>
      <c r="AA664" s="11">
        <v>9</v>
      </c>
      <c r="AB664" s="11">
        <v>266.95</v>
      </c>
      <c r="AC664" s="11">
        <v>86914</v>
      </c>
      <c r="AD664" s="6" t="str">
        <f>IF(COUNTIF(Returns!$A$2:$A$1635,Orders!AC664)&gt;0,"Returned","Not Returned")</f>
        <v>Not Returned</v>
      </c>
    </row>
    <row r="665" spans="1:30" ht="12.75" customHeight="1" thickTop="1" thickBot="1" x14ac:dyDescent="0.25">
      <c r="A665" s="8">
        <v>22190</v>
      </c>
      <c r="B665" s="1" t="s">
        <v>56</v>
      </c>
      <c r="C665" s="1">
        <v>0</v>
      </c>
      <c r="D665" s="1">
        <v>6783.02</v>
      </c>
      <c r="E665" s="1">
        <v>24.49</v>
      </c>
      <c r="F665" s="1">
        <v>1185</v>
      </c>
      <c r="G665" s="6" t="str">
        <f>IF(COUNTIF(Table1[Customer ID],Table1[[#This Row],[Customer ID]])&gt;1,"Repeat Customer","One-Time Customer")</f>
        <v>Repeat Customer</v>
      </c>
      <c r="H665" s="1" t="s">
        <v>1276</v>
      </c>
      <c r="I665" s="1" t="s">
        <v>49</v>
      </c>
      <c r="J665" s="1" t="s">
        <v>114</v>
      </c>
      <c r="K665" s="1" t="s">
        <v>77</v>
      </c>
      <c r="L665" s="1" t="s">
        <v>85</v>
      </c>
      <c r="M665" s="1" t="s">
        <v>236</v>
      </c>
      <c r="N665" s="1" t="s">
        <v>1277</v>
      </c>
      <c r="O665" s="1">
        <v>0.39</v>
      </c>
      <c r="P665" s="6">
        <f>Table1[[#This Row],[Profit]]/Table1[[#This Row],[Sales]]</f>
        <v>1.9997518556091578E-4</v>
      </c>
      <c r="Q665" s="1" t="s">
        <v>33</v>
      </c>
      <c r="R665" s="1" t="s">
        <v>136</v>
      </c>
      <c r="S665" s="1" t="s">
        <v>1278</v>
      </c>
      <c r="T665" s="1" t="s">
        <v>1279</v>
      </c>
      <c r="U665" s="1">
        <v>35756</v>
      </c>
      <c r="V665" s="9">
        <v>42084</v>
      </c>
      <c r="W665" s="13" t="str">
        <f>TEXT(Table1[[#This Row],[Order Date]],"mmmm")</f>
        <v>March</v>
      </c>
      <c r="X665" s="7" t="str">
        <f>TEXT(Table1[[#This Row],[Order Date]],"yyyy")</f>
        <v>2015</v>
      </c>
      <c r="Y665" s="9">
        <v>42085</v>
      </c>
      <c r="Z665" s="1">
        <v>4.1099999999999994</v>
      </c>
      <c r="AA665" s="1">
        <v>3</v>
      </c>
      <c r="AB665" s="1">
        <v>20552.55</v>
      </c>
      <c r="AC665" s="1">
        <v>85938</v>
      </c>
      <c r="AD665" s="6" t="str">
        <f>IF(COUNTIF(Returns!$A$2:$A$1635,Orders!AC665)&gt;0,"Returned","Not Returned")</f>
        <v>Not Returned</v>
      </c>
    </row>
    <row r="666" spans="1:30" ht="12.75" customHeight="1" thickTop="1" thickBot="1" x14ac:dyDescent="0.25">
      <c r="A666" s="10">
        <v>20764</v>
      </c>
      <c r="B666" s="11" t="s">
        <v>37</v>
      </c>
      <c r="C666" s="11">
        <v>0.08</v>
      </c>
      <c r="D666" s="11">
        <v>11.7</v>
      </c>
      <c r="E666" s="11">
        <v>6.96</v>
      </c>
      <c r="F666" s="11">
        <v>1185</v>
      </c>
      <c r="G666" s="6" t="str">
        <f>IF(COUNTIF(Table1[Customer ID],Table1[[#This Row],[Customer ID]])&gt;1,"Repeat Customer","One-Time Customer")</f>
        <v>Repeat Customer</v>
      </c>
      <c r="H666" s="11" t="s">
        <v>1276</v>
      </c>
      <c r="I666" s="11" t="s">
        <v>49</v>
      </c>
      <c r="J666" s="11" t="s">
        <v>114</v>
      </c>
      <c r="K666" s="11" t="s">
        <v>29</v>
      </c>
      <c r="L666" s="11" t="s">
        <v>257</v>
      </c>
      <c r="M666" s="11" t="s">
        <v>86</v>
      </c>
      <c r="N666" s="11" t="s">
        <v>1280</v>
      </c>
      <c r="O666" s="11">
        <v>0.5</v>
      </c>
      <c r="P666" s="6">
        <f>Table1[[#This Row],[Profit]]/Table1[[#This Row],[Sales]]</f>
        <v>0.32535307517084283</v>
      </c>
      <c r="Q666" s="11" t="s">
        <v>33</v>
      </c>
      <c r="R666" s="11" t="s">
        <v>136</v>
      </c>
      <c r="S666" s="11" t="s">
        <v>1278</v>
      </c>
      <c r="T666" s="11" t="s">
        <v>1279</v>
      </c>
      <c r="U666" s="11">
        <v>35756</v>
      </c>
      <c r="V666" s="12">
        <v>42104</v>
      </c>
      <c r="W666" s="13" t="str">
        <f>TEXT(Table1[[#This Row],[Order Date]],"mmmm")</f>
        <v>April</v>
      </c>
      <c r="X666" s="7" t="str">
        <f>TEXT(Table1[[#This Row],[Order Date]],"yyyy")</f>
        <v>2015</v>
      </c>
      <c r="Y666" s="12">
        <v>42107</v>
      </c>
      <c r="Z666" s="11">
        <v>28.565999999999999</v>
      </c>
      <c r="AA666" s="11">
        <v>8</v>
      </c>
      <c r="AB666" s="11">
        <v>87.8</v>
      </c>
      <c r="AC666" s="11">
        <v>85940</v>
      </c>
      <c r="AD666" s="6" t="str">
        <f>IF(COUNTIF(Returns!$A$2:$A$1635,Orders!AC666)&gt;0,"Returned","Not Returned")</f>
        <v>Not Returned</v>
      </c>
    </row>
    <row r="667" spans="1:30" ht="12.75" customHeight="1" thickTop="1" thickBot="1" x14ac:dyDescent="0.25">
      <c r="A667" s="8">
        <v>24358</v>
      </c>
      <c r="B667" s="1" t="s">
        <v>47</v>
      </c>
      <c r="C667" s="1">
        <v>7.0000000000000007E-2</v>
      </c>
      <c r="D667" s="1">
        <v>400.97</v>
      </c>
      <c r="E667" s="1">
        <v>48.26</v>
      </c>
      <c r="F667" s="1">
        <v>1186</v>
      </c>
      <c r="G667" s="6" t="str">
        <f>IF(COUNTIF(Table1[Customer ID],Table1[[#This Row],[Customer ID]])&gt;1,"Repeat Customer","One-Time Customer")</f>
        <v>One-Time Customer</v>
      </c>
      <c r="H667" s="1" t="s">
        <v>1281</v>
      </c>
      <c r="I667" s="1" t="s">
        <v>39</v>
      </c>
      <c r="J667" s="1" t="s">
        <v>114</v>
      </c>
      <c r="K667" s="1" t="s">
        <v>77</v>
      </c>
      <c r="L667" s="1" t="s">
        <v>85</v>
      </c>
      <c r="M667" s="1" t="s">
        <v>121</v>
      </c>
      <c r="N667" s="1" t="s">
        <v>1282</v>
      </c>
      <c r="O667" s="1">
        <v>0.36</v>
      </c>
      <c r="P667" s="6">
        <f>Table1[[#This Row],[Profit]]/Table1[[#This Row],[Sales]]</f>
        <v>0.68999999999999984</v>
      </c>
      <c r="Q667" s="1" t="s">
        <v>33</v>
      </c>
      <c r="R667" s="1" t="s">
        <v>34</v>
      </c>
      <c r="S667" s="1" t="s">
        <v>45</v>
      </c>
      <c r="T667" s="1" t="s">
        <v>1283</v>
      </c>
      <c r="U667" s="1">
        <v>92646</v>
      </c>
      <c r="V667" s="9">
        <v>42103</v>
      </c>
      <c r="W667" s="13" t="str">
        <f>TEXT(Table1[[#This Row],[Order Date]],"mmmm")</f>
        <v>April</v>
      </c>
      <c r="X667" s="7" t="str">
        <f>TEXT(Table1[[#This Row],[Order Date]],"yyyy")</f>
        <v>2015</v>
      </c>
      <c r="Y667" s="9">
        <v>42104</v>
      </c>
      <c r="Z667" s="1">
        <v>2581.5590999999995</v>
      </c>
      <c r="AA667" s="1">
        <v>10</v>
      </c>
      <c r="AB667" s="1">
        <v>3741.39</v>
      </c>
      <c r="AC667" s="1">
        <v>85939</v>
      </c>
      <c r="AD667" s="6" t="str">
        <f>IF(COUNTIF(Returns!$A$2:$A$1635,Orders!AC667)&gt;0,"Returned","Not Returned")</f>
        <v>Not Returned</v>
      </c>
    </row>
    <row r="668" spans="1:30" ht="12.75" customHeight="1" thickTop="1" thickBot="1" x14ac:dyDescent="0.25">
      <c r="A668" s="10">
        <v>18829</v>
      </c>
      <c r="B668" s="11" t="s">
        <v>106</v>
      </c>
      <c r="C668" s="11">
        <v>0.06</v>
      </c>
      <c r="D668" s="11">
        <v>10.89</v>
      </c>
      <c r="E668" s="11">
        <v>4.5</v>
      </c>
      <c r="F668" s="11">
        <v>1189</v>
      </c>
      <c r="G668" s="6" t="str">
        <f>IF(COUNTIF(Table1[Customer ID],Table1[[#This Row],[Customer ID]])&gt;1,"Repeat Customer","One-Time Customer")</f>
        <v>Repeat Customer</v>
      </c>
      <c r="H668" s="11" t="s">
        <v>1284</v>
      </c>
      <c r="I668" s="11" t="s">
        <v>49</v>
      </c>
      <c r="J668" s="11" t="s">
        <v>114</v>
      </c>
      <c r="K668" s="11" t="s">
        <v>29</v>
      </c>
      <c r="L668" s="11" t="s">
        <v>257</v>
      </c>
      <c r="M668" s="11" t="s">
        <v>59</v>
      </c>
      <c r="N668" s="11" t="s">
        <v>258</v>
      </c>
      <c r="O668" s="11">
        <v>0.59</v>
      </c>
      <c r="P668" s="6">
        <f>Table1[[#This Row],[Profit]]/Table1[[#This Row],[Sales]]</f>
        <v>-0.16817572997589073</v>
      </c>
      <c r="Q668" s="11" t="s">
        <v>33</v>
      </c>
      <c r="R668" s="11" t="s">
        <v>34</v>
      </c>
      <c r="S668" s="11" t="s">
        <v>45</v>
      </c>
      <c r="T668" s="11" t="s">
        <v>1283</v>
      </c>
      <c r="U668" s="11">
        <v>92646</v>
      </c>
      <c r="V668" s="12">
        <v>42172</v>
      </c>
      <c r="W668" s="13" t="str">
        <f>TEXT(Table1[[#This Row],[Order Date]],"mmmm")</f>
        <v>June</v>
      </c>
      <c r="X668" s="7" t="str">
        <f>TEXT(Table1[[#This Row],[Order Date]],"yyyy")</f>
        <v>2015</v>
      </c>
      <c r="Y668" s="12">
        <v>42177</v>
      </c>
      <c r="Z668" s="11">
        <v>-25.112000000000002</v>
      </c>
      <c r="AA668" s="11">
        <v>14</v>
      </c>
      <c r="AB668" s="11">
        <v>149.32</v>
      </c>
      <c r="AC668" s="11">
        <v>87584</v>
      </c>
      <c r="AD668" s="6" t="str">
        <f>IF(COUNTIF(Returns!$A$2:$A$1635,Orders!AC668)&gt;0,"Returned","Not Returned")</f>
        <v>Not Returned</v>
      </c>
    </row>
    <row r="669" spans="1:30" ht="12.75" customHeight="1" thickTop="1" thickBot="1" x14ac:dyDescent="0.25">
      <c r="A669" s="8">
        <v>18830</v>
      </c>
      <c r="B669" s="1" t="s">
        <v>106</v>
      </c>
      <c r="C669" s="1">
        <v>0.03</v>
      </c>
      <c r="D669" s="1">
        <v>10.64</v>
      </c>
      <c r="E669" s="1">
        <v>5.16</v>
      </c>
      <c r="F669" s="1">
        <v>1189</v>
      </c>
      <c r="G669" s="6" t="str">
        <f>IF(COUNTIF(Table1[Customer ID],Table1[[#This Row],[Customer ID]])&gt;1,"Repeat Customer","One-Time Customer")</f>
        <v>Repeat Customer</v>
      </c>
      <c r="H669" s="1" t="s">
        <v>1284</v>
      </c>
      <c r="I669" s="1" t="s">
        <v>49</v>
      </c>
      <c r="J669" s="1" t="s">
        <v>114</v>
      </c>
      <c r="K669" s="1" t="s">
        <v>41</v>
      </c>
      <c r="L669" s="1" t="s">
        <v>50</v>
      </c>
      <c r="M669" s="1" t="s">
        <v>59</v>
      </c>
      <c r="N669" s="1" t="s">
        <v>851</v>
      </c>
      <c r="O669" s="1">
        <v>0.56999999999999995</v>
      </c>
      <c r="P669" s="6">
        <f>Table1[[#This Row],[Profit]]/Table1[[#This Row],[Sales]]</f>
        <v>9.8163945539800027E-2</v>
      </c>
      <c r="Q669" s="1" t="s">
        <v>33</v>
      </c>
      <c r="R669" s="1" t="s">
        <v>34</v>
      </c>
      <c r="S669" s="1" t="s">
        <v>45</v>
      </c>
      <c r="T669" s="1" t="s">
        <v>1283</v>
      </c>
      <c r="U669" s="1">
        <v>92646</v>
      </c>
      <c r="V669" s="9">
        <v>42172</v>
      </c>
      <c r="W669" s="13" t="str">
        <f>TEXT(Table1[[#This Row],[Order Date]],"mmmm")</f>
        <v>June</v>
      </c>
      <c r="X669" s="7" t="str">
        <f>TEXT(Table1[[#This Row],[Order Date]],"yyyy")</f>
        <v>2015</v>
      </c>
      <c r="Y669" s="9">
        <v>42177</v>
      </c>
      <c r="Z669" s="1">
        <v>17.376000000000001</v>
      </c>
      <c r="AA669" s="1">
        <v>16</v>
      </c>
      <c r="AB669" s="1">
        <v>177.01</v>
      </c>
      <c r="AC669" s="1">
        <v>87584</v>
      </c>
      <c r="AD669" s="6" t="str">
        <f>IF(COUNTIF(Returns!$A$2:$A$1635,Orders!AC669)&gt;0,"Returned","Not Returned")</f>
        <v>Not Returned</v>
      </c>
    </row>
    <row r="670" spans="1:30" ht="12.75" customHeight="1" thickTop="1" thickBot="1" x14ac:dyDescent="0.25">
      <c r="A670" s="10">
        <v>18831</v>
      </c>
      <c r="B670" s="11" t="s">
        <v>106</v>
      </c>
      <c r="C670" s="11">
        <v>0.03</v>
      </c>
      <c r="D670" s="11">
        <v>7.96</v>
      </c>
      <c r="E670" s="11">
        <v>4.95</v>
      </c>
      <c r="F670" s="11">
        <v>1189</v>
      </c>
      <c r="G670" s="6" t="str">
        <f>IF(COUNTIF(Table1[Customer ID],Table1[[#This Row],[Customer ID]])&gt;1,"Repeat Customer","One-Time Customer")</f>
        <v>Repeat Customer</v>
      </c>
      <c r="H670" s="11" t="s">
        <v>1284</v>
      </c>
      <c r="I670" s="11" t="s">
        <v>49</v>
      </c>
      <c r="J670" s="11" t="s">
        <v>114</v>
      </c>
      <c r="K670" s="11" t="s">
        <v>41</v>
      </c>
      <c r="L670" s="11" t="s">
        <v>50</v>
      </c>
      <c r="M670" s="11" t="s">
        <v>59</v>
      </c>
      <c r="N670" s="11" t="s">
        <v>1285</v>
      </c>
      <c r="O670" s="11">
        <v>0.41</v>
      </c>
      <c r="P670" s="6">
        <f>Table1[[#This Row],[Profit]]/Table1[[#This Row],[Sales]]</f>
        <v>0.69</v>
      </c>
      <c r="Q670" s="11" t="s">
        <v>33</v>
      </c>
      <c r="R670" s="11" t="s">
        <v>34</v>
      </c>
      <c r="S670" s="11" t="s">
        <v>45</v>
      </c>
      <c r="T670" s="11" t="s">
        <v>1283</v>
      </c>
      <c r="U670" s="11">
        <v>92646</v>
      </c>
      <c r="V670" s="12">
        <v>42172</v>
      </c>
      <c r="W670" s="13" t="str">
        <f>TEXT(Table1[[#This Row],[Order Date]],"mmmm")</f>
        <v>June</v>
      </c>
      <c r="X670" s="7" t="str">
        <f>TEXT(Table1[[#This Row],[Order Date]],"yyyy")</f>
        <v>2015</v>
      </c>
      <c r="Y670" s="12">
        <v>42174</v>
      </c>
      <c r="Z670" s="11">
        <v>24.260399999999997</v>
      </c>
      <c r="AA670" s="11">
        <v>4</v>
      </c>
      <c r="AB670" s="11">
        <v>35.159999999999997</v>
      </c>
      <c r="AC670" s="11">
        <v>87584</v>
      </c>
      <c r="AD670" s="6" t="str">
        <f>IF(COUNTIF(Returns!$A$2:$A$1635,Orders!AC670)&gt;0,"Returned","Not Returned")</f>
        <v>Not Returned</v>
      </c>
    </row>
    <row r="671" spans="1:30" ht="12.75" customHeight="1" thickTop="1" thickBot="1" x14ac:dyDescent="0.25">
      <c r="A671" s="8">
        <v>19553</v>
      </c>
      <c r="B671" s="1" t="s">
        <v>106</v>
      </c>
      <c r="C671" s="1">
        <v>0.03</v>
      </c>
      <c r="D671" s="1">
        <v>28.53</v>
      </c>
      <c r="E671" s="1">
        <v>1.49</v>
      </c>
      <c r="F671" s="1">
        <v>1191</v>
      </c>
      <c r="G671" s="6" t="str">
        <f>IF(COUNTIF(Table1[Customer ID],Table1[[#This Row],[Customer ID]])&gt;1,"Repeat Customer","One-Time Customer")</f>
        <v>One-Time Customer</v>
      </c>
      <c r="H671" s="1" t="s">
        <v>1286</v>
      </c>
      <c r="I671" s="1" t="s">
        <v>49</v>
      </c>
      <c r="J671" s="1" t="s">
        <v>58</v>
      </c>
      <c r="K671" s="1" t="s">
        <v>29</v>
      </c>
      <c r="L671" s="1" t="s">
        <v>109</v>
      </c>
      <c r="M671" s="1" t="s">
        <v>59</v>
      </c>
      <c r="N671" s="1" t="s">
        <v>332</v>
      </c>
      <c r="O671" s="1">
        <v>0.38</v>
      </c>
      <c r="P671" s="6">
        <f>Table1[[#This Row],[Profit]]/Table1[[#This Row],[Sales]]</f>
        <v>0.66907361548851862</v>
      </c>
      <c r="Q671" s="1" t="s">
        <v>33</v>
      </c>
      <c r="R671" s="1" t="s">
        <v>53</v>
      </c>
      <c r="S671" s="1" t="s">
        <v>228</v>
      </c>
      <c r="T671" s="1" t="s">
        <v>1287</v>
      </c>
      <c r="U671" s="1">
        <v>6050</v>
      </c>
      <c r="V671" s="9">
        <v>42183</v>
      </c>
      <c r="W671" s="13" t="str">
        <f>TEXT(Table1[[#This Row],[Order Date]],"mmmm")</f>
        <v>June</v>
      </c>
      <c r="X671" s="7" t="str">
        <f>TEXT(Table1[[#This Row],[Order Date]],"yyyy")</f>
        <v>2015</v>
      </c>
      <c r="Y671" s="9">
        <v>42186</v>
      </c>
      <c r="Z671" s="1">
        <v>59.440499999999993</v>
      </c>
      <c r="AA671" s="1">
        <v>3</v>
      </c>
      <c r="AB671" s="1">
        <v>88.84</v>
      </c>
      <c r="AC671" s="1">
        <v>87587</v>
      </c>
      <c r="AD671" s="6" t="str">
        <f>IF(COUNTIF(Returns!$A$2:$A$1635,Orders!AC671)&gt;0,"Returned","Not Returned")</f>
        <v>Not Returned</v>
      </c>
    </row>
    <row r="672" spans="1:30" ht="12.75" customHeight="1" thickTop="1" thickBot="1" x14ac:dyDescent="0.25">
      <c r="A672" s="10">
        <v>830</v>
      </c>
      <c r="B672" s="11" t="s">
        <v>106</v>
      </c>
      <c r="C672" s="11">
        <v>0.03</v>
      </c>
      <c r="D672" s="11">
        <v>10.64</v>
      </c>
      <c r="E672" s="11">
        <v>5.16</v>
      </c>
      <c r="F672" s="11">
        <v>1193</v>
      </c>
      <c r="G672" s="6" t="str">
        <f>IF(COUNTIF(Table1[Customer ID],Table1[[#This Row],[Customer ID]])&gt;1,"Repeat Customer","One-Time Customer")</f>
        <v>Repeat Customer</v>
      </c>
      <c r="H672" s="11" t="s">
        <v>1288</v>
      </c>
      <c r="I672" s="11" t="s">
        <v>49</v>
      </c>
      <c r="J672" s="11" t="s">
        <v>114</v>
      </c>
      <c r="K672" s="11" t="s">
        <v>41</v>
      </c>
      <c r="L672" s="11" t="s">
        <v>50</v>
      </c>
      <c r="M672" s="11" t="s">
        <v>59</v>
      </c>
      <c r="N672" s="11" t="s">
        <v>851</v>
      </c>
      <c r="O672" s="11">
        <v>0.56999999999999995</v>
      </c>
      <c r="P672" s="6">
        <f>Table1[[#This Row],[Profit]]/Table1[[#This Row],[Sales]]</f>
        <v>2.0775941230486684E-2</v>
      </c>
      <c r="Q672" s="11" t="s">
        <v>33</v>
      </c>
      <c r="R672" s="11" t="s">
        <v>53</v>
      </c>
      <c r="S672" s="11" t="s">
        <v>1008</v>
      </c>
      <c r="T672" s="11" t="s">
        <v>35</v>
      </c>
      <c r="U672" s="11">
        <v>20016</v>
      </c>
      <c r="V672" s="12">
        <v>42172</v>
      </c>
      <c r="W672" s="13" t="str">
        <f>TEXT(Table1[[#This Row],[Order Date]],"mmmm")</f>
        <v>June</v>
      </c>
      <c r="X672" s="7" t="str">
        <f>TEXT(Table1[[#This Row],[Order Date]],"yyyy")</f>
        <v>2015</v>
      </c>
      <c r="Y672" s="12">
        <v>42177</v>
      </c>
      <c r="Z672" s="11">
        <v>14.48</v>
      </c>
      <c r="AA672" s="11">
        <v>63</v>
      </c>
      <c r="AB672" s="11">
        <v>696.96</v>
      </c>
      <c r="AC672" s="11">
        <v>5984</v>
      </c>
      <c r="AD672" s="6" t="str">
        <f>IF(COUNTIF(Returns!$A$2:$A$1635,Orders!AC672)&gt;0,"Returned","Not Returned")</f>
        <v>Not Returned</v>
      </c>
    </row>
    <row r="673" spans="1:30" ht="12.75" customHeight="1" thickTop="1" thickBot="1" x14ac:dyDescent="0.25">
      <c r="A673" s="8">
        <v>831</v>
      </c>
      <c r="B673" s="1" t="s">
        <v>106</v>
      </c>
      <c r="C673" s="1">
        <v>0.03</v>
      </c>
      <c r="D673" s="1">
        <v>7.96</v>
      </c>
      <c r="E673" s="1">
        <v>4.95</v>
      </c>
      <c r="F673" s="1">
        <v>1193</v>
      </c>
      <c r="G673" s="6" t="str">
        <f>IF(COUNTIF(Table1[Customer ID],Table1[[#This Row],[Customer ID]])&gt;1,"Repeat Customer","One-Time Customer")</f>
        <v>Repeat Customer</v>
      </c>
      <c r="H673" s="1" t="s">
        <v>1288</v>
      </c>
      <c r="I673" s="1" t="s">
        <v>49</v>
      </c>
      <c r="J673" s="1" t="s">
        <v>114</v>
      </c>
      <c r="K673" s="1" t="s">
        <v>41</v>
      </c>
      <c r="L673" s="1" t="s">
        <v>50</v>
      </c>
      <c r="M673" s="1" t="s">
        <v>59</v>
      </c>
      <c r="N673" s="1" t="s">
        <v>1285</v>
      </c>
      <c r="O673" s="1">
        <v>0.41</v>
      </c>
      <c r="P673" s="6">
        <f>Table1[[#This Row],[Profit]]/Table1[[#This Row],[Sales]]</f>
        <v>0.14891908172143767</v>
      </c>
      <c r="Q673" s="1" t="s">
        <v>33</v>
      </c>
      <c r="R673" s="1" t="s">
        <v>53</v>
      </c>
      <c r="S673" s="1" t="s">
        <v>1008</v>
      </c>
      <c r="T673" s="1" t="s">
        <v>35</v>
      </c>
      <c r="U673" s="1">
        <v>20016</v>
      </c>
      <c r="V673" s="9">
        <v>42172</v>
      </c>
      <c r="W673" s="13" t="str">
        <f>TEXT(Table1[[#This Row],[Order Date]],"mmmm")</f>
        <v>June</v>
      </c>
      <c r="X673" s="7" t="str">
        <f>TEXT(Table1[[#This Row],[Order Date]],"yyyy")</f>
        <v>2015</v>
      </c>
      <c r="Y673" s="9">
        <v>42174</v>
      </c>
      <c r="Z673" s="1">
        <v>22.25</v>
      </c>
      <c r="AA673" s="1">
        <v>17</v>
      </c>
      <c r="AB673" s="1">
        <v>149.41</v>
      </c>
      <c r="AC673" s="1">
        <v>5984</v>
      </c>
      <c r="AD673" s="6" t="str">
        <f>IF(COUNTIF(Returns!$A$2:$A$1635,Orders!AC673)&gt;0,"Returned","Not Returned")</f>
        <v>Not Returned</v>
      </c>
    </row>
    <row r="674" spans="1:30" ht="12.75" customHeight="1" thickTop="1" thickBot="1" x14ac:dyDescent="0.25">
      <c r="A674" s="10">
        <v>4131</v>
      </c>
      <c r="B674" s="11" t="s">
        <v>25</v>
      </c>
      <c r="C674" s="11">
        <v>0.05</v>
      </c>
      <c r="D674" s="11">
        <v>52.4</v>
      </c>
      <c r="E674" s="11">
        <v>16.11</v>
      </c>
      <c r="F674" s="11">
        <v>1193</v>
      </c>
      <c r="G674" s="6" t="str">
        <f>IF(COUNTIF(Table1[Customer ID],Table1[[#This Row],[Customer ID]])&gt;1,"Repeat Customer","One-Time Customer")</f>
        <v>Repeat Customer</v>
      </c>
      <c r="H674" s="11" t="s">
        <v>1288</v>
      </c>
      <c r="I674" s="11" t="s">
        <v>49</v>
      </c>
      <c r="J674" s="11" t="s">
        <v>114</v>
      </c>
      <c r="K674" s="11" t="s">
        <v>29</v>
      </c>
      <c r="L674" s="11" t="s">
        <v>109</v>
      </c>
      <c r="M674" s="11" t="s">
        <v>59</v>
      </c>
      <c r="N674" s="11" t="s">
        <v>1289</v>
      </c>
      <c r="O674" s="11">
        <v>0.39</v>
      </c>
      <c r="P674" s="6">
        <f>Table1[[#This Row],[Profit]]/Table1[[#This Row],[Sales]]</f>
        <v>0.13003612318753113</v>
      </c>
      <c r="Q674" s="11" t="s">
        <v>33</v>
      </c>
      <c r="R674" s="11" t="s">
        <v>53</v>
      </c>
      <c r="S674" s="11" t="s">
        <v>1008</v>
      </c>
      <c r="T674" s="11" t="s">
        <v>35</v>
      </c>
      <c r="U674" s="11">
        <v>20016</v>
      </c>
      <c r="V674" s="12">
        <v>42060</v>
      </c>
      <c r="W674" s="13" t="str">
        <f>TEXT(Table1[[#This Row],[Order Date]],"mmmm")</f>
        <v>February</v>
      </c>
      <c r="X674" s="7" t="str">
        <f>TEXT(Table1[[#This Row],[Order Date]],"yyyy")</f>
        <v>2015</v>
      </c>
      <c r="Y674" s="12">
        <v>42062</v>
      </c>
      <c r="Z674" s="11">
        <v>592.52650000000006</v>
      </c>
      <c r="AA674" s="11">
        <v>85</v>
      </c>
      <c r="AB674" s="11">
        <v>4556.63</v>
      </c>
      <c r="AC674" s="11">
        <v>29350</v>
      </c>
      <c r="AD674" s="6" t="str">
        <f>IF(COUNTIF(Returns!$A$2:$A$1635,Orders!AC674)&gt;0,"Returned","Not Returned")</f>
        <v>Not Returned</v>
      </c>
    </row>
    <row r="675" spans="1:30" ht="12.75" customHeight="1" thickTop="1" thickBot="1" x14ac:dyDescent="0.25">
      <c r="A675" s="8">
        <v>4133</v>
      </c>
      <c r="B675" s="1" t="s">
        <v>25</v>
      </c>
      <c r="C675" s="1">
        <v>0.05</v>
      </c>
      <c r="D675" s="1">
        <v>36.549999999999997</v>
      </c>
      <c r="E675" s="1">
        <v>13.89</v>
      </c>
      <c r="F675" s="1">
        <v>1193</v>
      </c>
      <c r="G675" s="6" t="str">
        <f>IF(COUNTIF(Table1[Customer ID],Table1[[#This Row],[Customer ID]])&gt;1,"Repeat Customer","One-Time Customer")</f>
        <v>Repeat Customer</v>
      </c>
      <c r="H675" s="1" t="s">
        <v>1288</v>
      </c>
      <c r="I675" s="1" t="s">
        <v>27</v>
      </c>
      <c r="J675" s="1" t="s">
        <v>114</v>
      </c>
      <c r="K675" s="1" t="s">
        <v>29</v>
      </c>
      <c r="L675" s="1" t="s">
        <v>30</v>
      </c>
      <c r="M675" s="1" t="s">
        <v>31</v>
      </c>
      <c r="N675" s="1" t="s">
        <v>1290</v>
      </c>
      <c r="O675" s="1">
        <v>0.41</v>
      </c>
      <c r="P675" s="6">
        <f>Table1[[#This Row],[Profit]]/Table1[[#This Row],[Sales]]</f>
        <v>7.8952455563808033E-2</v>
      </c>
      <c r="Q675" s="1" t="s">
        <v>33</v>
      </c>
      <c r="R675" s="1" t="s">
        <v>53</v>
      </c>
      <c r="S675" s="1" t="s">
        <v>1008</v>
      </c>
      <c r="T675" s="1" t="s">
        <v>35</v>
      </c>
      <c r="U675" s="1">
        <v>20016</v>
      </c>
      <c r="V675" s="9">
        <v>42060</v>
      </c>
      <c r="W675" s="13" t="str">
        <f>TEXT(Table1[[#This Row],[Order Date]],"mmmm")</f>
        <v>February</v>
      </c>
      <c r="X675" s="7" t="str">
        <f>TEXT(Table1[[#This Row],[Order Date]],"yyyy")</f>
        <v>2015</v>
      </c>
      <c r="Y675" s="9">
        <v>42061</v>
      </c>
      <c r="Z675" s="1">
        <v>232.8</v>
      </c>
      <c r="AA675" s="1">
        <v>83</v>
      </c>
      <c r="AB675" s="1">
        <v>2948.61</v>
      </c>
      <c r="AC675" s="1">
        <v>29350</v>
      </c>
      <c r="AD675" s="6" t="str">
        <f>IF(COUNTIF(Returns!$A$2:$A$1635,Orders!AC675)&gt;0,"Returned","Not Returned")</f>
        <v>Not Returned</v>
      </c>
    </row>
    <row r="676" spans="1:30" ht="12.75" customHeight="1" thickTop="1" thickBot="1" x14ac:dyDescent="0.25">
      <c r="A676" s="10">
        <v>5468</v>
      </c>
      <c r="B676" s="11" t="s">
        <v>37</v>
      </c>
      <c r="C676" s="11">
        <v>0.03</v>
      </c>
      <c r="D676" s="11">
        <v>5.98</v>
      </c>
      <c r="E676" s="11">
        <v>1.49</v>
      </c>
      <c r="F676" s="11">
        <v>1193</v>
      </c>
      <c r="G676" s="6" t="str">
        <f>IF(COUNTIF(Table1[Customer ID],Table1[[#This Row],[Customer ID]])&gt;1,"Repeat Customer","One-Time Customer")</f>
        <v>Repeat Customer</v>
      </c>
      <c r="H676" s="11" t="s">
        <v>1288</v>
      </c>
      <c r="I676" s="11" t="s">
        <v>49</v>
      </c>
      <c r="J676" s="11" t="s">
        <v>58</v>
      </c>
      <c r="K676" s="11" t="s">
        <v>29</v>
      </c>
      <c r="L676" s="11" t="s">
        <v>109</v>
      </c>
      <c r="M676" s="11" t="s">
        <v>59</v>
      </c>
      <c r="N676" s="11" t="s">
        <v>1020</v>
      </c>
      <c r="O676" s="11">
        <v>0.39</v>
      </c>
      <c r="P676" s="6">
        <f>Table1[[#This Row],[Profit]]/Table1[[#This Row],[Sales]]</f>
        <v>7.3534807376653466E-2</v>
      </c>
      <c r="Q676" s="11" t="s">
        <v>33</v>
      </c>
      <c r="R676" s="11" t="s">
        <v>53</v>
      </c>
      <c r="S676" s="11" t="s">
        <v>1008</v>
      </c>
      <c r="T676" s="11" t="s">
        <v>35</v>
      </c>
      <c r="U676" s="11">
        <v>20016</v>
      </c>
      <c r="V676" s="12">
        <v>42125</v>
      </c>
      <c r="W676" s="13" t="str">
        <f>TEXT(Table1[[#This Row],[Order Date]],"mmmm")</f>
        <v>May</v>
      </c>
      <c r="X676" s="7" t="str">
        <f>TEXT(Table1[[#This Row],[Order Date]],"yyyy")</f>
        <v>2015</v>
      </c>
      <c r="Y676" s="12">
        <v>42127</v>
      </c>
      <c r="Z676" s="11">
        <v>38.08</v>
      </c>
      <c r="AA676" s="11">
        <v>85</v>
      </c>
      <c r="AB676" s="11">
        <v>517.85</v>
      </c>
      <c r="AC676" s="11">
        <v>38852</v>
      </c>
      <c r="AD676" s="6" t="str">
        <f>IF(COUNTIF(Returns!$A$2:$A$1635,Orders!AC676)&gt;0,"Returned","Not Returned")</f>
        <v>Not Returned</v>
      </c>
    </row>
    <row r="677" spans="1:30" ht="12.75" customHeight="1" thickTop="1" thickBot="1" x14ac:dyDescent="0.25">
      <c r="A677" s="8">
        <v>1552</v>
      </c>
      <c r="B677" s="1" t="s">
        <v>106</v>
      </c>
      <c r="C677" s="1">
        <v>0.09</v>
      </c>
      <c r="D677" s="1">
        <v>49.99</v>
      </c>
      <c r="E677" s="1">
        <v>19.989999999999998</v>
      </c>
      <c r="F677" s="1">
        <v>1193</v>
      </c>
      <c r="G677" s="6" t="str">
        <f>IF(COUNTIF(Table1[Customer ID],Table1[[#This Row],[Customer ID]])&gt;1,"Repeat Customer","One-Time Customer")</f>
        <v>Repeat Customer</v>
      </c>
      <c r="H677" s="1" t="s">
        <v>1288</v>
      </c>
      <c r="I677" s="1" t="s">
        <v>49</v>
      </c>
      <c r="J677" s="1" t="s">
        <v>58</v>
      </c>
      <c r="K677" s="1" t="s">
        <v>77</v>
      </c>
      <c r="L677" s="1" t="s">
        <v>180</v>
      </c>
      <c r="M677" s="1" t="s">
        <v>59</v>
      </c>
      <c r="N677" s="1" t="s">
        <v>275</v>
      </c>
      <c r="O677" s="1">
        <v>0.41</v>
      </c>
      <c r="P677" s="6">
        <f>Table1[[#This Row],[Profit]]/Table1[[#This Row],[Sales]]</f>
        <v>-7.1756021101242141E-3</v>
      </c>
      <c r="Q677" s="1" t="s">
        <v>33</v>
      </c>
      <c r="R677" s="1" t="s">
        <v>53</v>
      </c>
      <c r="S677" s="1" t="s">
        <v>1008</v>
      </c>
      <c r="T677" s="1" t="s">
        <v>35</v>
      </c>
      <c r="U677" s="1">
        <v>20016</v>
      </c>
      <c r="V677" s="9">
        <v>42183</v>
      </c>
      <c r="W677" s="13" t="str">
        <f>TEXT(Table1[[#This Row],[Order Date]],"mmmm")</f>
        <v>June</v>
      </c>
      <c r="X677" s="7" t="str">
        <f>TEXT(Table1[[#This Row],[Order Date]],"yyyy")</f>
        <v>2015</v>
      </c>
      <c r="Y677" s="9">
        <v>42185</v>
      </c>
      <c r="Z677" s="1">
        <v>-17.03</v>
      </c>
      <c r="AA677" s="1">
        <v>48</v>
      </c>
      <c r="AB677" s="1">
        <v>2373.3200000000002</v>
      </c>
      <c r="AC677" s="1">
        <v>11206</v>
      </c>
      <c r="AD677" s="6" t="str">
        <f>IF(COUNTIF(Returns!$A$2:$A$1635,Orders!AC677)&gt;0,"Returned","Not Returned")</f>
        <v>Not Returned</v>
      </c>
    </row>
    <row r="678" spans="1:30" ht="12.75" customHeight="1" thickTop="1" thickBot="1" x14ac:dyDescent="0.25">
      <c r="A678" s="10">
        <v>1553</v>
      </c>
      <c r="B678" s="11" t="s">
        <v>106</v>
      </c>
      <c r="C678" s="11">
        <v>0.03</v>
      </c>
      <c r="D678" s="11">
        <v>28.53</v>
      </c>
      <c r="E678" s="11">
        <v>1.49</v>
      </c>
      <c r="F678" s="11">
        <v>1193</v>
      </c>
      <c r="G678" s="6" t="str">
        <f>IF(COUNTIF(Table1[Customer ID],Table1[[#This Row],[Customer ID]])&gt;1,"Repeat Customer","One-Time Customer")</f>
        <v>Repeat Customer</v>
      </c>
      <c r="H678" s="11" t="s">
        <v>1288</v>
      </c>
      <c r="I678" s="11" t="s">
        <v>49</v>
      </c>
      <c r="J678" s="11" t="s">
        <v>58</v>
      </c>
      <c r="K678" s="11" t="s">
        <v>29</v>
      </c>
      <c r="L678" s="11" t="s">
        <v>109</v>
      </c>
      <c r="M678" s="11" t="s">
        <v>59</v>
      </c>
      <c r="N678" s="11" t="s">
        <v>332</v>
      </c>
      <c r="O678" s="11">
        <v>0.38</v>
      </c>
      <c r="P678" s="6">
        <f>Table1[[#This Row],[Profit]]/Table1[[#This Row],[Sales]]</f>
        <v>0.12165597273815734</v>
      </c>
      <c r="Q678" s="11" t="s">
        <v>33</v>
      </c>
      <c r="R678" s="11" t="s">
        <v>53</v>
      </c>
      <c r="S678" s="11" t="s">
        <v>1008</v>
      </c>
      <c r="T678" s="11" t="s">
        <v>35</v>
      </c>
      <c r="U678" s="11">
        <v>20016</v>
      </c>
      <c r="V678" s="12">
        <v>42183</v>
      </c>
      <c r="W678" s="13" t="str">
        <f>TEXT(Table1[[#This Row],[Order Date]],"mmmm")</f>
        <v>June</v>
      </c>
      <c r="X678" s="7" t="str">
        <f>TEXT(Table1[[#This Row],[Order Date]],"yyyy")</f>
        <v>2015</v>
      </c>
      <c r="Y678" s="12">
        <v>42186</v>
      </c>
      <c r="Z678" s="11">
        <v>39.626999999999995</v>
      </c>
      <c r="AA678" s="11">
        <v>11</v>
      </c>
      <c r="AB678" s="11">
        <v>325.73</v>
      </c>
      <c r="AC678" s="11">
        <v>11206</v>
      </c>
      <c r="AD678" s="6" t="str">
        <f>IF(COUNTIF(Returns!$A$2:$A$1635,Orders!AC678)&gt;0,"Returned","Not Returned")</f>
        <v>Not Returned</v>
      </c>
    </row>
    <row r="679" spans="1:30" ht="12.75" customHeight="1" thickTop="1" thickBot="1" x14ac:dyDescent="0.25">
      <c r="A679" s="8">
        <v>23468</v>
      </c>
      <c r="B679" s="1" t="s">
        <v>37</v>
      </c>
      <c r="C679" s="1">
        <v>0.03</v>
      </c>
      <c r="D679" s="1">
        <v>5.98</v>
      </c>
      <c r="E679" s="1">
        <v>1.49</v>
      </c>
      <c r="F679" s="1">
        <v>1194</v>
      </c>
      <c r="G679" s="6" t="str">
        <f>IF(COUNTIF(Table1[Customer ID],Table1[[#This Row],[Customer ID]])&gt;1,"Repeat Customer","One-Time Customer")</f>
        <v>One-Time Customer</v>
      </c>
      <c r="H679" s="1" t="s">
        <v>1291</v>
      </c>
      <c r="I679" s="1" t="s">
        <v>49</v>
      </c>
      <c r="J679" s="1" t="s">
        <v>58</v>
      </c>
      <c r="K679" s="1" t="s">
        <v>29</v>
      </c>
      <c r="L679" s="1" t="s">
        <v>109</v>
      </c>
      <c r="M679" s="1" t="s">
        <v>59</v>
      </c>
      <c r="N679" s="1" t="s">
        <v>1020</v>
      </c>
      <c r="O679" s="1">
        <v>0.39</v>
      </c>
      <c r="P679" s="6">
        <f>Table1[[#This Row],[Profit]]/Table1[[#This Row],[Sales]]</f>
        <v>0.16020009379396588</v>
      </c>
      <c r="Q679" s="1" t="s">
        <v>33</v>
      </c>
      <c r="R679" s="1" t="s">
        <v>136</v>
      </c>
      <c r="S679" s="1" t="s">
        <v>362</v>
      </c>
      <c r="T679" s="1" t="s">
        <v>1292</v>
      </c>
      <c r="U679" s="1">
        <v>34142</v>
      </c>
      <c r="V679" s="9">
        <v>42125</v>
      </c>
      <c r="W679" s="13" t="str">
        <f>TEXT(Table1[[#This Row],[Order Date]],"mmmm")</f>
        <v>May</v>
      </c>
      <c r="X679" s="7" t="str">
        <f>TEXT(Table1[[#This Row],[Order Date]],"yyyy")</f>
        <v>2015</v>
      </c>
      <c r="Y679" s="9">
        <v>42127</v>
      </c>
      <c r="Z679" s="1">
        <v>20.495999999999995</v>
      </c>
      <c r="AA679" s="1">
        <v>21</v>
      </c>
      <c r="AB679" s="1">
        <v>127.94</v>
      </c>
      <c r="AC679" s="1">
        <v>87586</v>
      </c>
      <c r="AD679" s="6" t="str">
        <f>IF(COUNTIF(Returns!$A$2:$A$1635,Orders!AC679)&gt;0,"Returned","Not Returned")</f>
        <v>Not Returned</v>
      </c>
    </row>
    <row r="680" spans="1:30" ht="12.75" customHeight="1" thickTop="1" thickBot="1" x14ac:dyDescent="0.25">
      <c r="A680" s="10">
        <v>19358</v>
      </c>
      <c r="B680" s="11" t="s">
        <v>25</v>
      </c>
      <c r="C680" s="11">
        <v>0.08</v>
      </c>
      <c r="D680" s="11">
        <v>355.98</v>
      </c>
      <c r="E680" s="11">
        <v>58.92</v>
      </c>
      <c r="F680" s="11">
        <v>1197</v>
      </c>
      <c r="G680" s="6" t="str">
        <f>IF(COUNTIF(Table1[Customer ID],Table1[[#This Row],[Customer ID]])&gt;1,"Repeat Customer","One-Time Customer")</f>
        <v>One-Time Customer</v>
      </c>
      <c r="H680" s="11" t="s">
        <v>1293</v>
      </c>
      <c r="I680" s="11" t="s">
        <v>39</v>
      </c>
      <c r="J680" s="11" t="s">
        <v>58</v>
      </c>
      <c r="K680" s="11" t="s">
        <v>41</v>
      </c>
      <c r="L680" s="11" t="s">
        <v>42</v>
      </c>
      <c r="M680" s="11" t="s">
        <v>43</v>
      </c>
      <c r="N680" s="11" t="s">
        <v>1294</v>
      </c>
      <c r="O680" s="11">
        <v>0.64</v>
      </c>
      <c r="P680" s="6">
        <f>Table1[[#This Row],[Profit]]/Table1[[#This Row],[Sales]]</f>
        <v>7.6857595452055602E-2</v>
      </c>
      <c r="Q680" s="11" t="s">
        <v>33</v>
      </c>
      <c r="R680" s="11" t="s">
        <v>53</v>
      </c>
      <c r="S680" s="11" t="s">
        <v>193</v>
      </c>
      <c r="T680" s="11" t="s">
        <v>1295</v>
      </c>
      <c r="U680" s="11">
        <v>1776</v>
      </c>
      <c r="V680" s="12">
        <v>42081</v>
      </c>
      <c r="W680" s="13" t="str">
        <f>TEXT(Table1[[#This Row],[Order Date]],"mmmm")</f>
        <v>March</v>
      </c>
      <c r="X680" s="7" t="str">
        <f>TEXT(Table1[[#This Row],[Order Date]],"yyyy")</f>
        <v>2015</v>
      </c>
      <c r="Y680" s="12">
        <v>42083</v>
      </c>
      <c r="Z680" s="11">
        <v>103.83</v>
      </c>
      <c r="AA680" s="11">
        <v>4</v>
      </c>
      <c r="AB680" s="11">
        <v>1350.94</v>
      </c>
      <c r="AC680" s="11">
        <v>87583</v>
      </c>
      <c r="AD680" s="6" t="str">
        <f>IF(COUNTIF(Returns!$A$2:$A$1635,Orders!AC680)&gt;0,"Returned","Not Returned")</f>
        <v>Not Returned</v>
      </c>
    </row>
    <row r="681" spans="1:30" ht="12.75" customHeight="1" thickTop="1" thickBot="1" x14ac:dyDescent="0.25">
      <c r="A681" s="8">
        <v>22132</v>
      </c>
      <c r="B681" s="1" t="s">
        <v>25</v>
      </c>
      <c r="C681" s="1">
        <v>0.1</v>
      </c>
      <c r="D681" s="1">
        <v>15.14</v>
      </c>
      <c r="E681" s="1">
        <v>4.53</v>
      </c>
      <c r="F681" s="1">
        <v>1199</v>
      </c>
      <c r="G681" s="6" t="str">
        <f>IF(COUNTIF(Table1[Customer ID],Table1[[#This Row],[Customer ID]])&gt;1,"Repeat Customer","One-Time Customer")</f>
        <v>One-Time Customer</v>
      </c>
      <c r="H681" s="1" t="s">
        <v>1296</v>
      </c>
      <c r="I681" s="1" t="s">
        <v>49</v>
      </c>
      <c r="J681" s="1" t="s">
        <v>114</v>
      </c>
      <c r="K681" s="1" t="s">
        <v>29</v>
      </c>
      <c r="L681" s="1" t="s">
        <v>141</v>
      </c>
      <c r="M681" s="1" t="s">
        <v>59</v>
      </c>
      <c r="N681" s="1" t="s">
        <v>1201</v>
      </c>
      <c r="O681" s="1">
        <v>0.81</v>
      </c>
      <c r="P681" s="6">
        <f>Table1[[#This Row],[Profit]]/Table1[[#This Row],[Sales]]</f>
        <v>-0.33121724092058002</v>
      </c>
      <c r="Q681" s="1" t="s">
        <v>33</v>
      </c>
      <c r="R681" s="1" t="s">
        <v>53</v>
      </c>
      <c r="S681" s="1" t="s">
        <v>197</v>
      </c>
      <c r="T681" s="1" t="s">
        <v>1297</v>
      </c>
      <c r="U681" s="1">
        <v>3060</v>
      </c>
      <c r="V681" s="9">
        <v>42060</v>
      </c>
      <c r="W681" s="13" t="str">
        <f>TEXT(Table1[[#This Row],[Order Date]],"mmmm")</f>
        <v>February</v>
      </c>
      <c r="X681" s="7" t="str">
        <f>TEXT(Table1[[#This Row],[Order Date]],"yyyy")</f>
        <v>2015</v>
      </c>
      <c r="Y681" s="9">
        <v>42063</v>
      </c>
      <c r="Z681" s="1">
        <v>-24.897600000000001</v>
      </c>
      <c r="AA681" s="1">
        <v>5</v>
      </c>
      <c r="AB681" s="1">
        <v>75.17</v>
      </c>
      <c r="AC681" s="1">
        <v>87585</v>
      </c>
      <c r="AD681" s="6" t="str">
        <f>IF(COUNTIF(Returns!$A$2:$A$1635,Orders!AC681)&gt;0,"Returned","Not Returned")</f>
        <v>Not Returned</v>
      </c>
    </row>
    <row r="682" spans="1:30" ht="12.75" customHeight="1" thickTop="1" thickBot="1" x14ac:dyDescent="0.25">
      <c r="A682" s="10">
        <v>22131</v>
      </c>
      <c r="B682" s="11" t="s">
        <v>25</v>
      </c>
      <c r="C682" s="11">
        <v>0.05</v>
      </c>
      <c r="D682" s="11">
        <v>52.4</v>
      </c>
      <c r="E682" s="11">
        <v>16.11</v>
      </c>
      <c r="F682" s="11">
        <v>1200</v>
      </c>
      <c r="G682" s="6" t="str">
        <f>IF(COUNTIF(Table1[Customer ID],Table1[[#This Row],[Customer ID]])&gt;1,"Repeat Customer","One-Time Customer")</f>
        <v>One-Time Customer</v>
      </c>
      <c r="H682" s="11" t="s">
        <v>1298</v>
      </c>
      <c r="I682" s="11" t="s">
        <v>49</v>
      </c>
      <c r="J682" s="11" t="s">
        <v>114</v>
      </c>
      <c r="K682" s="11" t="s">
        <v>29</v>
      </c>
      <c r="L682" s="11" t="s">
        <v>109</v>
      </c>
      <c r="M682" s="11" t="s">
        <v>59</v>
      </c>
      <c r="N682" s="11" t="s">
        <v>1289</v>
      </c>
      <c r="O682" s="11">
        <v>0.39</v>
      </c>
      <c r="P682" s="6">
        <f>Table1[[#This Row],[Profit]]/Table1[[#This Row],[Sales]]</f>
        <v>0.69</v>
      </c>
      <c r="Q682" s="11" t="s">
        <v>33</v>
      </c>
      <c r="R682" s="11" t="s">
        <v>53</v>
      </c>
      <c r="S682" s="11" t="s">
        <v>54</v>
      </c>
      <c r="T682" s="11" t="s">
        <v>1299</v>
      </c>
      <c r="U682" s="11">
        <v>7407</v>
      </c>
      <c r="V682" s="12">
        <v>42060</v>
      </c>
      <c r="W682" s="13" t="str">
        <f>TEXT(Table1[[#This Row],[Order Date]],"mmmm")</f>
        <v>February</v>
      </c>
      <c r="X682" s="7" t="str">
        <f>TEXT(Table1[[#This Row],[Order Date]],"yyyy")</f>
        <v>2015</v>
      </c>
      <c r="Y682" s="12">
        <v>42062</v>
      </c>
      <c r="Z682" s="11">
        <v>776.7743999999999</v>
      </c>
      <c r="AA682" s="11">
        <v>21</v>
      </c>
      <c r="AB682" s="11">
        <v>1125.76</v>
      </c>
      <c r="AC682" s="11">
        <v>87585</v>
      </c>
      <c r="AD682" s="6" t="str">
        <f>IF(COUNTIF(Returns!$A$2:$A$1635,Orders!AC682)&gt;0,"Returned","Not Returned")</f>
        <v>Not Returned</v>
      </c>
    </row>
    <row r="683" spans="1:30" ht="12.75" customHeight="1" thickTop="1" thickBot="1" x14ac:dyDescent="0.25">
      <c r="A683" s="8">
        <v>22133</v>
      </c>
      <c r="B683" s="1" t="s">
        <v>25</v>
      </c>
      <c r="C683" s="1">
        <v>0.05</v>
      </c>
      <c r="D683" s="1">
        <v>36.549999999999997</v>
      </c>
      <c r="E683" s="1">
        <v>13.89</v>
      </c>
      <c r="F683" s="1">
        <v>1202</v>
      </c>
      <c r="G683" s="6" t="str">
        <f>IF(COUNTIF(Table1[Customer ID],Table1[[#This Row],[Customer ID]])&gt;1,"Repeat Customer","One-Time Customer")</f>
        <v>One-Time Customer</v>
      </c>
      <c r="H683" s="1" t="s">
        <v>1300</v>
      </c>
      <c r="I683" s="1" t="s">
        <v>27</v>
      </c>
      <c r="J683" s="1" t="s">
        <v>114</v>
      </c>
      <c r="K683" s="1" t="s">
        <v>29</v>
      </c>
      <c r="L683" s="1" t="s">
        <v>30</v>
      </c>
      <c r="M683" s="1" t="s">
        <v>31</v>
      </c>
      <c r="N683" s="1" t="s">
        <v>1290</v>
      </c>
      <c r="O683" s="1">
        <v>0.41</v>
      </c>
      <c r="P683" s="6">
        <f>Table1[[#This Row],[Profit]]/Table1[[#This Row],[Sales]]</f>
        <v>0.46183665536238488</v>
      </c>
      <c r="Q683" s="1" t="s">
        <v>33</v>
      </c>
      <c r="R683" s="1" t="s">
        <v>53</v>
      </c>
      <c r="S683" s="1" t="s">
        <v>54</v>
      </c>
      <c r="T683" s="1" t="s">
        <v>1301</v>
      </c>
      <c r="U683" s="1">
        <v>7079</v>
      </c>
      <c r="V683" s="9">
        <v>42060</v>
      </c>
      <c r="W683" s="13" t="str">
        <f>TEXT(Table1[[#This Row],[Order Date]],"mmmm")</f>
        <v>February</v>
      </c>
      <c r="X683" s="7" t="str">
        <f>TEXT(Table1[[#This Row],[Order Date]],"yyyy")</f>
        <v>2015</v>
      </c>
      <c r="Y683" s="9">
        <v>42061</v>
      </c>
      <c r="Z683" s="1">
        <v>344.54399999999998</v>
      </c>
      <c r="AA683" s="1">
        <v>21</v>
      </c>
      <c r="AB683" s="1">
        <v>746.03</v>
      </c>
      <c r="AC683" s="1">
        <v>87585</v>
      </c>
      <c r="AD683" s="6" t="str">
        <f>IF(COUNTIF(Returns!$A$2:$A$1635,Orders!AC683)&gt;0,"Returned","Not Returned")</f>
        <v>Not Returned</v>
      </c>
    </row>
    <row r="684" spans="1:30" ht="12.75" customHeight="1" thickTop="1" thickBot="1" x14ac:dyDescent="0.25">
      <c r="A684" s="10">
        <v>19552</v>
      </c>
      <c r="B684" s="11" t="s">
        <v>106</v>
      </c>
      <c r="C684" s="11">
        <v>0.09</v>
      </c>
      <c r="D684" s="11">
        <v>49.99</v>
      </c>
      <c r="E684" s="11">
        <v>19.989999999999998</v>
      </c>
      <c r="F684" s="11">
        <v>1203</v>
      </c>
      <c r="G684" s="6" t="str">
        <f>IF(COUNTIF(Table1[Customer ID],Table1[[#This Row],[Customer ID]])&gt;1,"Repeat Customer","One-Time Customer")</f>
        <v>One-Time Customer</v>
      </c>
      <c r="H684" s="11" t="s">
        <v>1302</v>
      </c>
      <c r="I684" s="11" t="s">
        <v>49</v>
      </c>
      <c r="J684" s="11" t="s">
        <v>58</v>
      </c>
      <c r="K684" s="11" t="s">
        <v>77</v>
      </c>
      <c r="L684" s="11" t="s">
        <v>180</v>
      </c>
      <c r="M684" s="11" t="s">
        <v>59</v>
      </c>
      <c r="N684" s="11" t="s">
        <v>275</v>
      </c>
      <c r="O684" s="11">
        <v>0.41</v>
      </c>
      <c r="P684" s="6">
        <f>Table1[[#This Row],[Profit]]/Table1[[#This Row],[Sales]]</f>
        <v>-1.4351204220248428E-2</v>
      </c>
      <c r="Q684" s="11" t="s">
        <v>33</v>
      </c>
      <c r="R684" s="11" t="s">
        <v>53</v>
      </c>
      <c r="S684" s="11" t="s">
        <v>469</v>
      </c>
      <c r="T684" s="11" t="s">
        <v>470</v>
      </c>
      <c r="U684" s="11">
        <v>2920</v>
      </c>
      <c r="V684" s="12">
        <v>42183</v>
      </c>
      <c r="W684" s="13" t="str">
        <f>TEXT(Table1[[#This Row],[Order Date]],"mmmm")</f>
        <v>June</v>
      </c>
      <c r="X684" s="7" t="str">
        <f>TEXT(Table1[[#This Row],[Order Date]],"yyyy")</f>
        <v>2015</v>
      </c>
      <c r="Y684" s="12">
        <v>42185</v>
      </c>
      <c r="Z684" s="11">
        <v>-8.5150000000000006</v>
      </c>
      <c r="AA684" s="11">
        <v>12</v>
      </c>
      <c r="AB684" s="11">
        <v>593.33000000000004</v>
      </c>
      <c r="AC684" s="11">
        <v>87587</v>
      </c>
      <c r="AD684" s="6" t="str">
        <f>IF(COUNTIF(Returns!$A$2:$A$1635,Orders!AC684)&gt;0,"Returned","Not Returned")</f>
        <v>Not Returned</v>
      </c>
    </row>
    <row r="685" spans="1:30" ht="12.75" customHeight="1" thickTop="1" thickBot="1" x14ac:dyDescent="0.25">
      <c r="A685" s="8">
        <v>18636</v>
      </c>
      <c r="B685" s="1" t="s">
        <v>106</v>
      </c>
      <c r="C685" s="1">
        <v>0.01</v>
      </c>
      <c r="D685" s="1">
        <v>3.08</v>
      </c>
      <c r="E685" s="1">
        <v>0.5</v>
      </c>
      <c r="F685" s="1">
        <v>1211</v>
      </c>
      <c r="G685" s="6" t="str">
        <f>IF(COUNTIF(Table1[Customer ID],Table1[[#This Row],[Customer ID]])&gt;1,"Repeat Customer","One-Time Customer")</f>
        <v>One-Time Customer</v>
      </c>
      <c r="H685" s="1" t="s">
        <v>1303</v>
      </c>
      <c r="I685" s="1" t="s">
        <v>49</v>
      </c>
      <c r="J685" s="1" t="s">
        <v>28</v>
      </c>
      <c r="K685" s="1" t="s">
        <v>29</v>
      </c>
      <c r="L685" s="1" t="s">
        <v>134</v>
      </c>
      <c r="M685" s="1" t="s">
        <v>59</v>
      </c>
      <c r="N685" s="1" t="s">
        <v>1304</v>
      </c>
      <c r="O685" s="1">
        <v>0.37</v>
      </c>
      <c r="P685" s="6">
        <f>Table1[[#This Row],[Profit]]/Table1[[#This Row],[Sales]]</f>
        <v>0.69</v>
      </c>
      <c r="Q685" s="1" t="s">
        <v>33</v>
      </c>
      <c r="R685" s="1" t="s">
        <v>61</v>
      </c>
      <c r="S685" s="1" t="s">
        <v>703</v>
      </c>
      <c r="T685" s="1" t="s">
        <v>1305</v>
      </c>
      <c r="U685" s="1">
        <v>46806</v>
      </c>
      <c r="V685" s="9">
        <v>42036</v>
      </c>
      <c r="W685" s="13" t="str">
        <f>TEXT(Table1[[#This Row],[Order Date]],"mmmm")</f>
        <v>February</v>
      </c>
      <c r="X685" s="7" t="str">
        <f>TEXT(Table1[[#This Row],[Order Date]],"yyyy")</f>
        <v>2015</v>
      </c>
      <c r="Y685" s="9">
        <v>42041</v>
      </c>
      <c r="Z685" s="1">
        <v>9.0045000000000002</v>
      </c>
      <c r="AA685" s="1">
        <v>4</v>
      </c>
      <c r="AB685" s="1">
        <v>13.05</v>
      </c>
      <c r="AC685" s="1">
        <v>88598</v>
      </c>
      <c r="AD685" s="6" t="str">
        <f>IF(COUNTIF(Returns!$A$2:$A$1635,Orders!AC685)&gt;0,"Returned","Not Returned")</f>
        <v>Not Returned</v>
      </c>
    </row>
    <row r="686" spans="1:30" ht="12.75" customHeight="1" thickTop="1" thickBot="1" x14ac:dyDescent="0.25">
      <c r="A686" s="10">
        <v>22528</v>
      </c>
      <c r="B686" s="11" t="s">
        <v>25</v>
      </c>
      <c r="C686" s="11">
        <v>0.08</v>
      </c>
      <c r="D686" s="11">
        <v>4.91</v>
      </c>
      <c r="E686" s="11">
        <v>4.97</v>
      </c>
      <c r="F686" s="11">
        <v>1212</v>
      </c>
      <c r="G686" s="6" t="str">
        <f>IF(COUNTIF(Table1[Customer ID],Table1[[#This Row],[Customer ID]])&gt;1,"Repeat Customer","One-Time Customer")</f>
        <v>Repeat Customer</v>
      </c>
      <c r="H686" s="11" t="s">
        <v>1306</v>
      </c>
      <c r="I686" s="11" t="s">
        <v>49</v>
      </c>
      <c r="J686" s="11" t="s">
        <v>28</v>
      </c>
      <c r="K686" s="11" t="s">
        <v>29</v>
      </c>
      <c r="L686" s="11" t="s">
        <v>109</v>
      </c>
      <c r="M686" s="11" t="s">
        <v>59</v>
      </c>
      <c r="N686" s="11" t="s">
        <v>1307</v>
      </c>
      <c r="O686" s="11">
        <v>0.38</v>
      </c>
      <c r="P686" s="6">
        <f>Table1[[#This Row],[Profit]]/Table1[[#This Row],[Sales]]</f>
        <v>-1.6923240033927056</v>
      </c>
      <c r="Q686" s="11" t="s">
        <v>33</v>
      </c>
      <c r="R686" s="11" t="s">
        <v>61</v>
      </c>
      <c r="S686" s="11" t="s">
        <v>703</v>
      </c>
      <c r="T686" s="11" t="s">
        <v>1308</v>
      </c>
      <c r="U686" s="11">
        <v>46404</v>
      </c>
      <c r="V686" s="12">
        <v>42019</v>
      </c>
      <c r="W686" s="13" t="str">
        <f>TEXT(Table1[[#This Row],[Order Date]],"mmmm")</f>
        <v>January</v>
      </c>
      <c r="X686" s="7" t="str">
        <f>TEXT(Table1[[#This Row],[Order Date]],"yyyy")</f>
        <v>2015</v>
      </c>
      <c r="Y686" s="12">
        <v>42020</v>
      </c>
      <c r="Z686" s="11">
        <v>-99.762500000000003</v>
      </c>
      <c r="AA686" s="11">
        <v>12</v>
      </c>
      <c r="AB686" s="11">
        <v>58.95</v>
      </c>
      <c r="AC686" s="11">
        <v>88600</v>
      </c>
      <c r="AD686" s="6" t="str">
        <f>IF(COUNTIF(Returns!$A$2:$A$1635,Orders!AC686)&gt;0,"Returned","Not Returned")</f>
        <v>Not Returned</v>
      </c>
    </row>
    <row r="687" spans="1:30" ht="12.75" customHeight="1" thickTop="1" thickBot="1" x14ac:dyDescent="0.25">
      <c r="A687" s="8">
        <v>22529</v>
      </c>
      <c r="B687" s="1" t="s">
        <v>25</v>
      </c>
      <c r="C687" s="1">
        <v>0.01</v>
      </c>
      <c r="D687" s="1">
        <v>3499.99</v>
      </c>
      <c r="E687" s="1">
        <v>24.49</v>
      </c>
      <c r="F687" s="1">
        <v>1212</v>
      </c>
      <c r="G687" s="6" t="str">
        <f>IF(COUNTIF(Table1[Customer ID],Table1[[#This Row],[Customer ID]])&gt;1,"Repeat Customer","One-Time Customer")</f>
        <v>Repeat Customer</v>
      </c>
      <c r="H687" s="1" t="s">
        <v>1306</v>
      </c>
      <c r="I687" s="1" t="s">
        <v>49</v>
      </c>
      <c r="J687" s="1" t="s">
        <v>28</v>
      </c>
      <c r="K687" s="1" t="s">
        <v>77</v>
      </c>
      <c r="L687" s="1" t="s">
        <v>587</v>
      </c>
      <c r="M687" s="1" t="s">
        <v>236</v>
      </c>
      <c r="N687" s="1" t="s">
        <v>1309</v>
      </c>
      <c r="O687" s="1">
        <v>0.37</v>
      </c>
      <c r="P687" s="6">
        <f>Table1[[#This Row],[Profit]]/Table1[[#This Row],[Sales]]</f>
        <v>-0.83362692593570742</v>
      </c>
      <c r="Q687" s="1" t="s">
        <v>33</v>
      </c>
      <c r="R687" s="1" t="s">
        <v>61</v>
      </c>
      <c r="S687" s="1" t="s">
        <v>703</v>
      </c>
      <c r="T687" s="1" t="s">
        <v>1308</v>
      </c>
      <c r="U687" s="1">
        <v>46404</v>
      </c>
      <c r="V687" s="9">
        <v>42019</v>
      </c>
      <c r="W687" s="13" t="str">
        <f>TEXT(Table1[[#This Row],[Order Date]],"mmmm")</f>
        <v>January</v>
      </c>
      <c r="X687" s="7" t="str">
        <f>TEXT(Table1[[#This Row],[Order Date]],"yyyy")</f>
        <v>2015</v>
      </c>
      <c r="Y687" s="9">
        <v>42020</v>
      </c>
      <c r="Z687" s="1">
        <v>-3061.82</v>
      </c>
      <c r="AA687" s="1">
        <v>1</v>
      </c>
      <c r="AB687" s="1">
        <v>3672.89</v>
      </c>
      <c r="AC687" s="1">
        <v>88600</v>
      </c>
      <c r="AD687" s="6" t="str">
        <f>IF(COUNTIF(Returns!$A$2:$A$1635,Orders!AC687)&gt;0,"Returned","Not Returned")</f>
        <v>Not Returned</v>
      </c>
    </row>
    <row r="688" spans="1:30" ht="12.75" customHeight="1" thickTop="1" thickBot="1" x14ac:dyDescent="0.25">
      <c r="A688" s="10">
        <v>24270</v>
      </c>
      <c r="B688" s="11" t="s">
        <v>106</v>
      </c>
      <c r="C688" s="11">
        <v>7.0000000000000007E-2</v>
      </c>
      <c r="D688" s="11">
        <v>29.89</v>
      </c>
      <c r="E688" s="11">
        <v>1.99</v>
      </c>
      <c r="F688" s="11">
        <v>1213</v>
      </c>
      <c r="G688" s="6" t="str">
        <f>IF(COUNTIF(Table1[Customer ID],Table1[[#This Row],[Customer ID]])&gt;1,"Repeat Customer","One-Time Customer")</f>
        <v>Repeat Customer</v>
      </c>
      <c r="H688" s="11" t="s">
        <v>1310</v>
      </c>
      <c r="I688" s="11" t="s">
        <v>27</v>
      </c>
      <c r="J688" s="11" t="s">
        <v>28</v>
      </c>
      <c r="K688" s="11" t="s">
        <v>77</v>
      </c>
      <c r="L688" s="11" t="s">
        <v>180</v>
      </c>
      <c r="M688" s="11" t="s">
        <v>51</v>
      </c>
      <c r="N688" s="11" t="s">
        <v>1311</v>
      </c>
      <c r="O688" s="11">
        <v>0.5</v>
      </c>
      <c r="P688" s="6">
        <f>Table1[[#This Row],[Profit]]/Table1[[#This Row],[Sales]]</f>
        <v>0.69</v>
      </c>
      <c r="Q688" s="11" t="s">
        <v>33</v>
      </c>
      <c r="R688" s="11" t="s">
        <v>61</v>
      </c>
      <c r="S688" s="11" t="s">
        <v>703</v>
      </c>
      <c r="T688" s="11" t="s">
        <v>1312</v>
      </c>
      <c r="U688" s="11">
        <v>46530</v>
      </c>
      <c r="V688" s="12">
        <v>42039</v>
      </c>
      <c r="W688" s="13" t="str">
        <f>TEXT(Table1[[#This Row],[Order Date]],"mmmm")</f>
        <v>February</v>
      </c>
      <c r="X688" s="7" t="str">
        <f>TEXT(Table1[[#This Row],[Order Date]],"yyyy")</f>
        <v>2015</v>
      </c>
      <c r="Y688" s="12">
        <v>42044</v>
      </c>
      <c r="Z688" s="11">
        <v>258.6189</v>
      </c>
      <c r="AA688" s="11">
        <v>13</v>
      </c>
      <c r="AB688" s="11">
        <v>374.81</v>
      </c>
      <c r="AC688" s="11">
        <v>88599</v>
      </c>
      <c r="AD688" s="6" t="str">
        <f>IF(COUNTIF(Returns!$A$2:$A$1635,Orders!AC688)&gt;0,"Returned","Not Returned")</f>
        <v>Not Returned</v>
      </c>
    </row>
    <row r="689" spans="1:30" ht="12.75" customHeight="1" thickTop="1" thickBot="1" x14ac:dyDescent="0.25">
      <c r="A689" s="8">
        <v>24271</v>
      </c>
      <c r="B689" s="1" t="s">
        <v>106</v>
      </c>
      <c r="C689" s="1">
        <v>0.03</v>
      </c>
      <c r="D689" s="1">
        <v>8.34</v>
      </c>
      <c r="E689" s="1">
        <v>4.82</v>
      </c>
      <c r="F689" s="1">
        <v>1213</v>
      </c>
      <c r="G689" s="6" t="str">
        <f>IF(COUNTIF(Table1[Customer ID],Table1[[#This Row],[Customer ID]])&gt;1,"Repeat Customer","One-Time Customer")</f>
        <v>Repeat Customer</v>
      </c>
      <c r="H689" s="1" t="s">
        <v>1310</v>
      </c>
      <c r="I689" s="1" t="s">
        <v>49</v>
      </c>
      <c r="J689" s="1" t="s">
        <v>28</v>
      </c>
      <c r="K689" s="1" t="s">
        <v>29</v>
      </c>
      <c r="L689" s="1" t="s">
        <v>93</v>
      </c>
      <c r="M689" s="1" t="s">
        <v>59</v>
      </c>
      <c r="N689" s="1" t="s">
        <v>918</v>
      </c>
      <c r="O689" s="1">
        <v>0.4</v>
      </c>
      <c r="P689" s="6">
        <f>Table1[[#This Row],[Profit]]/Table1[[#This Row],[Sales]]</f>
        <v>-0.15507279870580076</v>
      </c>
      <c r="Q689" s="1" t="s">
        <v>33</v>
      </c>
      <c r="R689" s="1" t="s">
        <v>61</v>
      </c>
      <c r="S689" s="1" t="s">
        <v>703</v>
      </c>
      <c r="T689" s="1" t="s">
        <v>1312</v>
      </c>
      <c r="U689" s="1">
        <v>46530</v>
      </c>
      <c r="V689" s="9">
        <v>42039</v>
      </c>
      <c r="W689" s="13" t="str">
        <f>TEXT(Table1[[#This Row],[Order Date]],"mmmm")</f>
        <v>February</v>
      </c>
      <c r="X689" s="7" t="str">
        <f>TEXT(Table1[[#This Row],[Order Date]],"yyyy")</f>
        <v>2015</v>
      </c>
      <c r="Y689" s="9">
        <v>42043</v>
      </c>
      <c r="Z689" s="1">
        <v>-6.71</v>
      </c>
      <c r="AA689" s="1">
        <v>5</v>
      </c>
      <c r="AB689" s="1">
        <v>43.27</v>
      </c>
      <c r="AC689" s="1">
        <v>88599</v>
      </c>
      <c r="AD689" s="6" t="str">
        <f>IF(COUNTIF(Returns!$A$2:$A$1635,Orders!AC689)&gt;0,"Returned","Not Returned")</f>
        <v>Not Returned</v>
      </c>
    </row>
    <row r="690" spans="1:30" ht="12.75" customHeight="1" thickTop="1" thickBot="1" x14ac:dyDescent="0.25">
      <c r="A690" s="10">
        <v>22530</v>
      </c>
      <c r="B690" s="11" t="s">
        <v>25</v>
      </c>
      <c r="C690" s="11">
        <v>0.03</v>
      </c>
      <c r="D690" s="11">
        <v>5.84</v>
      </c>
      <c r="E690" s="11">
        <v>1.2</v>
      </c>
      <c r="F690" s="11">
        <v>1213</v>
      </c>
      <c r="G690" s="6" t="str">
        <f>IF(COUNTIF(Table1[Customer ID],Table1[[#This Row],[Customer ID]])&gt;1,"Repeat Customer","One-Time Customer")</f>
        <v>Repeat Customer</v>
      </c>
      <c r="H690" s="11" t="s">
        <v>1310</v>
      </c>
      <c r="I690" s="11" t="s">
        <v>49</v>
      </c>
      <c r="J690" s="11" t="s">
        <v>28</v>
      </c>
      <c r="K690" s="11" t="s">
        <v>29</v>
      </c>
      <c r="L690" s="11" t="s">
        <v>30</v>
      </c>
      <c r="M690" s="11" t="s">
        <v>31</v>
      </c>
      <c r="N690" s="11" t="s">
        <v>1313</v>
      </c>
      <c r="O690" s="11">
        <v>0.55000000000000004</v>
      </c>
      <c r="P690" s="6">
        <f>Table1[[#This Row],[Profit]]/Table1[[#This Row],[Sales]]</f>
        <v>-8.5178875638839747E-4</v>
      </c>
      <c r="Q690" s="11" t="s">
        <v>33</v>
      </c>
      <c r="R690" s="11" t="s">
        <v>61</v>
      </c>
      <c r="S690" s="11" t="s">
        <v>703</v>
      </c>
      <c r="T690" s="11" t="s">
        <v>1312</v>
      </c>
      <c r="U690" s="11">
        <v>46530</v>
      </c>
      <c r="V690" s="12">
        <v>42019</v>
      </c>
      <c r="W690" s="13" t="str">
        <f>TEXT(Table1[[#This Row],[Order Date]],"mmmm")</f>
        <v>January</v>
      </c>
      <c r="X690" s="7" t="str">
        <f>TEXT(Table1[[#This Row],[Order Date]],"yyyy")</f>
        <v>2015</v>
      </c>
      <c r="Y690" s="12">
        <v>42021</v>
      </c>
      <c r="Z690" s="11">
        <v>-9.9999999999997868E-3</v>
      </c>
      <c r="AA690" s="11">
        <v>2</v>
      </c>
      <c r="AB690" s="11">
        <v>11.74</v>
      </c>
      <c r="AC690" s="11">
        <v>88600</v>
      </c>
      <c r="AD690" s="6" t="str">
        <f>IF(COUNTIF(Returns!$A$2:$A$1635,Orders!AC690)&gt;0,"Returned","Not Returned")</f>
        <v>Not Returned</v>
      </c>
    </row>
    <row r="691" spans="1:30" ht="12.75" customHeight="1" thickTop="1" thickBot="1" x14ac:dyDescent="0.25">
      <c r="A691" s="8">
        <v>7632</v>
      </c>
      <c r="B691" s="1" t="s">
        <v>56</v>
      </c>
      <c r="C691" s="1">
        <v>0.09</v>
      </c>
      <c r="D691" s="1">
        <v>130.97999999999999</v>
      </c>
      <c r="E691" s="1">
        <v>30</v>
      </c>
      <c r="F691" s="1">
        <v>1217</v>
      </c>
      <c r="G691" s="6" t="str">
        <f>IF(COUNTIF(Table1[Customer ID],Table1[[#This Row],[Customer ID]])&gt;1,"Repeat Customer","One-Time Customer")</f>
        <v>One-Time Customer</v>
      </c>
      <c r="H691" s="1" t="s">
        <v>1314</v>
      </c>
      <c r="I691" s="1" t="s">
        <v>39</v>
      </c>
      <c r="J691" s="1" t="s">
        <v>58</v>
      </c>
      <c r="K691" s="1" t="s">
        <v>41</v>
      </c>
      <c r="L691" s="1" t="s">
        <v>42</v>
      </c>
      <c r="M691" s="1" t="s">
        <v>43</v>
      </c>
      <c r="N691" s="1" t="s">
        <v>546</v>
      </c>
      <c r="O691" s="1">
        <v>0.78</v>
      </c>
      <c r="P691" s="6">
        <f>Table1[[#This Row],[Profit]]/Table1[[#This Row],[Sales]]</f>
        <v>-8.0198671215111789E-2</v>
      </c>
      <c r="Q691" s="1" t="s">
        <v>33</v>
      </c>
      <c r="R691" s="1" t="s">
        <v>53</v>
      </c>
      <c r="S691" s="1" t="s">
        <v>193</v>
      </c>
      <c r="T691" s="1" t="s">
        <v>194</v>
      </c>
      <c r="U691" s="1">
        <v>2112</v>
      </c>
      <c r="V691" s="9">
        <v>42122</v>
      </c>
      <c r="W691" s="13" t="str">
        <f>TEXT(Table1[[#This Row],[Order Date]],"mmmm")</f>
        <v>April</v>
      </c>
      <c r="X691" s="7" t="str">
        <f>TEXT(Table1[[#This Row],[Order Date]],"yyyy")</f>
        <v>2015</v>
      </c>
      <c r="Y691" s="9">
        <v>42125</v>
      </c>
      <c r="Z691" s="1">
        <v>-421.76</v>
      </c>
      <c r="AA691" s="1">
        <v>41</v>
      </c>
      <c r="AB691" s="1">
        <v>5258.94</v>
      </c>
      <c r="AC691" s="1">
        <v>54595</v>
      </c>
      <c r="AD691" s="6" t="str">
        <f>IF(COUNTIF(Returns!$A$2:$A$1635,Orders!AC691)&gt;0,"Returned","Not Returned")</f>
        <v>Returned</v>
      </c>
    </row>
    <row r="692" spans="1:30" ht="12.75" customHeight="1" thickTop="1" thickBot="1" x14ac:dyDescent="0.25">
      <c r="A692" s="10">
        <v>25631</v>
      </c>
      <c r="B692" s="11" t="s">
        <v>56</v>
      </c>
      <c r="C692" s="11">
        <v>0.02</v>
      </c>
      <c r="D692" s="11">
        <v>8.34</v>
      </c>
      <c r="E692" s="11">
        <v>2.64</v>
      </c>
      <c r="F692" s="11">
        <v>1226</v>
      </c>
      <c r="G692" s="6" t="str">
        <f>IF(COUNTIF(Table1[Customer ID],Table1[[#This Row],[Customer ID]])&gt;1,"Repeat Customer","One-Time Customer")</f>
        <v>One-Time Customer</v>
      </c>
      <c r="H692" s="11" t="s">
        <v>1315</v>
      </c>
      <c r="I692" s="11" t="s">
        <v>49</v>
      </c>
      <c r="J692" s="11" t="s">
        <v>58</v>
      </c>
      <c r="K692" s="11" t="s">
        <v>29</v>
      </c>
      <c r="L692" s="11" t="s">
        <v>174</v>
      </c>
      <c r="M692" s="11" t="s">
        <v>51</v>
      </c>
      <c r="N692" s="11" t="s">
        <v>358</v>
      </c>
      <c r="O692" s="11">
        <v>0.59</v>
      </c>
      <c r="P692" s="6">
        <f>Table1[[#This Row],[Profit]]/Table1[[#This Row],[Sales]]</f>
        <v>0.10173808810308661</v>
      </c>
      <c r="Q692" s="11" t="s">
        <v>33</v>
      </c>
      <c r="R692" s="11" t="s">
        <v>53</v>
      </c>
      <c r="S692" s="11" t="s">
        <v>469</v>
      </c>
      <c r="T692" s="11" t="s">
        <v>1316</v>
      </c>
      <c r="U692" s="11">
        <v>2861</v>
      </c>
      <c r="V692" s="12">
        <v>42122</v>
      </c>
      <c r="W692" s="13" t="str">
        <f>TEXT(Table1[[#This Row],[Order Date]],"mmmm")</f>
        <v>April</v>
      </c>
      <c r="X692" s="7" t="str">
        <f>TEXT(Table1[[#This Row],[Order Date]],"yyyy")</f>
        <v>2015</v>
      </c>
      <c r="Y692" s="12">
        <v>42124</v>
      </c>
      <c r="Z692" s="11">
        <v>6.79</v>
      </c>
      <c r="AA692" s="11">
        <v>8</v>
      </c>
      <c r="AB692" s="11">
        <v>66.739999999999995</v>
      </c>
      <c r="AC692" s="11">
        <v>90800</v>
      </c>
      <c r="AD692" s="6" t="str">
        <f>IF(COUNTIF(Returns!$A$2:$A$1635,Orders!AC692)&gt;0,"Returned","Not Returned")</f>
        <v>Not Returned</v>
      </c>
    </row>
    <row r="693" spans="1:30" ht="12.75" customHeight="1" thickTop="1" thickBot="1" x14ac:dyDescent="0.25">
      <c r="A693" s="8">
        <v>25632</v>
      </c>
      <c r="B693" s="1" t="s">
        <v>56</v>
      </c>
      <c r="C693" s="1">
        <v>0.09</v>
      </c>
      <c r="D693" s="1">
        <v>130.97999999999999</v>
      </c>
      <c r="E693" s="1">
        <v>30</v>
      </c>
      <c r="F693" s="1">
        <v>1227</v>
      </c>
      <c r="G693" s="6" t="str">
        <f>IF(COUNTIF(Table1[Customer ID],Table1[[#This Row],[Customer ID]])&gt;1,"Repeat Customer","One-Time Customer")</f>
        <v>One-Time Customer</v>
      </c>
      <c r="H693" s="1" t="s">
        <v>1317</v>
      </c>
      <c r="I693" s="1" t="s">
        <v>39</v>
      </c>
      <c r="J693" s="1" t="s">
        <v>58</v>
      </c>
      <c r="K693" s="1" t="s">
        <v>41</v>
      </c>
      <c r="L693" s="1" t="s">
        <v>42</v>
      </c>
      <c r="M693" s="1" t="s">
        <v>43</v>
      </c>
      <c r="N693" s="1" t="s">
        <v>546</v>
      </c>
      <c r="O693" s="1">
        <v>0.78</v>
      </c>
      <c r="P693" s="6">
        <f>Table1[[#This Row],[Profit]]/Table1[[#This Row],[Sales]]</f>
        <v>-0.32881411430843471</v>
      </c>
      <c r="Q693" s="1" t="s">
        <v>33</v>
      </c>
      <c r="R693" s="1" t="s">
        <v>53</v>
      </c>
      <c r="S693" s="1" t="s">
        <v>149</v>
      </c>
      <c r="T693" s="1" t="s">
        <v>778</v>
      </c>
      <c r="U693" s="1">
        <v>5403</v>
      </c>
      <c r="V693" s="9">
        <v>42122</v>
      </c>
      <c r="W693" s="13" t="str">
        <f>TEXT(Table1[[#This Row],[Order Date]],"mmmm")</f>
        <v>April</v>
      </c>
      <c r="X693" s="7" t="str">
        <f>TEXT(Table1[[#This Row],[Order Date]],"yyyy")</f>
        <v>2015</v>
      </c>
      <c r="Y693" s="9">
        <v>42125</v>
      </c>
      <c r="Z693" s="1">
        <v>-421.76</v>
      </c>
      <c r="AA693" s="1">
        <v>10</v>
      </c>
      <c r="AB693" s="1">
        <v>1282.67</v>
      </c>
      <c r="AC693" s="1">
        <v>90800</v>
      </c>
      <c r="AD693" s="6" t="str">
        <f>IF(COUNTIF(Returns!$A$2:$A$1635,Orders!AC693)&gt;0,"Returned","Not Returned")</f>
        <v>Not Returned</v>
      </c>
    </row>
    <row r="694" spans="1:30" ht="12.75" customHeight="1" thickTop="1" thickBot="1" x14ac:dyDescent="0.25">
      <c r="A694" s="10">
        <v>7810</v>
      </c>
      <c r="B694" s="11" t="s">
        <v>56</v>
      </c>
      <c r="C694" s="11">
        <v>0</v>
      </c>
      <c r="D694" s="11">
        <v>7.1</v>
      </c>
      <c r="E694" s="11">
        <v>6.05</v>
      </c>
      <c r="F694" s="11">
        <v>1228</v>
      </c>
      <c r="G694" s="6" t="str">
        <f>IF(COUNTIF(Table1[Customer ID],Table1[[#This Row],[Customer ID]])&gt;1,"Repeat Customer","One-Time Customer")</f>
        <v>Repeat Customer</v>
      </c>
      <c r="H694" s="11" t="s">
        <v>1318</v>
      </c>
      <c r="I694" s="11" t="s">
        <v>49</v>
      </c>
      <c r="J694" s="11" t="s">
        <v>58</v>
      </c>
      <c r="K694" s="11" t="s">
        <v>29</v>
      </c>
      <c r="L694" s="11" t="s">
        <v>109</v>
      </c>
      <c r="M694" s="11" t="s">
        <v>59</v>
      </c>
      <c r="N694" s="11" t="s">
        <v>651</v>
      </c>
      <c r="O694" s="11">
        <v>0.39</v>
      </c>
      <c r="P694" s="6">
        <f>Table1[[#This Row],[Profit]]/Table1[[#This Row],[Sales]]</f>
        <v>-0.28800938562467077</v>
      </c>
      <c r="Q694" s="11" t="s">
        <v>33</v>
      </c>
      <c r="R694" s="11" t="s">
        <v>53</v>
      </c>
      <c r="S694" s="11" t="s">
        <v>234</v>
      </c>
      <c r="T694" s="11" t="s">
        <v>1319</v>
      </c>
      <c r="U694" s="11">
        <v>19140</v>
      </c>
      <c r="V694" s="12">
        <v>42051</v>
      </c>
      <c r="W694" s="13" t="str">
        <f>TEXT(Table1[[#This Row],[Order Date]],"mmmm")</f>
        <v>February</v>
      </c>
      <c r="X694" s="7" t="str">
        <f>TEXT(Table1[[#This Row],[Order Date]],"yyyy")</f>
        <v>2015</v>
      </c>
      <c r="Y694" s="12">
        <v>42052</v>
      </c>
      <c r="Z694" s="11">
        <v>-60.145000000000003</v>
      </c>
      <c r="AA694" s="11">
        <v>28</v>
      </c>
      <c r="AB694" s="11">
        <v>208.83</v>
      </c>
      <c r="AC694" s="11">
        <v>55874</v>
      </c>
      <c r="AD694" s="6" t="str">
        <f>IF(COUNTIF(Returns!$A$2:$A$1635,Orders!AC694)&gt;0,"Returned","Not Returned")</f>
        <v>Returned</v>
      </c>
    </row>
    <row r="695" spans="1:30" ht="12.75" customHeight="1" thickTop="1" thickBot="1" x14ac:dyDescent="0.25">
      <c r="A695" s="8">
        <v>7811</v>
      </c>
      <c r="B695" s="1" t="s">
        <v>56</v>
      </c>
      <c r="C695" s="1">
        <v>0.01</v>
      </c>
      <c r="D695" s="1">
        <v>4.9800000000000004</v>
      </c>
      <c r="E695" s="1">
        <v>4.62</v>
      </c>
      <c r="F695" s="1">
        <v>1228</v>
      </c>
      <c r="G695" s="6" t="str">
        <f>IF(COUNTIF(Table1[Customer ID],Table1[[#This Row],[Customer ID]])&gt;1,"Repeat Customer","One-Time Customer")</f>
        <v>Repeat Customer</v>
      </c>
      <c r="H695" s="1" t="s">
        <v>1318</v>
      </c>
      <c r="I695" s="1" t="s">
        <v>27</v>
      </c>
      <c r="J695" s="1" t="s">
        <v>58</v>
      </c>
      <c r="K695" s="1" t="s">
        <v>77</v>
      </c>
      <c r="L695" s="1" t="s">
        <v>180</v>
      </c>
      <c r="M695" s="1" t="s">
        <v>51</v>
      </c>
      <c r="N695" s="1" t="s">
        <v>411</v>
      </c>
      <c r="O695" s="1">
        <v>0.64</v>
      </c>
      <c r="P695" s="6">
        <f>Table1[[#This Row],[Profit]]/Table1[[#This Row],[Sales]]</f>
        <v>-0.48935611038107751</v>
      </c>
      <c r="Q695" s="1" t="s">
        <v>33</v>
      </c>
      <c r="R695" s="1" t="s">
        <v>53</v>
      </c>
      <c r="S695" s="1" t="s">
        <v>234</v>
      </c>
      <c r="T695" s="1" t="s">
        <v>1319</v>
      </c>
      <c r="U695" s="1">
        <v>19140</v>
      </c>
      <c r="V695" s="9">
        <v>42051</v>
      </c>
      <c r="W695" s="13" t="str">
        <f>TEXT(Table1[[#This Row],[Order Date]],"mmmm")</f>
        <v>February</v>
      </c>
      <c r="X695" s="7" t="str">
        <f>TEXT(Table1[[#This Row],[Order Date]],"yyyy")</f>
        <v>2015</v>
      </c>
      <c r="Y695" s="9">
        <v>42053</v>
      </c>
      <c r="Z695" s="1">
        <v>-111.72</v>
      </c>
      <c r="AA695" s="1">
        <v>41</v>
      </c>
      <c r="AB695" s="1">
        <v>228.3</v>
      </c>
      <c r="AC695" s="1">
        <v>55874</v>
      </c>
      <c r="AD695" s="6" t="str">
        <f>IF(COUNTIF(Returns!$A$2:$A$1635,Orders!AC695)&gt;0,"Returned","Not Returned")</f>
        <v>Returned</v>
      </c>
    </row>
    <row r="696" spans="1:30" ht="12.75" customHeight="1" thickTop="1" thickBot="1" x14ac:dyDescent="0.25">
      <c r="A696" s="10">
        <v>7812</v>
      </c>
      <c r="B696" s="11" t="s">
        <v>56</v>
      </c>
      <c r="C696" s="11">
        <v>0.06</v>
      </c>
      <c r="D696" s="11">
        <v>5.68</v>
      </c>
      <c r="E696" s="11">
        <v>1.39</v>
      </c>
      <c r="F696" s="11">
        <v>1228</v>
      </c>
      <c r="G696" s="6" t="str">
        <f>IF(COUNTIF(Table1[Customer ID],Table1[[#This Row],[Customer ID]])&gt;1,"Repeat Customer","One-Time Customer")</f>
        <v>Repeat Customer</v>
      </c>
      <c r="H696" s="11" t="s">
        <v>1318</v>
      </c>
      <c r="I696" s="11" t="s">
        <v>49</v>
      </c>
      <c r="J696" s="11" t="s">
        <v>58</v>
      </c>
      <c r="K696" s="11" t="s">
        <v>29</v>
      </c>
      <c r="L696" s="11" t="s">
        <v>69</v>
      </c>
      <c r="M696" s="11" t="s">
        <v>59</v>
      </c>
      <c r="N696" s="11" t="s">
        <v>998</v>
      </c>
      <c r="O696" s="11">
        <v>0.38</v>
      </c>
      <c r="P696" s="6">
        <f>Table1[[#This Row],[Profit]]/Table1[[#This Row],[Sales]]</f>
        <v>0.25484443758202729</v>
      </c>
      <c r="Q696" s="11" t="s">
        <v>33</v>
      </c>
      <c r="R696" s="11" t="s">
        <v>53</v>
      </c>
      <c r="S696" s="11" t="s">
        <v>234</v>
      </c>
      <c r="T696" s="11" t="s">
        <v>1319</v>
      </c>
      <c r="U696" s="11">
        <v>19140</v>
      </c>
      <c r="V696" s="12">
        <v>42051</v>
      </c>
      <c r="W696" s="13" t="str">
        <f>TEXT(Table1[[#This Row],[Order Date]],"mmmm")</f>
        <v>February</v>
      </c>
      <c r="X696" s="7" t="str">
        <f>TEXT(Table1[[#This Row],[Order Date]],"yyyy")</f>
        <v>2015</v>
      </c>
      <c r="Y696" s="12">
        <v>42051</v>
      </c>
      <c r="Z696" s="11">
        <v>33.01</v>
      </c>
      <c r="AA696" s="11">
        <v>24</v>
      </c>
      <c r="AB696" s="11">
        <v>129.53</v>
      </c>
      <c r="AC696" s="11">
        <v>55874</v>
      </c>
      <c r="AD696" s="6" t="str">
        <f>IF(COUNTIF(Returns!$A$2:$A$1635,Orders!AC696)&gt;0,"Returned","Not Returned")</f>
        <v>Returned</v>
      </c>
    </row>
    <row r="697" spans="1:30" ht="12.75" customHeight="1" thickTop="1" thickBot="1" x14ac:dyDescent="0.25">
      <c r="A697" s="8">
        <v>25811</v>
      </c>
      <c r="B697" s="1" t="s">
        <v>56</v>
      </c>
      <c r="C697" s="1">
        <v>0.01</v>
      </c>
      <c r="D697" s="1">
        <v>4.9800000000000004</v>
      </c>
      <c r="E697" s="1">
        <v>4.62</v>
      </c>
      <c r="F697" s="1">
        <v>1229</v>
      </c>
      <c r="G697" s="6" t="str">
        <f>IF(COUNTIF(Table1[Customer ID],Table1[[#This Row],[Customer ID]])&gt;1,"Repeat Customer","One-Time Customer")</f>
        <v>One-Time Customer</v>
      </c>
      <c r="H697" s="1" t="s">
        <v>1320</v>
      </c>
      <c r="I697" s="1" t="s">
        <v>27</v>
      </c>
      <c r="J697" s="1" t="s">
        <v>58</v>
      </c>
      <c r="K697" s="1" t="s">
        <v>77</v>
      </c>
      <c r="L697" s="1" t="s">
        <v>180</v>
      </c>
      <c r="M697" s="1" t="s">
        <v>51</v>
      </c>
      <c r="N697" s="1" t="s">
        <v>411</v>
      </c>
      <c r="O697" s="1">
        <v>0.64</v>
      </c>
      <c r="P697" s="6">
        <f>Table1[[#This Row],[Profit]]/Table1[[#This Row],[Sales]]</f>
        <v>-2.0064655172413794</v>
      </c>
      <c r="Q697" s="1" t="s">
        <v>33</v>
      </c>
      <c r="R697" s="1" t="s">
        <v>61</v>
      </c>
      <c r="S697" s="1" t="s">
        <v>130</v>
      </c>
      <c r="T697" s="1" t="s">
        <v>1321</v>
      </c>
      <c r="U697" s="1">
        <v>75482</v>
      </c>
      <c r="V697" s="9">
        <v>42051</v>
      </c>
      <c r="W697" s="13" t="str">
        <f>TEXT(Table1[[#This Row],[Order Date]],"mmmm")</f>
        <v>February</v>
      </c>
      <c r="X697" s="7" t="str">
        <f>TEXT(Table1[[#This Row],[Order Date]],"yyyy")</f>
        <v>2015</v>
      </c>
      <c r="Y697" s="9">
        <v>42053</v>
      </c>
      <c r="Z697" s="1">
        <v>-111.72</v>
      </c>
      <c r="AA697" s="1">
        <v>10</v>
      </c>
      <c r="AB697" s="1">
        <v>55.68</v>
      </c>
      <c r="AC697" s="1">
        <v>90378</v>
      </c>
      <c r="AD697" s="6" t="str">
        <f>IF(COUNTIF(Returns!$A$2:$A$1635,Orders!AC697)&gt;0,"Returned","Not Returned")</f>
        <v>Not Returned</v>
      </c>
    </row>
    <row r="698" spans="1:30" ht="12.75" customHeight="1" thickTop="1" thickBot="1" x14ac:dyDescent="0.25">
      <c r="A698" s="10">
        <v>21206</v>
      </c>
      <c r="B698" s="11" t="s">
        <v>47</v>
      </c>
      <c r="C698" s="11">
        <v>0.1</v>
      </c>
      <c r="D698" s="11">
        <v>120.98</v>
      </c>
      <c r="E698" s="11">
        <v>9.07</v>
      </c>
      <c r="F698" s="11">
        <v>1233</v>
      </c>
      <c r="G698" s="6" t="str">
        <f>IF(COUNTIF(Table1[Customer ID],Table1[[#This Row],[Customer ID]])&gt;1,"Repeat Customer","One-Time Customer")</f>
        <v>Repeat Customer</v>
      </c>
      <c r="H698" s="11" t="s">
        <v>1322</v>
      </c>
      <c r="I698" s="11" t="s">
        <v>27</v>
      </c>
      <c r="J698" s="11" t="s">
        <v>114</v>
      </c>
      <c r="K698" s="11" t="s">
        <v>29</v>
      </c>
      <c r="L698" s="11" t="s">
        <v>109</v>
      </c>
      <c r="M698" s="11" t="s">
        <v>59</v>
      </c>
      <c r="N698" s="11" t="s">
        <v>1323</v>
      </c>
      <c r="O698" s="11">
        <v>0.35</v>
      </c>
      <c r="P698" s="6">
        <f>Table1[[#This Row],[Profit]]/Table1[[#This Row],[Sales]]</f>
        <v>0.52347099816978737</v>
      </c>
      <c r="Q698" s="11" t="s">
        <v>33</v>
      </c>
      <c r="R698" s="11" t="s">
        <v>61</v>
      </c>
      <c r="S698" s="11" t="s">
        <v>130</v>
      </c>
      <c r="T698" s="11" t="s">
        <v>1324</v>
      </c>
      <c r="U698" s="11">
        <v>75028</v>
      </c>
      <c r="V698" s="12">
        <v>42103</v>
      </c>
      <c r="W698" s="13" t="str">
        <f>TEXT(Table1[[#This Row],[Order Date]],"mmmm")</f>
        <v>April</v>
      </c>
      <c r="X698" s="7" t="str">
        <f>TEXT(Table1[[#This Row],[Order Date]],"yyyy")</f>
        <v>2015</v>
      </c>
      <c r="Y698" s="12">
        <v>42105</v>
      </c>
      <c r="Z698" s="11">
        <v>297.45715999999999</v>
      </c>
      <c r="AA698" s="11">
        <v>5</v>
      </c>
      <c r="AB698" s="11">
        <v>568.24</v>
      </c>
      <c r="AC698" s="11">
        <v>89375</v>
      </c>
      <c r="AD698" s="6" t="str">
        <f>IF(COUNTIF(Returns!$A$2:$A$1635,Orders!AC698)&gt;0,"Returned","Not Returned")</f>
        <v>Not Returned</v>
      </c>
    </row>
    <row r="699" spans="1:30" ht="12.75" customHeight="1" thickTop="1" thickBot="1" x14ac:dyDescent="0.25">
      <c r="A699" s="8">
        <v>21207</v>
      </c>
      <c r="B699" s="1" t="s">
        <v>47</v>
      </c>
      <c r="C699" s="1">
        <v>0.02</v>
      </c>
      <c r="D699" s="1">
        <v>152.47999999999999</v>
      </c>
      <c r="E699" s="1">
        <v>6.5</v>
      </c>
      <c r="F699" s="1">
        <v>1233</v>
      </c>
      <c r="G699" s="6" t="str">
        <f>IF(COUNTIF(Table1[Customer ID],Table1[[#This Row],[Customer ID]])&gt;1,"Repeat Customer","One-Time Customer")</f>
        <v>Repeat Customer</v>
      </c>
      <c r="H699" s="1" t="s">
        <v>1322</v>
      </c>
      <c r="I699" s="1" t="s">
        <v>27</v>
      </c>
      <c r="J699" s="1" t="s">
        <v>114</v>
      </c>
      <c r="K699" s="1" t="s">
        <v>77</v>
      </c>
      <c r="L699" s="1" t="s">
        <v>180</v>
      </c>
      <c r="M699" s="1" t="s">
        <v>59</v>
      </c>
      <c r="N699" s="1" t="s">
        <v>609</v>
      </c>
      <c r="O699" s="1">
        <v>0.74</v>
      </c>
      <c r="P699" s="6">
        <f>Table1[[#This Row],[Profit]]/Table1[[#This Row],[Sales]]</f>
        <v>-3.4657319992633968</v>
      </c>
      <c r="Q699" s="1" t="s">
        <v>33</v>
      </c>
      <c r="R699" s="1" t="s">
        <v>61</v>
      </c>
      <c r="S699" s="1" t="s">
        <v>130</v>
      </c>
      <c r="T699" s="1" t="s">
        <v>1324</v>
      </c>
      <c r="U699" s="1">
        <v>75028</v>
      </c>
      <c r="V699" s="9">
        <v>42103</v>
      </c>
      <c r="W699" s="13" t="str">
        <f>TEXT(Table1[[#This Row],[Order Date]],"mmmm")</f>
        <v>April</v>
      </c>
      <c r="X699" s="7" t="str">
        <f>TEXT(Table1[[#This Row],[Order Date]],"yyyy")</f>
        <v>2015</v>
      </c>
      <c r="Y699" s="9">
        <v>42105</v>
      </c>
      <c r="Z699" s="1">
        <v>-564.60239999999999</v>
      </c>
      <c r="AA699" s="1">
        <v>1</v>
      </c>
      <c r="AB699" s="1">
        <v>162.91</v>
      </c>
      <c r="AC699" s="1">
        <v>89375</v>
      </c>
      <c r="AD699" s="6" t="str">
        <f>IF(COUNTIF(Returns!$A$2:$A$1635,Orders!AC699)&gt;0,"Returned","Not Returned")</f>
        <v>Not Returned</v>
      </c>
    </row>
    <row r="700" spans="1:30" ht="12.75" customHeight="1" thickTop="1" thickBot="1" x14ac:dyDescent="0.25">
      <c r="A700" s="10">
        <v>19874</v>
      </c>
      <c r="B700" s="11" t="s">
        <v>25</v>
      </c>
      <c r="C700" s="11">
        <v>0.09</v>
      </c>
      <c r="D700" s="11">
        <v>99.99</v>
      </c>
      <c r="E700" s="11">
        <v>19.989999999999998</v>
      </c>
      <c r="F700" s="11">
        <v>1233</v>
      </c>
      <c r="G700" s="6" t="str">
        <f>IF(COUNTIF(Table1[Customer ID],Table1[[#This Row],[Customer ID]])&gt;1,"Repeat Customer","One-Time Customer")</f>
        <v>Repeat Customer</v>
      </c>
      <c r="H700" s="11" t="s">
        <v>1322</v>
      </c>
      <c r="I700" s="11" t="s">
        <v>49</v>
      </c>
      <c r="J700" s="11" t="s">
        <v>114</v>
      </c>
      <c r="K700" s="11" t="s">
        <v>77</v>
      </c>
      <c r="L700" s="11" t="s">
        <v>180</v>
      </c>
      <c r="M700" s="11" t="s">
        <v>59</v>
      </c>
      <c r="N700" s="11" t="s">
        <v>1151</v>
      </c>
      <c r="O700" s="11">
        <v>0.52</v>
      </c>
      <c r="P700" s="6">
        <f>Table1[[#This Row],[Profit]]/Table1[[#This Row],[Sales]]</f>
        <v>-1.6536098310291858</v>
      </c>
      <c r="Q700" s="11" t="s">
        <v>33</v>
      </c>
      <c r="R700" s="11" t="s">
        <v>61</v>
      </c>
      <c r="S700" s="11" t="s">
        <v>130</v>
      </c>
      <c r="T700" s="11" t="s">
        <v>1324</v>
      </c>
      <c r="U700" s="11">
        <v>75028</v>
      </c>
      <c r="V700" s="12">
        <v>42159</v>
      </c>
      <c r="W700" s="13" t="str">
        <f>TEXT(Table1[[#This Row],[Order Date]],"mmmm")</f>
        <v>June</v>
      </c>
      <c r="X700" s="7" t="str">
        <f>TEXT(Table1[[#This Row],[Order Date]],"yyyy")</f>
        <v>2015</v>
      </c>
      <c r="Y700" s="12">
        <v>42161</v>
      </c>
      <c r="Z700" s="11">
        <v>-161.47499999999999</v>
      </c>
      <c r="AA700" s="11">
        <v>1</v>
      </c>
      <c r="AB700" s="11">
        <v>97.65</v>
      </c>
      <c r="AC700" s="11">
        <v>89376</v>
      </c>
      <c r="AD700" s="6" t="str">
        <f>IF(COUNTIF(Returns!$A$2:$A$1635,Orders!AC700)&gt;0,"Returned","Not Returned")</f>
        <v>Not Returned</v>
      </c>
    </row>
    <row r="701" spans="1:30" ht="12.75" customHeight="1" thickTop="1" thickBot="1" x14ac:dyDescent="0.25">
      <c r="A701" s="8">
        <v>19875</v>
      </c>
      <c r="B701" s="1" t="s">
        <v>25</v>
      </c>
      <c r="C701" s="1">
        <v>0.04</v>
      </c>
      <c r="D701" s="1">
        <v>205.99</v>
      </c>
      <c r="E701" s="1">
        <v>5.26</v>
      </c>
      <c r="F701" s="1">
        <v>1233</v>
      </c>
      <c r="G701" s="6" t="str">
        <f>IF(COUNTIF(Table1[Customer ID],Table1[[#This Row],[Customer ID]])&gt;1,"Repeat Customer","One-Time Customer")</f>
        <v>Repeat Customer</v>
      </c>
      <c r="H701" s="1" t="s">
        <v>1322</v>
      </c>
      <c r="I701" s="1" t="s">
        <v>49</v>
      </c>
      <c r="J701" s="1" t="s">
        <v>114</v>
      </c>
      <c r="K701" s="1" t="s">
        <v>77</v>
      </c>
      <c r="L701" s="1" t="s">
        <v>78</v>
      </c>
      <c r="M701" s="1" t="s">
        <v>59</v>
      </c>
      <c r="N701" s="1" t="s">
        <v>824</v>
      </c>
      <c r="O701" s="1">
        <v>0.56000000000000005</v>
      </c>
      <c r="P701" s="6">
        <f>Table1[[#This Row],[Profit]]/Table1[[#This Row],[Sales]]</f>
        <v>-7.9912822375591253E-4</v>
      </c>
      <c r="Q701" s="1" t="s">
        <v>33</v>
      </c>
      <c r="R701" s="1" t="s">
        <v>61</v>
      </c>
      <c r="S701" s="1" t="s">
        <v>130</v>
      </c>
      <c r="T701" s="1" t="s">
        <v>1324</v>
      </c>
      <c r="U701" s="1">
        <v>75028</v>
      </c>
      <c r="V701" s="9">
        <v>42159</v>
      </c>
      <c r="W701" s="13" t="str">
        <f>TEXT(Table1[[#This Row],[Order Date]],"mmmm")</f>
        <v>June</v>
      </c>
      <c r="X701" s="7" t="str">
        <f>TEXT(Table1[[#This Row],[Order Date]],"yyyy")</f>
        <v>2015</v>
      </c>
      <c r="Y701" s="9">
        <v>42160</v>
      </c>
      <c r="Z701" s="1">
        <v>-0.81400000000001005</v>
      </c>
      <c r="AA701" s="1">
        <v>6</v>
      </c>
      <c r="AB701" s="1">
        <v>1018.61</v>
      </c>
      <c r="AC701" s="1">
        <v>89376</v>
      </c>
      <c r="AD701" s="6" t="str">
        <f>IF(COUNTIF(Returns!$A$2:$A$1635,Orders!AC701)&gt;0,"Returned","Not Returned")</f>
        <v>Not Returned</v>
      </c>
    </row>
    <row r="702" spans="1:30" ht="12.75" customHeight="1" thickTop="1" thickBot="1" x14ac:dyDescent="0.25">
      <c r="A702" s="10">
        <v>20592</v>
      </c>
      <c r="B702" s="11" t="s">
        <v>56</v>
      </c>
      <c r="C702" s="11">
        <v>0.03</v>
      </c>
      <c r="D702" s="11">
        <v>128.24</v>
      </c>
      <c r="E702" s="11">
        <v>12.65</v>
      </c>
      <c r="F702" s="11">
        <v>1237</v>
      </c>
      <c r="G702" s="6" t="str">
        <f>IF(COUNTIF(Table1[Customer ID],Table1[[#This Row],[Customer ID]])&gt;1,"Repeat Customer","One-Time Customer")</f>
        <v>Repeat Customer</v>
      </c>
      <c r="H702" s="11" t="s">
        <v>1325</v>
      </c>
      <c r="I702" s="11" t="s">
        <v>49</v>
      </c>
      <c r="J702" s="11" t="s">
        <v>28</v>
      </c>
      <c r="K702" s="11" t="s">
        <v>41</v>
      </c>
      <c r="L702" s="11" t="s">
        <v>42</v>
      </c>
      <c r="M702" s="11" t="s">
        <v>86</v>
      </c>
      <c r="N702" s="11" t="s">
        <v>619</v>
      </c>
      <c r="O702" s="11"/>
      <c r="P702" s="6">
        <f>Table1[[#This Row],[Profit]]/Table1[[#This Row],[Sales]]</f>
        <v>0.69</v>
      </c>
      <c r="Q702" s="11" t="s">
        <v>33</v>
      </c>
      <c r="R702" s="11" t="s">
        <v>61</v>
      </c>
      <c r="S702" s="11" t="s">
        <v>130</v>
      </c>
      <c r="T702" s="11" t="s">
        <v>1326</v>
      </c>
      <c r="U702" s="11">
        <v>75007</v>
      </c>
      <c r="V702" s="12">
        <v>42035</v>
      </c>
      <c r="W702" s="13" t="str">
        <f>TEXT(Table1[[#This Row],[Order Date]],"mmmm")</f>
        <v>January</v>
      </c>
      <c r="X702" s="7" t="str">
        <f>TEXT(Table1[[#This Row],[Order Date]],"yyyy")</f>
        <v>2015</v>
      </c>
      <c r="Y702" s="12">
        <v>42037</v>
      </c>
      <c r="Z702" s="11">
        <v>790.46399999999983</v>
      </c>
      <c r="AA702" s="11">
        <v>9</v>
      </c>
      <c r="AB702" s="11">
        <v>1145.5999999999999</v>
      </c>
      <c r="AC702" s="11">
        <v>86075</v>
      </c>
      <c r="AD702" s="6" t="str">
        <f>IF(COUNTIF(Returns!$A$2:$A$1635,Orders!AC702)&gt;0,"Returned","Not Returned")</f>
        <v>Not Returned</v>
      </c>
    </row>
    <row r="703" spans="1:30" ht="12.75" customHeight="1" thickTop="1" thickBot="1" x14ac:dyDescent="0.25">
      <c r="A703" s="8">
        <v>18625</v>
      </c>
      <c r="B703" s="1" t="s">
        <v>37</v>
      </c>
      <c r="C703" s="1">
        <v>0.02</v>
      </c>
      <c r="D703" s="1">
        <v>7.38</v>
      </c>
      <c r="E703" s="1">
        <v>5.21</v>
      </c>
      <c r="F703" s="1">
        <v>1237</v>
      </c>
      <c r="G703" s="6" t="str">
        <f>IF(COUNTIF(Table1[Customer ID],Table1[[#This Row],[Customer ID]])&gt;1,"Repeat Customer","One-Time Customer")</f>
        <v>Repeat Customer</v>
      </c>
      <c r="H703" s="1" t="s">
        <v>1325</v>
      </c>
      <c r="I703" s="1" t="s">
        <v>49</v>
      </c>
      <c r="J703" s="1" t="s">
        <v>28</v>
      </c>
      <c r="K703" s="1" t="s">
        <v>41</v>
      </c>
      <c r="L703" s="1" t="s">
        <v>50</v>
      </c>
      <c r="M703" s="1" t="s">
        <v>59</v>
      </c>
      <c r="N703" s="1" t="s">
        <v>424</v>
      </c>
      <c r="O703" s="1">
        <v>0.56000000000000005</v>
      </c>
      <c r="P703" s="6">
        <f>Table1[[#This Row],[Profit]]/Table1[[#This Row],[Sales]]</f>
        <v>0.31566068515497553</v>
      </c>
      <c r="Q703" s="1" t="s">
        <v>33</v>
      </c>
      <c r="R703" s="1" t="s">
        <v>61</v>
      </c>
      <c r="S703" s="1" t="s">
        <v>130</v>
      </c>
      <c r="T703" s="1" t="s">
        <v>1326</v>
      </c>
      <c r="U703" s="1">
        <v>75007</v>
      </c>
      <c r="V703" s="9">
        <v>42092</v>
      </c>
      <c r="W703" s="13" t="str">
        <f>TEXT(Table1[[#This Row],[Order Date]],"mmmm")</f>
        <v>March</v>
      </c>
      <c r="X703" s="7" t="str">
        <f>TEXT(Table1[[#This Row],[Order Date]],"yyyy")</f>
        <v>2015</v>
      </c>
      <c r="Y703" s="9">
        <v>42093</v>
      </c>
      <c r="Z703" s="1">
        <v>7.74</v>
      </c>
      <c r="AA703" s="1">
        <v>3</v>
      </c>
      <c r="AB703" s="1">
        <v>24.52</v>
      </c>
      <c r="AC703" s="1">
        <v>86076</v>
      </c>
      <c r="AD703" s="6" t="str">
        <f>IF(COUNTIF(Returns!$A$2:$A$1635,Orders!AC703)&gt;0,"Returned","Not Returned")</f>
        <v>Not Returned</v>
      </c>
    </row>
    <row r="704" spans="1:30" ht="12.75" customHeight="1" thickTop="1" thickBot="1" x14ac:dyDescent="0.25">
      <c r="A704" s="10">
        <v>20432</v>
      </c>
      <c r="B704" s="11" t="s">
        <v>56</v>
      </c>
      <c r="C704" s="11">
        <v>0.05</v>
      </c>
      <c r="D704" s="11">
        <v>300.98</v>
      </c>
      <c r="E704" s="11">
        <v>13.99</v>
      </c>
      <c r="F704" s="11">
        <v>1237</v>
      </c>
      <c r="G704" s="6" t="str">
        <f>IF(COUNTIF(Table1[Customer ID],Table1[[#This Row],[Customer ID]])&gt;1,"Repeat Customer","One-Time Customer")</f>
        <v>Repeat Customer</v>
      </c>
      <c r="H704" s="11" t="s">
        <v>1325</v>
      </c>
      <c r="I704" s="11" t="s">
        <v>49</v>
      </c>
      <c r="J704" s="11" t="s">
        <v>28</v>
      </c>
      <c r="K704" s="11" t="s">
        <v>77</v>
      </c>
      <c r="L704" s="11" t="s">
        <v>85</v>
      </c>
      <c r="M704" s="11" t="s">
        <v>86</v>
      </c>
      <c r="N704" s="11" t="s">
        <v>1327</v>
      </c>
      <c r="O704" s="11">
        <v>0.39</v>
      </c>
      <c r="P704" s="6">
        <f>Table1[[#This Row],[Profit]]/Table1[[#This Row],[Sales]]</f>
        <v>0.69</v>
      </c>
      <c r="Q704" s="11" t="s">
        <v>33</v>
      </c>
      <c r="R704" s="11" t="s">
        <v>61</v>
      </c>
      <c r="S704" s="11" t="s">
        <v>130</v>
      </c>
      <c r="T704" s="11" t="s">
        <v>1326</v>
      </c>
      <c r="U704" s="11">
        <v>75007</v>
      </c>
      <c r="V704" s="12">
        <v>42149</v>
      </c>
      <c r="W704" s="13" t="str">
        <f>TEXT(Table1[[#This Row],[Order Date]],"mmmm")</f>
        <v>May</v>
      </c>
      <c r="X704" s="7" t="str">
        <f>TEXT(Table1[[#This Row],[Order Date]],"yyyy")</f>
        <v>2015</v>
      </c>
      <c r="Y704" s="12">
        <v>42150</v>
      </c>
      <c r="Z704" s="11">
        <v>3985.3089</v>
      </c>
      <c r="AA704" s="11">
        <v>20</v>
      </c>
      <c r="AB704" s="11">
        <v>5775.81</v>
      </c>
      <c r="AC704" s="11">
        <v>86077</v>
      </c>
      <c r="AD704" s="6" t="str">
        <f>IF(COUNTIF(Returns!$A$2:$A$1635,Orders!AC704)&gt;0,"Returned","Not Returned")</f>
        <v>Not Returned</v>
      </c>
    </row>
    <row r="705" spans="1:30" ht="12.75" customHeight="1" thickTop="1" thickBot="1" x14ac:dyDescent="0.25">
      <c r="A705" s="8">
        <v>20433</v>
      </c>
      <c r="B705" s="1" t="s">
        <v>56</v>
      </c>
      <c r="C705" s="1">
        <v>0.04</v>
      </c>
      <c r="D705" s="1">
        <v>205.99</v>
      </c>
      <c r="E705" s="1">
        <v>5</v>
      </c>
      <c r="F705" s="1">
        <v>1237</v>
      </c>
      <c r="G705" s="6" t="str">
        <f>IF(COUNTIF(Table1[Customer ID],Table1[[#This Row],[Customer ID]])&gt;1,"Repeat Customer","One-Time Customer")</f>
        <v>Repeat Customer</v>
      </c>
      <c r="H705" s="1" t="s">
        <v>1325</v>
      </c>
      <c r="I705" s="1" t="s">
        <v>27</v>
      </c>
      <c r="J705" s="1" t="s">
        <v>28</v>
      </c>
      <c r="K705" s="1" t="s">
        <v>77</v>
      </c>
      <c r="L705" s="1" t="s">
        <v>78</v>
      </c>
      <c r="M705" s="1" t="s">
        <v>59</v>
      </c>
      <c r="N705" s="1" t="s">
        <v>1328</v>
      </c>
      <c r="O705" s="1">
        <v>0.59</v>
      </c>
      <c r="P705" s="6">
        <f>Table1[[#This Row],[Profit]]/Table1[[#This Row],[Sales]]</f>
        <v>7.4307862679955788E-3</v>
      </c>
      <c r="Q705" s="1" t="s">
        <v>33</v>
      </c>
      <c r="R705" s="1" t="s">
        <v>61</v>
      </c>
      <c r="S705" s="1" t="s">
        <v>130</v>
      </c>
      <c r="T705" s="1" t="s">
        <v>1326</v>
      </c>
      <c r="U705" s="1">
        <v>75007</v>
      </c>
      <c r="V705" s="9">
        <v>42149</v>
      </c>
      <c r="W705" s="13" t="str">
        <f>TEXT(Table1[[#This Row],[Order Date]],"mmmm")</f>
        <v>May</v>
      </c>
      <c r="X705" s="7" t="str">
        <f>TEXT(Table1[[#This Row],[Order Date]],"yyyy")</f>
        <v>2015</v>
      </c>
      <c r="Y705" s="9">
        <v>42150</v>
      </c>
      <c r="Z705" s="1">
        <v>13.956800000000015</v>
      </c>
      <c r="AA705" s="1">
        <v>11</v>
      </c>
      <c r="AB705" s="1">
        <v>1878.24</v>
      </c>
      <c r="AC705" s="1">
        <v>86077</v>
      </c>
      <c r="AD705" s="6" t="str">
        <f>IF(COUNTIF(Returns!$A$2:$A$1635,Orders!AC705)&gt;0,"Returned","Not Returned")</f>
        <v>Not Returned</v>
      </c>
    </row>
    <row r="706" spans="1:30" ht="12.75" customHeight="1" thickTop="1" thickBot="1" x14ac:dyDescent="0.25">
      <c r="A706" s="10">
        <v>20593</v>
      </c>
      <c r="B706" s="11" t="s">
        <v>56</v>
      </c>
      <c r="C706" s="11">
        <v>0.01</v>
      </c>
      <c r="D706" s="11">
        <v>160.97999999999999</v>
      </c>
      <c r="E706" s="11">
        <v>30</v>
      </c>
      <c r="F706" s="11">
        <v>1238</v>
      </c>
      <c r="G706" s="6" t="str">
        <f>IF(COUNTIF(Table1[Customer ID],Table1[[#This Row],[Customer ID]])&gt;1,"Repeat Customer","One-Time Customer")</f>
        <v>One-Time Customer</v>
      </c>
      <c r="H706" s="11" t="s">
        <v>1329</v>
      </c>
      <c r="I706" s="11" t="s">
        <v>39</v>
      </c>
      <c r="J706" s="11" t="s">
        <v>28</v>
      </c>
      <c r="K706" s="11" t="s">
        <v>41</v>
      </c>
      <c r="L706" s="11" t="s">
        <v>42</v>
      </c>
      <c r="M706" s="11" t="s">
        <v>43</v>
      </c>
      <c r="N706" s="11" t="s">
        <v>177</v>
      </c>
      <c r="O706" s="11">
        <v>0.62</v>
      </c>
      <c r="P706" s="6">
        <f>Table1[[#This Row],[Profit]]/Table1[[#This Row],[Sales]]</f>
        <v>0.48253775991484515</v>
      </c>
      <c r="Q706" s="11" t="s">
        <v>33</v>
      </c>
      <c r="R706" s="11" t="s">
        <v>61</v>
      </c>
      <c r="S706" s="11" t="s">
        <v>130</v>
      </c>
      <c r="T706" s="11" t="s">
        <v>1330</v>
      </c>
      <c r="U706" s="11">
        <v>75104</v>
      </c>
      <c r="V706" s="12">
        <v>42035</v>
      </c>
      <c r="W706" s="13" t="str">
        <f>TEXT(Table1[[#This Row],[Order Date]],"mmmm")</f>
        <v>January</v>
      </c>
      <c r="X706" s="7" t="str">
        <f>TEXT(Table1[[#This Row],[Order Date]],"yyyy")</f>
        <v>2015</v>
      </c>
      <c r="Y706" s="12">
        <v>42037</v>
      </c>
      <c r="Z706" s="11">
        <v>788.79</v>
      </c>
      <c r="AA706" s="11">
        <v>10</v>
      </c>
      <c r="AB706" s="11">
        <v>1634.67</v>
      </c>
      <c r="AC706" s="11">
        <v>86075</v>
      </c>
      <c r="AD706" s="6" t="str">
        <f>IF(COUNTIF(Returns!$A$2:$A$1635,Orders!AC706)&gt;0,"Returned","Not Returned")</f>
        <v>Not Returned</v>
      </c>
    </row>
    <row r="707" spans="1:30" ht="12.75" customHeight="1" thickTop="1" thickBot="1" x14ac:dyDescent="0.25">
      <c r="A707" s="8">
        <v>20920</v>
      </c>
      <c r="B707" s="1" t="s">
        <v>37</v>
      </c>
      <c r="C707" s="1">
        <v>0</v>
      </c>
      <c r="D707" s="1">
        <v>387.99</v>
      </c>
      <c r="E707" s="1">
        <v>19.989999999999998</v>
      </c>
      <c r="F707" s="1">
        <v>1241</v>
      </c>
      <c r="G707" s="6" t="str">
        <f>IF(COUNTIF(Table1[Customer ID],Table1[[#This Row],[Customer ID]])&gt;1,"Repeat Customer","One-Time Customer")</f>
        <v>Repeat Customer</v>
      </c>
      <c r="H707" s="1" t="s">
        <v>1331</v>
      </c>
      <c r="I707" s="1" t="s">
        <v>49</v>
      </c>
      <c r="J707" s="1" t="s">
        <v>28</v>
      </c>
      <c r="K707" s="1" t="s">
        <v>29</v>
      </c>
      <c r="L707" s="1" t="s">
        <v>109</v>
      </c>
      <c r="M707" s="1" t="s">
        <v>59</v>
      </c>
      <c r="N707" s="1" t="s">
        <v>1332</v>
      </c>
      <c r="O707" s="1">
        <v>0.38</v>
      </c>
      <c r="P707" s="6">
        <f>Table1[[#This Row],[Profit]]/Table1[[#This Row],[Sales]]</f>
        <v>-7.557603289399961E-3</v>
      </c>
      <c r="Q707" s="1" t="s">
        <v>33</v>
      </c>
      <c r="R707" s="1" t="s">
        <v>136</v>
      </c>
      <c r="S707" s="1" t="s">
        <v>1278</v>
      </c>
      <c r="T707" s="1" t="s">
        <v>511</v>
      </c>
      <c r="U707" s="1">
        <v>36830</v>
      </c>
      <c r="V707" s="9">
        <v>42079</v>
      </c>
      <c r="W707" s="13" t="str">
        <f>TEXT(Table1[[#This Row],[Order Date]],"mmmm")</f>
        <v>March</v>
      </c>
      <c r="X707" s="7" t="str">
        <f>TEXT(Table1[[#This Row],[Order Date]],"yyyy")</f>
        <v>2015</v>
      </c>
      <c r="Y707" s="9">
        <v>42080</v>
      </c>
      <c r="Z707" s="1">
        <v>-70.14</v>
      </c>
      <c r="AA707" s="1">
        <v>23</v>
      </c>
      <c r="AB707" s="1">
        <v>9280.7199999999993</v>
      </c>
      <c r="AC707" s="1">
        <v>90880</v>
      </c>
      <c r="AD707" s="6" t="str">
        <f>IF(COUNTIF(Returns!$A$2:$A$1635,Orders!AC707)&gt;0,"Returned","Not Returned")</f>
        <v>Not Returned</v>
      </c>
    </row>
    <row r="708" spans="1:30" ht="12.75" customHeight="1" thickTop="1" thickBot="1" x14ac:dyDescent="0.25">
      <c r="A708" s="10">
        <v>20233</v>
      </c>
      <c r="B708" s="11" t="s">
        <v>47</v>
      </c>
      <c r="C708" s="11">
        <v>0.06</v>
      </c>
      <c r="D708" s="11">
        <v>200.97</v>
      </c>
      <c r="E708" s="11">
        <v>15.59</v>
      </c>
      <c r="F708" s="11">
        <v>1241</v>
      </c>
      <c r="G708" s="6" t="str">
        <f>IF(COUNTIF(Table1[Customer ID],Table1[[#This Row],[Customer ID]])&gt;1,"Repeat Customer","One-Time Customer")</f>
        <v>Repeat Customer</v>
      </c>
      <c r="H708" s="11" t="s">
        <v>1331</v>
      </c>
      <c r="I708" s="11" t="s">
        <v>39</v>
      </c>
      <c r="J708" s="11" t="s">
        <v>58</v>
      </c>
      <c r="K708" s="11" t="s">
        <v>77</v>
      </c>
      <c r="L708" s="11" t="s">
        <v>85</v>
      </c>
      <c r="M708" s="11" t="s">
        <v>43</v>
      </c>
      <c r="N708" s="11" t="s">
        <v>1333</v>
      </c>
      <c r="O708" s="11">
        <v>0.36</v>
      </c>
      <c r="P708" s="6">
        <f>Table1[[#This Row],[Profit]]/Table1[[#This Row],[Sales]]</f>
        <v>0.39413269277818552</v>
      </c>
      <c r="Q708" s="11" t="s">
        <v>33</v>
      </c>
      <c r="R708" s="11" t="s">
        <v>136</v>
      </c>
      <c r="S708" s="11" t="s">
        <v>1278</v>
      </c>
      <c r="T708" s="11" t="s">
        <v>511</v>
      </c>
      <c r="U708" s="11">
        <v>36830</v>
      </c>
      <c r="V708" s="12">
        <v>42088</v>
      </c>
      <c r="W708" s="13" t="str">
        <f>TEXT(Table1[[#This Row],[Order Date]],"mmmm")</f>
        <v>March</v>
      </c>
      <c r="X708" s="7" t="str">
        <f>TEXT(Table1[[#This Row],[Order Date]],"yyyy")</f>
        <v>2015</v>
      </c>
      <c r="Y708" s="12">
        <v>42088</v>
      </c>
      <c r="Z708" s="11">
        <v>531.61799999999994</v>
      </c>
      <c r="AA708" s="11">
        <v>7</v>
      </c>
      <c r="AB708" s="11">
        <v>1348.83</v>
      </c>
      <c r="AC708" s="11">
        <v>90881</v>
      </c>
      <c r="AD708" s="6" t="str">
        <f>IF(COUNTIF(Returns!$A$2:$A$1635,Orders!AC708)&gt;0,"Returned","Not Returned")</f>
        <v>Not Returned</v>
      </c>
    </row>
    <row r="709" spans="1:30" ht="12.75" customHeight="1" thickTop="1" thickBot="1" x14ac:dyDescent="0.25">
      <c r="A709" s="8">
        <v>5117</v>
      </c>
      <c r="B709" s="1" t="s">
        <v>25</v>
      </c>
      <c r="C709" s="1">
        <v>0.1</v>
      </c>
      <c r="D709" s="1">
        <v>22.38</v>
      </c>
      <c r="E709" s="1">
        <v>15.1</v>
      </c>
      <c r="F709" s="1">
        <v>1246</v>
      </c>
      <c r="G709" s="6" t="str">
        <f>IF(COUNTIF(Table1[Customer ID],Table1[[#This Row],[Customer ID]])&gt;1,"Repeat Customer","One-Time Customer")</f>
        <v>Repeat Customer</v>
      </c>
      <c r="H709" s="1" t="s">
        <v>1334</v>
      </c>
      <c r="I709" s="1" t="s">
        <v>49</v>
      </c>
      <c r="J709" s="1" t="s">
        <v>40</v>
      </c>
      <c r="K709" s="1" t="s">
        <v>29</v>
      </c>
      <c r="L709" s="1" t="s">
        <v>109</v>
      </c>
      <c r="M709" s="1" t="s">
        <v>59</v>
      </c>
      <c r="N709" s="1" t="s">
        <v>1175</v>
      </c>
      <c r="O709" s="1">
        <v>0.38</v>
      </c>
      <c r="P709" s="6">
        <f>Table1[[#This Row],[Profit]]/Table1[[#This Row],[Sales]]</f>
        <v>-0.19029611667669649</v>
      </c>
      <c r="Q709" s="1" t="s">
        <v>33</v>
      </c>
      <c r="R709" s="1" t="s">
        <v>53</v>
      </c>
      <c r="S709" s="1" t="s">
        <v>71</v>
      </c>
      <c r="T709" s="1" t="s">
        <v>90</v>
      </c>
      <c r="U709" s="1">
        <v>10009</v>
      </c>
      <c r="V709" s="9">
        <v>42099</v>
      </c>
      <c r="W709" s="13" t="str">
        <f>TEXT(Table1[[#This Row],[Order Date]],"mmmm")</f>
        <v>April</v>
      </c>
      <c r="X709" s="7" t="str">
        <f>TEXT(Table1[[#This Row],[Order Date]],"yyyy")</f>
        <v>2015</v>
      </c>
      <c r="Y709" s="9">
        <v>42100</v>
      </c>
      <c r="Z709" s="1">
        <v>-107.51349999999999</v>
      </c>
      <c r="AA709" s="1">
        <v>26</v>
      </c>
      <c r="AB709" s="1">
        <v>564.98</v>
      </c>
      <c r="AC709" s="1">
        <v>36452</v>
      </c>
      <c r="AD709" s="6" t="str">
        <f>IF(COUNTIF(Returns!$A$2:$A$1635,Orders!AC709)&gt;0,"Returned","Not Returned")</f>
        <v>Not Returned</v>
      </c>
    </row>
    <row r="710" spans="1:30" ht="12.75" customHeight="1" thickTop="1" thickBot="1" x14ac:dyDescent="0.25">
      <c r="A710" s="10">
        <v>5118</v>
      </c>
      <c r="B710" s="11" t="s">
        <v>25</v>
      </c>
      <c r="C710" s="11">
        <v>0.04</v>
      </c>
      <c r="D710" s="11">
        <v>6.98</v>
      </c>
      <c r="E710" s="11">
        <v>2.83</v>
      </c>
      <c r="F710" s="11">
        <v>1246</v>
      </c>
      <c r="G710" s="6" t="str">
        <f>IF(COUNTIF(Table1[Customer ID],Table1[[#This Row],[Customer ID]])&gt;1,"Repeat Customer","One-Time Customer")</f>
        <v>Repeat Customer</v>
      </c>
      <c r="H710" s="11" t="s">
        <v>1334</v>
      </c>
      <c r="I710" s="11" t="s">
        <v>49</v>
      </c>
      <c r="J710" s="11" t="s">
        <v>40</v>
      </c>
      <c r="K710" s="11" t="s">
        <v>41</v>
      </c>
      <c r="L710" s="11" t="s">
        <v>50</v>
      </c>
      <c r="M710" s="11" t="s">
        <v>51</v>
      </c>
      <c r="N710" s="11" t="s">
        <v>1335</v>
      </c>
      <c r="O710" s="11">
        <v>0.37</v>
      </c>
      <c r="P710" s="6">
        <f>Table1[[#This Row],[Profit]]/Table1[[#This Row],[Sales]]</f>
        <v>0.35534445474204512</v>
      </c>
      <c r="Q710" s="11" t="s">
        <v>33</v>
      </c>
      <c r="R710" s="11" t="s">
        <v>53</v>
      </c>
      <c r="S710" s="11" t="s">
        <v>71</v>
      </c>
      <c r="T710" s="11" t="s">
        <v>90</v>
      </c>
      <c r="U710" s="11">
        <v>10009</v>
      </c>
      <c r="V710" s="12">
        <v>42099</v>
      </c>
      <c r="W710" s="13" t="str">
        <f>TEXT(Table1[[#This Row],[Order Date]],"mmmm")</f>
        <v>April</v>
      </c>
      <c r="X710" s="7" t="str">
        <f>TEXT(Table1[[#This Row],[Order Date]],"yyyy")</f>
        <v>2015</v>
      </c>
      <c r="Y710" s="12">
        <v>42101</v>
      </c>
      <c r="Z710" s="11">
        <v>46.01</v>
      </c>
      <c r="AA710" s="11">
        <v>18</v>
      </c>
      <c r="AB710" s="11">
        <v>129.47999999999999</v>
      </c>
      <c r="AC710" s="11">
        <v>36452</v>
      </c>
      <c r="AD710" s="6" t="str">
        <f>IF(COUNTIF(Returns!$A$2:$A$1635,Orders!AC710)&gt;0,"Returned","Not Returned")</f>
        <v>Not Returned</v>
      </c>
    </row>
    <row r="711" spans="1:30" ht="12.75" customHeight="1" thickTop="1" thickBot="1" x14ac:dyDescent="0.25">
      <c r="A711" s="8">
        <v>6581</v>
      </c>
      <c r="B711" s="1" t="s">
        <v>106</v>
      </c>
      <c r="C711" s="1">
        <v>0.03</v>
      </c>
      <c r="D711" s="1">
        <v>256.99</v>
      </c>
      <c r="E711" s="1">
        <v>11.25</v>
      </c>
      <c r="F711" s="1">
        <v>1246</v>
      </c>
      <c r="G711" s="6" t="str">
        <f>IF(COUNTIF(Table1[Customer ID],Table1[[#This Row],[Customer ID]])&gt;1,"Repeat Customer","One-Time Customer")</f>
        <v>Repeat Customer</v>
      </c>
      <c r="H711" s="1" t="s">
        <v>1334</v>
      </c>
      <c r="I711" s="1" t="s">
        <v>49</v>
      </c>
      <c r="J711" s="1" t="s">
        <v>40</v>
      </c>
      <c r="K711" s="1" t="s">
        <v>77</v>
      </c>
      <c r="L711" s="1" t="s">
        <v>180</v>
      </c>
      <c r="M711" s="1" t="s">
        <v>59</v>
      </c>
      <c r="N711" s="1" t="s">
        <v>1336</v>
      </c>
      <c r="O711" s="1">
        <v>0.51</v>
      </c>
      <c r="P711" s="6">
        <f>Table1[[#This Row],[Profit]]/Table1[[#This Row],[Sales]]</f>
        <v>0.18132293446669293</v>
      </c>
      <c r="Q711" s="1" t="s">
        <v>33</v>
      </c>
      <c r="R711" s="1" t="s">
        <v>53</v>
      </c>
      <c r="S711" s="1" t="s">
        <v>71</v>
      </c>
      <c r="T711" s="1" t="s">
        <v>90</v>
      </c>
      <c r="U711" s="1">
        <v>10009</v>
      </c>
      <c r="V711" s="9">
        <v>42146</v>
      </c>
      <c r="W711" s="13" t="str">
        <f>TEXT(Table1[[#This Row],[Order Date]],"mmmm")</f>
        <v>May</v>
      </c>
      <c r="X711" s="7" t="str">
        <f>TEXT(Table1[[#This Row],[Order Date]],"yyyy")</f>
        <v>2015</v>
      </c>
      <c r="Y711" s="9">
        <v>42146</v>
      </c>
      <c r="Z711" s="1">
        <v>1489.8</v>
      </c>
      <c r="AA711" s="1">
        <v>32</v>
      </c>
      <c r="AB711" s="1">
        <v>8216.2800000000007</v>
      </c>
      <c r="AC711" s="1">
        <v>46853</v>
      </c>
      <c r="AD711" s="6" t="str">
        <f>IF(COUNTIF(Returns!$A$2:$A$1635,Orders!AC711)&gt;0,"Returned","Not Returned")</f>
        <v>Not Returned</v>
      </c>
    </row>
    <row r="712" spans="1:30" ht="12.75" customHeight="1" thickTop="1" thickBot="1" x14ac:dyDescent="0.25">
      <c r="A712" s="10">
        <v>23117</v>
      </c>
      <c r="B712" s="11" t="s">
        <v>25</v>
      </c>
      <c r="C712" s="11">
        <v>0.1</v>
      </c>
      <c r="D712" s="11">
        <v>22.38</v>
      </c>
      <c r="E712" s="11">
        <v>15.1</v>
      </c>
      <c r="F712" s="11">
        <v>1247</v>
      </c>
      <c r="G712" s="6" t="str">
        <f>IF(COUNTIF(Table1[Customer ID],Table1[[#This Row],[Customer ID]])&gt;1,"Repeat Customer","One-Time Customer")</f>
        <v>Repeat Customer</v>
      </c>
      <c r="H712" s="11" t="s">
        <v>1337</v>
      </c>
      <c r="I712" s="11" t="s">
        <v>49</v>
      </c>
      <c r="J712" s="11" t="s">
        <v>40</v>
      </c>
      <c r="K712" s="11" t="s">
        <v>29</v>
      </c>
      <c r="L712" s="11" t="s">
        <v>109</v>
      </c>
      <c r="M712" s="11" t="s">
        <v>59</v>
      </c>
      <c r="N712" s="11" t="s">
        <v>1175</v>
      </c>
      <c r="O712" s="11">
        <v>0.38</v>
      </c>
      <c r="P712" s="6">
        <f>Table1[[#This Row],[Profit]]/Table1[[#This Row],[Sales]]</f>
        <v>-0.70681414765630124</v>
      </c>
      <c r="Q712" s="11" t="s">
        <v>33</v>
      </c>
      <c r="R712" s="11" t="s">
        <v>61</v>
      </c>
      <c r="S712" s="11" t="s">
        <v>130</v>
      </c>
      <c r="T712" s="11" t="s">
        <v>1338</v>
      </c>
      <c r="U712" s="11">
        <v>78641</v>
      </c>
      <c r="V712" s="12">
        <v>42099</v>
      </c>
      <c r="W712" s="13" t="str">
        <f>TEXT(Table1[[#This Row],[Order Date]],"mmmm")</f>
        <v>April</v>
      </c>
      <c r="X712" s="7" t="str">
        <f>TEXT(Table1[[#This Row],[Order Date]],"yyyy")</f>
        <v>2015</v>
      </c>
      <c r="Y712" s="12">
        <v>42100</v>
      </c>
      <c r="Z712" s="11">
        <v>-107.51349999999999</v>
      </c>
      <c r="AA712" s="11">
        <v>7</v>
      </c>
      <c r="AB712" s="11">
        <v>152.11000000000001</v>
      </c>
      <c r="AC712" s="11">
        <v>91555</v>
      </c>
      <c r="AD712" s="6" t="str">
        <f>IF(COUNTIF(Returns!$A$2:$A$1635,Orders!AC712)&gt;0,"Returned","Not Returned")</f>
        <v>Not Returned</v>
      </c>
    </row>
    <row r="713" spans="1:30" ht="12.75" customHeight="1" thickTop="1" thickBot="1" x14ac:dyDescent="0.25">
      <c r="A713" s="8">
        <v>23118</v>
      </c>
      <c r="B713" s="1" t="s">
        <v>25</v>
      </c>
      <c r="C713" s="1">
        <v>0.04</v>
      </c>
      <c r="D713" s="1">
        <v>6.98</v>
      </c>
      <c r="E713" s="1">
        <v>2.83</v>
      </c>
      <c r="F713" s="1">
        <v>1247</v>
      </c>
      <c r="G713" s="6" t="str">
        <f>IF(COUNTIF(Table1[Customer ID],Table1[[#This Row],[Customer ID]])&gt;1,"Repeat Customer","One-Time Customer")</f>
        <v>Repeat Customer</v>
      </c>
      <c r="H713" s="1" t="s">
        <v>1337</v>
      </c>
      <c r="I713" s="1" t="s">
        <v>49</v>
      </c>
      <c r="J713" s="1" t="s">
        <v>40</v>
      </c>
      <c r="K713" s="1" t="s">
        <v>41</v>
      </c>
      <c r="L713" s="1" t="s">
        <v>50</v>
      </c>
      <c r="M713" s="1" t="s">
        <v>51</v>
      </c>
      <c r="N713" s="1" t="s">
        <v>1335</v>
      </c>
      <c r="O713" s="1">
        <v>0.37</v>
      </c>
      <c r="P713" s="6">
        <f>Table1[[#This Row],[Profit]]/Table1[[#This Row],[Sales]]</f>
        <v>0.69</v>
      </c>
      <c r="Q713" s="1" t="s">
        <v>33</v>
      </c>
      <c r="R713" s="1" t="s">
        <v>61</v>
      </c>
      <c r="S713" s="1" t="s">
        <v>130</v>
      </c>
      <c r="T713" s="1" t="s">
        <v>1338</v>
      </c>
      <c r="U713" s="1">
        <v>78641</v>
      </c>
      <c r="V713" s="9">
        <v>42099</v>
      </c>
      <c r="W713" s="13" t="str">
        <f>TEXT(Table1[[#This Row],[Order Date]],"mmmm")</f>
        <v>April</v>
      </c>
      <c r="X713" s="7" t="str">
        <f>TEXT(Table1[[#This Row],[Order Date]],"yyyy")</f>
        <v>2015</v>
      </c>
      <c r="Y713" s="9">
        <v>42101</v>
      </c>
      <c r="Z713" s="1">
        <v>24.819299999999998</v>
      </c>
      <c r="AA713" s="1">
        <v>5</v>
      </c>
      <c r="AB713" s="1">
        <v>35.97</v>
      </c>
      <c r="AC713" s="1">
        <v>91555</v>
      </c>
      <c r="AD713" s="6" t="str">
        <f>IF(COUNTIF(Returns!$A$2:$A$1635,Orders!AC713)&gt;0,"Returned","Not Returned")</f>
        <v>Not Returned</v>
      </c>
    </row>
    <row r="714" spans="1:30" ht="12.75" customHeight="1" thickTop="1" thickBot="1" x14ac:dyDescent="0.25">
      <c r="A714" s="10">
        <v>18413</v>
      </c>
      <c r="B714" s="11" t="s">
        <v>25</v>
      </c>
      <c r="C714" s="11">
        <v>0</v>
      </c>
      <c r="D714" s="11">
        <v>3.89</v>
      </c>
      <c r="E714" s="11">
        <v>7.01</v>
      </c>
      <c r="F714" s="11">
        <v>1250</v>
      </c>
      <c r="G714" s="6" t="str">
        <f>IF(COUNTIF(Table1[Customer ID],Table1[[#This Row],[Customer ID]])&gt;1,"Repeat Customer","One-Time Customer")</f>
        <v>Repeat Customer</v>
      </c>
      <c r="H714" s="11" t="s">
        <v>1339</v>
      </c>
      <c r="I714" s="11" t="s">
        <v>49</v>
      </c>
      <c r="J714" s="11" t="s">
        <v>28</v>
      </c>
      <c r="K714" s="11" t="s">
        <v>29</v>
      </c>
      <c r="L714" s="11" t="s">
        <v>109</v>
      </c>
      <c r="M714" s="11" t="s">
        <v>59</v>
      </c>
      <c r="N714" s="11" t="s">
        <v>1340</v>
      </c>
      <c r="O714" s="11">
        <v>0.37</v>
      </c>
      <c r="P714" s="6">
        <f>Table1[[#This Row],[Profit]]/Table1[[#This Row],[Sales]]</f>
        <v>-2.9795527790751986</v>
      </c>
      <c r="Q714" s="11" t="s">
        <v>33</v>
      </c>
      <c r="R714" s="11" t="s">
        <v>61</v>
      </c>
      <c r="S714" s="11" t="s">
        <v>178</v>
      </c>
      <c r="T714" s="11" t="s">
        <v>1341</v>
      </c>
      <c r="U714" s="11">
        <v>60110</v>
      </c>
      <c r="V714" s="12">
        <v>42103</v>
      </c>
      <c r="W714" s="13" t="str">
        <f>TEXT(Table1[[#This Row],[Order Date]],"mmmm")</f>
        <v>April</v>
      </c>
      <c r="X714" s="7" t="str">
        <f>TEXT(Table1[[#This Row],[Order Date]],"yyyy")</f>
        <v>2015</v>
      </c>
      <c r="Y714" s="12">
        <v>42103</v>
      </c>
      <c r="Z714" s="11">
        <v>-255.16890000000001</v>
      </c>
      <c r="AA714" s="11">
        <v>21</v>
      </c>
      <c r="AB714" s="11">
        <v>85.64</v>
      </c>
      <c r="AC714" s="11">
        <v>87877</v>
      </c>
      <c r="AD714" s="6" t="str">
        <f>IF(COUNTIF(Returns!$A$2:$A$1635,Orders!AC714)&gt;0,"Returned","Not Returned")</f>
        <v>Not Returned</v>
      </c>
    </row>
    <row r="715" spans="1:30" ht="12.75" customHeight="1" thickTop="1" thickBot="1" x14ac:dyDescent="0.25">
      <c r="A715" s="8">
        <v>18414</v>
      </c>
      <c r="B715" s="1" t="s">
        <v>25</v>
      </c>
      <c r="C715" s="1">
        <v>0.09</v>
      </c>
      <c r="D715" s="1">
        <v>120.98</v>
      </c>
      <c r="E715" s="1">
        <v>30</v>
      </c>
      <c r="F715" s="1">
        <v>1250</v>
      </c>
      <c r="G715" s="6" t="str">
        <f>IF(COUNTIF(Table1[Customer ID],Table1[[#This Row],[Customer ID]])&gt;1,"Repeat Customer","One-Time Customer")</f>
        <v>Repeat Customer</v>
      </c>
      <c r="H715" s="1" t="s">
        <v>1339</v>
      </c>
      <c r="I715" s="1" t="s">
        <v>39</v>
      </c>
      <c r="J715" s="1" t="s">
        <v>28</v>
      </c>
      <c r="K715" s="1" t="s">
        <v>41</v>
      </c>
      <c r="L715" s="1" t="s">
        <v>42</v>
      </c>
      <c r="M715" s="1" t="s">
        <v>43</v>
      </c>
      <c r="N715" s="1" t="s">
        <v>1342</v>
      </c>
      <c r="O715" s="1">
        <v>0.64</v>
      </c>
      <c r="P715" s="6">
        <f>Table1[[#This Row],[Profit]]/Table1[[#This Row],[Sales]]</f>
        <v>2.9505731315910132E-2</v>
      </c>
      <c r="Q715" s="1" t="s">
        <v>33</v>
      </c>
      <c r="R715" s="1" t="s">
        <v>61</v>
      </c>
      <c r="S715" s="1" t="s">
        <v>178</v>
      </c>
      <c r="T715" s="1" t="s">
        <v>1341</v>
      </c>
      <c r="U715" s="1">
        <v>60110</v>
      </c>
      <c r="V715" s="9">
        <v>42103</v>
      </c>
      <c r="W715" s="13" t="str">
        <f>TEXT(Table1[[#This Row],[Order Date]],"mmmm")</f>
        <v>April</v>
      </c>
      <c r="X715" s="7" t="str">
        <f>TEXT(Table1[[#This Row],[Order Date]],"yyyy")</f>
        <v>2015</v>
      </c>
      <c r="Y715" s="9">
        <v>42105</v>
      </c>
      <c r="Z715" s="1">
        <v>74.004800000000003</v>
      </c>
      <c r="AA715" s="1">
        <v>22</v>
      </c>
      <c r="AB715" s="1">
        <v>2508.15</v>
      </c>
      <c r="AC715" s="1">
        <v>87877</v>
      </c>
      <c r="AD715" s="6" t="str">
        <f>IF(COUNTIF(Returns!$A$2:$A$1635,Orders!AC715)&gt;0,"Returned","Not Returned")</f>
        <v>Not Returned</v>
      </c>
    </row>
    <row r="716" spans="1:30" ht="12.75" customHeight="1" thickTop="1" thickBot="1" x14ac:dyDescent="0.25">
      <c r="A716" s="10">
        <v>18415</v>
      </c>
      <c r="B716" s="11" t="s">
        <v>25</v>
      </c>
      <c r="C716" s="11">
        <v>0.1</v>
      </c>
      <c r="D716" s="11">
        <v>30.98</v>
      </c>
      <c r="E716" s="11">
        <v>5.76</v>
      </c>
      <c r="F716" s="11">
        <v>1250</v>
      </c>
      <c r="G716" s="6" t="str">
        <f>IF(COUNTIF(Table1[Customer ID],Table1[[#This Row],[Customer ID]])&gt;1,"Repeat Customer","One-Time Customer")</f>
        <v>Repeat Customer</v>
      </c>
      <c r="H716" s="11" t="s">
        <v>1339</v>
      </c>
      <c r="I716" s="11" t="s">
        <v>49</v>
      </c>
      <c r="J716" s="11" t="s">
        <v>28</v>
      </c>
      <c r="K716" s="11" t="s">
        <v>29</v>
      </c>
      <c r="L716" s="11" t="s">
        <v>93</v>
      </c>
      <c r="M716" s="11" t="s">
        <v>59</v>
      </c>
      <c r="N716" s="11" t="s">
        <v>1343</v>
      </c>
      <c r="O716" s="11">
        <v>0.4</v>
      </c>
      <c r="P716" s="6">
        <f>Table1[[#This Row],[Profit]]/Table1[[#This Row],[Sales]]</f>
        <v>0.48499601099193329</v>
      </c>
      <c r="Q716" s="11" t="s">
        <v>33</v>
      </c>
      <c r="R716" s="11" t="s">
        <v>61</v>
      </c>
      <c r="S716" s="11" t="s">
        <v>178</v>
      </c>
      <c r="T716" s="11" t="s">
        <v>1341</v>
      </c>
      <c r="U716" s="11">
        <v>60110</v>
      </c>
      <c r="V716" s="12">
        <v>42103</v>
      </c>
      <c r="W716" s="13" t="str">
        <f>TEXT(Table1[[#This Row],[Order Date]],"mmmm")</f>
        <v>April</v>
      </c>
      <c r="X716" s="7" t="str">
        <f>TEXT(Table1[[#This Row],[Order Date]],"yyyy")</f>
        <v>2015</v>
      </c>
      <c r="Y716" s="12">
        <v>42104</v>
      </c>
      <c r="Z716" s="11">
        <v>109.42479999999999</v>
      </c>
      <c r="AA716" s="11">
        <v>8</v>
      </c>
      <c r="AB716" s="11">
        <v>225.62</v>
      </c>
      <c r="AC716" s="11">
        <v>87877</v>
      </c>
      <c r="AD716" s="6" t="str">
        <f>IF(COUNTIF(Returns!$A$2:$A$1635,Orders!AC716)&gt;0,"Returned","Not Returned")</f>
        <v>Not Returned</v>
      </c>
    </row>
    <row r="717" spans="1:30" ht="12.75" customHeight="1" thickTop="1" thickBot="1" x14ac:dyDescent="0.25">
      <c r="A717" s="8">
        <v>19322</v>
      </c>
      <c r="B717" s="1" t="s">
        <v>106</v>
      </c>
      <c r="C717" s="1">
        <v>0.02</v>
      </c>
      <c r="D717" s="1">
        <v>46.89</v>
      </c>
      <c r="E717" s="1">
        <v>5.0999999999999996</v>
      </c>
      <c r="F717" s="1">
        <v>1253</v>
      </c>
      <c r="G717" s="6" t="str">
        <f>IF(COUNTIF(Table1[Customer ID],Table1[[#This Row],[Customer ID]])&gt;1,"Repeat Customer","One-Time Customer")</f>
        <v>Repeat Customer</v>
      </c>
      <c r="H717" s="1" t="s">
        <v>1344</v>
      </c>
      <c r="I717" s="1" t="s">
        <v>49</v>
      </c>
      <c r="J717" s="1" t="s">
        <v>40</v>
      </c>
      <c r="K717" s="1" t="s">
        <v>29</v>
      </c>
      <c r="L717" s="1" t="s">
        <v>257</v>
      </c>
      <c r="M717" s="1" t="s">
        <v>86</v>
      </c>
      <c r="N717" s="1" t="s">
        <v>1345</v>
      </c>
      <c r="O717" s="1">
        <v>0.46</v>
      </c>
      <c r="P717" s="6">
        <f>Table1[[#This Row],[Profit]]/Table1[[#This Row],[Sales]]</f>
        <v>0.69</v>
      </c>
      <c r="Q717" s="1" t="s">
        <v>33</v>
      </c>
      <c r="R717" s="1" t="s">
        <v>61</v>
      </c>
      <c r="S717" s="1" t="s">
        <v>130</v>
      </c>
      <c r="T717" s="1" t="s">
        <v>1346</v>
      </c>
      <c r="U717" s="1">
        <v>78613</v>
      </c>
      <c r="V717" s="9">
        <v>42117</v>
      </c>
      <c r="W717" s="13" t="str">
        <f>TEXT(Table1[[#This Row],[Order Date]],"mmmm")</f>
        <v>April</v>
      </c>
      <c r="X717" s="7" t="str">
        <f>TEXT(Table1[[#This Row],[Order Date]],"yyyy")</f>
        <v>2015</v>
      </c>
      <c r="Y717" s="9">
        <v>42117</v>
      </c>
      <c r="Z717" s="1">
        <v>421.34849999999994</v>
      </c>
      <c r="AA717" s="1">
        <v>13</v>
      </c>
      <c r="AB717" s="1">
        <v>610.65</v>
      </c>
      <c r="AC717" s="1">
        <v>89981</v>
      </c>
      <c r="AD717" s="6" t="str">
        <f>IF(COUNTIF(Returns!$A$2:$A$1635,Orders!AC717)&gt;0,"Returned","Not Returned")</f>
        <v>Not Returned</v>
      </c>
    </row>
    <row r="718" spans="1:30" ht="12.75" customHeight="1" thickTop="1" thickBot="1" x14ac:dyDescent="0.25">
      <c r="A718" s="10">
        <v>19323</v>
      </c>
      <c r="B718" s="11" t="s">
        <v>106</v>
      </c>
      <c r="C718" s="11">
        <v>0.05</v>
      </c>
      <c r="D718" s="11">
        <v>140.97999999999999</v>
      </c>
      <c r="E718" s="11">
        <v>36.090000000000003</v>
      </c>
      <c r="F718" s="11">
        <v>1253</v>
      </c>
      <c r="G718" s="6" t="str">
        <f>IF(COUNTIF(Table1[Customer ID],Table1[[#This Row],[Customer ID]])&gt;1,"Repeat Customer","One-Time Customer")</f>
        <v>Repeat Customer</v>
      </c>
      <c r="H718" s="11" t="s">
        <v>1344</v>
      </c>
      <c r="I718" s="11" t="s">
        <v>39</v>
      </c>
      <c r="J718" s="11" t="s">
        <v>40</v>
      </c>
      <c r="K718" s="11" t="s">
        <v>41</v>
      </c>
      <c r="L718" s="11" t="s">
        <v>191</v>
      </c>
      <c r="M718" s="11" t="s">
        <v>121</v>
      </c>
      <c r="N718" s="11" t="s">
        <v>1347</v>
      </c>
      <c r="O718" s="11">
        <v>0.77</v>
      </c>
      <c r="P718" s="6">
        <f>Table1[[#This Row],[Profit]]/Table1[[#This Row],[Sales]]</f>
        <v>-0.53356501344316687</v>
      </c>
      <c r="Q718" s="11" t="s">
        <v>33</v>
      </c>
      <c r="R718" s="11" t="s">
        <v>61</v>
      </c>
      <c r="S718" s="11" t="s">
        <v>130</v>
      </c>
      <c r="T718" s="11" t="s">
        <v>1346</v>
      </c>
      <c r="U718" s="11">
        <v>78613</v>
      </c>
      <c r="V718" s="12">
        <v>42117</v>
      </c>
      <c r="W718" s="13" t="str">
        <f>TEXT(Table1[[#This Row],[Order Date]],"mmmm")</f>
        <v>April</v>
      </c>
      <c r="X718" s="7" t="str">
        <f>TEXT(Table1[[#This Row],[Order Date]],"yyyy")</f>
        <v>2015</v>
      </c>
      <c r="Y718" s="12">
        <v>42119</v>
      </c>
      <c r="Z718" s="11">
        <v>-373.09</v>
      </c>
      <c r="AA718" s="11">
        <v>5</v>
      </c>
      <c r="AB718" s="11">
        <v>699.24</v>
      </c>
      <c r="AC718" s="11">
        <v>89981</v>
      </c>
      <c r="AD718" s="6" t="str">
        <f>IF(COUNTIF(Returns!$A$2:$A$1635,Orders!AC718)&gt;0,"Returned","Not Returned")</f>
        <v>Not Returned</v>
      </c>
    </row>
    <row r="719" spans="1:30" ht="12.75" customHeight="1" thickTop="1" thickBot="1" x14ac:dyDescent="0.25">
      <c r="A719" s="8">
        <v>19324</v>
      </c>
      <c r="B719" s="1" t="s">
        <v>106</v>
      </c>
      <c r="C719" s="1">
        <v>0.1</v>
      </c>
      <c r="D719" s="1">
        <v>212.6</v>
      </c>
      <c r="E719" s="1">
        <v>110.2</v>
      </c>
      <c r="F719" s="1">
        <v>1253</v>
      </c>
      <c r="G719" s="6" t="str">
        <f>IF(COUNTIF(Table1[Customer ID],Table1[[#This Row],[Customer ID]])&gt;1,"Repeat Customer","One-Time Customer")</f>
        <v>Repeat Customer</v>
      </c>
      <c r="H719" s="1" t="s">
        <v>1344</v>
      </c>
      <c r="I719" s="1" t="s">
        <v>39</v>
      </c>
      <c r="J719" s="1" t="s">
        <v>40</v>
      </c>
      <c r="K719" s="1" t="s">
        <v>41</v>
      </c>
      <c r="L719" s="1" t="s">
        <v>152</v>
      </c>
      <c r="M719" s="1" t="s">
        <v>121</v>
      </c>
      <c r="N719" s="1" t="s">
        <v>1348</v>
      </c>
      <c r="O719" s="1">
        <v>0.73</v>
      </c>
      <c r="P719" s="6">
        <f>Table1[[#This Row],[Profit]]/Table1[[#This Row],[Sales]]</f>
        <v>-1.4769939003337553</v>
      </c>
      <c r="Q719" s="1" t="s">
        <v>33</v>
      </c>
      <c r="R719" s="1" t="s">
        <v>61</v>
      </c>
      <c r="S719" s="1" t="s">
        <v>130</v>
      </c>
      <c r="T719" s="1" t="s">
        <v>1346</v>
      </c>
      <c r="U719" s="1">
        <v>78613</v>
      </c>
      <c r="V719" s="9">
        <v>42117</v>
      </c>
      <c r="W719" s="13" t="str">
        <f>TEXT(Table1[[#This Row],[Order Date]],"mmmm")</f>
        <v>April</v>
      </c>
      <c r="X719" s="7" t="str">
        <f>TEXT(Table1[[#This Row],[Order Date]],"yyyy")</f>
        <v>2015</v>
      </c>
      <c r="Y719" s="9">
        <v>42119</v>
      </c>
      <c r="Z719" s="1">
        <v>-3465.0720000000001</v>
      </c>
      <c r="AA719" s="1">
        <v>12</v>
      </c>
      <c r="AB719" s="1">
        <v>2346.0300000000002</v>
      </c>
      <c r="AC719" s="1">
        <v>89981</v>
      </c>
      <c r="AD719" s="6" t="str">
        <f>IF(COUNTIF(Returns!$A$2:$A$1635,Orders!AC719)&gt;0,"Returned","Not Returned")</f>
        <v>Not Returned</v>
      </c>
    </row>
    <row r="720" spans="1:30" ht="12.75" customHeight="1" thickTop="1" thickBot="1" x14ac:dyDescent="0.25">
      <c r="A720" s="10">
        <v>23455</v>
      </c>
      <c r="B720" s="11" t="s">
        <v>56</v>
      </c>
      <c r="C720" s="11">
        <v>0.04</v>
      </c>
      <c r="D720" s="11">
        <v>2.08</v>
      </c>
      <c r="E720" s="11">
        <v>1.49</v>
      </c>
      <c r="F720" s="11">
        <v>1254</v>
      </c>
      <c r="G720" s="6" t="str">
        <f>IF(COUNTIF(Table1[Customer ID],Table1[[#This Row],[Customer ID]])&gt;1,"Repeat Customer","One-Time Customer")</f>
        <v>Repeat Customer</v>
      </c>
      <c r="H720" s="11" t="s">
        <v>1349</v>
      </c>
      <c r="I720" s="11" t="s">
        <v>49</v>
      </c>
      <c r="J720" s="11" t="s">
        <v>40</v>
      </c>
      <c r="K720" s="11" t="s">
        <v>29</v>
      </c>
      <c r="L720" s="11" t="s">
        <v>109</v>
      </c>
      <c r="M720" s="11" t="s">
        <v>59</v>
      </c>
      <c r="N720" s="11" t="s">
        <v>1350</v>
      </c>
      <c r="O720" s="11">
        <v>0.36</v>
      </c>
      <c r="P720" s="6">
        <f>Table1[[#This Row],[Profit]]/Table1[[#This Row],[Sales]]</f>
        <v>-0.33406870002961209</v>
      </c>
      <c r="Q720" s="11" t="s">
        <v>33</v>
      </c>
      <c r="R720" s="11" t="s">
        <v>61</v>
      </c>
      <c r="S720" s="11" t="s">
        <v>130</v>
      </c>
      <c r="T720" s="11" t="s">
        <v>1351</v>
      </c>
      <c r="U720" s="11">
        <v>77530</v>
      </c>
      <c r="V720" s="12">
        <v>42145</v>
      </c>
      <c r="W720" s="13" t="str">
        <f>TEXT(Table1[[#This Row],[Order Date]],"mmmm")</f>
        <v>May</v>
      </c>
      <c r="X720" s="7" t="str">
        <f>TEXT(Table1[[#This Row],[Order Date]],"yyyy")</f>
        <v>2015</v>
      </c>
      <c r="Y720" s="12">
        <v>42147</v>
      </c>
      <c r="Z720" s="11">
        <v>-11.281500000000001</v>
      </c>
      <c r="AA720" s="11">
        <v>16</v>
      </c>
      <c r="AB720" s="11">
        <v>33.770000000000003</v>
      </c>
      <c r="AC720" s="11">
        <v>89982</v>
      </c>
      <c r="AD720" s="6" t="str">
        <f>IF(COUNTIF(Returns!$A$2:$A$1635,Orders!AC720)&gt;0,"Returned","Not Returned")</f>
        <v>Not Returned</v>
      </c>
    </row>
    <row r="721" spans="1:30" ht="12.75" customHeight="1" thickTop="1" thickBot="1" x14ac:dyDescent="0.25">
      <c r="A721" s="8">
        <v>23815</v>
      </c>
      <c r="B721" s="1" t="s">
        <v>47</v>
      </c>
      <c r="C721" s="1">
        <v>0.06</v>
      </c>
      <c r="D721" s="1">
        <v>80.98</v>
      </c>
      <c r="E721" s="1">
        <v>35</v>
      </c>
      <c r="F721" s="1">
        <v>1254</v>
      </c>
      <c r="G721" s="6" t="str">
        <f>IF(COUNTIF(Table1[Customer ID],Table1[[#This Row],[Customer ID]])&gt;1,"Repeat Customer","One-Time Customer")</f>
        <v>Repeat Customer</v>
      </c>
      <c r="H721" s="1" t="s">
        <v>1349</v>
      </c>
      <c r="I721" s="1" t="s">
        <v>49</v>
      </c>
      <c r="J721" s="1" t="s">
        <v>40</v>
      </c>
      <c r="K721" s="1" t="s">
        <v>29</v>
      </c>
      <c r="L721" s="1" t="s">
        <v>141</v>
      </c>
      <c r="M721" s="1" t="s">
        <v>236</v>
      </c>
      <c r="N721" s="1" t="s">
        <v>1352</v>
      </c>
      <c r="O721" s="1">
        <v>0.81</v>
      </c>
      <c r="P721" s="6">
        <f>Table1[[#This Row],[Profit]]/Table1[[#This Row],[Sales]]</f>
        <v>-1.2661033624631057</v>
      </c>
      <c r="Q721" s="1" t="s">
        <v>33</v>
      </c>
      <c r="R721" s="1" t="s">
        <v>61</v>
      </c>
      <c r="S721" s="1" t="s">
        <v>130</v>
      </c>
      <c r="T721" s="1" t="s">
        <v>1351</v>
      </c>
      <c r="U721" s="1">
        <v>77530</v>
      </c>
      <c r="V721" s="9">
        <v>42075</v>
      </c>
      <c r="W721" s="13" t="str">
        <f>TEXT(Table1[[#This Row],[Order Date]],"mmmm")</f>
        <v>March</v>
      </c>
      <c r="X721" s="7" t="str">
        <f>TEXT(Table1[[#This Row],[Order Date]],"yyyy")</f>
        <v>2015</v>
      </c>
      <c r="Y721" s="9">
        <v>42076</v>
      </c>
      <c r="Z721" s="1">
        <v>-218.77</v>
      </c>
      <c r="AA721" s="1">
        <v>2</v>
      </c>
      <c r="AB721" s="1">
        <v>172.79</v>
      </c>
      <c r="AC721" s="1">
        <v>89983</v>
      </c>
      <c r="AD721" s="6" t="str">
        <f>IF(COUNTIF(Returns!$A$2:$A$1635,Orders!AC721)&gt;0,"Returned","Not Returned")</f>
        <v>Not Returned</v>
      </c>
    </row>
    <row r="722" spans="1:30" ht="12.75" customHeight="1" thickTop="1" thickBot="1" x14ac:dyDescent="0.25">
      <c r="A722" s="10">
        <v>23926</v>
      </c>
      <c r="B722" s="11" t="s">
        <v>56</v>
      </c>
      <c r="C722" s="11">
        <v>0.06</v>
      </c>
      <c r="D722" s="11">
        <v>3.95</v>
      </c>
      <c r="E722" s="11">
        <v>2</v>
      </c>
      <c r="F722" s="11">
        <v>1254</v>
      </c>
      <c r="G722" s="6" t="str">
        <f>IF(COUNTIF(Table1[Customer ID],Table1[[#This Row],[Customer ID]])&gt;1,"Repeat Customer","One-Time Customer")</f>
        <v>Repeat Customer</v>
      </c>
      <c r="H722" s="11" t="s">
        <v>1349</v>
      </c>
      <c r="I722" s="11" t="s">
        <v>49</v>
      </c>
      <c r="J722" s="11" t="s">
        <v>40</v>
      </c>
      <c r="K722" s="11" t="s">
        <v>29</v>
      </c>
      <c r="L722" s="11" t="s">
        <v>66</v>
      </c>
      <c r="M722" s="11" t="s">
        <v>31</v>
      </c>
      <c r="N722" s="11" t="s">
        <v>1353</v>
      </c>
      <c r="O722" s="11">
        <v>0.53</v>
      </c>
      <c r="P722" s="6">
        <f>Table1[[#This Row],[Profit]]/Table1[[#This Row],[Sales]]</f>
        <v>-0.49237029501525942</v>
      </c>
      <c r="Q722" s="11" t="s">
        <v>33</v>
      </c>
      <c r="R722" s="11" t="s">
        <v>61</v>
      </c>
      <c r="S722" s="11" t="s">
        <v>130</v>
      </c>
      <c r="T722" s="11" t="s">
        <v>1351</v>
      </c>
      <c r="U722" s="11">
        <v>77530</v>
      </c>
      <c r="V722" s="12">
        <v>42087</v>
      </c>
      <c r="W722" s="13" t="str">
        <f>TEXT(Table1[[#This Row],[Order Date]],"mmmm")</f>
        <v>March</v>
      </c>
      <c r="X722" s="7" t="str">
        <f>TEXT(Table1[[#This Row],[Order Date]],"yyyy")</f>
        <v>2015</v>
      </c>
      <c r="Y722" s="12">
        <v>42088</v>
      </c>
      <c r="Z722" s="11">
        <v>-9.68</v>
      </c>
      <c r="AA722" s="11">
        <v>5</v>
      </c>
      <c r="AB722" s="11">
        <v>19.66</v>
      </c>
      <c r="AC722" s="11">
        <v>89984</v>
      </c>
      <c r="AD722" s="6" t="str">
        <f>IF(COUNTIF(Returns!$A$2:$A$1635,Orders!AC722)&gt;0,"Returned","Not Returned")</f>
        <v>Not Returned</v>
      </c>
    </row>
    <row r="723" spans="1:30" ht="12.75" customHeight="1" thickTop="1" thickBot="1" x14ac:dyDescent="0.25">
      <c r="A723" s="8">
        <v>18131</v>
      </c>
      <c r="B723" s="1" t="s">
        <v>56</v>
      </c>
      <c r="C723" s="1">
        <v>0.01</v>
      </c>
      <c r="D723" s="1">
        <v>115.99</v>
      </c>
      <c r="E723" s="1">
        <v>56.14</v>
      </c>
      <c r="F723" s="1">
        <v>1257</v>
      </c>
      <c r="G723" s="6" t="str">
        <f>IF(COUNTIF(Table1[Customer ID],Table1[[#This Row],[Customer ID]])&gt;1,"Repeat Customer","One-Time Customer")</f>
        <v>Repeat Customer</v>
      </c>
      <c r="H723" s="1" t="s">
        <v>1354</v>
      </c>
      <c r="I723" s="1" t="s">
        <v>39</v>
      </c>
      <c r="J723" s="1" t="s">
        <v>40</v>
      </c>
      <c r="K723" s="1" t="s">
        <v>77</v>
      </c>
      <c r="L723" s="1" t="s">
        <v>85</v>
      </c>
      <c r="M723" s="1" t="s">
        <v>43</v>
      </c>
      <c r="N723" s="1" t="s">
        <v>1355</v>
      </c>
      <c r="O723" s="1">
        <v>0.4</v>
      </c>
      <c r="P723" s="6">
        <f>Table1[[#This Row],[Profit]]/Table1[[#This Row],[Sales]]</f>
        <v>-0.27201985604368334</v>
      </c>
      <c r="Q723" s="1" t="s">
        <v>33</v>
      </c>
      <c r="R723" s="1" t="s">
        <v>34</v>
      </c>
      <c r="S723" s="1" t="s">
        <v>255</v>
      </c>
      <c r="T723" s="1" t="s">
        <v>287</v>
      </c>
      <c r="U723" s="1">
        <v>80013</v>
      </c>
      <c r="V723" s="9">
        <v>42146</v>
      </c>
      <c r="W723" s="13" t="str">
        <f>TEXT(Table1[[#This Row],[Order Date]],"mmmm")</f>
        <v>May</v>
      </c>
      <c r="X723" s="7" t="str">
        <f>TEXT(Table1[[#This Row],[Order Date]],"yyyy")</f>
        <v>2015</v>
      </c>
      <c r="Y723" s="9">
        <v>42147</v>
      </c>
      <c r="Z723" s="1">
        <v>-164.39520000000002</v>
      </c>
      <c r="AA723" s="1">
        <v>5</v>
      </c>
      <c r="AB723" s="1">
        <v>604.35</v>
      </c>
      <c r="AC723" s="1">
        <v>86535</v>
      </c>
      <c r="AD723" s="6" t="str">
        <f>IF(COUNTIF(Returns!$A$2:$A$1635,Orders!AC723)&gt;0,"Returned","Not Returned")</f>
        <v>Not Returned</v>
      </c>
    </row>
    <row r="724" spans="1:30" ht="12.75" customHeight="1" thickTop="1" thickBot="1" x14ac:dyDescent="0.25">
      <c r="A724" s="10">
        <v>18693</v>
      </c>
      <c r="B724" s="11" t="s">
        <v>47</v>
      </c>
      <c r="C724" s="11">
        <v>0.04</v>
      </c>
      <c r="D724" s="11">
        <v>2.52</v>
      </c>
      <c r="E724" s="11">
        <v>1.92</v>
      </c>
      <c r="F724" s="11">
        <v>1257</v>
      </c>
      <c r="G724" s="6" t="str">
        <f>IF(COUNTIF(Table1[Customer ID],Table1[[#This Row],[Customer ID]])&gt;1,"Repeat Customer","One-Time Customer")</f>
        <v>Repeat Customer</v>
      </c>
      <c r="H724" s="11" t="s">
        <v>1354</v>
      </c>
      <c r="I724" s="11" t="s">
        <v>49</v>
      </c>
      <c r="J724" s="11" t="s">
        <v>40</v>
      </c>
      <c r="K724" s="11" t="s">
        <v>29</v>
      </c>
      <c r="L724" s="11" t="s">
        <v>174</v>
      </c>
      <c r="M724" s="11" t="s">
        <v>31</v>
      </c>
      <c r="N724" s="11" t="s">
        <v>1356</v>
      </c>
      <c r="O724" s="11">
        <v>0.82</v>
      </c>
      <c r="P724" s="6">
        <f>Table1[[#This Row],[Profit]]/Table1[[#This Row],[Sales]]</f>
        <v>-2.6223642172523962</v>
      </c>
      <c r="Q724" s="11" t="s">
        <v>33</v>
      </c>
      <c r="R724" s="11" t="s">
        <v>34</v>
      </c>
      <c r="S724" s="11" t="s">
        <v>255</v>
      </c>
      <c r="T724" s="11" t="s">
        <v>287</v>
      </c>
      <c r="U724" s="11">
        <v>80013</v>
      </c>
      <c r="V724" s="12">
        <v>42118</v>
      </c>
      <c r="W724" s="13" t="str">
        <f>TEXT(Table1[[#This Row],[Order Date]],"mmmm")</f>
        <v>April</v>
      </c>
      <c r="X724" s="7" t="str">
        <f>TEXT(Table1[[#This Row],[Order Date]],"yyyy")</f>
        <v>2015</v>
      </c>
      <c r="Y724" s="12">
        <v>42118</v>
      </c>
      <c r="Z724" s="11">
        <v>-8.2080000000000002</v>
      </c>
      <c r="AA724" s="11">
        <v>1</v>
      </c>
      <c r="AB724" s="11">
        <v>3.13</v>
      </c>
      <c r="AC724" s="11">
        <v>86536</v>
      </c>
      <c r="AD724" s="6" t="str">
        <f>IF(COUNTIF(Returns!$A$2:$A$1635,Orders!AC724)&gt;0,"Returned","Not Returned")</f>
        <v>Not Returned</v>
      </c>
    </row>
    <row r="725" spans="1:30" ht="12.75" customHeight="1" thickTop="1" thickBot="1" x14ac:dyDescent="0.25">
      <c r="A725" s="8">
        <v>24939</v>
      </c>
      <c r="B725" s="1" t="s">
        <v>25</v>
      </c>
      <c r="C725" s="1">
        <v>0.03</v>
      </c>
      <c r="D725" s="1">
        <v>3.69</v>
      </c>
      <c r="E725" s="1">
        <v>2.5</v>
      </c>
      <c r="F725" s="1">
        <v>1259</v>
      </c>
      <c r="G725" s="6" t="str">
        <f>IF(COUNTIF(Table1[Customer ID],Table1[[#This Row],[Customer ID]])&gt;1,"Repeat Customer","One-Time Customer")</f>
        <v>One-Time Customer</v>
      </c>
      <c r="H725" s="1" t="s">
        <v>1357</v>
      </c>
      <c r="I725" s="1" t="s">
        <v>27</v>
      </c>
      <c r="J725" s="1" t="s">
        <v>40</v>
      </c>
      <c r="K725" s="1" t="s">
        <v>29</v>
      </c>
      <c r="L725" s="1" t="s">
        <v>69</v>
      </c>
      <c r="M725" s="1" t="s">
        <v>59</v>
      </c>
      <c r="N725" s="1" t="s">
        <v>1358</v>
      </c>
      <c r="O725" s="1">
        <v>0.39</v>
      </c>
      <c r="P725" s="6">
        <f>Table1[[#This Row],[Profit]]/Table1[[#This Row],[Sales]]</f>
        <v>-56.835291073738688</v>
      </c>
      <c r="Q725" s="1" t="s">
        <v>33</v>
      </c>
      <c r="R725" s="1" t="s">
        <v>136</v>
      </c>
      <c r="S725" s="1" t="s">
        <v>613</v>
      </c>
      <c r="T725" s="1" t="s">
        <v>1359</v>
      </c>
      <c r="U725" s="1">
        <v>40422</v>
      </c>
      <c r="V725" s="9">
        <v>42114</v>
      </c>
      <c r="W725" s="13" t="str">
        <f>TEXT(Table1[[#This Row],[Order Date]],"mmmm")</f>
        <v>April</v>
      </c>
      <c r="X725" s="7" t="str">
        <f>TEXT(Table1[[#This Row],[Order Date]],"yyyy")</f>
        <v>2015</v>
      </c>
      <c r="Y725" s="9">
        <v>42114</v>
      </c>
      <c r="Z725" s="1">
        <v>-2196.6840000000002</v>
      </c>
      <c r="AA725" s="1">
        <v>9</v>
      </c>
      <c r="AB725" s="1">
        <v>38.65</v>
      </c>
      <c r="AC725" s="1">
        <v>86534</v>
      </c>
      <c r="AD725" s="6" t="str">
        <f>IF(COUNTIF(Returns!$A$2:$A$1635,Orders!AC725)&gt;0,"Returned","Not Returned")</f>
        <v>Not Returned</v>
      </c>
    </row>
    <row r="726" spans="1:30" ht="12.75" customHeight="1" thickTop="1" thickBot="1" x14ac:dyDescent="0.25">
      <c r="A726" s="10">
        <v>21771</v>
      </c>
      <c r="B726" s="11" t="s">
        <v>47</v>
      </c>
      <c r="C726" s="11">
        <v>0.02</v>
      </c>
      <c r="D726" s="11">
        <v>73.98</v>
      </c>
      <c r="E726" s="11">
        <v>14.52</v>
      </c>
      <c r="F726" s="11">
        <v>1261</v>
      </c>
      <c r="G726" s="6" t="str">
        <f>IF(COUNTIF(Table1[Customer ID],Table1[[#This Row],[Customer ID]])&gt;1,"Repeat Customer","One-Time Customer")</f>
        <v>One-Time Customer</v>
      </c>
      <c r="H726" s="11" t="s">
        <v>1360</v>
      </c>
      <c r="I726" s="11" t="s">
        <v>49</v>
      </c>
      <c r="J726" s="11" t="s">
        <v>40</v>
      </c>
      <c r="K726" s="11" t="s">
        <v>77</v>
      </c>
      <c r="L726" s="11" t="s">
        <v>180</v>
      </c>
      <c r="M726" s="11" t="s">
        <v>59</v>
      </c>
      <c r="N726" s="11" t="s">
        <v>1140</v>
      </c>
      <c r="O726" s="11">
        <v>0.65</v>
      </c>
      <c r="P726" s="6">
        <f>Table1[[#This Row],[Profit]]/Table1[[#This Row],[Sales]]</f>
        <v>0.11510985379266586</v>
      </c>
      <c r="Q726" s="11" t="s">
        <v>33</v>
      </c>
      <c r="R726" s="11" t="s">
        <v>34</v>
      </c>
      <c r="S726" s="11" t="s">
        <v>255</v>
      </c>
      <c r="T726" s="11" t="s">
        <v>1361</v>
      </c>
      <c r="U726" s="11">
        <v>80020</v>
      </c>
      <c r="V726" s="12">
        <v>42131</v>
      </c>
      <c r="W726" s="13" t="str">
        <f>TEXT(Table1[[#This Row],[Order Date]],"mmmm")</f>
        <v>May</v>
      </c>
      <c r="X726" s="7" t="str">
        <f>TEXT(Table1[[#This Row],[Order Date]],"yyyy")</f>
        <v>2015</v>
      </c>
      <c r="Y726" s="12">
        <v>42134</v>
      </c>
      <c r="Z726" s="11">
        <v>43.538000000000011</v>
      </c>
      <c r="AA726" s="11">
        <v>5</v>
      </c>
      <c r="AB726" s="11">
        <v>378.23</v>
      </c>
      <c r="AC726" s="11">
        <v>89730</v>
      </c>
      <c r="AD726" s="6" t="str">
        <f>IF(COUNTIF(Returns!$A$2:$A$1635,Orders!AC726)&gt;0,"Returned","Not Returned")</f>
        <v>Not Returned</v>
      </c>
    </row>
    <row r="727" spans="1:30" ht="12.75" customHeight="1" thickTop="1" thickBot="1" x14ac:dyDescent="0.25">
      <c r="A727" s="8">
        <v>24559</v>
      </c>
      <c r="B727" s="1" t="s">
        <v>47</v>
      </c>
      <c r="C727" s="1">
        <v>0.05</v>
      </c>
      <c r="D727" s="1">
        <v>5.28</v>
      </c>
      <c r="E727" s="1">
        <v>6.26</v>
      </c>
      <c r="F727" s="1">
        <v>1265</v>
      </c>
      <c r="G727" s="6" t="str">
        <f>IF(COUNTIF(Table1[Customer ID],Table1[[#This Row],[Customer ID]])&gt;1,"Repeat Customer","One-Time Customer")</f>
        <v>One-Time Customer</v>
      </c>
      <c r="H727" s="1" t="s">
        <v>1362</v>
      </c>
      <c r="I727" s="1" t="s">
        <v>49</v>
      </c>
      <c r="J727" s="1" t="s">
        <v>40</v>
      </c>
      <c r="K727" s="1" t="s">
        <v>29</v>
      </c>
      <c r="L727" s="1" t="s">
        <v>93</v>
      </c>
      <c r="M727" s="1" t="s">
        <v>59</v>
      </c>
      <c r="N727" s="1" t="s">
        <v>1363</v>
      </c>
      <c r="O727" s="1">
        <v>0.4</v>
      </c>
      <c r="P727" s="6">
        <f>Table1[[#This Row],[Profit]]/Table1[[#This Row],[Sales]]</f>
        <v>-1.5910489510489512</v>
      </c>
      <c r="Q727" s="1" t="s">
        <v>33</v>
      </c>
      <c r="R727" s="1" t="s">
        <v>61</v>
      </c>
      <c r="S727" s="1" t="s">
        <v>304</v>
      </c>
      <c r="T727" s="1" t="s">
        <v>1364</v>
      </c>
      <c r="U727" s="1">
        <v>73521</v>
      </c>
      <c r="V727" s="9">
        <v>42166</v>
      </c>
      <c r="W727" s="13" t="str">
        <f>TEXT(Table1[[#This Row],[Order Date]],"mmmm")</f>
        <v>June</v>
      </c>
      <c r="X727" s="7" t="str">
        <f>TEXT(Table1[[#This Row],[Order Date]],"yyyy")</f>
        <v>2015</v>
      </c>
      <c r="Y727" s="9">
        <v>42167</v>
      </c>
      <c r="Z727" s="1">
        <v>-11.376000000000001</v>
      </c>
      <c r="AA727" s="1">
        <v>1</v>
      </c>
      <c r="AB727" s="1">
        <v>7.15</v>
      </c>
      <c r="AC727" s="1">
        <v>89729</v>
      </c>
      <c r="AD727" s="6" t="str">
        <f>IF(COUNTIF(Returns!$A$2:$A$1635,Orders!AC727)&gt;0,"Returned","Not Returned")</f>
        <v>Not Returned</v>
      </c>
    </row>
    <row r="728" spans="1:30" ht="12.75" customHeight="1" thickTop="1" thickBot="1" x14ac:dyDescent="0.25">
      <c r="A728" s="10">
        <v>22363</v>
      </c>
      <c r="B728" s="11" t="s">
        <v>47</v>
      </c>
      <c r="C728" s="11">
        <v>0.01</v>
      </c>
      <c r="D728" s="11">
        <v>13.99</v>
      </c>
      <c r="E728" s="11">
        <v>7.51</v>
      </c>
      <c r="F728" s="11">
        <v>1267</v>
      </c>
      <c r="G728" s="6" t="str">
        <f>IF(COUNTIF(Table1[Customer ID],Table1[[#This Row],[Customer ID]])&gt;1,"Repeat Customer","One-Time Customer")</f>
        <v>Repeat Customer</v>
      </c>
      <c r="H728" s="11" t="s">
        <v>1365</v>
      </c>
      <c r="I728" s="11" t="s">
        <v>49</v>
      </c>
      <c r="J728" s="11" t="s">
        <v>28</v>
      </c>
      <c r="K728" s="11" t="s">
        <v>77</v>
      </c>
      <c r="L728" s="11" t="s">
        <v>85</v>
      </c>
      <c r="M728" s="11" t="s">
        <v>86</v>
      </c>
      <c r="N728" s="11" t="s">
        <v>1366</v>
      </c>
      <c r="O728" s="11">
        <v>0.39</v>
      </c>
      <c r="P728" s="6">
        <f>Table1[[#This Row],[Profit]]/Table1[[#This Row],[Sales]]</f>
        <v>17.880804020100502</v>
      </c>
      <c r="Q728" s="11" t="s">
        <v>33</v>
      </c>
      <c r="R728" s="11" t="s">
        <v>136</v>
      </c>
      <c r="S728" s="11" t="s">
        <v>362</v>
      </c>
      <c r="T728" s="11" t="s">
        <v>1367</v>
      </c>
      <c r="U728" s="11">
        <v>33433</v>
      </c>
      <c r="V728" s="12">
        <v>42045</v>
      </c>
      <c r="W728" s="13" t="str">
        <f>TEXT(Table1[[#This Row],[Order Date]],"mmmm")</f>
        <v>February</v>
      </c>
      <c r="X728" s="7" t="str">
        <f>TEXT(Table1[[#This Row],[Order Date]],"yyyy")</f>
        <v>2015</v>
      </c>
      <c r="Y728" s="12">
        <v>42046</v>
      </c>
      <c r="Z728" s="11">
        <v>533.74199999999996</v>
      </c>
      <c r="AA728" s="11">
        <v>2</v>
      </c>
      <c r="AB728" s="11">
        <v>29.85</v>
      </c>
      <c r="AC728" s="11">
        <v>89514</v>
      </c>
      <c r="AD728" s="6" t="str">
        <f>IF(COUNTIF(Returns!$A$2:$A$1635,Orders!AC728)&gt;0,"Returned","Not Returned")</f>
        <v>Not Returned</v>
      </c>
    </row>
    <row r="729" spans="1:30" ht="12.75" customHeight="1" thickTop="1" thickBot="1" x14ac:dyDescent="0.25">
      <c r="A729" s="8">
        <v>21848</v>
      </c>
      <c r="B729" s="1" t="s">
        <v>37</v>
      </c>
      <c r="C729" s="1">
        <v>0.08</v>
      </c>
      <c r="D729" s="1">
        <v>128.24</v>
      </c>
      <c r="E729" s="1">
        <v>12.65</v>
      </c>
      <c r="F729" s="1">
        <v>1267</v>
      </c>
      <c r="G729" s="6" t="str">
        <f>IF(COUNTIF(Table1[Customer ID],Table1[[#This Row],[Customer ID]])&gt;1,"Repeat Customer","One-Time Customer")</f>
        <v>Repeat Customer</v>
      </c>
      <c r="H729" s="1" t="s">
        <v>1365</v>
      </c>
      <c r="I729" s="1" t="s">
        <v>49</v>
      </c>
      <c r="J729" s="1" t="s">
        <v>28</v>
      </c>
      <c r="K729" s="1" t="s">
        <v>41</v>
      </c>
      <c r="L729" s="1" t="s">
        <v>42</v>
      </c>
      <c r="M729" s="1" t="s">
        <v>86</v>
      </c>
      <c r="N729" s="1" t="s">
        <v>619</v>
      </c>
      <c r="O729" s="1"/>
      <c r="P729" s="6">
        <f>Table1[[#This Row],[Profit]]/Table1[[#This Row],[Sales]]</f>
        <v>-1.0352144962340355</v>
      </c>
      <c r="Q729" s="1" t="s">
        <v>33</v>
      </c>
      <c r="R729" s="1" t="s">
        <v>136</v>
      </c>
      <c r="S729" s="1" t="s">
        <v>362</v>
      </c>
      <c r="T729" s="1" t="s">
        <v>1367</v>
      </c>
      <c r="U729" s="1">
        <v>33433</v>
      </c>
      <c r="V729" s="9">
        <v>42136</v>
      </c>
      <c r="W729" s="13" t="str">
        <f>TEXT(Table1[[#This Row],[Order Date]],"mmmm")</f>
        <v>May</v>
      </c>
      <c r="X729" s="7" t="str">
        <f>TEXT(Table1[[#This Row],[Order Date]],"yyyy")</f>
        <v>2015</v>
      </c>
      <c r="Y729" s="9">
        <v>42137</v>
      </c>
      <c r="Z729" s="1">
        <v>-379.34399999999999</v>
      </c>
      <c r="AA729" s="1">
        <v>3</v>
      </c>
      <c r="AB729" s="1">
        <v>366.44</v>
      </c>
      <c r="AC729" s="1">
        <v>89515</v>
      </c>
      <c r="AD729" s="6" t="str">
        <f>IF(COUNTIF(Returns!$A$2:$A$1635,Orders!AC729)&gt;0,"Returned","Not Returned")</f>
        <v>Not Returned</v>
      </c>
    </row>
    <row r="730" spans="1:30" ht="12.75" customHeight="1" thickTop="1" thickBot="1" x14ac:dyDescent="0.25">
      <c r="A730" s="10">
        <v>21849</v>
      </c>
      <c r="B730" s="11" t="s">
        <v>37</v>
      </c>
      <c r="C730" s="11">
        <v>0.04</v>
      </c>
      <c r="D730" s="11">
        <v>5.98</v>
      </c>
      <c r="E730" s="11">
        <v>4.38</v>
      </c>
      <c r="F730" s="11">
        <v>1267</v>
      </c>
      <c r="G730" s="6" t="str">
        <f>IF(COUNTIF(Table1[Customer ID],Table1[[#This Row],[Customer ID]])&gt;1,"Repeat Customer","One-Time Customer")</f>
        <v>Repeat Customer</v>
      </c>
      <c r="H730" s="11" t="s">
        <v>1365</v>
      </c>
      <c r="I730" s="11" t="s">
        <v>49</v>
      </c>
      <c r="J730" s="11" t="s">
        <v>28</v>
      </c>
      <c r="K730" s="11" t="s">
        <v>77</v>
      </c>
      <c r="L730" s="11" t="s">
        <v>180</v>
      </c>
      <c r="M730" s="11" t="s">
        <v>51</v>
      </c>
      <c r="N730" s="11" t="s">
        <v>1368</v>
      </c>
      <c r="O730" s="11">
        <v>0.75</v>
      </c>
      <c r="P730" s="6">
        <f>Table1[[#This Row],[Profit]]/Table1[[#This Row],[Sales]]</f>
        <v>-21.825146953405017</v>
      </c>
      <c r="Q730" s="11" t="s">
        <v>33</v>
      </c>
      <c r="R730" s="11" t="s">
        <v>136</v>
      </c>
      <c r="S730" s="11" t="s">
        <v>362</v>
      </c>
      <c r="T730" s="11" t="s">
        <v>1367</v>
      </c>
      <c r="U730" s="11">
        <v>33433</v>
      </c>
      <c r="V730" s="12">
        <v>42136</v>
      </c>
      <c r="W730" s="13" t="str">
        <f>TEXT(Table1[[#This Row],[Order Date]],"mmmm")</f>
        <v>May</v>
      </c>
      <c r="X730" s="7" t="str">
        <f>TEXT(Table1[[#This Row],[Order Date]],"yyyy")</f>
        <v>2015</v>
      </c>
      <c r="Y730" s="12">
        <v>42138</v>
      </c>
      <c r="Z730" s="11">
        <v>-1522.3039999999999</v>
      </c>
      <c r="AA730" s="11">
        <v>11</v>
      </c>
      <c r="AB730" s="11">
        <v>69.75</v>
      </c>
      <c r="AC730" s="11">
        <v>89515</v>
      </c>
      <c r="AD730" s="6" t="str">
        <f>IF(COUNTIF(Returns!$A$2:$A$1635,Orders!AC730)&gt;0,"Returned","Not Returned")</f>
        <v>Not Returned</v>
      </c>
    </row>
    <row r="731" spans="1:30" ht="12.75" customHeight="1" thickTop="1" thickBot="1" x14ac:dyDescent="0.25">
      <c r="A731" s="8">
        <v>19550</v>
      </c>
      <c r="B731" s="1" t="s">
        <v>56</v>
      </c>
      <c r="C731" s="1">
        <v>7.0000000000000007E-2</v>
      </c>
      <c r="D731" s="1">
        <v>125.99</v>
      </c>
      <c r="E731" s="1">
        <v>7.69</v>
      </c>
      <c r="F731" s="1">
        <v>1271</v>
      </c>
      <c r="G731" s="6" t="str">
        <f>IF(COUNTIF(Table1[Customer ID],Table1[[#This Row],[Customer ID]])&gt;1,"Repeat Customer","One-Time Customer")</f>
        <v>Repeat Customer</v>
      </c>
      <c r="H731" s="1" t="s">
        <v>1369</v>
      </c>
      <c r="I731" s="1" t="s">
        <v>49</v>
      </c>
      <c r="J731" s="1" t="s">
        <v>28</v>
      </c>
      <c r="K731" s="1" t="s">
        <v>77</v>
      </c>
      <c r="L731" s="1" t="s">
        <v>78</v>
      </c>
      <c r="M731" s="1" t="s">
        <v>59</v>
      </c>
      <c r="N731" s="1" t="s">
        <v>105</v>
      </c>
      <c r="O731" s="1">
        <v>0.59</v>
      </c>
      <c r="P731" s="6">
        <f>Table1[[#This Row],[Profit]]/Table1[[#This Row],[Sales]]</f>
        <v>0.69</v>
      </c>
      <c r="Q731" s="1" t="s">
        <v>33</v>
      </c>
      <c r="R731" s="1" t="s">
        <v>34</v>
      </c>
      <c r="S731" s="1" t="s">
        <v>45</v>
      </c>
      <c r="T731" s="1" t="s">
        <v>1370</v>
      </c>
      <c r="U731" s="1">
        <v>91941</v>
      </c>
      <c r="V731" s="9">
        <v>42103</v>
      </c>
      <c r="W731" s="13" t="str">
        <f>TEXT(Table1[[#This Row],[Order Date]],"mmmm")</f>
        <v>April</v>
      </c>
      <c r="X731" s="7" t="str">
        <f>TEXT(Table1[[#This Row],[Order Date]],"yyyy")</f>
        <v>2015</v>
      </c>
      <c r="Y731" s="9">
        <v>42104</v>
      </c>
      <c r="Z731" s="1">
        <v>588.24569999999994</v>
      </c>
      <c r="AA731" s="1">
        <v>8</v>
      </c>
      <c r="AB731" s="1">
        <v>852.53</v>
      </c>
      <c r="AC731" s="1">
        <v>88410</v>
      </c>
      <c r="AD731" s="6" t="str">
        <f>IF(COUNTIF(Returns!$A$2:$A$1635,Orders!AC731)&gt;0,"Returned","Not Returned")</f>
        <v>Not Returned</v>
      </c>
    </row>
    <row r="732" spans="1:30" ht="12.75" customHeight="1" thickTop="1" thickBot="1" x14ac:dyDescent="0.25">
      <c r="A732" s="10">
        <v>19398</v>
      </c>
      <c r="B732" s="11" t="s">
        <v>106</v>
      </c>
      <c r="C732" s="11">
        <v>0.1</v>
      </c>
      <c r="D732" s="11">
        <v>34.229999999999997</v>
      </c>
      <c r="E732" s="11">
        <v>5.0199999999999996</v>
      </c>
      <c r="F732" s="11">
        <v>1271</v>
      </c>
      <c r="G732" s="6" t="str">
        <f>IF(COUNTIF(Table1[Customer ID],Table1[[#This Row],[Customer ID]])&gt;1,"Repeat Customer","One-Time Customer")</f>
        <v>Repeat Customer</v>
      </c>
      <c r="H732" s="11" t="s">
        <v>1369</v>
      </c>
      <c r="I732" s="11" t="s">
        <v>49</v>
      </c>
      <c r="J732" s="11" t="s">
        <v>28</v>
      </c>
      <c r="K732" s="11" t="s">
        <v>41</v>
      </c>
      <c r="L732" s="11" t="s">
        <v>50</v>
      </c>
      <c r="M732" s="11" t="s">
        <v>59</v>
      </c>
      <c r="N732" s="11" t="s">
        <v>1371</v>
      </c>
      <c r="O732" s="11">
        <v>0.55000000000000004</v>
      </c>
      <c r="P732" s="6">
        <f>Table1[[#This Row],[Profit]]/Table1[[#This Row],[Sales]]</f>
        <v>0.69</v>
      </c>
      <c r="Q732" s="11" t="s">
        <v>33</v>
      </c>
      <c r="R732" s="11" t="s">
        <v>34</v>
      </c>
      <c r="S732" s="11" t="s">
        <v>45</v>
      </c>
      <c r="T732" s="11" t="s">
        <v>1370</v>
      </c>
      <c r="U732" s="11">
        <v>91941</v>
      </c>
      <c r="V732" s="12">
        <v>42125</v>
      </c>
      <c r="W732" s="13" t="str">
        <f>TEXT(Table1[[#This Row],[Order Date]],"mmmm")</f>
        <v>May</v>
      </c>
      <c r="X732" s="7" t="str">
        <f>TEXT(Table1[[#This Row],[Order Date]],"yyyy")</f>
        <v>2015</v>
      </c>
      <c r="Y732" s="12">
        <v>42130</v>
      </c>
      <c r="Z732" s="11">
        <v>151.56539999999998</v>
      </c>
      <c r="AA732" s="11">
        <v>7</v>
      </c>
      <c r="AB732" s="11">
        <v>219.66</v>
      </c>
      <c r="AC732" s="11">
        <v>88411</v>
      </c>
      <c r="AD732" s="6" t="str">
        <f>IF(COUNTIF(Returns!$A$2:$A$1635,Orders!AC732)&gt;0,"Returned","Not Returned")</f>
        <v>Not Returned</v>
      </c>
    </row>
    <row r="733" spans="1:30" ht="12.75" customHeight="1" thickTop="1" thickBot="1" x14ac:dyDescent="0.25">
      <c r="A733" s="8">
        <v>20628</v>
      </c>
      <c r="B733" s="1" t="s">
        <v>47</v>
      </c>
      <c r="C733" s="1">
        <v>7.0000000000000007E-2</v>
      </c>
      <c r="D733" s="1">
        <v>40.98</v>
      </c>
      <c r="E733" s="1">
        <v>7.47</v>
      </c>
      <c r="F733" s="1">
        <v>1279</v>
      </c>
      <c r="G733" s="6" t="str">
        <f>IF(COUNTIF(Table1[Customer ID],Table1[[#This Row],[Customer ID]])&gt;1,"Repeat Customer","One-Time Customer")</f>
        <v>Repeat Customer</v>
      </c>
      <c r="H733" s="1" t="s">
        <v>1372</v>
      </c>
      <c r="I733" s="1" t="s">
        <v>49</v>
      </c>
      <c r="J733" s="1" t="s">
        <v>28</v>
      </c>
      <c r="K733" s="1" t="s">
        <v>29</v>
      </c>
      <c r="L733" s="1" t="s">
        <v>109</v>
      </c>
      <c r="M733" s="1" t="s">
        <v>59</v>
      </c>
      <c r="N733" s="1" t="s">
        <v>1373</v>
      </c>
      <c r="O733" s="1">
        <v>0.37</v>
      </c>
      <c r="P733" s="6">
        <f>Table1[[#This Row],[Profit]]/Table1[[#This Row],[Sales]]</f>
        <v>0.67034798534798534</v>
      </c>
      <c r="Q733" s="1" t="s">
        <v>33</v>
      </c>
      <c r="R733" s="1" t="s">
        <v>61</v>
      </c>
      <c r="S733" s="1" t="s">
        <v>703</v>
      </c>
      <c r="T733" s="1" t="s">
        <v>1374</v>
      </c>
      <c r="U733" s="1">
        <v>46324</v>
      </c>
      <c r="V733" s="9">
        <v>42064</v>
      </c>
      <c r="W733" s="13" t="str">
        <f>TEXT(Table1[[#This Row],[Order Date]],"mmmm")</f>
        <v>March</v>
      </c>
      <c r="X733" s="7" t="str">
        <f>TEXT(Table1[[#This Row],[Order Date]],"yyyy")</f>
        <v>2015</v>
      </c>
      <c r="Y733" s="9">
        <v>42065</v>
      </c>
      <c r="Z733" s="1">
        <v>54.901500000000006</v>
      </c>
      <c r="AA733" s="1">
        <v>2</v>
      </c>
      <c r="AB733" s="1">
        <v>81.900000000000006</v>
      </c>
      <c r="AC733" s="1">
        <v>90114</v>
      </c>
      <c r="AD733" s="6" t="str">
        <f>IF(COUNTIF(Returns!$A$2:$A$1635,Orders!AC733)&gt;0,"Returned","Not Returned")</f>
        <v>Not Returned</v>
      </c>
    </row>
    <row r="734" spans="1:30" ht="12.75" customHeight="1" thickTop="1" thickBot="1" x14ac:dyDescent="0.25">
      <c r="A734" s="10">
        <v>25005</v>
      </c>
      <c r="B734" s="11" t="s">
        <v>37</v>
      </c>
      <c r="C734" s="11">
        <v>0</v>
      </c>
      <c r="D734" s="11">
        <v>442.14</v>
      </c>
      <c r="E734" s="11">
        <v>14.7</v>
      </c>
      <c r="F734" s="11">
        <v>1279</v>
      </c>
      <c r="G734" s="6" t="str">
        <f>IF(COUNTIF(Table1[Customer ID],Table1[[#This Row],[Customer ID]])&gt;1,"Repeat Customer","One-Time Customer")</f>
        <v>Repeat Customer</v>
      </c>
      <c r="H734" s="11" t="s">
        <v>1372</v>
      </c>
      <c r="I734" s="11" t="s">
        <v>39</v>
      </c>
      <c r="J734" s="11" t="s">
        <v>28</v>
      </c>
      <c r="K734" s="11" t="s">
        <v>77</v>
      </c>
      <c r="L734" s="11" t="s">
        <v>85</v>
      </c>
      <c r="M734" s="11" t="s">
        <v>43</v>
      </c>
      <c r="N734" s="11" t="s">
        <v>336</v>
      </c>
      <c r="O734" s="11">
        <v>0.56000000000000005</v>
      </c>
      <c r="P734" s="6">
        <f>Table1[[#This Row],[Profit]]/Table1[[#This Row],[Sales]]</f>
        <v>0.21401503836404448</v>
      </c>
      <c r="Q734" s="11" t="s">
        <v>33</v>
      </c>
      <c r="R734" s="11" t="s">
        <v>61</v>
      </c>
      <c r="S734" s="11" t="s">
        <v>703</v>
      </c>
      <c r="T734" s="11" t="s">
        <v>1374</v>
      </c>
      <c r="U734" s="11">
        <v>46324</v>
      </c>
      <c r="V734" s="12">
        <v>42068</v>
      </c>
      <c r="W734" s="13" t="str">
        <f>TEXT(Table1[[#This Row],[Order Date]],"mmmm")</f>
        <v>March</v>
      </c>
      <c r="X734" s="7" t="str">
        <f>TEXT(Table1[[#This Row],[Order Date]],"yyyy")</f>
        <v>2015</v>
      </c>
      <c r="Y734" s="12">
        <v>42068</v>
      </c>
      <c r="Z734" s="11">
        <v>501.51</v>
      </c>
      <c r="AA734" s="11">
        <v>5</v>
      </c>
      <c r="AB734" s="11">
        <v>2343.34</v>
      </c>
      <c r="AC734" s="11">
        <v>90115</v>
      </c>
      <c r="AD734" s="6" t="str">
        <f>IF(COUNTIF(Returns!$A$2:$A$1635,Orders!AC734)&gt;0,"Returned","Not Returned")</f>
        <v>Not Returned</v>
      </c>
    </row>
    <row r="735" spans="1:30" ht="12.75" customHeight="1" thickTop="1" thickBot="1" x14ac:dyDescent="0.25">
      <c r="A735" s="8">
        <v>2628</v>
      </c>
      <c r="B735" s="1" t="s">
        <v>47</v>
      </c>
      <c r="C735" s="1">
        <v>7.0000000000000007E-2</v>
      </c>
      <c r="D735" s="1">
        <v>40.98</v>
      </c>
      <c r="E735" s="1">
        <v>7.47</v>
      </c>
      <c r="F735" s="1">
        <v>1280</v>
      </c>
      <c r="G735" s="6" t="str">
        <f>IF(COUNTIF(Table1[Customer ID],Table1[[#This Row],[Customer ID]])&gt;1,"Repeat Customer","One-Time Customer")</f>
        <v>One-Time Customer</v>
      </c>
      <c r="H735" s="1" t="s">
        <v>1375</v>
      </c>
      <c r="I735" s="1" t="s">
        <v>49</v>
      </c>
      <c r="J735" s="1" t="s">
        <v>28</v>
      </c>
      <c r="K735" s="1" t="s">
        <v>29</v>
      </c>
      <c r="L735" s="1" t="s">
        <v>109</v>
      </c>
      <c r="M735" s="1" t="s">
        <v>59</v>
      </c>
      <c r="N735" s="1" t="s">
        <v>1373</v>
      </c>
      <c r="O735" s="1">
        <v>0.37</v>
      </c>
      <c r="P735" s="6">
        <f>Table1[[#This Row],[Profit]]/Table1[[#This Row],[Sales]]</f>
        <v>0.16758188089496659</v>
      </c>
      <c r="Q735" s="1" t="s">
        <v>33</v>
      </c>
      <c r="R735" s="1" t="s">
        <v>34</v>
      </c>
      <c r="S735" s="1" t="s">
        <v>35</v>
      </c>
      <c r="T735" s="1" t="s">
        <v>209</v>
      </c>
      <c r="U735" s="1">
        <v>98119</v>
      </c>
      <c r="V735" s="9">
        <v>42064</v>
      </c>
      <c r="W735" s="13" t="str">
        <f>TEXT(Table1[[#This Row],[Order Date]],"mmmm")</f>
        <v>March</v>
      </c>
      <c r="X735" s="7" t="str">
        <f>TEXT(Table1[[#This Row],[Order Date]],"yyyy")</f>
        <v>2015</v>
      </c>
      <c r="Y735" s="9">
        <v>42065</v>
      </c>
      <c r="Z735" s="1">
        <v>54.901500000000006</v>
      </c>
      <c r="AA735" s="1">
        <v>8</v>
      </c>
      <c r="AB735" s="1">
        <v>327.61</v>
      </c>
      <c r="AC735" s="1">
        <v>19042</v>
      </c>
      <c r="AD735" s="6" t="str">
        <f>IF(COUNTIF(Returns!$A$2:$A$1635,Orders!AC735)&gt;0,"Returned","Not Returned")</f>
        <v>Not Returned</v>
      </c>
    </row>
    <row r="736" spans="1:30" ht="12.75" customHeight="1" thickTop="1" thickBot="1" x14ac:dyDescent="0.25">
      <c r="A736" s="10">
        <v>22125</v>
      </c>
      <c r="B736" s="11" t="s">
        <v>106</v>
      </c>
      <c r="C736" s="11">
        <v>0.1</v>
      </c>
      <c r="D736" s="11">
        <v>238.4</v>
      </c>
      <c r="E736" s="11">
        <v>24.49</v>
      </c>
      <c r="F736" s="11">
        <v>1281</v>
      </c>
      <c r="G736" s="6" t="str">
        <f>IF(COUNTIF(Table1[Customer ID],Table1[[#This Row],[Customer ID]])&gt;1,"Repeat Customer","One-Time Customer")</f>
        <v>Repeat Customer</v>
      </c>
      <c r="H736" s="11" t="s">
        <v>1376</v>
      </c>
      <c r="I736" s="11" t="s">
        <v>49</v>
      </c>
      <c r="J736" s="11" t="s">
        <v>58</v>
      </c>
      <c r="K736" s="11" t="s">
        <v>41</v>
      </c>
      <c r="L736" s="11" t="s">
        <v>42</v>
      </c>
      <c r="M736" s="11" t="s">
        <v>236</v>
      </c>
      <c r="N736" s="11" t="s">
        <v>1377</v>
      </c>
      <c r="O736" s="11"/>
      <c r="P736" s="6">
        <f>Table1[[#This Row],[Profit]]/Table1[[#This Row],[Sales]]</f>
        <v>0.49325691744153283</v>
      </c>
      <c r="Q736" s="11" t="s">
        <v>33</v>
      </c>
      <c r="R736" s="11" t="s">
        <v>61</v>
      </c>
      <c r="S736" s="11" t="s">
        <v>703</v>
      </c>
      <c r="T736" s="11" t="s">
        <v>1378</v>
      </c>
      <c r="U736" s="11">
        <v>47591</v>
      </c>
      <c r="V736" s="12">
        <v>42028</v>
      </c>
      <c r="W736" s="13" t="str">
        <f>TEXT(Table1[[#This Row],[Order Date]],"mmmm")</f>
        <v>January</v>
      </c>
      <c r="X736" s="7" t="str">
        <f>TEXT(Table1[[#This Row],[Order Date]],"yyyy")</f>
        <v>2015</v>
      </c>
      <c r="Y736" s="12">
        <v>42030</v>
      </c>
      <c r="Z736" s="11">
        <v>875.28440000000001</v>
      </c>
      <c r="AA736" s="11">
        <v>8</v>
      </c>
      <c r="AB736" s="11">
        <v>1774.5</v>
      </c>
      <c r="AC736" s="11">
        <v>89112</v>
      </c>
      <c r="AD736" s="6" t="str">
        <f>IF(COUNTIF(Returns!$A$2:$A$1635,Orders!AC736)&gt;0,"Returned","Not Returned")</f>
        <v>Not Returned</v>
      </c>
    </row>
    <row r="737" spans="1:30" ht="12.75" customHeight="1" thickTop="1" thickBot="1" x14ac:dyDescent="0.25">
      <c r="A737" s="8">
        <v>22126</v>
      </c>
      <c r="B737" s="1" t="s">
        <v>106</v>
      </c>
      <c r="C737" s="1">
        <v>0.03</v>
      </c>
      <c r="D737" s="1">
        <v>199.99</v>
      </c>
      <c r="E737" s="1">
        <v>24.49</v>
      </c>
      <c r="F737" s="1">
        <v>1281</v>
      </c>
      <c r="G737" s="6" t="str">
        <f>IF(COUNTIF(Table1[Customer ID],Table1[[#This Row],[Customer ID]])&gt;1,"Repeat Customer","One-Time Customer")</f>
        <v>Repeat Customer</v>
      </c>
      <c r="H737" s="1" t="s">
        <v>1376</v>
      </c>
      <c r="I737" s="1" t="s">
        <v>27</v>
      </c>
      <c r="J737" s="1" t="s">
        <v>58</v>
      </c>
      <c r="K737" s="1" t="s">
        <v>77</v>
      </c>
      <c r="L737" s="1" t="s">
        <v>587</v>
      </c>
      <c r="M737" s="1" t="s">
        <v>236</v>
      </c>
      <c r="N737" s="1" t="s">
        <v>1379</v>
      </c>
      <c r="O737" s="1">
        <v>0.46</v>
      </c>
      <c r="P737" s="6">
        <f>Table1[[#This Row],[Profit]]/Table1[[#This Row],[Sales]]</f>
        <v>0.69</v>
      </c>
      <c r="Q737" s="1" t="s">
        <v>33</v>
      </c>
      <c r="R737" s="1" t="s">
        <v>61</v>
      </c>
      <c r="S737" s="1" t="s">
        <v>703</v>
      </c>
      <c r="T737" s="1" t="s">
        <v>1378</v>
      </c>
      <c r="U737" s="1">
        <v>47591</v>
      </c>
      <c r="V737" s="9">
        <v>42028</v>
      </c>
      <c r="W737" s="13" t="str">
        <f>TEXT(Table1[[#This Row],[Order Date]],"mmmm")</f>
        <v>January</v>
      </c>
      <c r="X737" s="7" t="str">
        <f>TEXT(Table1[[#This Row],[Order Date]],"yyyy")</f>
        <v>2015</v>
      </c>
      <c r="Y737" s="9">
        <v>42030</v>
      </c>
      <c r="Z737" s="1">
        <v>727.73609999999996</v>
      </c>
      <c r="AA737" s="1">
        <v>5</v>
      </c>
      <c r="AB737" s="1">
        <v>1054.69</v>
      </c>
      <c r="AC737" s="1">
        <v>89112</v>
      </c>
      <c r="AD737" s="6" t="str">
        <f>IF(COUNTIF(Returns!$A$2:$A$1635,Orders!AC737)&gt;0,"Returned","Not Returned")</f>
        <v>Not Returned</v>
      </c>
    </row>
    <row r="738" spans="1:30" ht="12.75" customHeight="1" thickTop="1" thickBot="1" x14ac:dyDescent="0.25">
      <c r="A738" s="10">
        <v>4125</v>
      </c>
      <c r="B738" s="11" t="s">
        <v>106</v>
      </c>
      <c r="C738" s="11">
        <v>0.1</v>
      </c>
      <c r="D738" s="11">
        <v>238.4</v>
      </c>
      <c r="E738" s="11">
        <v>24.49</v>
      </c>
      <c r="F738" s="11">
        <v>1282</v>
      </c>
      <c r="G738" s="6" t="str">
        <f>IF(COUNTIF(Table1[Customer ID],Table1[[#This Row],[Customer ID]])&gt;1,"Repeat Customer","One-Time Customer")</f>
        <v>Repeat Customer</v>
      </c>
      <c r="H738" s="11" t="s">
        <v>1380</v>
      </c>
      <c r="I738" s="11" t="s">
        <v>49</v>
      </c>
      <c r="J738" s="11" t="s">
        <v>58</v>
      </c>
      <c r="K738" s="11" t="s">
        <v>41</v>
      </c>
      <c r="L738" s="11" t="s">
        <v>42</v>
      </c>
      <c r="M738" s="11" t="s">
        <v>236</v>
      </c>
      <c r="N738" s="11" t="s">
        <v>1377</v>
      </c>
      <c r="O738" s="11"/>
      <c r="P738" s="6">
        <f>Table1[[#This Row],[Profit]]/Table1[[#This Row],[Sales]]</f>
        <v>6.9228884991712245E-2</v>
      </c>
      <c r="Q738" s="11" t="s">
        <v>33</v>
      </c>
      <c r="R738" s="11" t="s">
        <v>53</v>
      </c>
      <c r="S738" s="11" t="s">
        <v>234</v>
      </c>
      <c r="T738" s="11" t="s">
        <v>1319</v>
      </c>
      <c r="U738" s="11">
        <v>19134</v>
      </c>
      <c r="V738" s="12">
        <v>42028</v>
      </c>
      <c r="W738" s="13" t="str">
        <f>TEXT(Table1[[#This Row],[Order Date]],"mmmm")</f>
        <v>January</v>
      </c>
      <c r="X738" s="7" t="str">
        <f>TEXT(Table1[[#This Row],[Order Date]],"yyyy")</f>
        <v>2015</v>
      </c>
      <c r="Y738" s="12">
        <v>42030</v>
      </c>
      <c r="Z738" s="11">
        <v>460.67600000000004</v>
      </c>
      <c r="AA738" s="11">
        <v>30</v>
      </c>
      <c r="AB738" s="11">
        <v>6654.39</v>
      </c>
      <c r="AC738" s="11">
        <v>29319</v>
      </c>
      <c r="AD738" s="6" t="str">
        <f>IF(COUNTIF(Returns!$A$2:$A$1635,Orders!AC738)&gt;0,"Returned","Not Returned")</f>
        <v>Not Returned</v>
      </c>
    </row>
    <row r="739" spans="1:30" ht="12.75" customHeight="1" thickTop="1" thickBot="1" x14ac:dyDescent="0.25">
      <c r="A739" s="8">
        <v>4126</v>
      </c>
      <c r="B739" s="1" t="s">
        <v>106</v>
      </c>
      <c r="C739" s="1">
        <v>0.03</v>
      </c>
      <c r="D739" s="1">
        <v>199.99</v>
      </c>
      <c r="E739" s="1">
        <v>24.49</v>
      </c>
      <c r="F739" s="1">
        <v>1282</v>
      </c>
      <c r="G739" s="6" t="str">
        <f>IF(COUNTIF(Table1[Customer ID],Table1[[#This Row],[Customer ID]])&gt;1,"Repeat Customer","One-Time Customer")</f>
        <v>Repeat Customer</v>
      </c>
      <c r="H739" s="1" t="s">
        <v>1380</v>
      </c>
      <c r="I739" s="1" t="s">
        <v>27</v>
      </c>
      <c r="J739" s="1" t="s">
        <v>58</v>
      </c>
      <c r="K739" s="1" t="s">
        <v>77</v>
      </c>
      <c r="L739" s="1" t="s">
        <v>587</v>
      </c>
      <c r="M739" s="1" t="s">
        <v>236</v>
      </c>
      <c r="N739" s="1" t="s">
        <v>1379</v>
      </c>
      <c r="O739" s="1">
        <v>0.46</v>
      </c>
      <c r="P739" s="6">
        <f>Table1[[#This Row],[Profit]]/Table1[[#This Row],[Sales]]</f>
        <v>8.8814341409895498E-2</v>
      </c>
      <c r="Q739" s="1" t="s">
        <v>33</v>
      </c>
      <c r="R739" s="1" t="s">
        <v>53</v>
      </c>
      <c r="S739" s="1" t="s">
        <v>234</v>
      </c>
      <c r="T739" s="1" t="s">
        <v>1319</v>
      </c>
      <c r="U739" s="1">
        <v>19134</v>
      </c>
      <c r="V739" s="9">
        <v>42028</v>
      </c>
      <c r="W739" s="13" t="str">
        <f>TEXT(Table1[[#This Row],[Order Date]],"mmmm")</f>
        <v>January</v>
      </c>
      <c r="X739" s="7" t="str">
        <f>TEXT(Table1[[#This Row],[Order Date]],"yyyy")</f>
        <v>2015</v>
      </c>
      <c r="Y739" s="9">
        <v>42030</v>
      </c>
      <c r="Z739" s="1">
        <v>393.41999999999996</v>
      </c>
      <c r="AA739" s="1">
        <v>21</v>
      </c>
      <c r="AB739" s="1">
        <v>4429.6899999999996</v>
      </c>
      <c r="AC739" s="1">
        <v>29319</v>
      </c>
      <c r="AD739" s="6" t="str">
        <f>IF(COUNTIF(Returns!$A$2:$A$1635,Orders!AC739)&gt;0,"Returned","Not Returned")</f>
        <v>Not Returned</v>
      </c>
    </row>
    <row r="740" spans="1:30" ht="12.75" customHeight="1" thickTop="1" thickBot="1" x14ac:dyDescent="0.25">
      <c r="A740" s="10">
        <v>19990</v>
      </c>
      <c r="B740" s="11" t="s">
        <v>37</v>
      </c>
      <c r="C740" s="11">
        <v>0.04</v>
      </c>
      <c r="D740" s="11">
        <v>150.97999999999999</v>
      </c>
      <c r="E740" s="11">
        <v>13.99</v>
      </c>
      <c r="F740" s="11">
        <v>1298</v>
      </c>
      <c r="G740" s="6" t="str">
        <f>IF(COUNTIF(Table1[Customer ID],Table1[[#This Row],[Customer ID]])&gt;1,"Repeat Customer","One-Time Customer")</f>
        <v>Repeat Customer</v>
      </c>
      <c r="H740" s="11" t="s">
        <v>1381</v>
      </c>
      <c r="I740" s="11" t="s">
        <v>49</v>
      </c>
      <c r="J740" s="11" t="s">
        <v>40</v>
      </c>
      <c r="K740" s="11" t="s">
        <v>77</v>
      </c>
      <c r="L740" s="11" t="s">
        <v>85</v>
      </c>
      <c r="M740" s="11" t="s">
        <v>86</v>
      </c>
      <c r="N740" s="11" t="s">
        <v>627</v>
      </c>
      <c r="O740" s="11">
        <v>0.38</v>
      </c>
      <c r="P740" s="6">
        <f>Table1[[#This Row],[Profit]]/Table1[[#This Row],[Sales]]</f>
        <v>0.69</v>
      </c>
      <c r="Q740" s="11" t="s">
        <v>33</v>
      </c>
      <c r="R740" s="11" t="s">
        <v>61</v>
      </c>
      <c r="S740" s="11" t="s">
        <v>130</v>
      </c>
      <c r="T740" s="11" t="s">
        <v>1321</v>
      </c>
      <c r="U740" s="11">
        <v>75482</v>
      </c>
      <c r="V740" s="12">
        <v>42047</v>
      </c>
      <c r="W740" s="13" t="str">
        <f>TEXT(Table1[[#This Row],[Order Date]],"mmmm")</f>
        <v>February</v>
      </c>
      <c r="X740" s="7" t="str">
        <f>TEXT(Table1[[#This Row],[Order Date]],"yyyy")</f>
        <v>2015</v>
      </c>
      <c r="Y740" s="12">
        <v>42050</v>
      </c>
      <c r="Z740" s="11">
        <v>606.05459999999994</v>
      </c>
      <c r="AA740" s="11">
        <v>6</v>
      </c>
      <c r="AB740" s="11">
        <v>878.34</v>
      </c>
      <c r="AC740" s="11">
        <v>90662</v>
      </c>
      <c r="AD740" s="6" t="str">
        <f>IF(COUNTIF(Returns!$A$2:$A$1635,Orders!AC740)&gt;0,"Returned","Not Returned")</f>
        <v>Not Returned</v>
      </c>
    </row>
    <row r="741" spans="1:30" ht="12.75" customHeight="1" thickTop="1" thickBot="1" x14ac:dyDescent="0.25">
      <c r="A741" s="8">
        <v>19991</v>
      </c>
      <c r="B741" s="1" t="s">
        <v>37</v>
      </c>
      <c r="C741" s="1">
        <v>0.04</v>
      </c>
      <c r="D741" s="1">
        <v>176.19</v>
      </c>
      <c r="E741" s="1">
        <v>11.87</v>
      </c>
      <c r="F741" s="1">
        <v>1298</v>
      </c>
      <c r="G741" s="6" t="str">
        <f>IF(COUNTIF(Table1[Customer ID],Table1[[#This Row],[Customer ID]])&gt;1,"Repeat Customer","One-Time Customer")</f>
        <v>Repeat Customer</v>
      </c>
      <c r="H741" s="1" t="s">
        <v>1381</v>
      </c>
      <c r="I741" s="1" t="s">
        <v>49</v>
      </c>
      <c r="J741" s="1" t="s">
        <v>40</v>
      </c>
      <c r="K741" s="1" t="s">
        <v>29</v>
      </c>
      <c r="L741" s="1" t="s">
        <v>141</v>
      </c>
      <c r="M741" s="1" t="s">
        <v>59</v>
      </c>
      <c r="N741" s="1" t="s">
        <v>1382</v>
      </c>
      <c r="O741" s="1">
        <v>0.62</v>
      </c>
      <c r="P741" s="6">
        <f>Table1[[#This Row],[Profit]]/Table1[[#This Row],[Sales]]</f>
        <v>0.47312177601726357</v>
      </c>
      <c r="Q741" s="1" t="s">
        <v>33</v>
      </c>
      <c r="R741" s="1" t="s">
        <v>61</v>
      </c>
      <c r="S741" s="1" t="s">
        <v>130</v>
      </c>
      <c r="T741" s="1" t="s">
        <v>1321</v>
      </c>
      <c r="U741" s="1">
        <v>75482</v>
      </c>
      <c r="V741" s="9">
        <v>42047</v>
      </c>
      <c r="W741" s="13" t="str">
        <f>TEXT(Table1[[#This Row],[Order Date]],"mmmm")</f>
        <v>February</v>
      </c>
      <c r="X741" s="7" t="str">
        <f>TEXT(Table1[[#This Row],[Order Date]],"yyyy")</f>
        <v>2015</v>
      </c>
      <c r="Y741" s="9">
        <v>42049</v>
      </c>
      <c r="Z741" s="1">
        <v>320.10000000000002</v>
      </c>
      <c r="AA741" s="1">
        <v>4</v>
      </c>
      <c r="AB741" s="1">
        <v>676.57</v>
      </c>
      <c r="AC741" s="1">
        <v>90662</v>
      </c>
      <c r="AD741" s="6" t="str">
        <f>IF(COUNTIF(Returns!$A$2:$A$1635,Orders!AC741)&gt;0,"Returned","Not Returned")</f>
        <v>Not Returned</v>
      </c>
    </row>
    <row r="742" spans="1:30" ht="12.75" customHeight="1" thickTop="1" thickBot="1" x14ac:dyDescent="0.25">
      <c r="A742" s="10">
        <v>23120</v>
      </c>
      <c r="B742" s="11" t="s">
        <v>25</v>
      </c>
      <c r="C742" s="11">
        <v>0.03</v>
      </c>
      <c r="D742" s="11">
        <v>39.479999999999997</v>
      </c>
      <c r="E742" s="11">
        <v>1.99</v>
      </c>
      <c r="F742" s="11">
        <v>1303</v>
      </c>
      <c r="G742" s="6" t="str">
        <f>IF(COUNTIF(Table1[Customer ID],Table1[[#This Row],[Customer ID]])&gt;1,"Repeat Customer","One-Time Customer")</f>
        <v>Repeat Customer</v>
      </c>
      <c r="H742" s="11" t="s">
        <v>1383</v>
      </c>
      <c r="I742" s="11" t="s">
        <v>49</v>
      </c>
      <c r="J742" s="11" t="s">
        <v>114</v>
      </c>
      <c r="K742" s="11" t="s">
        <v>77</v>
      </c>
      <c r="L742" s="11" t="s">
        <v>180</v>
      </c>
      <c r="M742" s="11" t="s">
        <v>51</v>
      </c>
      <c r="N742" s="11" t="s">
        <v>705</v>
      </c>
      <c r="O742" s="11">
        <v>0.54</v>
      </c>
      <c r="P742" s="6">
        <f>Table1[[#This Row],[Profit]]/Table1[[#This Row],[Sales]]</f>
        <v>0.69</v>
      </c>
      <c r="Q742" s="11" t="s">
        <v>33</v>
      </c>
      <c r="R742" s="11" t="s">
        <v>34</v>
      </c>
      <c r="S742" s="11" t="s">
        <v>212</v>
      </c>
      <c r="T742" s="11" t="s">
        <v>1384</v>
      </c>
      <c r="U742" s="11">
        <v>84074</v>
      </c>
      <c r="V742" s="12">
        <v>42054</v>
      </c>
      <c r="W742" s="13" t="str">
        <f>TEXT(Table1[[#This Row],[Order Date]],"mmmm")</f>
        <v>February</v>
      </c>
      <c r="X742" s="7" t="str">
        <f>TEXT(Table1[[#This Row],[Order Date]],"yyyy")</f>
        <v>2015</v>
      </c>
      <c r="Y742" s="12">
        <v>42056</v>
      </c>
      <c r="Z742" s="11">
        <v>317.08949999999999</v>
      </c>
      <c r="AA742" s="11">
        <v>12</v>
      </c>
      <c r="AB742" s="11">
        <v>459.55</v>
      </c>
      <c r="AC742" s="11">
        <v>87003</v>
      </c>
      <c r="AD742" s="6" t="str">
        <f>IF(COUNTIF(Returns!$A$2:$A$1635,Orders!AC742)&gt;0,"Returned","Not Returned")</f>
        <v>Not Returned</v>
      </c>
    </row>
    <row r="743" spans="1:30" ht="12.75" customHeight="1" thickTop="1" thickBot="1" x14ac:dyDescent="0.25">
      <c r="A743" s="8">
        <v>20652</v>
      </c>
      <c r="B743" s="1" t="s">
        <v>106</v>
      </c>
      <c r="C743" s="1">
        <v>0.01</v>
      </c>
      <c r="D743" s="1">
        <v>65.989999999999995</v>
      </c>
      <c r="E743" s="1">
        <v>5.31</v>
      </c>
      <c r="F743" s="1">
        <v>1303</v>
      </c>
      <c r="G743" s="6" t="str">
        <f>IF(COUNTIF(Table1[Customer ID],Table1[[#This Row],[Customer ID]])&gt;1,"Repeat Customer","One-Time Customer")</f>
        <v>Repeat Customer</v>
      </c>
      <c r="H743" s="1" t="s">
        <v>1383</v>
      </c>
      <c r="I743" s="1" t="s">
        <v>49</v>
      </c>
      <c r="J743" s="1" t="s">
        <v>114</v>
      </c>
      <c r="K743" s="1" t="s">
        <v>77</v>
      </c>
      <c r="L743" s="1" t="s">
        <v>78</v>
      </c>
      <c r="M743" s="1" t="s">
        <v>59</v>
      </c>
      <c r="N743" s="1" t="s">
        <v>1385</v>
      </c>
      <c r="O743" s="1">
        <v>0.56999999999999995</v>
      </c>
      <c r="P743" s="6">
        <f>Table1[[#This Row],[Profit]]/Table1[[#This Row],[Sales]]</f>
        <v>0.46631164090147148</v>
      </c>
      <c r="Q743" s="1" t="s">
        <v>33</v>
      </c>
      <c r="R743" s="1" t="s">
        <v>34</v>
      </c>
      <c r="S743" s="1" t="s">
        <v>212</v>
      </c>
      <c r="T743" s="1" t="s">
        <v>1384</v>
      </c>
      <c r="U743" s="1">
        <v>84074</v>
      </c>
      <c r="V743" s="9">
        <v>42054</v>
      </c>
      <c r="W743" s="13" t="str">
        <f>TEXT(Table1[[#This Row],[Order Date]],"mmmm")</f>
        <v>February</v>
      </c>
      <c r="X743" s="7" t="str">
        <f>TEXT(Table1[[#This Row],[Order Date]],"yyyy")</f>
        <v>2015</v>
      </c>
      <c r="Y743" s="9">
        <v>42061</v>
      </c>
      <c r="Z743" s="1">
        <v>250.36272000000002</v>
      </c>
      <c r="AA743" s="1">
        <v>9</v>
      </c>
      <c r="AB743" s="1">
        <v>536.9</v>
      </c>
      <c r="AC743" s="1">
        <v>87005</v>
      </c>
      <c r="AD743" s="6" t="str">
        <f>IF(COUNTIF(Returns!$A$2:$A$1635,Orders!AC743)&gt;0,"Returned","Not Returned")</f>
        <v>Not Returned</v>
      </c>
    </row>
    <row r="744" spans="1:30" ht="12.75" customHeight="1" thickTop="1" thickBot="1" x14ac:dyDescent="0.25">
      <c r="A744" s="10">
        <v>25092</v>
      </c>
      <c r="B744" s="11" t="s">
        <v>56</v>
      </c>
      <c r="C744" s="11">
        <v>0.08</v>
      </c>
      <c r="D744" s="11">
        <v>2.88</v>
      </c>
      <c r="E744" s="11">
        <v>0.5</v>
      </c>
      <c r="F744" s="11">
        <v>1304</v>
      </c>
      <c r="G744" s="6" t="str">
        <f>IF(COUNTIF(Table1[Customer ID],Table1[[#This Row],[Customer ID]])&gt;1,"Repeat Customer","One-Time Customer")</f>
        <v>One-Time Customer</v>
      </c>
      <c r="H744" s="11" t="s">
        <v>1386</v>
      </c>
      <c r="I744" s="11" t="s">
        <v>49</v>
      </c>
      <c r="J744" s="11" t="s">
        <v>114</v>
      </c>
      <c r="K744" s="11" t="s">
        <v>29</v>
      </c>
      <c r="L744" s="11" t="s">
        <v>134</v>
      </c>
      <c r="M744" s="11" t="s">
        <v>59</v>
      </c>
      <c r="N744" s="11" t="s">
        <v>1387</v>
      </c>
      <c r="O744" s="11">
        <v>0.39</v>
      </c>
      <c r="P744" s="6">
        <f>Table1[[#This Row],[Profit]]/Table1[[#This Row],[Sales]]</f>
        <v>0.69</v>
      </c>
      <c r="Q744" s="11" t="s">
        <v>33</v>
      </c>
      <c r="R744" s="11" t="s">
        <v>34</v>
      </c>
      <c r="S744" s="11" t="s">
        <v>212</v>
      </c>
      <c r="T744" s="11" t="s">
        <v>1388</v>
      </c>
      <c r="U744" s="11">
        <v>84084</v>
      </c>
      <c r="V744" s="12">
        <v>42117</v>
      </c>
      <c r="W744" s="13" t="str">
        <f>TEXT(Table1[[#This Row],[Order Date]],"mmmm")</f>
        <v>April</v>
      </c>
      <c r="X744" s="7" t="str">
        <f>TEXT(Table1[[#This Row],[Order Date]],"yyyy")</f>
        <v>2015</v>
      </c>
      <c r="Y744" s="12">
        <v>42118</v>
      </c>
      <c r="Z744" s="11">
        <v>6.0305999999999997</v>
      </c>
      <c r="AA744" s="11">
        <v>3</v>
      </c>
      <c r="AB744" s="11">
        <v>8.74</v>
      </c>
      <c r="AC744" s="11">
        <v>87004</v>
      </c>
      <c r="AD744" s="6" t="str">
        <f>IF(COUNTIF(Returns!$A$2:$A$1635,Orders!AC744)&gt;0,"Returned","Not Returned")</f>
        <v>Not Returned</v>
      </c>
    </row>
    <row r="745" spans="1:30" ht="12.75" customHeight="1" thickTop="1" thickBot="1" x14ac:dyDescent="0.25">
      <c r="A745" s="8">
        <v>26274</v>
      </c>
      <c r="B745" s="1" t="s">
        <v>25</v>
      </c>
      <c r="C745" s="1">
        <v>0.04</v>
      </c>
      <c r="D745" s="1">
        <v>62.18</v>
      </c>
      <c r="E745" s="1">
        <v>10.84</v>
      </c>
      <c r="F745" s="1">
        <v>1305</v>
      </c>
      <c r="G745" s="6" t="str">
        <f>IF(COUNTIF(Table1[Customer ID],Table1[[#This Row],[Customer ID]])&gt;1,"Repeat Customer","One-Time Customer")</f>
        <v>One-Time Customer</v>
      </c>
      <c r="H745" s="1" t="s">
        <v>1389</v>
      </c>
      <c r="I745" s="1" t="s">
        <v>49</v>
      </c>
      <c r="J745" s="1" t="s">
        <v>114</v>
      </c>
      <c r="K745" s="1" t="s">
        <v>41</v>
      </c>
      <c r="L745" s="1" t="s">
        <v>50</v>
      </c>
      <c r="M745" s="1" t="s">
        <v>86</v>
      </c>
      <c r="N745" s="1" t="s">
        <v>1390</v>
      </c>
      <c r="O745" s="1">
        <v>0.63</v>
      </c>
      <c r="P745" s="6">
        <f>Table1[[#This Row],[Profit]]/Table1[[#This Row],[Sales]]</f>
        <v>0.69</v>
      </c>
      <c r="Q745" s="1" t="s">
        <v>33</v>
      </c>
      <c r="R745" s="1" t="s">
        <v>34</v>
      </c>
      <c r="S745" s="1" t="s">
        <v>212</v>
      </c>
      <c r="T745" s="1" t="s">
        <v>1391</v>
      </c>
      <c r="U745" s="1">
        <v>84120</v>
      </c>
      <c r="V745" s="9">
        <v>42052</v>
      </c>
      <c r="W745" s="13" t="str">
        <f>TEXT(Table1[[#This Row],[Order Date]],"mmmm")</f>
        <v>February</v>
      </c>
      <c r="X745" s="7" t="str">
        <f>TEXT(Table1[[#This Row],[Order Date]],"yyyy")</f>
        <v>2015</v>
      </c>
      <c r="Y745" s="9">
        <v>42054</v>
      </c>
      <c r="Z745" s="1">
        <v>125.8077</v>
      </c>
      <c r="AA745" s="1">
        <v>3</v>
      </c>
      <c r="AB745" s="1">
        <v>182.33</v>
      </c>
      <c r="AC745" s="1">
        <v>87002</v>
      </c>
      <c r="AD745" s="6" t="str">
        <f>IF(COUNTIF(Returns!$A$2:$A$1635,Orders!AC745)&gt;0,"Returned","Not Returned")</f>
        <v>Not Returned</v>
      </c>
    </row>
    <row r="746" spans="1:30" ht="12.75" customHeight="1" thickTop="1" thickBot="1" x14ac:dyDescent="0.25">
      <c r="A746" s="10">
        <v>22832</v>
      </c>
      <c r="B746" s="11" t="s">
        <v>106</v>
      </c>
      <c r="C746" s="11">
        <v>0.04</v>
      </c>
      <c r="D746" s="11">
        <v>8.33</v>
      </c>
      <c r="E746" s="11">
        <v>1.99</v>
      </c>
      <c r="F746" s="11">
        <v>1307</v>
      </c>
      <c r="G746" s="6" t="str">
        <f>IF(COUNTIF(Table1[Customer ID],Table1[[#This Row],[Customer ID]])&gt;1,"Repeat Customer","One-Time Customer")</f>
        <v>One-Time Customer</v>
      </c>
      <c r="H746" s="11" t="s">
        <v>1392</v>
      </c>
      <c r="I746" s="11" t="s">
        <v>49</v>
      </c>
      <c r="J746" s="11" t="s">
        <v>58</v>
      </c>
      <c r="K746" s="11" t="s">
        <v>77</v>
      </c>
      <c r="L746" s="11" t="s">
        <v>180</v>
      </c>
      <c r="M746" s="11" t="s">
        <v>51</v>
      </c>
      <c r="N746" s="11" t="s">
        <v>414</v>
      </c>
      <c r="O746" s="11">
        <v>0.52</v>
      </c>
      <c r="P746" s="6">
        <f>Table1[[#This Row],[Profit]]/Table1[[#This Row],[Sales]]</f>
        <v>0.34200822794453756</v>
      </c>
      <c r="Q746" s="11" t="s">
        <v>33</v>
      </c>
      <c r="R746" s="11" t="s">
        <v>34</v>
      </c>
      <c r="S746" s="11" t="s">
        <v>102</v>
      </c>
      <c r="T746" s="11" t="s">
        <v>1393</v>
      </c>
      <c r="U746" s="11">
        <v>97420</v>
      </c>
      <c r="V746" s="12">
        <v>42185</v>
      </c>
      <c r="W746" s="13" t="str">
        <f>TEXT(Table1[[#This Row],[Order Date]],"mmmm")</f>
        <v>June</v>
      </c>
      <c r="X746" s="7" t="str">
        <f>TEXT(Table1[[#This Row],[Order Date]],"yyyy")</f>
        <v>2015</v>
      </c>
      <c r="Y746" s="12">
        <v>42192</v>
      </c>
      <c r="Z746" s="11">
        <v>44.891999999999996</v>
      </c>
      <c r="AA746" s="11">
        <v>16</v>
      </c>
      <c r="AB746" s="11">
        <v>131.26</v>
      </c>
      <c r="AC746" s="11">
        <v>91451</v>
      </c>
      <c r="AD746" s="6" t="str">
        <f>IF(COUNTIF(Returns!$A$2:$A$1635,Orders!AC746)&gt;0,"Returned","Not Returned")</f>
        <v>Not Returned</v>
      </c>
    </row>
    <row r="747" spans="1:30" ht="12.75" customHeight="1" thickTop="1" thickBot="1" x14ac:dyDescent="0.25">
      <c r="A747" s="8">
        <v>3167</v>
      </c>
      <c r="B747" s="1" t="s">
        <v>56</v>
      </c>
      <c r="C747" s="1">
        <v>0.04</v>
      </c>
      <c r="D747" s="1">
        <v>5.34</v>
      </c>
      <c r="E747" s="1">
        <v>2.99</v>
      </c>
      <c r="F747" s="1">
        <v>1314</v>
      </c>
      <c r="G747" s="6" t="str">
        <f>IF(COUNTIF(Table1[Customer ID],Table1[[#This Row],[Customer ID]])&gt;1,"Repeat Customer","One-Time Customer")</f>
        <v>Repeat Customer</v>
      </c>
      <c r="H747" s="1" t="s">
        <v>1394</v>
      </c>
      <c r="I747" s="1" t="s">
        <v>49</v>
      </c>
      <c r="J747" s="1" t="s">
        <v>40</v>
      </c>
      <c r="K747" s="1" t="s">
        <v>29</v>
      </c>
      <c r="L747" s="1" t="s">
        <v>109</v>
      </c>
      <c r="M747" s="1" t="s">
        <v>59</v>
      </c>
      <c r="N747" s="1" t="s">
        <v>822</v>
      </c>
      <c r="O747" s="1">
        <v>0.38</v>
      </c>
      <c r="P747" s="6">
        <f>Table1[[#This Row],[Profit]]/Table1[[#This Row],[Sales]]</f>
        <v>1.4343308395677472E-2</v>
      </c>
      <c r="Q747" s="1" t="s">
        <v>33</v>
      </c>
      <c r="R747" s="1" t="s">
        <v>34</v>
      </c>
      <c r="S747" s="1" t="s">
        <v>45</v>
      </c>
      <c r="T747" s="1" t="s">
        <v>663</v>
      </c>
      <c r="U747" s="1">
        <v>90058</v>
      </c>
      <c r="V747" s="9">
        <v>42093</v>
      </c>
      <c r="W747" s="13" t="str">
        <f>TEXT(Table1[[#This Row],[Order Date]],"mmmm")</f>
        <v>March</v>
      </c>
      <c r="X747" s="7" t="str">
        <f>TEXT(Table1[[#This Row],[Order Date]],"yyyy")</f>
        <v>2015</v>
      </c>
      <c r="Y747" s="9">
        <v>42095</v>
      </c>
      <c r="Z747" s="1">
        <v>3.4509999999999996</v>
      </c>
      <c r="AA747" s="1">
        <v>45</v>
      </c>
      <c r="AB747" s="1">
        <v>240.6</v>
      </c>
      <c r="AC747" s="1">
        <v>22755</v>
      </c>
      <c r="AD747" s="6" t="str">
        <f>IF(COUNTIF(Returns!$A$2:$A$1635,Orders!AC747)&gt;0,"Returned","Not Returned")</f>
        <v>Not Returned</v>
      </c>
    </row>
    <row r="748" spans="1:30" ht="12.75" customHeight="1" thickTop="1" thickBot="1" x14ac:dyDescent="0.25">
      <c r="A748" s="10">
        <v>3168</v>
      </c>
      <c r="B748" s="11" t="s">
        <v>56</v>
      </c>
      <c r="C748" s="11">
        <v>0.06</v>
      </c>
      <c r="D748" s="11">
        <v>55.99</v>
      </c>
      <c r="E748" s="11">
        <v>5</v>
      </c>
      <c r="F748" s="11">
        <v>1314</v>
      </c>
      <c r="G748" s="6" t="str">
        <f>IF(COUNTIF(Table1[Customer ID],Table1[[#This Row],[Customer ID]])&gt;1,"Repeat Customer","One-Time Customer")</f>
        <v>Repeat Customer</v>
      </c>
      <c r="H748" s="11" t="s">
        <v>1394</v>
      </c>
      <c r="I748" s="11" t="s">
        <v>49</v>
      </c>
      <c r="J748" s="11" t="s">
        <v>40</v>
      </c>
      <c r="K748" s="11" t="s">
        <v>77</v>
      </c>
      <c r="L748" s="11" t="s">
        <v>78</v>
      </c>
      <c r="M748" s="11" t="s">
        <v>51</v>
      </c>
      <c r="N748" s="11" t="s">
        <v>689</v>
      </c>
      <c r="O748" s="11">
        <v>0.8</v>
      </c>
      <c r="P748" s="6">
        <f>Table1[[#This Row],[Profit]]/Table1[[#This Row],[Sales]]</f>
        <v>-1.1619934143870314</v>
      </c>
      <c r="Q748" s="11" t="s">
        <v>33</v>
      </c>
      <c r="R748" s="11" t="s">
        <v>34</v>
      </c>
      <c r="S748" s="11" t="s">
        <v>45</v>
      </c>
      <c r="T748" s="11" t="s">
        <v>663</v>
      </c>
      <c r="U748" s="11">
        <v>90058</v>
      </c>
      <c r="V748" s="12">
        <v>42093</v>
      </c>
      <c r="W748" s="13" t="str">
        <f>TEXT(Table1[[#This Row],[Order Date]],"mmmm")</f>
        <v>March</v>
      </c>
      <c r="X748" s="7" t="str">
        <f>TEXT(Table1[[#This Row],[Order Date]],"yyyy")</f>
        <v>2015</v>
      </c>
      <c r="Y748" s="12">
        <v>42095</v>
      </c>
      <c r="Z748" s="11">
        <v>-275.25299999999999</v>
      </c>
      <c r="AA748" s="11">
        <v>5</v>
      </c>
      <c r="AB748" s="11">
        <v>236.88</v>
      </c>
      <c r="AC748" s="11">
        <v>22755</v>
      </c>
      <c r="AD748" s="6" t="str">
        <f>IF(COUNTIF(Returns!$A$2:$A$1635,Orders!AC748)&gt;0,"Returned","Not Returned")</f>
        <v>Not Returned</v>
      </c>
    </row>
    <row r="749" spans="1:30" ht="12.75" customHeight="1" thickTop="1" thickBot="1" x14ac:dyDescent="0.25">
      <c r="A749" s="8">
        <v>3791</v>
      </c>
      <c r="B749" s="1" t="s">
        <v>106</v>
      </c>
      <c r="C749" s="1">
        <v>0.05</v>
      </c>
      <c r="D749" s="1">
        <v>80.98</v>
      </c>
      <c r="E749" s="1">
        <v>35</v>
      </c>
      <c r="F749" s="1">
        <v>1314</v>
      </c>
      <c r="G749" s="6" t="str">
        <f>IF(COUNTIF(Table1[Customer ID],Table1[[#This Row],[Customer ID]])&gt;1,"Repeat Customer","One-Time Customer")</f>
        <v>Repeat Customer</v>
      </c>
      <c r="H749" s="1" t="s">
        <v>1394</v>
      </c>
      <c r="I749" s="1" t="s">
        <v>49</v>
      </c>
      <c r="J749" s="1" t="s">
        <v>40</v>
      </c>
      <c r="K749" s="1" t="s">
        <v>29</v>
      </c>
      <c r="L749" s="1" t="s">
        <v>141</v>
      </c>
      <c r="M749" s="1" t="s">
        <v>236</v>
      </c>
      <c r="N749" s="1" t="s">
        <v>1352</v>
      </c>
      <c r="O749" s="1">
        <v>0.81</v>
      </c>
      <c r="P749" s="6">
        <f>Table1[[#This Row],[Profit]]/Table1[[#This Row],[Sales]]</f>
        <v>-0.27539135279121335</v>
      </c>
      <c r="Q749" s="1" t="s">
        <v>33</v>
      </c>
      <c r="R749" s="1" t="s">
        <v>34</v>
      </c>
      <c r="S749" s="1" t="s">
        <v>45</v>
      </c>
      <c r="T749" s="1" t="s">
        <v>663</v>
      </c>
      <c r="U749" s="1">
        <v>90058</v>
      </c>
      <c r="V749" s="9">
        <v>42009</v>
      </c>
      <c r="W749" s="13" t="str">
        <f>TEXT(Table1[[#This Row],[Order Date]],"mmmm")</f>
        <v>January</v>
      </c>
      <c r="X749" s="7" t="str">
        <f>TEXT(Table1[[#This Row],[Order Date]],"yyyy")</f>
        <v>2015</v>
      </c>
      <c r="Y749" s="9">
        <v>42013</v>
      </c>
      <c r="Z749" s="1">
        <v>-746.44</v>
      </c>
      <c r="AA749" s="1">
        <v>34</v>
      </c>
      <c r="AB749" s="1">
        <v>2710.47</v>
      </c>
      <c r="AC749" s="1">
        <v>27013</v>
      </c>
      <c r="AD749" s="6" t="str">
        <f>IF(COUNTIF(Returns!$A$2:$A$1635,Orders!AC749)&gt;0,"Returned","Not Returned")</f>
        <v>Not Returned</v>
      </c>
    </row>
    <row r="750" spans="1:30" ht="12.75" customHeight="1" thickTop="1" thickBot="1" x14ac:dyDescent="0.25">
      <c r="A750" s="10">
        <v>3792</v>
      </c>
      <c r="B750" s="11" t="s">
        <v>106</v>
      </c>
      <c r="C750" s="11">
        <v>0.05</v>
      </c>
      <c r="D750" s="11">
        <v>279.48</v>
      </c>
      <c r="E750" s="11">
        <v>35</v>
      </c>
      <c r="F750" s="11">
        <v>1314</v>
      </c>
      <c r="G750" s="6" t="str">
        <f>IF(COUNTIF(Table1[Customer ID],Table1[[#This Row],[Customer ID]])&gt;1,"Repeat Customer","One-Time Customer")</f>
        <v>Repeat Customer</v>
      </c>
      <c r="H750" s="11" t="s">
        <v>1394</v>
      </c>
      <c r="I750" s="11" t="s">
        <v>49</v>
      </c>
      <c r="J750" s="11" t="s">
        <v>40</v>
      </c>
      <c r="K750" s="11" t="s">
        <v>29</v>
      </c>
      <c r="L750" s="11" t="s">
        <v>141</v>
      </c>
      <c r="M750" s="11" t="s">
        <v>236</v>
      </c>
      <c r="N750" s="11" t="s">
        <v>810</v>
      </c>
      <c r="O750" s="11">
        <v>0.8</v>
      </c>
      <c r="P750" s="6">
        <f>Table1[[#This Row],[Profit]]/Table1[[#This Row],[Sales]]</f>
        <v>-3.2909501563784825E-2</v>
      </c>
      <c r="Q750" s="11" t="s">
        <v>33</v>
      </c>
      <c r="R750" s="11" t="s">
        <v>34</v>
      </c>
      <c r="S750" s="11" t="s">
        <v>45</v>
      </c>
      <c r="T750" s="11" t="s">
        <v>663</v>
      </c>
      <c r="U750" s="11">
        <v>90058</v>
      </c>
      <c r="V750" s="12">
        <v>42009</v>
      </c>
      <c r="W750" s="13" t="str">
        <f>TEXT(Table1[[#This Row],[Order Date]],"mmmm")</f>
        <v>January</v>
      </c>
      <c r="X750" s="7" t="str">
        <f>TEXT(Table1[[#This Row],[Order Date]],"yyyy")</f>
        <v>2015</v>
      </c>
      <c r="Y750" s="12">
        <v>42009</v>
      </c>
      <c r="Z750" s="11">
        <v>-274.95</v>
      </c>
      <c r="AA750" s="11">
        <v>31</v>
      </c>
      <c r="AB750" s="11">
        <v>8354.73</v>
      </c>
      <c r="AC750" s="11">
        <v>27013</v>
      </c>
      <c r="AD750" s="6" t="str">
        <f>IF(COUNTIF(Returns!$A$2:$A$1635,Orders!AC750)&gt;0,"Returned","Not Returned")</f>
        <v>Not Returned</v>
      </c>
    </row>
    <row r="751" spans="1:30" ht="12.75" customHeight="1" thickTop="1" thickBot="1" x14ac:dyDescent="0.25">
      <c r="A751" s="8">
        <v>21166</v>
      </c>
      <c r="B751" s="1" t="s">
        <v>56</v>
      </c>
      <c r="C751" s="1">
        <v>0</v>
      </c>
      <c r="D751" s="1">
        <v>4.91</v>
      </c>
      <c r="E751" s="1">
        <v>5.68</v>
      </c>
      <c r="F751" s="1">
        <v>1315</v>
      </c>
      <c r="G751" s="6" t="str">
        <f>IF(COUNTIF(Table1[Customer ID],Table1[[#This Row],[Customer ID]])&gt;1,"Repeat Customer","One-Time Customer")</f>
        <v>One-Time Customer</v>
      </c>
      <c r="H751" s="1" t="s">
        <v>1395</v>
      </c>
      <c r="I751" s="1" t="s">
        <v>49</v>
      </c>
      <c r="J751" s="1" t="s">
        <v>40</v>
      </c>
      <c r="K751" s="1" t="s">
        <v>29</v>
      </c>
      <c r="L751" s="1" t="s">
        <v>109</v>
      </c>
      <c r="M751" s="1" t="s">
        <v>59</v>
      </c>
      <c r="N751" s="1" t="s">
        <v>1396</v>
      </c>
      <c r="O751" s="1">
        <v>0.36</v>
      </c>
      <c r="P751" s="6">
        <f>Table1[[#This Row],[Profit]]/Table1[[#This Row],[Sales]]</f>
        <v>-1.967857142857143</v>
      </c>
      <c r="Q751" s="1" t="s">
        <v>33</v>
      </c>
      <c r="R751" s="1" t="s">
        <v>34</v>
      </c>
      <c r="S751" s="1" t="s">
        <v>255</v>
      </c>
      <c r="T751" s="1" t="s">
        <v>1397</v>
      </c>
      <c r="U751" s="1">
        <v>80906</v>
      </c>
      <c r="V751" s="9">
        <v>42093</v>
      </c>
      <c r="W751" s="13" t="str">
        <f>TEXT(Table1[[#This Row],[Order Date]],"mmmm")</f>
        <v>March</v>
      </c>
      <c r="X751" s="7" t="str">
        <f>TEXT(Table1[[#This Row],[Order Date]],"yyyy")</f>
        <v>2015</v>
      </c>
      <c r="Y751" s="9">
        <v>42094</v>
      </c>
      <c r="Z751" s="1">
        <v>-95.047499999999999</v>
      </c>
      <c r="AA751" s="1">
        <v>9</v>
      </c>
      <c r="AB751" s="1">
        <v>48.3</v>
      </c>
      <c r="AC751" s="1">
        <v>87602</v>
      </c>
      <c r="AD751" s="6" t="str">
        <f>IF(COUNTIF(Returns!$A$2:$A$1635,Orders!AC751)&gt;0,"Returned","Not Returned")</f>
        <v>Not Returned</v>
      </c>
    </row>
    <row r="752" spans="1:30" ht="12.75" customHeight="1" thickTop="1" thickBot="1" x14ac:dyDescent="0.25">
      <c r="A752" s="10">
        <v>21167</v>
      </c>
      <c r="B752" s="11" t="s">
        <v>56</v>
      </c>
      <c r="C752" s="11">
        <v>0.04</v>
      </c>
      <c r="D752" s="11">
        <v>5.34</v>
      </c>
      <c r="E752" s="11">
        <v>2.99</v>
      </c>
      <c r="F752" s="11">
        <v>1316</v>
      </c>
      <c r="G752" s="6" t="str">
        <f>IF(COUNTIF(Table1[Customer ID],Table1[[#This Row],[Customer ID]])&gt;1,"Repeat Customer","One-Time Customer")</f>
        <v>Repeat Customer</v>
      </c>
      <c r="H752" s="11" t="s">
        <v>1398</v>
      </c>
      <c r="I752" s="11" t="s">
        <v>49</v>
      </c>
      <c r="J752" s="11" t="s">
        <v>40</v>
      </c>
      <c r="K752" s="11" t="s">
        <v>29</v>
      </c>
      <c r="L752" s="11" t="s">
        <v>109</v>
      </c>
      <c r="M752" s="11" t="s">
        <v>59</v>
      </c>
      <c r="N752" s="11" t="s">
        <v>822</v>
      </c>
      <c r="O752" s="11">
        <v>0.38</v>
      </c>
      <c r="P752" s="6">
        <f>Table1[[#This Row],[Profit]]/Table1[[#This Row],[Sales]]</f>
        <v>5.8680496514198259E-2</v>
      </c>
      <c r="Q752" s="11" t="s">
        <v>33</v>
      </c>
      <c r="R752" s="11" t="s">
        <v>34</v>
      </c>
      <c r="S752" s="11" t="s">
        <v>255</v>
      </c>
      <c r="T752" s="11" t="s">
        <v>1399</v>
      </c>
      <c r="U752" s="11">
        <v>80022</v>
      </c>
      <c r="V752" s="12">
        <v>42093</v>
      </c>
      <c r="W752" s="13" t="str">
        <f>TEXT(Table1[[#This Row],[Order Date]],"mmmm")</f>
        <v>March</v>
      </c>
      <c r="X752" s="7" t="str">
        <f>TEXT(Table1[[#This Row],[Order Date]],"yyyy")</f>
        <v>2015</v>
      </c>
      <c r="Y752" s="12">
        <v>42095</v>
      </c>
      <c r="Z752" s="11">
        <v>3.4509999999999996</v>
      </c>
      <c r="AA752" s="11">
        <v>11</v>
      </c>
      <c r="AB752" s="11">
        <v>58.81</v>
      </c>
      <c r="AC752" s="11">
        <v>87602</v>
      </c>
      <c r="AD752" s="6" t="str">
        <f>IF(COUNTIF(Returns!$A$2:$A$1635,Orders!AC752)&gt;0,"Returned","Not Returned")</f>
        <v>Not Returned</v>
      </c>
    </row>
    <row r="753" spans="1:30" ht="12.75" customHeight="1" thickTop="1" thickBot="1" x14ac:dyDescent="0.25">
      <c r="A753" s="8">
        <v>21168</v>
      </c>
      <c r="B753" s="1" t="s">
        <v>56</v>
      </c>
      <c r="C753" s="1">
        <v>0.06</v>
      </c>
      <c r="D753" s="1">
        <v>55.99</v>
      </c>
      <c r="E753" s="1">
        <v>5</v>
      </c>
      <c r="F753" s="1">
        <v>1316</v>
      </c>
      <c r="G753" s="6" t="str">
        <f>IF(COUNTIF(Table1[Customer ID],Table1[[#This Row],[Customer ID]])&gt;1,"Repeat Customer","One-Time Customer")</f>
        <v>Repeat Customer</v>
      </c>
      <c r="H753" s="1" t="s">
        <v>1398</v>
      </c>
      <c r="I753" s="1" t="s">
        <v>49</v>
      </c>
      <c r="J753" s="1" t="s">
        <v>40</v>
      </c>
      <c r="K753" s="1" t="s">
        <v>77</v>
      </c>
      <c r="L753" s="1" t="s">
        <v>78</v>
      </c>
      <c r="M753" s="1" t="s">
        <v>51</v>
      </c>
      <c r="N753" s="1" t="s">
        <v>689</v>
      </c>
      <c r="O753" s="1">
        <v>0.8</v>
      </c>
      <c r="P753" s="6">
        <f>Table1[[#This Row],[Profit]]/Table1[[#This Row],[Sales]]</f>
        <v>-5.8094765723934145</v>
      </c>
      <c r="Q753" s="1" t="s">
        <v>33</v>
      </c>
      <c r="R753" s="1" t="s">
        <v>34</v>
      </c>
      <c r="S753" s="1" t="s">
        <v>255</v>
      </c>
      <c r="T753" s="1" t="s">
        <v>1399</v>
      </c>
      <c r="U753" s="1">
        <v>80022</v>
      </c>
      <c r="V753" s="9">
        <v>42093</v>
      </c>
      <c r="W753" s="13" t="str">
        <f>TEXT(Table1[[#This Row],[Order Date]],"mmmm")</f>
        <v>March</v>
      </c>
      <c r="X753" s="7" t="str">
        <f>TEXT(Table1[[#This Row],[Order Date]],"yyyy")</f>
        <v>2015</v>
      </c>
      <c r="Y753" s="9">
        <v>42095</v>
      </c>
      <c r="Z753" s="1">
        <v>-275.25299999999999</v>
      </c>
      <c r="AA753" s="1">
        <v>1</v>
      </c>
      <c r="AB753" s="1">
        <v>47.38</v>
      </c>
      <c r="AC753" s="1">
        <v>87602</v>
      </c>
      <c r="AD753" s="6" t="str">
        <f>IF(COUNTIF(Returns!$A$2:$A$1635,Orders!AC753)&gt;0,"Returned","Not Returned")</f>
        <v>Not Returned</v>
      </c>
    </row>
    <row r="754" spans="1:30" ht="12.75" customHeight="1" thickTop="1" thickBot="1" x14ac:dyDescent="0.25">
      <c r="A754" s="10">
        <v>21791</v>
      </c>
      <c r="B754" s="11" t="s">
        <v>106</v>
      </c>
      <c r="C754" s="11">
        <v>0.05</v>
      </c>
      <c r="D754" s="11">
        <v>80.98</v>
      </c>
      <c r="E754" s="11">
        <v>35</v>
      </c>
      <c r="F754" s="11">
        <v>1316</v>
      </c>
      <c r="G754" s="6" t="str">
        <f>IF(COUNTIF(Table1[Customer ID],Table1[[#This Row],[Customer ID]])&gt;1,"Repeat Customer","One-Time Customer")</f>
        <v>Repeat Customer</v>
      </c>
      <c r="H754" s="11" t="s">
        <v>1398</v>
      </c>
      <c r="I754" s="11" t="s">
        <v>49</v>
      </c>
      <c r="J754" s="11" t="s">
        <v>40</v>
      </c>
      <c r="K754" s="11" t="s">
        <v>29</v>
      </c>
      <c r="L754" s="11" t="s">
        <v>141</v>
      </c>
      <c r="M754" s="11" t="s">
        <v>236</v>
      </c>
      <c r="N754" s="11" t="s">
        <v>1352</v>
      </c>
      <c r="O754" s="11">
        <v>0.81</v>
      </c>
      <c r="P754" s="6">
        <f>Table1[[#This Row],[Profit]]/Table1[[#This Row],[Sales]]</f>
        <v>-1.1704089312594079</v>
      </c>
      <c r="Q754" s="11" t="s">
        <v>33</v>
      </c>
      <c r="R754" s="11" t="s">
        <v>34</v>
      </c>
      <c r="S754" s="11" t="s">
        <v>255</v>
      </c>
      <c r="T754" s="11" t="s">
        <v>1399</v>
      </c>
      <c r="U754" s="11">
        <v>80022</v>
      </c>
      <c r="V754" s="12">
        <v>42009</v>
      </c>
      <c r="W754" s="13" t="str">
        <f>TEXT(Table1[[#This Row],[Order Date]],"mmmm")</f>
        <v>January</v>
      </c>
      <c r="X754" s="7" t="str">
        <f>TEXT(Table1[[#This Row],[Order Date]],"yyyy")</f>
        <v>2015</v>
      </c>
      <c r="Y754" s="12">
        <v>42013</v>
      </c>
      <c r="Z754" s="11">
        <v>-746.44</v>
      </c>
      <c r="AA754" s="11">
        <v>8</v>
      </c>
      <c r="AB754" s="11">
        <v>637.76</v>
      </c>
      <c r="AC754" s="11">
        <v>87603</v>
      </c>
      <c r="AD754" s="6" t="str">
        <f>IF(COUNTIF(Returns!$A$2:$A$1635,Orders!AC754)&gt;0,"Returned","Not Returned")</f>
        <v>Not Returned</v>
      </c>
    </row>
    <row r="755" spans="1:30" ht="12.75" customHeight="1" thickTop="1" thickBot="1" x14ac:dyDescent="0.25">
      <c r="A755" s="8">
        <v>21792</v>
      </c>
      <c r="B755" s="1" t="s">
        <v>106</v>
      </c>
      <c r="C755" s="1">
        <v>0.05</v>
      </c>
      <c r="D755" s="1">
        <v>279.48</v>
      </c>
      <c r="E755" s="1">
        <v>35</v>
      </c>
      <c r="F755" s="1">
        <v>1316</v>
      </c>
      <c r="G755" s="6" t="str">
        <f>IF(COUNTIF(Table1[Customer ID],Table1[[#This Row],[Customer ID]])&gt;1,"Repeat Customer","One-Time Customer")</f>
        <v>Repeat Customer</v>
      </c>
      <c r="H755" s="1" t="s">
        <v>1398</v>
      </c>
      <c r="I755" s="1" t="s">
        <v>49</v>
      </c>
      <c r="J755" s="1" t="s">
        <v>40</v>
      </c>
      <c r="K755" s="1" t="s">
        <v>29</v>
      </c>
      <c r="L755" s="1" t="s">
        <v>141</v>
      </c>
      <c r="M755" s="1" t="s">
        <v>236</v>
      </c>
      <c r="N755" s="1" t="s">
        <v>810</v>
      </c>
      <c r="O755" s="1">
        <v>0.8</v>
      </c>
      <c r="P755" s="6">
        <f>Table1[[#This Row],[Profit]]/Table1[[#This Row],[Sales]]</f>
        <v>-0.1275242804003599</v>
      </c>
      <c r="Q755" s="1" t="s">
        <v>33</v>
      </c>
      <c r="R755" s="1" t="s">
        <v>34</v>
      </c>
      <c r="S755" s="1" t="s">
        <v>255</v>
      </c>
      <c r="T755" s="1" t="s">
        <v>1399</v>
      </c>
      <c r="U755" s="1">
        <v>80022</v>
      </c>
      <c r="V755" s="9">
        <v>42009</v>
      </c>
      <c r="W755" s="13" t="str">
        <f>TEXT(Table1[[#This Row],[Order Date]],"mmmm")</f>
        <v>January</v>
      </c>
      <c r="X755" s="7" t="str">
        <f>TEXT(Table1[[#This Row],[Order Date]],"yyyy")</f>
        <v>2015</v>
      </c>
      <c r="Y755" s="9">
        <v>42009</v>
      </c>
      <c r="Z755" s="1">
        <v>-274.95</v>
      </c>
      <c r="AA755" s="1">
        <v>8</v>
      </c>
      <c r="AB755" s="1">
        <v>2156.06</v>
      </c>
      <c r="AC755" s="1">
        <v>87603</v>
      </c>
      <c r="AD755" s="6" t="str">
        <f>IF(COUNTIF(Returns!$A$2:$A$1635,Orders!AC755)&gt;0,"Returned","Not Returned")</f>
        <v>Not Returned</v>
      </c>
    </row>
    <row r="756" spans="1:30" ht="12.75" customHeight="1" thickTop="1" thickBot="1" x14ac:dyDescent="0.25">
      <c r="A756" s="10">
        <v>21006</v>
      </c>
      <c r="B756" s="11" t="s">
        <v>106</v>
      </c>
      <c r="C756" s="11">
        <v>0.02</v>
      </c>
      <c r="D756" s="11">
        <v>55.99</v>
      </c>
      <c r="E756" s="11">
        <v>3.3</v>
      </c>
      <c r="F756" s="11">
        <v>1338</v>
      </c>
      <c r="G756" s="6" t="str">
        <f>IF(COUNTIF(Table1[Customer ID],Table1[[#This Row],[Customer ID]])&gt;1,"Repeat Customer","One-Time Customer")</f>
        <v>One-Time Customer</v>
      </c>
      <c r="H756" s="11" t="s">
        <v>1400</v>
      </c>
      <c r="I756" s="11" t="s">
        <v>49</v>
      </c>
      <c r="J756" s="11" t="s">
        <v>40</v>
      </c>
      <c r="K756" s="11" t="s">
        <v>77</v>
      </c>
      <c r="L756" s="11" t="s">
        <v>78</v>
      </c>
      <c r="M756" s="11" t="s">
        <v>51</v>
      </c>
      <c r="N756" s="11" t="s">
        <v>1401</v>
      </c>
      <c r="O756" s="11">
        <v>0.59</v>
      </c>
      <c r="P756" s="6">
        <f>Table1[[#This Row],[Profit]]/Table1[[#This Row],[Sales]]</f>
        <v>0.69</v>
      </c>
      <c r="Q756" s="11" t="s">
        <v>33</v>
      </c>
      <c r="R756" s="11" t="s">
        <v>61</v>
      </c>
      <c r="S756" s="11" t="s">
        <v>178</v>
      </c>
      <c r="T756" s="11" t="s">
        <v>179</v>
      </c>
      <c r="U756" s="11">
        <v>60623</v>
      </c>
      <c r="V756" s="12">
        <v>42045</v>
      </c>
      <c r="W756" s="13" t="str">
        <f>TEXT(Table1[[#This Row],[Order Date]],"mmmm")</f>
        <v>February</v>
      </c>
      <c r="X756" s="7" t="str">
        <f>TEXT(Table1[[#This Row],[Order Date]],"yyyy")</f>
        <v>2015</v>
      </c>
      <c r="Y756" s="12">
        <v>42045</v>
      </c>
      <c r="Z756" s="11">
        <v>525.20039999999995</v>
      </c>
      <c r="AA756" s="11">
        <v>16</v>
      </c>
      <c r="AB756" s="11">
        <v>761.16</v>
      </c>
      <c r="AC756" s="11">
        <v>91244</v>
      </c>
      <c r="AD756" s="6" t="str">
        <f>IF(COUNTIF(Returns!$A$2:$A$1635,Orders!AC756)&gt;0,"Returned","Not Returned")</f>
        <v>Not Returned</v>
      </c>
    </row>
    <row r="757" spans="1:30" ht="12.75" customHeight="1" thickTop="1" thickBot="1" x14ac:dyDescent="0.25">
      <c r="A757" s="8">
        <v>3004</v>
      </c>
      <c r="B757" s="1" t="s">
        <v>106</v>
      </c>
      <c r="C757" s="1">
        <v>0</v>
      </c>
      <c r="D757" s="1">
        <v>22.38</v>
      </c>
      <c r="E757" s="1">
        <v>15.1</v>
      </c>
      <c r="F757" s="1">
        <v>1340</v>
      </c>
      <c r="G757" s="6" t="str">
        <f>IF(COUNTIF(Table1[Customer ID],Table1[[#This Row],[Customer ID]])&gt;1,"Repeat Customer","One-Time Customer")</f>
        <v>Repeat Customer</v>
      </c>
      <c r="H757" s="1" t="s">
        <v>1402</v>
      </c>
      <c r="I757" s="1" t="s">
        <v>27</v>
      </c>
      <c r="J757" s="1" t="s">
        <v>40</v>
      </c>
      <c r="K757" s="1" t="s">
        <v>29</v>
      </c>
      <c r="L757" s="1" t="s">
        <v>109</v>
      </c>
      <c r="M757" s="1" t="s">
        <v>59</v>
      </c>
      <c r="N757" s="1" t="s">
        <v>1175</v>
      </c>
      <c r="O757" s="1">
        <v>0.38</v>
      </c>
      <c r="P757" s="6">
        <f>Table1[[#This Row],[Profit]]/Table1[[#This Row],[Sales]]</f>
        <v>-7.7118122692916152E-2</v>
      </c>
      <c r="Q757" s="1" t="s">
        <v>33</v>
      </c>
      <c r="R757" s="1" t="s">
        <v>53</v>
      </c>
      <c r="S757" s="1" t="s">
        <v>71</v>
      </c>
      <c r="T757" s="1" t="s">
        <v>90</v>
      </c>
      <c r="U757" s="1">
        <v>10170</v>
      </c>
      <c r="V757" s="9">
        <v>42045</v>
      </c>
      <c r="W757" s="13" t="str">
        <f>TEXT(Table1[[#This Row],[Order Date]],"mmmm")</f>
        <v>February</v>
      </c>
      <c r="X757" s="7" t="str">
        <f>TEXT(Table1[[#This Row],[Order Date]],"yyyy")</f>
        <v>2015</v>
      </c>
      <c r="Y757" s="9">
        <v>42052</v>
      </c>
      <c r="Z757" s="1">
        <v>-52.646999999999998</v>
      </c>
      <c r="AA757" s="1">
        <v>29</v>
      </c>
      <c r="AB757" s="1">
        <v>682.68</v>
      </c>
      <c r="AC757" s="1">
        <v>21636</v>
      </c>
      <c r="AD757" s="6" t="str">
        <f>IF(COUNTIF(Returns!$A$2:$A$1635,Orders!AC757)&gt;0,"Returned","Not Returned")</f>
        <v>Not Returned</v>
      </c>
    </row>
    <row r="758" spans="1:30" ht="12.75" customHeight="1" thickTop="1" thickBot="1" x14ac:dyDescent="0.25">
      <c r="A758" s="10">
        <v>3005</v>
      </c>
      <c r="B758" s="11" t="s">
        <v>106</v>
      </c>
      <c r="C758" s="11">
        <v>7.0000000000000007E-2</v>
      </c>
      <c r="D758" s="11">
        <v>5.98</v>
      </c>
      <c r="E758" s="11">
        <v>4.6900000000000004</v>
      </c>
      <c r="F758" s="11">
        <v>1340</v>
      </c>
      <c r="G758" s="6" t="str">
        <f>IF(COUNTIF(Table1[Customer ID],Table1[[#This Row],[Customer ID]])&gt;1,"Repeat Customer","One-Time Customer")</f>
        <v>Repeat Customer</v>
      </c>
      <c r="H758" s="11" t="s">
        <v>1402</v>
      </c>
      <c r="I758" s="11" t="s">
        <v>49</v>
      </c>
      <c r="J758" s="11" t="s">
        <v>40</v>
      </c>
      <c r="K758" s="11" t="s">
        <v>29</v>
      </c>
      <c r="L758" s="11" t="s">
        <v>141</v>
      </c>
      <c r="M758" s="11" t="s">
        <v>59</v>
      </c>
      <c r="N758" s="11" t="s">
        <v>1403</v>
      </c>
      <c r="O758" s="11">
        <v>0.68</v>
      </c>
      <c r="P758" s="6">
        <f>Table1[[#This Row],[Profit]]/Table1[[#This Row],[Sales]]</f>
        <v>-0.33278867102396514</v>
      </c>
      <c r="Q758" s="11" t="s">
        <v>33</v>
      </c>
      <c r="R758" s="11" t="s">
        <v>53</v>
      </c>
      <c r="S758" s="11" t="s">
        <v>71</v>
      </c>
      <c r="T758" s="11" t="s">
        <v>90</v>
      </c>
      <c r="U758" s="11">
        <v>10170</v>
      </c>
      <c r="V758" s="12">
        <v>42045</v>
      </c>
      <c r="W758" s="13" t="str">
        <f>TEXT(Table1[[#This Row],[Order Date]],"mmmm")</f>
        <v>February</v>
      </c>
      <c r="X758" s="7" t="str">
        <f>TEXT(Table1[[#This Row],[Order Date]],"yyyy")</f>
        <v>2015</v>
      </c>
      <c r="Y758" s="12">
        <v>42050</v>
      </c>
      <c r="Z758" s="11">
        <v>-24.44</v>
      </c>
      <c r="AA758" s="11">
        <v>11</v>
      </c>
      <c r="AB758" s="11">
        <v>73.44</v>
      </c>
      <c r="AC758" s="11">
        <v>21636</v>
      </c>
      <c r="AD758" s="6" t="str">
        <f>IF(COUNTIF(Returns!$A$2:$A$1635,Orders!AC758)&gt;0,"Returned","Not Returned")</f>
        <v>Not Returned</v>
      </c>
    </row>
    <row r="759" spans="1:30" ht="12.75" customHeight="1" thickTop="1" thickBot="1" x14ac:dyDescent="0.25">
      <c r="A759" s="8">
        <v>3006</v>
      </c>
      <c r="B759" s="1" t="s">
        <v>106</v>
      </c>
      <c r="C759" s="1">
        <v>0.02</v>
      </c>
      <c r="D759" s="1">
        <v>55.99</v>
      </c>
      <c r="E759" s="1">
        <v>3.3</v>
      </c>
      <c r="F759" s="1">
        <v>1340</v>
      </c>
      <c r="G759" s="6" t="str">
        <f>IF(COUNTIF(Table1[Customer ID],Table1[[#This Row],[Customer ID]])&gt;1,"Repeat Customer","One-Time Customer")</f>
        <v>Repeat Customer</v>
      </c>
      <c r="H759" s="1" t="s">
        <v>1402</v>
      </c>
      <c r="I759" s="1" t="s">
        <v>49</v>
      </c>
      <c r="J759" s="1" t="s">
        <v>40</v>
      </c>
      <c r="K759" s="1" t="s">
        <v>77</v>
      </c>
      <c r="L759" s="1" t="s">
        <v>78</v>
      </c>
      <c r="M759" s="1" t="s">
        <v>51</v>
      </c>
      <c r="N759" s="1" t="s">
        <v>1401</v>
      </c>
      <c r="O759" s="1">
        <v>0.59</v>
      </c>
      <c r="P759" s="6">
        <f>Table1[[#This Row],[Profit]]/Table1[[#This Row],[Sales]]</f>
        <v>0.12228843503822066</v>
      </c>
      <c r="Q759" s="1" t="s">
        <v>33</v>
      </c>
      <c r="R759" s="1" t="s">
        <v>53</v>
      </c>
      <c r="S759" s="1" t="s">
        <v>71</v>
      </c>
      <c r="T759" s="1" t="s">
        <v>90</v>
      </c>
      <c r="U759" s="1">
        <v>10170</v>
      </c>
      <c r="V759" s="9">
        <v>42045</v>
      </c>
      <c r="W759" s="13" t="str">
        <f>TEXT(Table1[[#This Row],[Order Date]],"mmmm")</f>
        <v>February</v>
      </c>
      <c r="X759" s="7" t="str">
        <f>TEXT(Table1[[#This Row],[Order Date]],"yyyy")</f>
        <v>2015</v>
      </c>
      <c r="Y759" s="9">
        <v>42045</v>
      </c>
      <c r="Z759" s="1">
        <v>366.50700000000001</v>
      </c>
      <c r="AA759" s="1">
        <v>63</v>
      </c>
      <c r="AB759" s="1">
        <v>2997.07</v>
      </c>
      <c r="AC759" s="1">
        <v>21636</v>
      </c>
      <c r="AD759" s="6" t="str">
        <f>IF(COUNTIF(Returns!$A$2:$A$1635,Orders!AC759)&gt;0,"Returned","Not Returned")</f>
        <v>Not Returned</v>
      </c>
    </row>
    <row r="760" spans="1:30" ht="12.75" customHeight="1" thickTop="1" thickBot="1" x14ac:dyDescent="0.25">
      <c r="A760" s="10">
        <v>3431</v>
      </c>
      <c r="B760" s="11" t="s">
        <v>37</v>
      </c>
      <c r="C760" s="11">
        <v>7.0000000000000007E-2</v>
      </c>
      <c r="D760" s="11">
        <v>3.98</v>
      </c>
      <c r="E760" s="11">
        <v>0.83</v>
      </c>
      <c r="F760" s="11">
        <v>1340</v>
      </c>
      <c r="G760" s="6" t="str">
        <f>IF(COUNTIF(Table1[Customer ID],Table1[[#This Row],[Customer ID]])&gt;1,"Repeat Customer","One-Time Customer")</f>
        <v>Repeat Customer</v>
      </c>
      <c r="H760" s="11" t="s">
        <v>1402</v>
      </c>
      <c r="I760" s="11" t="s">
        <v>49</v>
      </c>
      <c r="J760" s="11" t="s">
        <v>40</v>
      </c>
      <c r="K760" s="11" t="s">
        <v>29</v>
      </c>
      <c r="L760" s="11" t="s">
        <v>30</v>
      </c>
      <c r="M760" s="11" t="s">
        <v>31</v>
      </c>
      <c r="N760" s="11" t="s">
        <v>1404</v>
      </c>
      <c r="O760" s="11">
        <v>0.51</v>
      </c>
      <c r="P760" s="6">
        <f>Table1[[#This Row],[Profit]]/Table1[[#This Row],[Sales]]</f>
        <v>9.6800424253137687E-2</v>
      </c>
      <c r="Q760" s="11" t="s">
        <v>33</v>
      </c>
      <c r="R760" s="11" t="s">
        <v>53</v>
      </c>
      <c r="S760" s="11" t="s">
        <v>71</v>
      </c>
      <c r="T760" s="11" t="s">
        <v>90</v>
      </c>
      <c r="U760" s="11">
        <v>10170</v>
      </c>
      <c r="V760" s="12">
        <v>42161</v>
      </c>
      <c r="W760" s="13" t="str">
        <f>TEXT(Table1[[#This Row],[Order Date]],"mmmm")</f>
        <v>June</v>
      </c>
      <c r="X760" s="7" t="str">
        <f>TEXT(Table1[[#This Row],[Order Date]],"yyyy")</f>
        <v>2015</v>
      </c>
      <c r="Y760" s="12">
        <v>42164</v>
      </c>
      <c r="Z760" s="11">
        <v>27.38</v>
      </c>
      <c r="AA760" s="11">
        <v>76</v>
      </c>
      <c r="AB760" s="11">
        <v>282.85000000000002</v>
      </c>
      <c r="AC760" s="11">
        <v>24455</v>
      </c>
      <c r="AD760" s="6" t="str">
        <f>IF(COUNTIF(Returns!$A$2:$A$1635,Orders!AC760)&gt;0,"Returned","Not Returned")</f>
        <v>Not Returned</v>
      </c>
    </row>
    <row r="761" spans="1:30" ht="12.75" customHeight="1" thickTop="1" thickBot="1" x14ac:dyDescent="0.25">
      <c r="A761" s="8">
        <v>21005</v>
      </c>
      <c r="B761" s="1" t="s">
        <v>106</v>
      </c>
      <c r="C761" s="1">
        <v>7.0000000000000007E-2</v>
      </c>
      <c r="D761" s="1">
        <v>5.98</v>
      </c>
      <c r="E761" s="1">
        <v>4.6900000000000004</v>
      </c>
      <c r="F761" s="1">
        <v>1341</v>
      </c>
      <c r="G761" s="6" t="str">
        <f>IF(COUNTIF(Table1[Customer ID],Table1[[#This Row],[Customer ID]])&gt;1,"Repeat Customer","One-Time Customer")</f>
        <v>Repeat Customer</v>
      </c>
      <c r="H761" s="1" t="s">
        <v>1405</v>
      </c>
      <c r="I761" s="1" t="s">
        <v>49</v>
      </c>
      <c r="J761" s="1" t="s">
        <v>40</v>
      </c>
      <c r="K761" s="1" t="s">
        <v>29</v>
      </c>
      <c r="L761" s="1" t="s">
        <v>141</v>
      </c>
      <c r="M761" s="1" t="s">
        <v>59</v>
      </c>
      <c r="N761" s="1" t="s">
        <v>1403</v>
      </c>
      <c r="O761" s="1">
        <v>0.68</v>
      </c>
      <c r="P761" s="6">
        <f>Table1[[#This Row],[Profit]]/Table1[[#This Row],[Sales]]</f>
        <v>-0.63448826759860211</v>
      </c>
      <c r="Q761" s="1" t="s">
        <v>33</v>
      </c>
      <c r="R761" s="1" t="s">
        <v>53</v>
      </c>
      <c r="S761" s="1" t="s">
        <v>234</v>
      </c>
      <c r="T761" s="1" t="s">
        <v>1406</v>
      </c>
      <c r="U761" s="1">
        <v>17201</v>
      </c>
      <c r="V761" s="9">
        <v>42045</v>
      </c>
      <c r="W761" s="13" t="str">
        <f>TEXT(Table1[[#This Row],[Order Date]],"mmmm")</f>
        <v>February</v>
      </c>
      <c r="X761" s="7" t="str">
        <f>TEXT(Table1[[#This Row],[Order Date]],"yyyy")</f>
        <v>2015</v>
      </c>
      <c r="Y761" s="9">
        <v>42050</v>
      </c>
      <c r="Z761" s="1">
        <v>-12.708800000000002</v>
      </c>
      <c r="AA761" s="1">
        <v>3</v>
      </c>
      <c r="AB761" s="1">
        <v>20.03</v>
      </c>
      <c r="AC761" s="1">
        <v>91244</v>
      </c>
      <c r="AD761" s="6" t="str">
        <f>IF(COUNTIF(Returns!$A$2:$A$1635,Orders!AC761)&gt;0,"Returned","Not Returned")</f>
        <v>Not Returned</v>
      </c>
    </row>
    <row r="762" spans="1:30" ht="12.75" customHeight="1" thickTop="1" thickBot="1" x14ac:dyDescent="0.25">
      <c r="A762" s="10">
        <v>21430</v>
      </c>
      <c r="B762" s="11" t="s">
        <v>37</v>
      </c>
      <c r="C762" s="11">
        <v>0</v>
      </c>
      <c r="D762" s="11">
        <v>20.89</v>
      </c>
      <c r="E762" s="11">
        <v>1.99</v>
      </c>
      <c r="F762" s="11">
        <v>1341</v>
      </c>
      <c r="G762" s="6" t="str">
        <f>IF(COUNTIF(Table1[Customer ID],Table1[[#This Row],[Customer ID]])&gt;1,"Repeat Customer","One-Time Customer")</f>
        <v>Repeat Customer</v>
      </c>
      <c r="H762" s="11" t="s">
        <v>1405</v>
      </c>
      <c r="I762" s="11" t="s">
        <v>49</v>
      </c>
      <c r="J762" s="11" t="s">
        <v>40</v>
      </c>
      <c r="K762" s="11" t="s">
        <v>77</v>
      </c>
      <c r="L762" s="11" t="s">
        <v>180</v>
      </c>
      <c r="M762" s="11" t="s">
        <v>51</v>
      </c>
      <c r="N762" s="11" t="s">
        <v>1407</v>
      </c>
      <c r="O762" s="11">
        <v>0.48</v>
      </c>
      <c r="P762" s="6">
        <f>Table1[[#This Row],[Profit]]/Table1[[#This Row],[Sales]]</f>
        <v>-6.2618259224219486E-2</v>
      </c>
      <c r="Q762" s="11" t="s">
        <v>33</v>
      </c>
      <c r="R762" s="11" t="s">
        <v>53</v>
      </c>
      <c r="S762" s="11" t="s">
        <v>234</v>
      </c>
      <c r="T762" s="11" t="s">
        <v>1406</v>
      </c>
      <c r="U762" s="11">
        <v>17201</v>
      </c>
      <c r="V762" s="12">
        <v>42161</v>
      </c>
      <c r="W762" s="13" t="str">
        <f>TEXT(Table1[[#This Row],[Order Date]],"mmmm")</f>
        <v>June</v>
      </c>
      <c r="X762" s="7" t="str">
        <f>TEXT(Table1[[#This Row],[Order Date]],"yyyy")</f>
        <v>2015</v>
      </c>
      <c r="Y762" s="12">
        <v>42163</v>
      </c>
      <c r="Z762" s="11">
        <v>-5.2949999999999999</v>
      </c>
      <c r="AA762" s="11">
        <v>4</v>
      </c>
      <c r="AB762" s="11">
        <v>84.56</v>
      </c>
      <c r="AC762" s="11">
        <v>91245</v>
      </c>
      <c r="AD762" s="6" t="str">
        <f>IF(COUNTIF(Returns!$A$2:$A$1635,Orders!AC762)&gt;0,"Returned","Not Returned")</f>
        <v>Not Returned</v>
      </c>
    </row>
    <row r="763" spans="1:30" ht="12.75" customHeight="1" thickTop="1" thickBot="1" x14ac:dyDescent="0.25">
      <c r="A763" s="8">
        <v>21431</v>
      </c>
      <c r="B763" s="1" t="s">
        <v>37</v>
      </c>
      <c r="C763" s="1">
        <v>7.0000000000000007E-2</v>
      </c>
      <c r="D763" s="1">
        <v>3.98</v>
      </c>
      <c r="E763" s="1">
        <v>0.83</v>
      </c>
      <c r="F763" s="1">
        <v>1341</v>
      </c>
      <c r="G763" s="6" t="str">
        <f>IF(COUNTIF(Table1[Customer ID],Table1[[#This Row],[Customer ID]])&gt;1,"Repeat Customer","One-Time Customer")</f>
        <v>Repeat Customer</v>
      </c>
      <c r="H763" s="1" t="s">
        <v>1405</v>
      </c>
      <c r="I763" s="1" t="s">
        <v>49</v>
      </c>
      <c r="J763" s="1" t="s">
        <v>40</v>
      </c>
      <c r="K763" s="1" t="s">
        <v>29</v>
      </c>
      <c r="L763" s="1" t="s">
        <v>30</v>
      </c>
      <c r="M763" s="1" t="s">
        <v>31</v>
      </c>
      <c r="N763" s="1" t="s">
        <v>1404</v>
      </c>
      <c r="O763" s="1">
        <v>0.51</v>
      </c>
      <c r="P763" s="6">
        <f>Table1[[#This Row],[Profit]]/Table1[[#This Row],[Sales]]</f>
        <v>0.58082308018667805</v>
      </c>
      <c r="Q763" s="1" t="s">
        <v>33</v>
      </c>
      <c r="R763" s="1" t="s">
        <v>53</v>
      </c>
      <c r="S763" s="1" t="s">
        <v>234</v>
      </c>
      <c r="T763" s="1" t="s">
        <v>1406</v>
      </c>
      <c r="U763" s="1">
        <v>17201</v>
      </c>
      <c r="V763" s="9">
        <v>42161</v>
      </c>
      <c r="W763" s="13" t="str">
        <f>TEXT(Table1[[#This Row],[Order Date]],"mmmm")</f>
        <v>June</v>
      </c>
      <c r="X763" s="7" t="str">
        <f>TEXT(Table1[[#This Row],[Order Date]],"yyyy")</f>
        <v>2015</v>
      </c>
      <c r="Y763" s="9">
        <v>42164</v>
      </c>
      <c r="Z763" s="1">
        <v>41.07</v>
      </c>
      <c r="AA763" s="1">
        <v>19</v>
      </c>
      <c r="AB763" s="1">
        <v>70.709999999999994</v>
      </c>
      <c r="AC763" s="1">
        <v>91245</v>
      </c>
      <c r="AD763" s="6" t="str">
        <f>IF(COUNTIF(Returns!$A$2:$A$1635,Orders!AC763)&gt;0,"Returned","Not Returned")</f>
        <v>Not Returned</v>
      </c>
    </row>
    <row r="764" spans="1:30" ht="12.75" customHeight="1" thickTop="1" thickBot="1" x14ac:dyDescent="0.25">
      <c r="A764" s="10">
        <v>20804</v>
      </c>
      <c r="B764" s="11" t="s">
        <v>106</v>
      </c>
      <c r="C764" s="11">
        <v>0.1</v>
      </c>
      <c r="D764" s="11">
        <v>2.62</v>
      </c>
      <c r="E764" s="11">
        <v>0.8</v>
      </c>
      <c r="F764" s="11">
        <v>1347</v>
      </c>
      <c r="G764" s="6" t="str">
        <f>IF(COUNTIF(Table1[Customer ID],Table1[[#This Row],[Customer ID]])&gt;1,"Repeat Customer","One-Time Customer")</f>
        <v>One-Time Customer</v>
      </c>
      <c r="H764" s="11" t="s">
        <v>1408</v>
      </c>
      <c r="I764" s="11" t="s">
        <v>49</v>
      </c>
      <c r="J764" s="11" t="s">
        <v>40</v>
      </c>
      <c r="K764" s="11" t="s">
        <v>29</v>
      </c>
      <c r="L764" s="11" t="s">
        <v>66</v>
      </c>
      <c r="M764" s="11" t="s">
        <v>31</v>
      </c>
      <c r="N764" s="11" t="s">
        <v>1409</v>
      </c>
      <c r="O764" s="11">
        <v>0.39</v>
      </c>
      <c r="P764" s="6">
        <f>Table1[[#This Row],[Profit]]/Table1[[#This Row],[Sales]]</f>
        <v>-1.8220381797146161</v>
      </c>
      <c r="Q764" s="11" t="s">
        <v>33</v>
      </c>
      <c r="R764" s="11" t="s">
        <v>136</v>
      </c>
      <c r="S764" s="11" t="s">
        <v>362</v>
      </c>
      <c r="T764" s="11" t="s">
        <v>1410</v>
      </c>
      <c r="U764" s="11">
        <v>33511</v>
      </c>
      <c r="V764" s="12">
        <v>42124</v>
      </c>
      <c r="W764" s="13" t="str">
        <f>TEXT(Table1[[#This Row],[Order Date]],"mmmm")</f>
        <v>April</v>
      </c>
      <c r="X764" s="7" t="str">
        <f>TEXT(Table1[[#This Row],[Order Date]],"yyyy")</f>
        <v>2015</v>
      </c>
      <c r="Y764" s="12">
        <v>42130</v>
      </c>
      <c r="Z764" s="11">
        <v>-94.490899999999996</v>
      </c>
      <c r="AA764" s="11">
        <v>21</v>
      </c>
      <c r="AB764" s="11">
        <v>51.86</v>
      </c>
      <c r="AC764" s="11">
        <v>89686</v>
      </c>
      <c r="AD764" s="6" t="str">
        <f>IF(COUNTIF(Returns!$A$2:$A$1635,Orders!AC764)&gt;0,"Returned","Not Returned")</f>
        <v>Not Returned</v>
      </c>
    </row>
    <row r="765" spans="1:30" ht="12.75" customHeight="1" thickTop="1" thickBot="1" x14ac:dyDescent="0.25">
      <c r="A765" s="8">
        <v>22414</v>
      </c>
      <c r="B765" s="1" t="s">
        <v>25</v>
      </c>
      <c r="C765" s="1">
        <v>0</v>
      </c>
      <c r="D765" s="1">
        <v>12.2</v>
      </c>
      <c r="E765" s="1">
        <v>6.02</v>
      </c>
      <c r="F765" s="1">
        <v>1350</v>
      </c>
      <c r="G765" s="6" t="str">
        <f>IF(COUNTIF(Table1[Customer ID],Table1[[#This Row],[Customer ID]])&gt;1,"Repeat Customer","One-Time Customer")</f>
        <v>One-Time Customer</v>
      </c>
      <c r="H765" s="1" t="s">
        <v>1411</v>
      </c>
      <c r="I765" s="1" t="s">
        <v>27</v>
      </c>
      <c r="J765" s="1" t="s">
        <v>40</v>
      </c>
      <c r="K765" s="1" t="s">
        <v>41</v>
      </c>
      <c r="L765" s="1" t="s">
        <v>50</v>
      </c>
      <c r="M765" s="1" t="s">
        <v>51</v>
      </c>
      <c r="N765" s="1" t="s">
        <v>1412</v>
      </c>
      <c r="O765" s="1">
        <v>0.43</v>
      </c>
      <c r="P765" s="6">
        <f>Table1[[#This Row],[Profit]]/Table1[[#This Row],[Sales]]</f>
        <v>-3.0636201991465151</v>
      </c>
      <c r="Q765" s="1" t="s">
        <v>33</v>
      </c>
      <c r="R765" s="1" t="s">
        <v>136</v>
      </c>
      <c r="S765" s="1" t="s">
        <v>362</v>
      </c>
      <c r="T765" s="1" t="s">
        <v>1413</v>
      </c>
      <c r="U765" s="1">
        <v>33055</v>
      </c>
      <c r="V765" s="9">
        <v>42111</v>
      </c>
      <c r="W765" s="13" t="str">
        <f>TEXT(Table1[[#This Row],[Order Date]],"mmmm")</f>
        <v>April</v>
      </c>
      <c r="X765" s="7" t="str">
        <f>TEXT(Table1[[#This Row],[Order Date]],"yyyy")</f>
        <v>2015</v>
      </c>
      <c r="Y765" s="9">
        <v>42112</v>
      </c>
      <c r="Z765" s="1">
        <v>-172.298</v>
      </c>
      <c r="AA765" s="1">
        <v>4</v>
      </c>
      <c r="AB765" s="1">
        <v>56.24</v>
      </c>
      <c r="AC765" s="1">
        <v>88233</v>
      </c>
      <c r="AD765" s="6" t="str">
        <f>IF(COUNTIF(Returns!$A$2:$A$1635,Orders!AC765)&gt;0,"Returned","Not Returned")</f>
        <v>Not Returned</v>
      </c>
    </row>
    <row r="766" spans="1:30" ht="12.75" customHeight="1" thickTop="1" thickBot="1" x14ac:dyDescent="0.25">
      <c r="A766" s="10">
        <v>18499</v>
      </c>
      <c r="B766" s="11" t="s">
        <v>37</v>
      </c>
      <c r="C766" s="11">
        <v>0.1</v>
      </c>
      <c r="D766" s="11">
        <v>110.99</v>
      </c>
      <c r="E766" s="11">
        <v>8.99</v>
      </c>
      <c r="F766" s="11">
        <v>1351</v>
      </c>
      <c r="G766" s="6" t="str">
        <f>IF(COUNTIF(Table1[Customer ID],Table1[[#This Row],[Customer ID]])&gt;1,"Repeat Customer","One-Time Customer")</f>
        <v>One-Time Customer</v>
      </c>
      <c r="H766" s="11" t="s">
        <v>1414</v>
      </c>
      <c r="I766" s="11" t="s">
        <v>27</v>
      </c>
      <c r="J766" s="11" t="s">
        <v>40</v>
      </c>
      <c r="K766" s="11" t="s">
        <v>77</v>
      </c>
      <c r="L766" s="11" t="s">
        <v>78</v>
      </c>
      <c r="M766" s="11" t="s">
        <v>59</v>
      </c>
      <c r="N766" s="11" t="s">
        <v>1415</v>
      </c>
      <c r="O766" s="11">
        <v>0.56999999999999995</v>
      </c>
      <c r="P766" s="6">
        <f>Table1[[#This Row],[Profit]]/Table1[[#This Row],[Sales]]</f>
        <v>5.2334894389754378</v>
      </c>
      <c r="Q766" s="11" t="s">
        <v>33</v>
      </c>
      <c r="R766" s="11" t="s">
        <v>136</v>
      </c>
      <c r="S766" s="11" t="s">
        <v>362</v>
      </c>
      <c r="T766" s="11" t="s">
        <v>1416</v>
      </c>
      <c r="U766" s="11">
        <v>33063</v>
      </c>
      <c r="V766" s="12">
        <v>42031</v>
      </c>
      <c r="W766" s="13" t="str">
        <f>TEXT(Table1[[#This Row],[Order Date]],"mmmm")</f>
        <v>January</v>
      </c>
      <c r="X766" s="7" t="str">
        <f>TEXT(Table1[[#This Row],[Order Date]],"yyyy")</f>
        <v>2015</v>
      </c>
      <c r="Y766" s="12">
        <v>42033</v>
      </c>
      <c r="Z766" s="11">
        <v>3285.48</v>
      </c>
      <c r="AA766" s="11">
        <v>7</v>
      </c>
      <c r="AB766" s="11">
        <v>627.78</v>
      </c>
      <c r="AC766" s="11">
        <v>88232</v>
      </c>
      <c r="AD766" s="6" t="str">
        <f>IF(COUNTIF(Returns!$A$2:$A$1635,Orders!AC766)&gt;0,"Returned","Not Returned")</f>
        <v>Not Returned</v>
      </c>
    </row>
    <row r="767" spans="1:30" ht="12.75" customHeight="1" thickTop="1" thickBot="1" x14ac:dyDescent="0.25">
      <c r="A767" s="8">
        <v>24232</v>
      </c>
      <c r="B767" s="1" t="s">
        <v>25</v>
      </c>
      <c r="C767" s="1">
        <v>0.05</v>
      </c>
      <c r="D767" s="1">
        <v>17.670000000000002</v>
      </c>
      <c r="E767" s="1">
        <v>8.99</v>
      </c>
      <c r="F767" s="1">
        <v>1352</v>
      </c>
      <c r="G767" s="6" t="str">
        <f>IF(COUNTIF(Table1[Customer ID],Table1[[#This Row],[Customer ID]])&gt;1,"Repeat Customer","One-Time Customer")</f>
        <v>One-Time Customer</v>
      </c>
      <c r="H767" s="1" t="s">
        <v>1417</v>
      </c>
      <c r="I767" s="1" t="s">
        <v>49</v>
      </c>
      <c r="J767" s="1" t="s">
        <v>40</v>
      </c>
      <c r="K767" s="1" t="s">
        <v>41</v>
      </c>
      <c r="L767" s="1" t="s">
        <v>50</v>
      </c>
      <c r="M767" s="1" t="s">
        <v>51</v>
      </c>
      <c r="N767" s="1" t="s">
        <v>807</v>
      </c>
      <c r="O767" s="1">
        <v>0.47</v>
      </c>
      <c r="P767" s="6">
        <f>Table1[[#This Row],[Profit]]/Table1[[#This Row],[Sales]]</f>
        <v>0.1624216765453006</v>
      </c>
      <c r="Q767" s="1" t="s">
        <v>33</v>
      </c>
      <c r="R767" s="1" t="s">
        <v>53</v>
      </c>
      <c r="S767" s="1" t="s">
        <v>415</v>
      </c>
      <c r="T767" s="1" t="s">
        <v>1418</v>
      </c>
      <c r="U767" s="1">
        <v>20746</v>
      </c>
      <c r="V767" s="9">
        <v>42124</v>
      </c>
      <c r="W767" s="13" t="str">
        <f>TEXT(Table1[[#This Row],[Order Date]],"mmmm")</f>
        <v>April</v>
      </c>
      <c r="X767" s="7" t="str">
        <f>TEXT(Table1[[#This Row],[Order Date]],"yyyy")</f>
        <v>2015</v>
      </c>
      <c r="Y767" s="9">
        <v>42125</v>
      </c>
      <c r="Z767" s="1">
        <v>46.036799999999999</v>
      </c>
      <c r="AA767" s="1">
        <v>16</v>
      </c>
      <c r="AB767" s="1">
        <v>283.44</v>
      </c>
      <c r="AC767" s="1">
        <v>88234</v>
      </c>
      <c r="AD767" s="6" t="str">
        <f>IF(COUNTIF(Returns!$A$2:$A$1635,Orders!AC767)&gt;0,"Returned","Not Returned")</f>
        <v>Not Returned</v>
      </c>
    </row>
    <row r="768" spans="1:30" ht="12.75" customHeight="1" thickTop="1" thickBot="1" x14ac:dyDescent="0.25">
      <c r="A768" s="10">
        <v>20870</v>
      </c>
      <c r="B768" s="11" t="s">
        <v>25</v>
      </c>
      <c r="C768" s="11">
        <v>0.1</v>
      </c>
      <c r="D768" s="11">
        <v>4.13</v>
      </c>
      <c r="E768" s="11">
        <v>0.99</v>
      </c>
      <c r="F768" s="11">
        <v>1354</v>
      </c>
      <c r="G768" s="6" t="str">
        <f>IF(COUNTIF(Table1[Customer ID],Table1[[#This Row],[Customer ID]])&gt;1,"Repeat Customer","One-Time Customer")</f>
        <v>Repeat Customer</v>
      </c>
      <c r="H768" s="11" t="s">
        <v>1419</v>
      </c>
      <c r="I768" s="11" t="s">
        <v>49</v>
      </c>
      <c r="J768" s="11" t="s">
        <v>114</v>
      </c>
      <c r="K768" s="11" t="s">
        <v>29</v>
      </c>
      <c r="L768" s="11" t="s">
        <v>134</v>
      </c>
      <c r="M768" s="11" t="s">
        <v>59</v>
      </c>
      <c r="N768" s="11" t="s">
        <v>1420</v>
      </c>
      <c r="O768" s="11">
        <v>0.39</v>
      </c>
      <c r="P768" s="6">
        <f>Table1[[#This Row],[Profit]]/Table1[[#This Row],[Sales]]</f>
        <v>-0.12906024096385543</v>
      </c>
      <c r="Q768" s="11" t="s">
        <v>33</v>
      </c>
      <c r="R768" s="11" t="s">
        <v>61</v>
      </c>
      <c r="S768" s="11" t="s">
        <v>130</v>
      </c>
      <c r="T768" s="11" t="s">
        <v>1421</v>
      </c>
      <c r="U768" s="11">
        <v>76086</v>
      </c>
      <c r="V768" s="12">
        <v>42046</v>
      </c>
      <c r="W768" s="13" t="str">
        <f>TEXT(Table1[[#This Row],[Order Date]],"mmmm")</f>
        <v>February</v>
      </c>
      <c r="X768" s="7" t="str">
        <f>TEXT(Table1[[#This Row],[Order Date]],"yyyy")</f>
        <v>2015</v>
      </c>
      <c r="Y768" s="12">
        <v>42046</v>
      </c>
      <c r="Z768" s="11">
        <v>-1.0712000000000002</v>
      </c>
      <c r="AA768" s="11">
        <v>2</v>
      </c>
      <c r="AB768" s="11">
        <v>8.3000000000000007</v>
      </c>
      <c r="AC768" s="11">
        <v>91209</v>
      </c>
      <c r="AD768" s="6" t="str">
        <f>IF(COUNTIF(Returns!$A$2:$A$1635,Orders!AC768)&gt;0,"Returned","Not Returned")</f>
        <v>Not Returned</v>
      </c>
    </row>
    <row r="769" spans="1:30" ht="12.75" customHeight="1" thickTop="1" thickBot="1" x14ac:dyDescent="0.25">
      <c r="A769" s="8">
        <v>20871</v>
      </c>
      <c r="B769" s="1" t="s">
        <v>25</v>
      </c>
      <c r="C769" s="1">
        <v>0.04</v>
      </c>
      <c r="D769" s="1">
        <v>4.9800000000000004</v>
      </c>
      <c r="E769" s="1">
        <v>0.49</v>
      </c>
      <c r="F769" s="1">
        <v>1354</v>
      </c>
      <c r="G769" s="6" t="str">
        <f>IF(COUNTIF(Table1[Customer ID],Table1[[#This Row],[Customer ID]])&gt;1,"Repeat Customer","One-Time Customer")</f>
        <v>Repeat Customer</v>
      </c>
      <c r="H769" s="1" t="s">
        <v>1419</v>
      </c>
      <c r="I769" s="1" t="s">
        <v>49</v>
      </c>
      <c r="J769" s="1" t="s">
        <v>114</v>
      </c>
      <c r="K769" s="1" t="s">
        <v>29</v>
      </c>
      <c r="L769" s="1" t="s">
        <v>134</v>
      </c>
      <c r="M769" s="1" t="s">
        <v>59</v>
      </c>
      <c r="N769" s="1" t="s">
        <v>1422</v>
      </c>
      <c r="O769" s="1">
        <v>0.39</v>
      </c>
      <c r="P769" s="6">
        <f>Table1[[#This Row],[Profit]]/Table1[[#This Row],[Sales]]</f>
        <v>0.43928286852589649</v>
      </c>
      <c r="Q769" s="1" t="s">
        <v>33</v>
      </c>
      <c r="R769" s="1" t="s">
        <v>61</v>
      </c>
      <c r="S769" s="1" t="s">
        <v>130</v>
      </c>
      <c r="T769" s="1" t="s">
        <v>1421</v>
      </c>
      <c r="U769" s="1">
        <v>76086</v>
      </c>
      <c r="V769" s="9">
        <v>42046</v>
      </c>
      <c r="W769" s="13" t="str">
        <f>TEXT(Table1[[#This Row],[Order Date]],"mmmm")</f>
        <v>February</v>
      </c>
      <c r="X769" s="7" t="str">
        <f>TEXT(Table1[[#This Row],[Order Date]],"yyyy")</f>
        <v>2015</v>
      </c>
      <c r="Y769" s="9">
        <v>42048</v>
      </c>
      <c r="Z769" s="1">
        <v>4.4104000000000001</v>
      </c>
      <c r="AA769" s="1">
        <v>2</v>
      </c>
      <c r="AB769" s="1">
        <v>10.039999999999999</v>
      </c>
      <c r="AC769" s="1">
        <v>91209</v>
      </c>
      <c r="AD769" s="6" t="str">
        <f>IF(COUNTIF(Returns!$A$2:$A$1635,Orders!AC769)&gt;0,"Returned","Not Returned")</f>
        <v>Not Returned</v>
      </c>
    </row>
    <row r="770" spans="1:30" ht="12.75" customHeight="1" thickTop="1" thickBot="1" x14ac:dyDescent="0.25">
      <c r="A770" s="10">
        <v>18733</v>
      </c>
      <c r="B770" s="11" t="s">
        <v>56</v>
      </c>
      <c r="C770" s="11">
        <v>0.03</v>
      </c>
      <c r="D770" s="11">
        <v>125.99</v>
      </c>
      <c r="E770" s="11">
        <v>7.69</v>
      </c>
      <c r="F770" s="11">
        <v>1357</v>
      </c>
      <c r="G770" s="6" t="str">
        <f>IF(COUNTIF(Table1[Customer ID],Table1[[#This Row],[Customer ID]])&gt;1,"Repeat Customer","One-Time Customer")</f>
        <v>Repeat Customer</v>
      </c>
      <c r="H770" s="11" t="s">
        <v>1423</v>
      </c>
      <c r="I770" s="11" t="s">
        <v>49</v>
      </c>
      <c r="J770" s="11" t="s">
        <v>40</v>
      </c>
      <c r="K770" s="11" t="s">
        <v>77</v>
      </c>
      <c r="L770" s="11" t="s">
        <v>78</v>
      </c>
      <c r="M770" s="11" t="s">
        <v>59</v>
      </c>
      <c r="N770" s="11" t="s">
        <v>1225</v>
      </c>
      <c r="O770" s="11">
        <v>0.57999999999999996</v>
      </c>
      <c r="P770" s="6">
        <f>Table1[[#This Row],[Profit]]/Table1[[#This Row],[Sales]]</f>
        <v>0.51032241633983599</v>
      </c>
      <c r="Q770" s="11" t="s">
        <v>33</v>
      </c>
      <c r="R770" s="11" t="s">
        <v>61</v>
      </c>
      <c r="S770" s="11" t="s">
        <v>130</v>
      </c>
      <c r="T770" s="11" t="s">
        <v>1424</v>
      </c>
      <c r="U770" s="11">
        <v>78596</v>
      </c>
      <c r="V770" s="12">
        <v>42158</v>
      </c>
      <c r="W770" s="13" t="str">
        <f>TEXT(Table1[[#This Row],[Order Date]],"mmmm")</f>
        <v>June</v>
      </c>
      <c r="X770" s="7" t="str">
        <f>TEXT(Table1[[#This Row],[Order Date]],"yyyy")</f>
        <v>2015</v>
      </c>
      <c r="Y770" s="12">
        <v>42160</v>
      </c>
      <c r="Z770" s="11">
        <v>500.95799999999997</v>
      </c>
      <c r="AA770" s="11">
        <v>9</v>
      </c>
      <c r="AB770" s="11">
        <v>981.65</v>
      </c>
      <c r="AC770" s="11">
        <v>88184</v>
      </c>
      <c r="AD770" s="6" t="str">
        <f>IF(COUNTIF(Returns!$A$2:$A$1635,Orders!AC770)&gt;0,"Returned","Not Returned")</f>
        <v>Not Returned</v>
      </c>
    </row>
    <row r="771" spans="1:30" ht="12.75" customHeight="1" thickTop="1" thickBot="1" x14ac:dyDescent="0.25">
      <c r="A771" s="8">
        <v>18645</v>
      </c>
      <c r="B771" s="1" t="s">
        <v>25</v>
      </c>
      <c r="C771" s="1">
        <v>7.0000000000000007E-2</v>
      </c>
      <c r="D771" s="1">
        <v>119.99</v>
      </c>
      <c r="E771" s="1">
        <v>16.8</v>
      </c>
      <c r="F771" s="1">
        <v>1357</v>
      </c>
      <c r="G771" s="6" t="str">
        <f>IF(COUNTIF(Table1[Customer ID],Table1[[#This Row],[Customer ID]])&gt;1,"Repeat Customer","One-Time Customer")</f>
        <v>Repeat Customer</v>
      </c>
      <c r="H771" s="1" t="s">
        <v>1423</v>
      </c>
      <c r="I771" s="1" t="s">
        <v>39</v>
      </c>
      <c r="J771" s="1" t="s">
        <v>40</v>
      </c>
      <c r="K771" s="1" t="s">
        <v>77</v>
      </c>
      <c r="L771" s="1" t="s">
        <v>85</v>
      </c>
      <c r="M771" s="1" t="s">
        <v>121</v>
      </c>
      <c r="N771" s="1" t="s">
        <v>1425</v>
      </c>
      <c r="O771" s="1">
        <v>0.35</v>
      </c>
      <c r="P771" s="6">
        <f>Table1[[#This Row],[Profit]]/Table1[[#This Row],[Sales]]</f>
        <v>0.69</v>
      </c>
      <c r="Q771" s="1" t="s">
        <v>33</v>
      </c>
      <c r="R771" s="1" t="s">
        <v>61</v>
      </c>
      <c r="S771" s="1" t="s">
        <v>130</v>
      </c>
      <c r="T771" s="1" t="s">
        <v>1424</v>
      </c>
      <c r="U771" s="1">
        <v>78596</v>
      </c>
      <c r="V771" s="9">
        <v>42183</v>
      </c>
      <c r="W771" s="13" t="str">
        <f>TEXT(Table1[[#This Row],[Order Date]],"mmmm")</f>
        <v>June</v>
      </c>
      <c r="X771" s="7" t="str">
        <f>TEXT(Table1[[#This Row],[Order Date]],"yyyy")</f>
        <v>2015</v>
      </c>
      <c r="Y771" s="9">
        <v>42185</v>
      </c>
      <c r="Z771" s="1">
        <v>1206.5961</v>
      </c>
      <c r="AA771" s="1">
        <v>15</v>
      </c>
      <c r="AB771" s="1">
        <v>1748.69</v>
      </c>
      <c r="AC771" s="1">
        <v>88185</v>
      </c>
      <c r="AD771" s="6" t="str">
        <f>IF(COUNTIF(Returns!$A$2:$A$1635,Orders!AC771)&gt;0,"Returned","Not Returned")</f>
        <v>Not Returned</v>
      </c>
    </row>
    <row r="772" spans="1:30" ht="12.75" customHeight="1" thickTop="1" thickBot="1" x14ac:dyDescent="0.25">
      <c r="A772" s="10">
        <v>20830</v>
      </c>
      <c r="B772" s="11" t="s">
        <v>25</v>
      </c>
      <c r="C772" s="11">
        <v>0.03</v>
      </c>
      <c r="D772" s="11">
        <v>14.34</v>
      </c>
      <c r="E772" s="11">
        <v>5</v>
      </c>
      <c r="F772" s="11">
        <v>1360</v>
      </c>
      <c r="G772" s="6" t="str">
        <f>IF(COUNTIF(Table1[Customer ID],Table1[[#This Row],[Customer ID]])&gt;1,"Repeat Customer","One-Time Customer")</f>
        <v>One-Time Customer</v>
      </c>
      <c r="H772" s="11" t="s">
        <v>1426</v>
      </c>
      <c r="I772" s="11" t="s">
        <v>49</v>
      </c>
      <c r="J772" s="11" t="s">
        <v>114</v>
      </c>
      <c r="K772" s="11" t="s">
        <v>41</v>
      </c>
      <c r="L772" s="11" t="s">
        <v>50</v>
      </c>
      <c r="M772" s="11" t="s">
        <v>51</v>
      </c>
      <c r="N772" s="11" t="s">
        <v>1427</v>
      </c>
      <c r="O772" s="11">
        <v>0.49</v>
      </c>
      <c r="P772" s="6">
        <f>Table1[[#This Row],[Profit]]/Table1[[#This Row],[Sales]]</f>
        <v>0.69</v>
      </c>
      <c r="Q772" s="11" t="s">
        <v>33</v>
      </c>
      <c r="R772" s="11" t="s">
        <v>61</v>
      </c>
      <c r="S772" s="11" t="s">
        <v>330</v>
      </c>
      <c r="T772" s="11" t="s">
        <v>1428</v>
      </c>
      <c r="U772" s="11">
        <v>52761</v>
      </c>
      <c r="V772" s="12">
        <v>42030</v>
      </c>
      <c r="W772" s="13" t="str">
        <f>TEXT(Table1[[#This Row],[Order Date]],"mmmm")</f>
        <v>January</v>
      </c>
      <c r="X772" s="7" t="str">
        <f>TEXT(Table1[[#This Row],[Order Date]],"yyyy")</f>
        <v>2015</v>
      </c>
      <c r="Y772" s="12">
        <v>42031</v>
      </c>
      <c r="Z772" s="11">
        <v>82.310099999999991</v>
      </c>
      <c r="AA772" s="11">
        <v>8</v>
      </c>
      <c r="AB772" s="11">
        <v>119.29</v>
      </c>
      <c r="AC772" s="11">
        <v>89595</v>
      </c>
      <c r="AD772" s="6" t="str">
        <f>IF(COUNTIF(Returns!$A$2:$A$1635,Orders!AC772)&gt;0,"Returned","Not Returned")</f>
        <v>Not Returned</v>
      </c>
    </row>
    <row r="773" spans="1:30" ht="12.75" customHeight="1" thickTop="1" thickBot="1" x14ac:dyDescent="0.25">
      <c r="A773" s="8">
        <v>20829</v>
      </c>
      <c r="B773" s="1" t="s">
        <v>25</v>
      </c>
      <c r="C773" s="1">
        <v>0.01</v>
      </c>
      <c r="D773" s="1">
        <v>2.89</v>
      </c>
      <c r="E773" s="1">
        <v>0.5</v>
      </c>
      <c r="F773" s="1">
        <v>1361</v>
      </c>
      <c r="G773" s="6" t="str">
        <f>IF(COUNTIF(Table1[Customer ID],Table1[[#This Row],[Customer ID]])&gt;1,"Repeat Customer","One-Time Customer")</f>
        <v>Repeat Customer</v>
      </c>
      <c r="H773" s="1" t="s">
        <v>1429</v>
      </c>
      <c r="I773" s="1" t="s">
        <v>49</v>
      </c>
      <c r="J773" s="1" t="s">
        <v>114</v>
      </c>
      <c r="K773" s="1" t="s">
        <v>29</v>
      </c>
      <c r="L773" s="1" t="s">
        <v>134</v>
      </c>
      <c r="M773" s="1" t="s">
        <v>59</v>
      </c>
      <c r="N773" s="1" t="s">
        <v>789</v>
      </c>
      <c r="O773" s="1">
        <v>0.38</v>
      </c>
      <c r="P773" s="6">
        <f>Table1[[#This Row],[Profit]]/Table1[[#This Row],[Sales]]</f>
        <v>0.39727272727272728</v>
      </c>
      <c r="Q773" s="1" t="s">
        <v>33</v>
      </c>
      <c r="R773" s="1" t="s">
        <v>61</v>
      </c>
      <c r="S773" s="1" t="s">
        <v>300</v>
      </c>
      <c r="T773" s="1" t="s">
        <v>1430</v>
      </c>
      <c r="U773" s="1">
        <v>48101</v>
      </c>
      <c r="V773" s="9">
        <v>42030</v>
      </c>
      <c r="W773" s="13" t="str">
        <f>TEXT(Table1[[#This Row],[Order Date]],"mmmm")</f>
        <v>January</v>
      </c>
      <c r="X773" s="7" t="str">
        <f>TEXT(Table1[[#This Row],[Order Date]],"yyyy")</f>
        <v>2015</v>
      </c>
      <c r="Y773" s="9">
        <v>42032</v>
      </c>
      <c r="Z773" s="1">
        <v>1.2236</v>
      </c>
      <c r="AA773" s="1">
        <v>1</v>
      </c>
      <c r="AB773" s="1">
        <v>3.08</v>
      </c>
      <c r="AC773" s="1">
        <v>89595</v>
      </c>
      <c r="AD773" s="6" t="str">
        <f>IF(COUNTIF(Returns!$A$2:$A$1635,Orders!AC773)&gt;0,"Returned","Not Returned")</f>
        <v>Not Returned</v>
      </c>
    </row>
    <row r="774" spans="1:30" ht="12.75" customHeight="1" thickTop="1" thickBot="1" x14ac:dyDescent="0.25">
      <c r="A774" s="10">
        <v>24432</v>
      </c>
      <c r="B774" s="11" t="s">
        <v>47</v>
      </c>
      <c r="C774" s="11">
        <v>0.01</v>
      </c>
      <c r="D774" s="11">
        <v>6.48</v>
      </c>
      <c r="E774" s="11">
        <v>6.22</v>
      </c>
      <c r="F774" s="11">
        <v>1361</v>
      </c>
      <c r="G774" s="6" t="str">
        <f>IF(COUNTIF(Table1[Customer ID],Table1[[#This Row],[Customer ID]])&gt;1,"Repeat Customer","One-Time Customer")</f>
        <v>Repeat Customer</v>
      </c>
      <c r="H774" s="11" t="s">
        <v>1429</v>
      </c>
      <c r="I774" s="11" t="s">
        <v>27</v>
      </c>
      <c r="J774" s="11" t="s">
        <v>114</v>
      </c>
      <c r="K774" s="11" t="s">
        <v>29</v>
      </c>
      <c r="L774" s="11" t="s">
        <v>93</v>
      </c>
      <c r="M774" s="11" t="s">
        <v>59</v>
      </c>
      <c r="N774" s="11" t="s">
        <v>1431</v>
      </c>
      <c r="O774" s="11">
        <v>0.37</v>
      </c>
      <c r="P774" s="6">
        <f>Table1[[#This Row],[Profit]]/Table1[[#This Row],[Sales]]</f>
        <v>-0.22503887129283043</v>
      </c>
      <c r="Q774" s="11" t="s">
        <v>33</v>
      </c>
      <c r="R774" s="11" t="s">
        <v>61</v>
      </c>
      <c r="S774" s="11" t="s">
        <v>300</v>
      </c>
      <c r="T774" s="11" t="s">
        <v>1430</v>
      </c>
      <c r="U774" s="11">
        <v>48101</v>
      </c>
      <c r="V774" s="12">
        <v>42045</v>
      </c>
      <c r="W774" s="13" t="str">
        <f>TEXT(Table1[[#This Row],[Order Date]],"mmmm")</f>
        <v>February</v>
      </c>
      <c r="X774" s="7" t="str">
        <f>TEXT(Table1[[#This Row],[Order Date]],"yyyy")</f>
        <v>2015</v>
      </c>
      <c r="Y774" s="12">
        <v>42046</v>
      </c>
      <c r="Z774" s="11">
        <v>-15.6312</v>
      </c>
      <c r="AA774" s="11">
        <v>9</v>
      </c>
      <c r="AB774" s="11">
        <v>69.459999999999994</v>
      </c>
      <c r="AC774" s="11">
        <v>89596</v>
      </c>
      <c r="AD774" s="6" t="str">
        <f>IF(COUNTIF(Returns!$A$2:$A$1635,Orders!AC774)&gt;0,"Returned","Not Returned")</f>
        <v>Not Returned</v>
      </c>
    </row>
    <row r="775" spans="1:30" ht="12.75" customHeight="1" thickTop="1" thickBot="1" x14ac:dyDescent="0.25">
      <c r="A775" s="8">
        <v>24433</v>
      </c>
      <c r="B775" s="1" t="s">
        <v>47</v>
      </c>
      <c r="C775" s="1">
        <v>0.03</v>
      </c>
      <c r="D775" s="1">
        <v>85.99</v>
      </c>
      <c r="E775" s="1">
        <v>3.3</v>
      </c>
      <c r="F775" s="1">
        <v>1361</v>
      </c>
      <c r="G775" s="6" t="str">
        <f>IF(COUNTIF(Table1[Customer ID],Table1[[#This Row],[Customer ID]])&gt;1,"Repeat Customer","One-Time Customer")</f>
        <v>Repeat Customer</v>
      </c>
      <c r="H775" s="1" t="s">
        <v>1429</v>
      </c>
      <c r="I775" s="1" t="s">
        <v>49</v>
      </c>
      <c r="J775" s="1" t="s">
        <v>114</v>
      </c>
      <c r="K775" s="1" t="s">
        <v>77</v>
      </c>
      <c r="L775" s="1" t="s">
        <v>78</v>
      </c>
      <c r="M775" s="1" t="s">
        <v>51</v>
      </c>
      <c r="N775" s="1" t="s">
        <v>535</v>
      </c>
      <c r="O775" s="1">
        <v>0.37</v>
      </c>
      <c r="P775" s="6">
        <f>Table1[[#This Row],[Profit]]/Table1[[#This Row],[Sales]]</f>
        <v>0.69</v>
      </c>
      <c r="Q775" s="1" t="s">
        <v>33</v>
      </c>
      <c r="R775" s="1" t="s">
        <v>61</v>
      </c>
      <c r="S775" s="1" t="s">
        <v>300</v>
      </c>
      <c r="T775" s="1" t="s">
        <v>1430</v>
      </c>
      <c r="U775" s="1">
        <v>48101</v>
      </c>
      <c r="V775" s="9">
        <v>42045</v>
      </c>
      <c r="W775" s="13" t="str">
        <f>TEXT(Table1[[#This Row],[Order Date]],"mmmm")</f>
        <v>February</v>
      </c>
      <c r="X775" s="7" t="str">
        <f>TEXT(Table1[[#This Row],[Order Date]],"yyyy")</f>
        <v>2015</v>
      </c>
      <c r="Y775" s="9">
        <v>42047</v>
      </c>
      <c r="Z775" s="1">
        <v>790.54679999999996</v>
      </c>
      <c r="AA775" s="1">
        <v>16</v>
      </c>
      <c r="AB775" s="1">
        <v>1145.72</v>
      </c>
      <c r="AC775" s="1">
        <v>89596</v>
      </c>
      <c r="AD775" s="6" t="str">
        <f>IF(COUNTIF(Returns!$A$2:$A$1635,Orders!AC775)&gt;0,"Returned","Not Returned")</f>
        <v>Not Returned</v>
      </c>
    </row>
    <row r="776" spans="1:30" ht="12.75" customHeight="1" thickTop="1" thickBot="1" x14ac:dyDescent="0.25">
      <c r="A776" s="10">
        <v>23011</v>
      </c>
      <c r="B776" s="11" t="s">
        <v>56</v>
      </c>
      <c r="C776" s="11">
        <v>0.05</v>
      </c>
      <c r="D776" s="11">
        <v>12.97</v>
      </c>
      <c r="E776" s="11">
        <v>1.49</v>
      </c>
      <c r="F776" s="11">
        <v>1363</v>
      </c>
      <c r="G776" s="6" t="str">
        <f>IF(COUNTIF(Table1[Customer ID],Table1[[#This Row],[Customer ID]])&gt;1,"Repeat Customer","One-Time Customer")</f>
        <v>Repeat Customer</v>
      </c>
      <c r="H776" s="11" t="s">
        <v>1432</v>
      </c>
      <c r="I776" s="11" t="s">
        <v>49</v>
      </c>
      <c r="J776" s="11" t="s">
        <v>114</v>
      </c>
      <c r="K776" s="11" t="s">
        <v>29</v>
      </c>
      <c r="L776" s="11" t="s">
        <v>109</v>
      </c>
      <c r="M776" s="11" t="s">
        <v>59</v>
      </c>
      <c r="N776" s="11" t="s">
        <v>1433</v>
      </c>
      <c r="O776" s="11">
        <v>0.35</v>
      </c>
      <c r="P776" s="6">
        <f>Table1[[#This Row],[Profit]]/Table1[[#This Row],[Sales]]</f>
        <v>0.20728100113765641</v>
      </c>
      <c r="Q776" s="11" t="s">
        <v>33</v>
      </c>
      <c r="R776" s="11" t="s">
        <v>136</v>
      </c>
      <c r="S776" s="11" t="s">
        <v>362</v>
      </c>
      <c r="T776" s="11" t="s">
        <v>1434</v>
      </c>
      <c r="U776" s="11">
        <v>32707</v>
      </c>
      <c r="V776" s="12">
        <v>42039</v>
      </c>
      <c r="W776" s="13" t="str">
        <f>TEXT(Table1[[#This Row],[Order Date]],"mmmm")</f>
        <v>February</v>
      </c>
      <c r="X776" s="7" t="str">
        <f>TEXT(Table1[[#This Row],[Order Date]],"yyyy")</f>
        <v>2015</v>
      </c>
      <c r="Y776" s="12">
        <v>42041</v>
      </c>
      <c r="Z776" s="11">
        <v>5.4659999999999993</v>
      </c>
      <c r="AA776" s="11">
        <v>2</v>
      </c>
      <c r="AB776" s="11">
        <v>26.37</v>
      </c>
      <c r="AC776" s="11">
        <v>89993</v>
      </c>
      <c r="AD776" s="6" t="str">
        <f>IF(COUNTIF(Returns!$A$2:$A$1635,Orders!AC776)&gt;0,"Returned","Not Returned")</f>
        <v>Not Returned</v>
      </c>
    </row>
    <row r="777" spans="1:30" ht="12.75" customHeight="1" thickTop="1" thickBot="1" x14ac:dyDescent="0.25">
      <c r="A777" s="8">
        <v>23012</v>
      </c>
      <c r="B777" s="1" t="s">
        <v>56</v>
      </c>
      <c r="C777" s="1">
        <v>0.06</v>
      </c>
      <c r="D777" s="1">
        <v>5.81</v>
      </c>
      <c r="E777" s="1">
        <v>3.37</v>
      </c>
      <c r="F777" s="1">
        <v>1363</v>
      </c>
      <c r="G777" s="6" t="str">
        <f>IF(COUNTIF(Table1[Customer ID],Table1[[#This Row],[Customer ID]])&gt;1,"Repeat Customer","One-Time Customer")</f>
        <v>Repeat Customer</v>
      </c>
      <c r="H777" s="1" t="s">
        <v>1432</v>
      </c>
      <c r="I777" s="1" t="s">
        <v>49</v>
      </c>
      <c r="J777" s="1" t="s">
        <v>114</v>
      </c>
      <c r="K777" s="1" t="s">
        <v>29</v>
      </c>
      <c r="L777" s="1" t="s">
        <v>66</v>
      </c>
      <c r="M777" s="1" t="s">
        <v>31</v>
      </c>
      <c r="N777" s="1" t="s">
        <v>1435</v>
      </c>
      <c r="O777" s="1">
        <v>0.54</v>
      </c>
      <c r="P777" s="6">
        <f>Table1[[#This Row],[Profit]]/Table1[[#This Row],[Sales]]</f>
        <v>-2.7903854790419165</v>
      </c>
      <c r="Q777" s="1" t="s">
        <v>33</v>
      </c>
      <c r="R777" s="1" t="s">
        <v>136</v>
      </c>
      <c r="S777" s="1" t="s">
        <v>362</v>
      </c>
      <c r="T777" s="1" t="s">
        <v>1434</v>
      </c>
      <c r="U777" s="1">
        <v>32707</v>
      </c>
      <c r="V777" s="9">
        <v>42039</v>
      </c>
      <c r="W777" s="13" t="str">
        <f>TEXT(Table1[[#This Row],[Order Date]],"mmmm")</f>
        <v>February</v>
      </c>
      <c r="X777" s="7" t="str">
        <f>TEXT(Table1[[#This Row],[Order Date]],"yyyy")</f>
        <v>2015</v>
      </c>
      <c r="Y777" s="9">
        <v>42041</v>
      </c>
      <c r="Z777" s="1">
        <v>-149.1182</v>
      </c>
      <c r="AA777" s="1">
        <v>9</v>
      </c>
      <c r="AB777" s="1">
        <v>53.44</v>
      </c>
      <c r="AC777" s="1">
        <v>89993</v>
      </c>
      <c r="AD777" s="6" t="str">
        <f>IF(COUNTIF(Returns!$A$2:$A$1635,Orders!AC777)&gt;0,"Returned","Not Returned")</f>
        <v>Not Returned</v>
      </c>
    </row>
    <row r="778" spans="1:30" ht="12.75" customHeight="1" thickTop="1" thickBot="1" x14ac:dyDescent="0.25">
      <c r="A778" s="10">
        <v>19333</v>
      </c>
      <c r="B778" s="11" t="s">
        <v>37</v>
      </c>
      <c r="C778" s="11">
        <v>0.1</v>
      </c>
      <c r="D778" s="11">
        <v>5.98</v>
      </c>
      <c r="E778" s="11">
        <v>5.35</v>
      </c>
      <c r="F778" s="11">
        <v>1364</v>
      </c>
      <c r="G778" s="6" t="str">
        <f>IF(COUNTIF(Table1[Customer ID],Table1[[#This Row],[Customer ID]])&gt;1,"Repeat Customer","One-Time Customer")</f>
        <v>One-Time Customer</v>
      </c>
      <c r="H778" s="11" t="s">
        <v>1436</v>
      </c>
      <c r="I778" s="11" t="s">
        <v>49</v>
      </c>
      <c r="J778" s="11" t="s">
        <v>40</v>
      </c>
      <c r="K778" s="11" t="s">
        <v>29</v>
      </c>
      <c r="L778" s="11" t="s">
        <v>93</v>
      </c>
      <c r="M778" s="11" t="s">
        <v>59</v>
      </c>
      <c r="N778" s="11" t="s">
        <v>1437</v>
      </c>
      <c r="O778" s="11">
        <v>0.4</v>
      </c>
      <c r="P778" s="6">
        <f>Table1[[#This Row],[Profit]]/Table1[[#This Row],[Sales]]</f>
        <v>-1.5741192884548307</v>
      </c>
      <c r="Q778" s="11" t="s">
        <v>33</v>
      </c>
      <c r="R778" s="11" t="s">
        <v>53</v>
      </c>
      <c r="S778" s="11" t="s">
        <v>415</v>
      </c>
      <c r="T778" s="11" t="s">
        <v>1418</v>
      </c>
      <c r="U778" s="11">
        <v>20746</v>
      </c>
      <c r="V778" s="12">
        <v>42080</v>
      </c>
      <c r="W778" s="13" t="str">
        <f>TEXT(Table1[[#This Row],[Order Date]],"mmmm")</f>
        <v>March</v>
      </c>
      <c r="X778" s="7" t="str">
        <f>TEXT(Table1[[#This Row],[Order Date]],"yyyy")</f>
        <v>2015</v>
      </c>
      <c r="Y778" s="12">
        <v>42080</v>
      </c>
      <c r="Z778" s="11">
        <v>-90.26</v>
      </c>
      <c r="AA778" s="11">
        <v>10</v>
      </c>
      <c r="AB778" s="11">
        <v>57.34</v>
      </c>
      <c r="AC778" s="11">
        <v>89994</v>
      </c>
      <c r="AD778" s="6" t="str">
        <f>IF(COUNTIF(Returns!$A$2:$A$1635,Orders!AC778)&gt;0,"Returned","Not Returned")</f>
        <v>Not Returned</v>
      </c>
    </row>
    <row r="779" spans="1:30" ht="12.75" customHeight="1" thickTop="1" thickBot="1" x14ac:dyDescent="0.25">
      <c r="A779" s="8">
        <v>20539</v>
      </c>
      <c r="B779" s="1" t="s">
        <v>56</v>
      </c>
      <c r="C779" s="1">
        <v>0.03</v>
      </c>
      <c r="D779" s="1">
        <v>73.98</v>
      </c>
      <c r="E779" s="1">
        <v>14.52</v>
      </c>
      <c r="F779" s="1">
        <v>1367</v>
      </c>
      <c r="G779" s="6" t="str">
        <f>IF(COUNTIF(Table1[Customer ID],Table1[[#This Row],[Customer ID]])&gt;1,"Repeat Customer","One-Time Customer")</f>
        <v>One-Time Customer</v>
      </c>
      <c r="H779" s="1" t="s">
        <v>1438</v>
      </c>
      <c r="I779" s="1" t="s">
        <v>49</v>
      </c>
      <c r="J779" s="1" t="s">
        <v>114</v>
      </c>
      <c r="K779" s="1" t="s">
        <v>77</v>
      </c>
      <c r="L779" s="1" t="s">
        <v>180</v>
      </c>
      <c r="M779" s="1" t="s">
        <v>59</v>
      </c>
      <c r="N779" s="1" t="s">
        <v>1140</v>
      </c>
      <c r="O779" s="1">
        <v>0.65</v>
      </c>
      <c r="P779" s="6">
        <f>Table1[[#This Row],[Profit]]/Table1[[#This Row],[Sales]]</f>
        <v>-4.1284687420906092</v>
      </c>
      <c r="Q779" s="1" t="s">
        <v>33</v>
      </c>
      <c r="R779" s="1" t="s">
        <v>61</v>
      </c>
      <c r="S779" s="1" t="s">
        <v>130</v>
      </c>
      <c r="T779" s="1" t="s">
        <v>1439</v>
      </c>
      <c r="U779" s="1">
        <v>79424</v>
      </c>
      <c r="V779" s="9">
        <v>42011</v>
      </c>
      <c r="W779" s="13" t="str">
        <f>TEXT(Table1[[#This Row],[Order Date]],"mmmm")</f>
        <v>January</v>
      </c>
      <c r="X779" s="7" t="str">
        <f>TEXT(Table1[[#This Row],[Order Date]],"yyyy")</f>
        <v>2015</v>
      </c>
      <c r="Y779" s="9">
        <v>42014</v>
      </c>
      <c r="Z779" s="1">
        <v>-326.23159999999996</v>
      </c>
      <c r="AA779" s="1">
        <v>1</v>
      </c>
      <c r="AB779" s="1">
        <v>79.02</v>
      </c>
      <c r="AC779" s="1">
        <v>90513</v>
      </c>
      <c r="AD779" s="6" t="str">
        <f>IF(COUNTIF(Returns!$A$2:$A$1635,Orders!AC779)&gt;0,"Returned","Not Returned")</f>
        <v>Not Returned</v>
      </c>
    </row>
    <row r="780" spans="1:30" ht="12.75" customHeight="1" thickTop="1" thickBot="1" x14ac:dyDescent="0.25">
      <c r="A780" s="10">
        <v>26034</v>
      </c>
      <c r="B780" s="11" t="s">
        <v>56</v>
      </c>
      <c r="C780" s="11">
        <v>0.09</v>
      </c>
      <c r="D780" s="11">
        <v>4.55</v>
      </c>
      <c r="E780" s="11">
        <v>1.49</v>
      </c>
      <c r="F780" s="11">
        <v>1368</v>
      </c>
      <c r="G780" s="6" t="str">
        <f>IF(COUNTIF(Table1[Customer ID],Table1[[#This Row],[Customer ID]])&gt;1,"Repeat Customer","One-Time Customer")</f>
        <v>One-Time Customer</v>
      </c>
      <c r="H780" s="11" t="s">
        <v>1440</v>
      </c>
      <c r="I780" s="11" t="s">
        <v>49</v>
      </c>
      <c r="J780" s="11" t="s">
        <v>114</v>
      </c>
      <c r="K780" s="11" t="s">
        <v>29</v>
      </c>
      <c r="L780" s="11" t="s">
        <v>109</v>
      </c>
      <c r="M780" s="11" t="s">
        <v>59</v>
      </c>
      <c r="N780" s="11" t="s">
        <v>1441</v>
      </c>
      <c r="O780" s="11">
        <v>0.35</v>
      </c>
      <c r="P780" s="6">
        <f>Table1[[#This Row],[Profit]]/Table1[[#This Row],[Sales]]</f>
        <v>0.66396856581532415</v>
      </c>
      <c r="Q780" s="11" t="s">
        <v>33</v>
      </c>
      <c r="R780" s="11" t="s">
        <v>61</v>
      </c>
      <c r="S780" s="11" t="s">
        <v>130</v>
      </c>
      <c r="T780" s="11" t="s">
        <v>1442</v>
      </c>
      <c r="U780" s="11">
        <v>75901</v>
      </c>
      <c r="V780" s="12">
        <v>42086</v>
      </c>
      <c r="W780" s="13" t="str">
        <f>TEXT(Table1[[#This Row],[Order Date]],"mmmm")</f>
        <v>March</v>
      </c>
      <c r="X780" s="7" t="str">
        <f>TEXT(Table1[[#This Row],[Order Date]],"yyyy")</f>
        <v>2015</v>
      </c>
      <c r="Y780" s="12">
        <v>42088</v>
      </c>
      <c r="Z780" s="11">
        <v>16.898</v>
      </c>
      <c r="AA780" s="11">
        <v>6</v>
      </c>
      <c r="AB780" s="11">
        <v>25.45</v>
      </c>
      <c r="AC780" s="11">
        <v>90514</v>
      </c>
      <c r="AD780" s="6" t="str">
        <f>IF(COUNTIF(Returns!$A$2:$A$1635,Orders!AC780)&gt;0,"Returned","Not Returned")</f>
        <v>Not Returned</v>
      </c>
    </row>
    <row r="781" spans="1:30" ht="12.75" customHeight="1" thickTop="1" thickBot="1" x14ac:dyDescent="0.25">
      <c r="A781" s="8">
        <v>26035</v>
      </c>
      <c r="B781" s="1" t="s">
        <v>56</v>
      </c>
      <c r="C781" s="1">
        <v>7.0000000000000007E-2</v>
      </c>
      <c r="D781" s="1">
        <v>9.7799999999999994</v>
      </c>
      <c r="E781" s="1">
        <v>5.76</v>
      </c>
      <c r="F781" s="1">
        <v>1369</v>
      </c>
      <c r="G781" s="6" t="str">
        <f>IF(COUNTIF(Table1[Customer ID],Table1[[#This Row],[Customer ID]])&gt;1,"Repeat Customer","One-Time Customer")</f>
        <v>One-Time Customer</v>
      </c>
      <c r="H781" s="1" t="s">
        <v>1443</v>
      </c>
      <c r="I781" s="1" t="s">
        <v>27</v>
      </c>
      <c r="J781" s="1" t="s">
        <v>114</v>
      </c>
      <c r="K781" s="1" t="s">
        <v>29</v>
      </c>
      <c r="L781" s="1" t="s">
        <v>69</v>
      </c>
      <c r="M781" s="1" t="s">
        <v>59</v>
      </c>
      <c r="N781" s="1" t="s">
        <v>1265</v>
      </c>
      <c r="O781" s="1">
        <v>0.35</v>
      </c>
      <c r="P781" s="6">
        <f>Table1[[#This Row],[Profit]]/Table1[[#This Row],[Sales]]</f>
        <v>0.18190028901734104</v>
      </c>
      <c r="Q781" s="1" t="s">
        <v>33</v>
      </c>
      <c r="R781" s="1" t="s">
        <v>61</v>
      </c>
      <c r="S781" s="1" t="s">
        <v>130</v>
      </c>
      <c r="T781" s="1" t="s">
        <v>1444</v>
      </c>
      <c r="U781" s="1">
        <v>76063</v>
      </c>
      <c r="V781" s="9">
        <v>42086</v>
      </c>
      <c r="W781" s="13" t="str">
        <f>TEXT(Table1[[#This Row],[Order Date]],"mmmm")</f>
        <v>March</v>
      </c>
      <c r="X781" s="7" t="str">
        <f>TEXT(Table1[[#This Row],[Order Date]],"yyyy")</f>
        <v>2015</v>
      </c>
      <c r="Y781" s="9">
        <v>42088</v>
      </c>
      <c r="Z781" s="1">
        <v>20.14</v>
      </c>
      <c r="AA781" s="1">
        <v>11</v>
      </c>
      <c r="AB781" s="1">
        <v>110.72</v>
      </c>
      <c r="AC781" s="1">
        <v>90514</v>
      </c>
      <c r="AD781" s="6" t="str">
        <f>IF(COUNTIF(Returns!$A$2:$A$1635,Orders!AC781)&gt;0,"Returned","Not Returned")</f>
        <v>Not Returned</v>
      </c>
    </row>
    <row r="782" spans="1:30" ht="12.75" customHeight="1" thickTop="1" thickBot="1" x14ac:dyDescent="0.25">
      <c r="A782" s="10">
        <v>24534</v>
      </c>
      <c r="B782" s="11" t="s">
        <v>47</v>
      </c>
      <c r="C782" s="11">
        <v>0.06</v>
      </c>
      <c r="D782" s="11">
        <v>44.01</v>
      </c>
      <c r="E782" s="11">
        <v>3.5</v>
      </c>
      <c r="F782" s="11">
        <v>1374</v>
      </c>
      <c r="G782" s="6" t="str">
        <f>IF(COUNTIF(Table1[Customer ID],Table1[[#This Row],[Customer ID]])&gt;1,"Repeat Customer","One-Time Customer")</f>
        <v>One-Time Customer</v>
      </c>
      <c r="H782" s="11" t="s">
        <v>1445</v>
      </c>
      <c r="I782" s="11" t="s">
        <v>49</v>
      </c>
      <c r="J782" s="11" t="s">
        <v>40</v>
      </c>
      <c r="K782" s="11" t="s">
        <v>29</v>
      </c>
      <c r="L782" s="11" t="s">
        <v>257</v>
      </c>
      <c r="M782" s="11" t="s">
        <v>59</v>
      </c>
      <c r="N782" s="11" t="s">
        <v>1446</v>
      </c>
      <c r="O782" s="11">
        <v>0.59</v>
      </c>
      <c r="P782" s="6">
        <f>Table1[[#This Row],[Profit]]/Table1[[#This Row],[Sales]]</f>
        <v>-0.45232211333617384</v>
      </c>
      <c r="Q782" s="11" t="s">
        <v>33</v>
      </c>
      <c r="R782" s="11" t="s">
        <v>34</v>
      </c>
      <c r="S782" s="11" t="s">
        <v>45</v>
      </c>
      <c r="T782" s="11" t="s">
        <v>1447</v>
      </c>
      <c r="U782" s="11">
        <v>95207</v>
      </c>
      <c r="V782" s="12">
        <v>42162</v>
      </c>
      <c r="W782" s="13" t="str">
        <f>TEXT(Table1[[#This Row],[Order Date]],"mmmm")</f>
        <v>June</v>
      </c>
      <c r="X782" s="7" t="str">
        <f>TEXT(Table1[[#This Row],[Order Date]],"yyyy")</f>
        <v>2015</v>
      </c>
      <c r="Y782" s="12">
        <v>42163</v>
      </c>
      <c r="Z782" s="11">
        <v>-21.231999999999999</v>
      </c>
      <c r="AA782" s="11">
        <v>1</v>
      </c>
      <c r="AB782" s="11">
        <v>46.94</v>
      </c>
      <c r="AC782" s="11">
        <v>88212</v>
      </c>
      <c r="AD782" s="6" t="str">
        <f>IF(COUNTIF(Returns!$A$2:$A$1635,Orders!AC782)&gt;0,"Returned","Not Returned")</f>
        <v>Not Returned</v>
      </c>
    </row>
    <row r="783" spans="1:30" ht="12.75" customHeight="1" thickTop="1" thickBot="1" x14ac:dyDescent="0.25">
      <c r="A783" s="8">
        <v>19932</v>
      </c>
      <c r="B783" s="1" t="s">
        <v>106</v>
      </c>
      <c r="C783" s="1">
        <v>0.05</v>
      </c>
      <c r="D783" s="1">
        <v>2.89</v>
      </c>
      <c r="E783" s="1">
        <v>0.5</v>
      </c>
      <c r="F783" s="1">
        <v>1380</v>
      </c>
      <c r="G783" s="6" t="str">
        <f>IF(COUNTIF(Table1[Customer ID],Table1[[#This Row],[Customer ID]])&gt;1,"Repeat Customer","One-Time Customer")</f>
        <v>One-Time Customer</v>
      </c>
      <c r="H783" s="1" t="s">
        <v>1448</v>
      </c>
      <c r="I783" s="1" t="s">
        <v>49</v>
      </c>
      <c r="J783" s="1" t="s">
        <v>40</v>
      </c>
      <c r="K783" s="1" t="s">
        <v>29</v>
      </c>
      <c r="L783" s="1" t="s">
        <v>134</v>
      </c>
      <c r="M783" s="1" t="s">
        <v>59</v>
      </c>
      <c r="N783" s="1" t="s">
        <v>789</v>
      </c>
      <c r="O783" s="1">
        <v>0.38</v>
      </c>
      <c r="P783" s="6">
        <f>Table1[[#This Row],[Profit]]/Table1[[#This Row],[Sales]]</f>
        <v>0.69</v>
      </c>
      <c r="Q783" s="1" t="s">
        <v>33</v>
      </c>
      <c r="R783" s="1" t="s">
        <v>53</v>
      </c>
      <c r="S783" s="1" t="s">
        <v>197</v>
      </c>
      <c r="T783" s="1" t="s">
        <v>1449</v>
      </c>
      <c r="U783" s="1">
        <v>3801</v>
      </c>
      <c r="V783" s="9">
        <v>42182</v>
      </c>
      <c r="W783" s="13" t="str">
        <f>TEXT(Table1[[#This Row],[Order Date]],"mmmm")</f>
        <v>June</v>
      </c>
      <c r="X783" s="7" t="str">
        <f>TEXT(Table1[[#This Row],[Order Date]],"yyyy")</f>
        <v>2015</v>
      </c>
      <c r="Y783" s="9">
        <v>42188</v>
      </c>
      <c r="Z783" s="1">
        <v>18.0642</v>
      </c>
      <c r="AA783" s="1">
        <v>9</v>
      </c>
      <c r="AB783" s="1">
        <v>26.18</v>
      </c>
      <c r="AC783" s="1">
        <v>88213</v>
      </c>
      <c r="AD783" s="6" t="str">
        <f>IF(COUNTIF(Returns!$A$2:$A$1635,Orders!AC783)&gt;0,"Returned","Not Returned")</f>
        <v>Not Returned</v>
      </c>
    </row>
    <row r="784" spans="1:30" ht="12.75" customHeight="1" thickTop="1" thickBot="1" x14ac:dyDescent="0.25">
      <c r="A784" s="10">
        <v>19018</v>
      </c>
      <c r="B784" s="11" t="s">
        <v>56</v>
      </c>
      <c r="C784" s="11">
        <v>0.03</v>
      </c>
      <c r="D784" s="11">
        <v>2.23</v>
      </c>
      <c r="E784" s="11">
        <v>4.57</v>
      </c>
      <c r="F784" s="11">
        <v>1383</v>
      </c>
      <c r="G784" s="6" t="str">
        <f>IF(COUNTIF(Table1[Customer ID],Table1[[#This Row],[Customer ID]])&gt;1,"Repeat Customer","One-Time Customer")</f>
        <v>One-Time Customer</v>
      </c>
      <c r="H784" s="11" t="s">
        <v>1450</v>
      </c>
      <c r="I784" s="11" t="s">
        <v>49</v>
      </c>
      <c r="J784" s="11" t="s">
        <v>114</v>
      </c>
      <c r="K784" s="11" t="s">
        <v>41</v>
      </c>
      <c r="L784" s="11" t="s">
        <v>50</v>
      </c>
      <c r="M784" s="11" t="s">
        <v>51</v>
      </c>
      <c r="N784" s="11" t="s">
        <v>1451</v>
      </c>
      <c r="O784" s="11">
        <v>0.41</v>
      </c>
      <c r="P784" s="6">
        <f>Table1[[#This Row],[Profit]]/Table1[[#This Row],[Sales]]</f>
        <v>-3.2536636427076062</v>
      </c>
      <c r="Q784" s="11" t="s">
        <v>33</v>
      </c>
      <c r="R784" s="11" t="s">
        <v>34</v>
      </c>
      <c r="S784" s="11" t="s">
        <v>212</v>
      </c>
      <c r="T784" s="11" t="s">
        <v>1391</v>
      </c>
      <c r="U784" s="11">
        <v>84120</v>
      </c>
      <c r="V784" s="12">
        <v>42125</v>
      </c>
      <c r="W784" s="13" t="str">
        <f>TEXT(Table1[[#This Row],[Order Date]],"mmmm")</f>
        <v>May</v>
      </c>
      <c r="X784" s="7" t="str">
        <f>TEXT(Table1[[#This Row],[Order Date]],"yyyy")</f>
        <v>2015</v>
      </c>
      <c r="Y784" s="12">
        <v>42126</v>
      </c>
      <c r="Z784" s="11">
        <v>-93.25</v>
      </c>
      <c r="AA784" s="11">
        <v>12</v>
      </c>
      <c r="AB784" s="11">
        <v>28.66</v>
      </c>
      <c r="AC784" s="11">
        <v>89406</v>
      </c>
      <c r="AD784" s="6" t="str">
        <f>IF(COUNTIF(Returns!$A$2:$A$1635,Orders!AC784)&gt;0,"Returned","Not Returned")</f>
        <v>Not Returned</v>
      </c>
    </row>
    <row r="785" spans="1:30" ht="12.75" customHeight="1" thickTop="1" thickBot="1" x14ac:dyDescent="0.25">
      <c r="A785" s="8">
        <v>25790</v>
      </c>
      <c r="B785" s="1" t="s">
        <v>37</v>
      </c>
      <c r="C785" s="1">
        <v>7.0000000000000007E-2</v>
      </c>
      <c r="D785" s="1">
        <v>11.29</v>
      </c>
      <c r="E785" s="1">
        <v>5.03</v>
      </c>
      <c r="F785" s="1">
        <v>1384</v>
      </c>
      <c r="G785" s="6" t="str">
        <f>IF(COUNTIF(Table1[Customer ID],Table1[[#This Row],[Customer ID]])&gt;1,"Repeat Customer","One-Time Customer")</f>
        <v>Repeat Customer</v>
      </c>
      <c r="H785" s="1" t="s">
        <v>1452</v>
      </c>
      <c r="I785" s="1" t="s">
        <v>49</v>
      </c>
      <c r="J785" s="1" t="s">
        <v>114</v>
      </c>
      <c r="K785" s="1" t="s">
        <v>29</v>
      </c>
      <c r="L785" s="1" t="s">
        <v>141</v>
      </c>
      <c r="M785" s="1" t="s">
        <v>59</v>
      </c>
      <c r="N785" s="1" t="s">
        <v>1453</v>
      </c>
      <c r="O785" s="1">
        <v>0.59</v>
      </c>
      <c r="P785" s="6">
        <f>Table1[[#This Row],[Profit]]/Table1[[#This Row],[Sales]]</f>
        <v>-1.3235103101152783</v>
      </c>
      <c r="Q785" s="1" t="s">
        <v>33</v>
      </c>
      <c r="R785" s="1" t="s">
        <v>136</v>
      </c>
      <c r="S785" s="1" t="s">
        <v>137</v>
      </c>
      <c r="T785" s="1" t="s">
        <v>1454</v>
      </c>
      <c r="U785" s="1">
        <v>22304</v>
      </c>
      <c r="V785" s="9">
        <v>42185</v>
      </c>
      <c r="W785" s="13" t="str">
        <f>TEXT(Table1[[#This Row],[Order Date]],"mmmm")</f>
        <v>June</v>
      </c>
      <c r="X785" s="7" t="str">
        <f>TEXT(Table1[[#This Row],[Order Date]],"yyyy")</f>
        <v>2015</v>
      </c>
      <c r="Y785" s="9">
        <v>42187</v>
      </c>
      <c r="Z785" s="1">
        <v>-163.03</v>
      </c>
      <c r="AA785" s="1">
        <v>11</v>
      </c>
      <c r="AB785" s="1">
        <v>123.18</v>
      </c>
      <c r="AC785" s="1">
        <v>89407</v>
      </c>
      <c r="AD785" s="6" t="str">
        <f>IF(COUNTIF(Returns!$A$2:$A$1635,Orders!AC785)&gt;0,"Returned","Not Returned")</f>
        <v>Not Returned</v>
      </c>
    </row>
    <row r="786" spans="1:30" ht="12.75" customHeight="1" thickTop="1" thickBot="1" x14ac:dyDescent="0.25">
      <c r="A786" s="10">
        <v>22984</v>
      </c>
      <c r="B786" s="11" t="s">
        <v>106</v>
      </c>
      <c r="C786" s="11">
        <v>0.02</v>
      </c>
      <c r="D786" s="11">
        <v>70.97</v>
      </c>
      <c r="E786" s="11">
        <v>3.5</v>
      </c>
      <c r="F786" s="11">
        <v>1384</v>
      </c>
      <c r="G786" s="6" t="str">
        <f>IF(COUNTIF(Table1[Customer ID],Table1[[#This Row],[Customer ID]])&gt;1,"Repeat Customer","One-Time Customer")</f>
        <v>Repeat Customer</v>
      </c>
      <c r="H786" s="11" t="s">
        <v>1452</v>
      </c>
      <c r="I786" s="11" t="s">
        <v>49</v>
      </c>
      <c r="J786" s="11" t="s">
        <v>114</v>
      </c>
      <c r="K786" s="11" t="s">
        <v>29</v>
      </c>
      <c r="L786" s="11" t="s">
        <v>257</v>
      </c>
      <c r="M786" s="11" t="s">
        <v>59</v>
      </c>
      <c r="N786" s="11" t="s">
        <v>672</v>
      </c>
      <c r="O786" s="11">
        <v>0.59</v>
      </c>
      <c r="P786" s="6">
        <f>Table1[[#This Row],[Profit]]/Table1[[#This Row],[Sales]]</f>
        <v>1.5399161444714657E-2</v>
      </c>
      <c r="Q786" s="11" t="s">
        <v>33</v>
      </c>
      <c r="R786" s="11" t="s">
        <v>136</v>
      </c>
      <c r="S786" s="11" t="s">
        <v>137</v>
      </c>
      <c r="T786" s="11" t="s">
        <v>1454</v>
      </c>
      <c r="U786" s="11">
        <v>22304</v>
      </c>
      <c r="V786" s="12">
        <v>42162</v>
      </c>
      <c r="W786" s="13" t="str">
        <f>TEXT(Table1[[#This Row],[Order Date]],"mmmm")</f>
        <v>June</v>
      </c>
      <c r="X786" s="7" t="str">
        <f>TEXT(Table1[[#This Row],[Order Date]],"yyyy")</f>
        <v>2015</v>
      </c>
      <c r="Y786" s="12">
        <v>42169</v>
      </c>
      <c r="Z786" s="11">
        <v>23.61599999999995</v>
      </c>
      <c r="AA786" s="11">
        <v>21</v>
      </c>
      <c r="AB786" s="11">
        <v>1533.59</v>
      </c>
      <c r="AC786" s="11">
        <v>89408</v>
      </c>
      <c r="AD786" s="6" t="str">
        <f>IF(COUNTIF(Returns!$A$2:$A$1635,Orders!AC786)&gt;0,"Returned","Not Returned")</f>
        <v>Not Returned</v>
      </c>
    </row>
    <row r="787" spans="1:30" ht="12.75" customHeight="1" thickTop="1" thickBot="1" x14ac:dyDescent="0.25">
      <c r="A787" s="8">
        <v>18970</v>
      </c>
      <c r="B787" s="1" t="s">
        <v>47</v>
      </c>
      <c r="C787" s="1">
        <v>0.06</v>
      </c>
      <c r="D787" s="1">
        <v>1.74</v>
      </c>
      <c r="E787" s="1">
        <v>4.08</v>
      </c>
      <c r="F787" s="1">
        <v>1389</v>
      </c>
      <c r="G787" s="6" t="str">
        <f>IF(COUNTIF(Table1[Customer ID],Table1[[#This Row],[Customer ID]])&gt;1,"Repeat Customer","One-Time Customer")</f>
        <v>Repeat Customer</v>
      </c>
      <c r="H787" s="1" t="s">
        <v>1455</v>
      </c>
      <c r="I787" s="1" t="s">
        <v>49</v>
      </c>
      <c r="J787" s="1" t="s">
        <v>28</v>
      </c>
      <c r="K787" s="1" t="s">
        <v>41</v>
      </c>
      <c r="L787" s="1" t="s">
        <v>50</v>
      </c>
      <c r="M787" s="1" t="s">
        <v>51</v>
      </c>
      <c r="N787" s="1" t="s">
        <v>219</v>
      </c>
      <c r="O787" s="1">
        <v>0.53</v>
      </c>
      <c r="P787" s="6">
        <f>Table1[[#This Row],[Profit]]/Table1[[#This Row],[Sales]]</f>
        <v>-3.9975451263537907</v>
      </c>
      <c r="Q787" s="1" t="s">
        <v>33</v>
      </c>
      <c r="R787" s="1" t="s">
        <v>34</v>
      </c>
      <c r="S787" s="1" t="s">
        <v>45</v>
      </c>
      <c r="T787" s="1" t="s">
        <v>1456</v>
      </c>
      <c r="U787" s="1">
        <v>94025</v>
      </c>
      <c r="V787" s="9">
        <v>42029</v>
      </c>
      <c r="W787" s="13" t="str">
        <f>TEXT(Table1[[#This Row],[Order Date]],"mmmm")</f>
        <v>January</v>
      </c>
      <c r="X787" s="7" t="str">
        <f>TEXT(Table1[[#This Row],[Order Date]],"yyyy")</f>
        <v>2015</v>
      </c>
      <c r="Y787" s="9">
        <v>42030</v>
      </c>
      <c r="Z787" s="1">
        <v>-11.0732</v>
      </c>
      <c r="AA787" s="1">
        <v>1</v>
      </c>
      <c r="AB787" s="1">
        <v>2.77</v>
      </c>
      <c r="AC787" s="1">
        <v>88726</v>
      </c>
      <c r="AD787" s="6" t="str">
        <f>IF(COUNTIF(Returns!$A$2:$A$1635,Orders!AC787)&gt;0,"Returned","Not Returned")</f>
        <v>Not Returned</v>
      </c>
    </row>
    <row r="788" spans="1:30" ht="12.75" customHeight="1" thickTop="1" thickBot="1" x14ac:dyDescent="0.25">
      <c r="A788" s="10">
        <v>19852</v>
      </c>
      <c r="B788" s="11" t="s">
        <v>25</v>
      </c>
      <c r="C788" s="11">
        <v>0.08</v>
      </c>
      <c r="D788" s="11">
        <v>2.62</v>
      </c>
      <c r="E788" s="11">
        <v>0.8</v>
      </c>
      <c r="F788" s="11">
        <v>1389</v>
      </c>
      <c r="G788" s="6" t="str">
        <f>IF(COUNTIF(Table1[Customer ID],Table1[[#This Row],[Customer ID]])&gt;1,"Repeat Customer","One-Time Customer")</f>
        <v>Repeat Customer</v>
      </c>
      <c r="H788" s="11" t="s">
        <v>1455</v>
      </c>
      <c r="I788" s="11" t="s">
        <v>27</v>
      </c>
      <c r="J788" s="11" t="s">
        <v>58</v>
      </c>
      <c r="K788" s="11" t="s">
        <v>29</v>
      </c>
      <c r="L788" s="11" t="s">
        <v>66</v>
      </c>
      <c r="M788" s="11" t="s">
        <v>31</v>
      </c>
      <c r="N788" s="11" t="s">
        <v>1409</v>
      </c>
      <c r="O788" s="11">
        <v>0.39</v>
      </c>
      <c r="P788" s="6">
        <f>Table1[[#This Row],[Profit]]/Table1[[#This Row],[Sales]]</f>
        <v>0.69</v>
      </c>
      <c r="Q788" s="11" t="s">
        <v>33</v>
      </c>
      <c r="R788" s="11" t="s">
        <v>34</v>
      </c>
      <c r="S788" s="11" t="s">
        <v>45</v>
      </c>
      <c r="T788" s="11" t="s">
        <v>1456</v>
      </c>
      <c r="U788" s="11">
        <v>94025</v>
      </c>
      <c r="V788" s="12">
        <v>42137</v>
      </c>
      <c r="W788" s="13" t="str">
        <f>TEXT(Table1[[#This Row],[Order Date]],"mmmm")</f>
        <v>May</v>
      </c>
      <c r="X788" s="7" t="str">
        <f>TEXT(Table1[[#This Row],[Order Date]],"yyyy")</f>
        <v>2015</v>
      </c>
      <c r="Y788" s="12">
        <v>42139</v>
      </c>
      <c r="Z788" s="11">
        <v>21.769499999999997</v>
      </c>
      <c r="AA788" s="11">
        <v>12</v>
      </c>
      <c r="AB788" s="11">
        <v>31.55</v>
      </c>
      <c r="AC788" s="11">
        <v>88728</v>
      </c>
      <c r="AD788" s="6" t="str">
        <f>IF(COUNTIF(Returns!$A$2:$A$1635,Orders!AC788)&gt;0,"Returned","Not Returned")</f>
        <v>Not Returned</v>
      </c>
    </row>
    <row r="789" spans="1:30" ht="12.75" customHeight="1" thickTop="1" thickBot="1" x14ac:dyDescent="0.25">
      <c r="A789" s="8">
        <v>19111</v>
      </c>
      <c r="B789" s="1" t="s">
        <v>25</v>
      </c>
      <c r="C789" s="1">
        <v>0.09</v>
      </c>
      <c r="D789" s="1">
        <v>2.61</v>
      </c>
      <c r="E789" s="1">
        <v>0.5</v>
      </c>
      <c r="F789" s="1">
        <v>1389</v>
      </c>
      <c r="G789" s="6" t="str">
        <f>IF(COUNTIF(Table1[Customer ID],Table1[[#This Row],[Customer ID]])&gt;1,"Repeat Customer","One-Time Customer")</f>
        <v>Repeat Customer</v>
      </c>
      <c r="H789" s="1" t="s">
        <v>1455</v>
      </c>
      <c r="I789" s="1" t="s">
        <v>49</v>
      </c>
      <c r="J789" s="1" t="s">
        <v>114</v>
      </c>
      <c r="K789" s="1" t="s">
        <v>29</v>
      </c>
      <c r="L789" s="1" t="s">
        <v>134</v>
      </c>
      <c r="M789" s="1" t="s">
        <v>59</v>
      </c>
      <c r="N789" s="1" t="s">
        <v>1138</v>
      </c>
      <c r="O789" s="1">
        <v>0.39</v>
      </c>
      <c r="P789" s="6">
        <f>Table1[[#This Row],[Profit]]/Table1[[#This Row],[Sales]]</f>
        <v>0.69</v>
      </c>
      <c r="Q789" s="1" t="s">
        <v>33</v>
      </c>
      <c r="R789" s="1" t="s">
        <v>34</v>
      </c>
      <c r="S789" s="1" t="s">
        <v>45</v>
      </c>
      <c r="T789" s="1" t="s">
        <v>1456</v>
      </c>
      <c r="U789" s="1">
        <v>94025</v>
      </c>
      <c r="V789" s="9">
        <v>42158</v>
      </c>
      <c r="W789" s="13" t="str">
        <f>TEXT(Table1[[#This Row],[Order Date]],"mmmm")</f>
        <v>June</v>
      </c>
      <c r="X789" s="7" t="str">
        <f>TEXT(Table1[[#This Row],[Order Date]],"yyyy")</f>
        <v>2015</v>
      </c>
      <c r="Y789" s="9">
        <v>42160</v>
      </c>
      <c r="Z789" s="1">
        <v>29.380199999999995</v>
      </c>
      <c r="AA789" s="1">
        <v>17</v>
      </c>
      <c r="AB789" s="1">
        <v>42.58</v>
      </c>
      <c r="AC789" s="1">
        <v>88729</v>
      </c>
      <c r="AD789" s="6" t="str">
        <f>IF(COUNTIF(Returns!$A$2:$A$1635,Orders!AC789)&gt;0,"Returned","Not Returned")</f>
        <v>Not Returned</v>
      </c>
    </row>
    <row r="790" spans="1:30" ht="12.75" customHeight="1" thickTop="1" thickBot="1" x14ac:dyDescent="0.25">
      <c r="A790" s="10">
        <v>18702</v>
      </c>
      <c r="B790" s="11" t="s">
        <v>47</v>
      </c>
      <c r="C790" s="11">
        <v>0.1</v>
      </c>
      <c r="D790" s="11">
        <v>8.17</v>
      </c>
      <c r="E790" s="11">
        <v>1.69</v>
      </c>
      <c r="F790" s="11">
        <v>1390</v>
      </c>
      <c r="G790" s="6" t="str">
        <f>IF(COUNTIF(Table1[Customer ID],Table1[[#This Row],[Customer ID]])&gt;1,"Repeat Customer","One-Time Customer")</f>
        <v>Repeat Customer</v>
      </c>
      <c r="H790" s="11" t="s">
        <v>1457</v>
      </c>
      <c r="I790" s="11" t="s">
        <v>49</v>
      </c>
      <c r="J790" s="11" t="s">
        <v>28</v>
      </c>
      <c r="K790" s="11" t="s">
        <v>29</v>
      </c>
      <c r="L790" s="11" t="s">
        <v>93</v>
      </c>
      <c r="M790" s="11" t="s">
        <v>31</v>
      </c>
      <c r="N790" s="11" t="s">
        <v>1458</v>
      </c>
      <c r="O790" s="11">
        <v>0.38</v>
      </c>
      <c r="P790" s="6">
        <f>Table1[[#This Row],[Profit]]/Table1[[#This Row],[Sales]]</f>
        <v>0.69</v>
      </c>
      <c r="Q790" s="11" t="s">
        <v>33</v>
      </c>
      <c r="R790" s="11" t="s">
        <v>34</v>
      </c>
      <c r="S790" s="11" t="s">
        <v>45</v>
      </c>
      <c r="T790" s="11" t="s">
        <v>1447</v>
      </c>
      <c r="U790" s="11">
        <v>95207</v>
      </c>
      <c r="V790" s="12">
        <v>42140</v>
      </c>
      <c r="W790" s="13" t="str">
        <f>TEXT(Table1[[#This Row],[Order Date]],"mmmm")</f>
        <v>May</v>
      </c>
      <c r="X790" s="7" t="str">
        <f>TEXT(Table1[[#This Row],[Order Date]],"yyyy")</f>
        <v>2015</v>
      </c>
      <c r="Y790" s="12">
        <v>42140</v>
      </c>
      <c r="Z790" s="11">
        <v>100.2984</v>
      </c>
      <c r="AA790" s="11">
        <v>19</v>
      </c>
      <c r="AB790" s="11">
        <v>145.36000000000001</v>
      </c>
      <c r="AC790" s="11">
        <v>88731</v>
      </c>
      <c r="AD790" s="6" t="str">
        <f>IF(COUNTIF(Returns!$A$2:$A$1635,Orders!AC790)&gt;0,"Returned","Not Returned")</f>
        <v>Not Returned</v>
      </c>
    </row>
    <row r="791" spans="1:30" ht="12.75" customHeight="1" thickTop="1" thickBot="1" x14ac:dyDescent="0.25">
      <c r="A791" s="8">
        <v>18703</v>
      </c>
      <c r="B791" s="1" t="s">
        <v>47</v>
      </c>
      <c r="C791" s="1">
        <v>0.03</v>
      </c>
      <c r="D791" s="1">
        <v>110.99</v>
      </c>
      <c r="E791" s="1">
        <v>2.5</v>
      </c>
      <c r="F791" s="1">
        <v>1390</v>
      </c>
      <c r="G791" s="6" t="str">
        <f>IF(COUNTIF(Table1[Customer ID],Table1[[#This Row],[Customer ID]])&gt;1,"Repeat Customer","One-Time Customer")</f>
        <v>Repeat Customer</v>
      </c>
      <c r="H791" s="1" t="s">
        <v>1457</v>
      </c>
      <c r="I791" s="1" t="s">
        <v>49</v>
      </c>
      <c r="J791" s="1" t="s">
        <v>28</v>
      </c>
      <c r="K791" s="1" t="s">
        <v>77</v>
      </c>
      <c r="L791" s="1" t="s">
        <v>78</v>
      </c>
      <c r="M791" s="1" t="s">
        <v>59</v>
      </c>
      <c r="N791" s="1" t="s">
        <v>501</v>
      </c>
      <c r="O791" s="1">
        <v>0.56999999999999995</v>
      </c>
      <c r="P791" s="6">
        <f>Table1[[#This Row],[Profit]]/Table1[[#This Row],[Sales]]</f>
        <v>0.69</v>
      </c>
      <c r="Q791" s="1" t="s">
        <v>33</v>
      </c>
      <c r="R791" s="1" t="s">
        <v>34</v>
      </c>
      <c r="S791" s="1" t="s">
        <v>45</v>
      </c>
      <c r="T791" s="1" t="s">
        <v>1447</v>
      </c>
      <c r="U791" s="1">
        <v>95207</v>
      </c>
      <c r="V791" s="9">
        <v>42140</v>
      </c>
      <c r="W791" s="13" t="str">
        <f>TEXT(Table1[[#This Row],[Order Date]],"mmmm")</f>
        <v>May</v>
      </c>
      <c r="X791" s="7" t="str">
        <f>TEXT(Table1[[#This Row],[Order Date]],"yyyy")</f>
        <v>2015</v>
      </c>
      <c r="Y791" s="9">
        <v>42142</v>
      </c>
      <c r="Z791" s="1">
        <v>2495.3987999999999</v>
      </c>
      <c r="AA791" s="1">
        <v>38</v>
      </c>
      <c r="AB791" s="1">
        <v>3616.52</v>
      </c>
      <c r="AC791" s="1">
        <v>88731</v>
      </c>
      <c r="AD791" s="6" t="str">
        <f>IF(COUNTIF(Returns!$A$2:$A$1635,Orders!AC791)&gt;0,"Returned","Not Returned")</f>
        <v>Not Returned</v>
      </c>
    </row>
    <row r="792" spans="1:30" ht="12.75" customHeight="1" thickTop="1" thickBot="1" x14ac:dyDescent="0.25">
      <c r="A792" s="10">
        <v>20523</v>
      </c>
      <c r="B792" s="11" t="s">
        <v>37</v>
      </c>
      <c r="C792" s="11">
        <v>0</v>
      </c>
      <c r="D792" s="11">
        <v>2.88</v>
      </c>
      <c r="E792" s="11">
        <v>0.7</v>
      </c>
      <c r="F792" s="11">
        <v>1391</v>
      </c>
      <c r="G792" s="6" t="str">
        <f>IF(COUNTIF(Table1[Customer ID],Table1[[#This Row],[Customer ID]])&gt;1,"Repeat Customer","One-Time Customer")</f>
        <v>Repeat Customer</v>
      </c>
      <c r="H792" s="11" t="s">
        <v>1459</v>
      </c>
      <c r="I792" s="11" t="s">
        <v>27</v>
      </c>
      <c r="J792" s="11" t="s">
        <v>114</v>
      </c>
      <c r="K792" s="11" t="s">
        <v>29</v>
      </c>
      <c r="L792" s="11" t="s">
        <v>30</v>
      </c>
      <c r="M792" s="11" t="s">
        <v>31</v>
      </c>
      <c r="N792" s="11" t="s">
        <v>365</v>
      </c>
      <c r="O792" s="11">
        <v>0.56000000000000005</v>
      </c>
      <c r="P792" s="6">
        <f>Table1[[#This Row],[Profit]]/Table1[[#This Row],[Sales]]</f>
        <v>-1.3819095477386863E-2</v>
      </c>
      <c r="Q792" s="11" t="s">
        <v>33</v>
      </c>
      <c r="R792" s="11" t="s">
        <v>34</v>
      </c>
      <c r="S792" s="11" t="s">
        <v>45</v>
      </c>
      <c r="T792" s="11" t="s">
        <v>1460</v>
      </c>
      <c r="U792" s="11">
        <v>94086</v>
      </c>
      <c r="V792" s="12">
        <v>42118</v>
      </c>
      <c r="W792" s="13" t="str">
        <f>TEXT(Table1[[#This Row],[Order Date]],"mmmm")</f>
        <v>April</v>
      </c>
      <c r="X792" s="7" t="str">
        <f>TEXT(Table1[[#This Row],[Order Date]],"yyyy")</f>
        <v>2015</v>
      </c>
      <c r="Y792" s="12">
        <v>42118</v>
      </c>
      <c r="Z792" s="11">
        <v>-0.10999999999999943</v>
      </c>
      <c r="AA792" s="11">
        <v>1</v>
      </c>
      <c r="AB792" s="11">
        <v>7.96</v>
      </c>
      <c r="AC792" s="11">
        <v>88727</v>
      </c>
      <c r="AD792" s="6" t="str">
        <f>IF(COUNTIF(Returns!$A$2:$A$1635,Orders!AC792)&gt;0,"Returned","Not Returned")</f>
        <v>Not Returned</v>
      </c>
    </row>
    <row r="793" spans="1:30" ht="12.75" customHeight="1" thickTop="1" thickBot="1" x14ac:dyDescent="0.25">
      <c r="A793" s="8">
        <v>20163</v>
      </c>
      <c r="B793" s="1" t="s">
        <v>106</v>
      </c>
      <c r="C793" s="1">
        <v>7.0000000000000007E-2</v>
      </c>
      <c r="D793" s="1">
        <v>12.28</v>
      </c>
      <c r="E793" s="1">
        <v>6.13</v>
      </c>
      <c r="F793" s="1">
        <v>1391</v>
      </c>
      <c r="G793" s="6" t="str">
        <f>IF(COUNTIF(Table1[Customer ID],Table1[[#This Row],[Customer ID]])&gt;1,"Repeat Customer","One-Time Customer")</f>
        <v>Repeat Customer</v>
      </c>
      <c r="H793" s="1" t="s">
        <v>1459</v>
      </c>
      <c r="I793" s="1" t="s">
        <v>49</v>
      </c>
      <c r="J793" s="1" t="s">
        <v>58</v>
      </c>
      <c r="K793" s="1" t="s">
        <v>29</v>
      </c>
      <c r="L793" s="1" t="s">
        <v>141</v>
      </c>
      <c r="M793" s="1" t="s">
        <v>59</v>
      </c>
      <c r="N793" s="1" t="s">
        <v>1461</v>
      </c>
      <c r="O793" s="1">
        <v>0.56999999999999995</v>
      </c>
      <c r="P793" s="6">
        <f>Table1[[#This Row],[Profit]]/Table1[[#This Row],[Sales]]</f>
        <v>3.9107779973818681E-2</v>
      </c>
      <c r="Q793" s="1" t="s">
        <v>33</v>
      </c>
      <c r="R793" s="1" t="s">
        <v>34</v>
      </c>
      <c r="S793" s="1" t="s">
        <v>45</v>
      </c>
      <c r="T793" s="1" t="s">
        <v>1460</v>
      </c>
      <c r="U793" s="1">
        <v>94086</v>
      </c>
      <c r="V793" s="9">
        <v>42127</v>
      </c>
      <c r="W793" s="13" t="str">
        <f>TEXT(Table1[[#This Row],[Order Date]],"mmmm")</f>
        <v>May</v>
      </c>
      <c r="X793" s="7" t="str">
        <f>TEXT(Table1[[#This Row],[Order Date]],"yyyy")</f>
        <v>2015</v>
      </c>
      <c r="Y793" s="9">
        <v>42134</v>
      </c>
      <c r="Z793" s="1">
        <v>15.236000000000018</v>
      </c>
      <c r="AA793" s="1">
        <v>33</v>
      </c>
      <c r="AB793" s="1">
        <v>389.59</v>
      </c>
      <c r="AC793" s="1">
        <v>88730</v>
      </c>
      <c r="AD793" s="6" t="str">
        <f>IF(COUNTIF(Returns!$A$2:$A$1635,Orders!AC793)&gt;0,"Returned","Not Returned")</f>
        <v>Not Returned</v>
      </c>
    </row>
    <row r="794" spans="1:30" ht="12.75" customHeight="1" thickTop="1" thickBot="1" x14ac:dyDescent="0.25">
      <c r="A794" s="10">
        <v>5297</v>
      </c>
      <c r="B794" s="11" t="s">
        <v>37</v>
      </c>
      <c r="C794" s="11">
        <v>0</v>
      </c>
      <c r="D794" s="11">
        <v>8.6</v>
      </c>
      <c r="E794" s="11">
        <v>6.19</v>
      </c>
      <c r="F794" s="11">
        <v>1402</v>
      </c>
      <c r="G794" s="6" t="str">
        <f>IF(COUNTIF(Table1[Customer ID],Table1[[#This Row],[Customer ID]])&gt;1,"Repeat Customer","One-Time Customer")</f>
        <v>Repeat Customer</v>
      </c>
      <c r="H794" s="11" t="s">
        <v>1462</v>
      </c>
      <c r="I794" s="11" t="s">
        <v>49</v>
      </c>
      <c r="J794" s="11" t="s">
        <v>28</v>
      </c>
      <c r="K794" s="11" t="s">
        <v>29</v>
      </c>
      <c r="L794" s="11" t="s">
        <v>109</v>
      </c>
      <c r="M794" s="11" t="s">
        <v>59</v>
      </c>
      <c r="N794" s="11" t="s">
        <v>924</v>
      </c>
      <c r="O794" s="11">
        <v>0.38</v>
      </c>
      <c r="P794" s="6">
        <f>Table1[[#This Row],[Profit]]/Table1[[#This Row],[Sales]]</f>
        <v>-9.5678849717564587E-2</v>
      </c>
      <c r="Q794" s="11" t="s">
        <v>33</v>
      </c>
      <c r="R794" s="11" t="s">
        <v>61</v>
      </c>
      <c r="S794" s="11" t="s">
        <v>178</v>
      </c>
      <c r="T794" s="11" t="s">
        <v>179</v>
      </c>
      <c r="U794" s="11">
        <v>60653</v>
      </c>
      <c r="V794" s="12">
        <v>42019</v>
      </c>
      <c r="W794" s="13" t="str">
        <f>TEXT(Table1[[#This Row],[Order Date]],"mmmm")</f>
        <v>January</v>
      </c>
      <c r="X794" s="7" t="str">
        <f>TEXT(Table1[[#This Row],[Order Date]],"yyyy")</f>
        <v>2015</v>
      </c>
      <c r="Y794" s="12">
        <v>42019</v>
      </c>
      <c r="Z794" s="11">
        <v>-42.8536</v>
      </c>
      <c r="AA794" s="11">
        <v>48</v>
      </c>
      <c r="AB794" s="11">
        <v>447.89</v>
      </c>
      <c r="AC794" s="11">
        <v>37729</v>
      </c>
      <c r="AD794" s="6" t="str">
        <f>IF(COUNTIF(Returns!$A$2:$A$1635,Orders!AC794)&gt;0,"Returned","Not Returned")</f>
        <v>Not Returned</v>
      </c>
    </row>
    <row r="795" spans="1:30" ht="12.75" customHeight="1" thickTop="1" thickBot="1" x14ac:dyDescent="0.25">
      <c r="A795" s="8">
        <v>6080</v>
      </c>
      <c r="B795" s="1" t="s">
        <v>56</v>
      </c>
      <c r="C795" s="1">
        <v>0.04</v>
      </c>
      <c r="D795" s="1">
        <v>30.73</v>
      </c>
      <c r="E795" s="1">
        <v>4</v>
      </c>
      <c r="F795" s="1">
        <v>1402</v>
      </c>
      <c r="G795" s="6" t="str">
        <f>IF(COUNTIF(Table1[Customer ID],Table1[[#This Row],[Customer ID]])&gt;1,"Repeat Customer","One-Time Customer")</f>
        <v>Repeat Customer</v>
      </c>
      <c r="H795" s="1" t="s">
        <v>1462</v>
      </c>
      <c r="I795" s="1" t="s">
        <v>49</v>
      </c>
      <c r="J795" s="1" t="s">
        <v>40</v>
      </c>
      <c r="K795" s="1" t="s">
        <v>77</v>
      </c>
      <c r="L795" s="1" t="s">
        <v>180</v>
      </c>
      <c r="M795" s="1" t="s">
        <v>59</v>
      </c>
      <c r="N795" s="1" t="s">
        <v>288</v>
      </c>
      <c r="O795" s="1">
        <v>0.75</v>
      </c>
      <c r="P795" s="6">
        <f>Table1[[#This Row],[Profit]]/Table1[[#This Row],[Sales]]</f>
        <v>-1.4632189409081951E-2</v>
      </c>
      <c r="Q795" s="1" t="s">
        <v>33</v>
      </c>
      <c r="R795" s="1" t="s">
        <v>61</v>
      </c>
      <c r="S795" s="1" t="s">
        <v>178</v>
      </c>
      <c r="T795" s="1" t="s">
        <v>179</v>
      </c>
      <c r="U795" s="1">
        <v>60653</v>
      </c>
      <c r="V795" s="9">
        <v>42025</v>
      </c>
      <c r="W795" s="13" t="str">
        <f>TEXT(Table1[[#This Row],[Order Date]],"mmmm")</f>
        <v>January</v>
      </c>
      <c r="X795" s="7" t="str">
        <f>TEXT(Table1[[#This Row],[Order Date]],"yyyy")</f>
        <v>2015</v>
      </c>
      <c r="Y795" s="9">
        <v>42026</v>
      </c>
      <c r="Z795" s="1">
        <v>-20.79</v>
      </c>
      <c r="AA795" s="1">
        <v>48</v>
      </c>
      <c r="AB795" s="1">
        <v>1420.84</v>
      </c>
      <c r="AC795" s="1">
        <v>43079</v>
      </c>
      <c r="AD795" s="6" t="str">
        <f>IF(COUNTIF(Returns!$A$2:$A$1635,Orders!AC795)&gt;0,"Returned","Not Returned")</f>
        <v>Not Returned</v>
      </c>
    </row>
    <row r="796" spans="1:30" ht="12.75" customHeight="1" thickTop="1" thickBot="1" x14ac:dyDescent="0.25">
      <c r="A796" s="10">
        <v>23297</v>
      </c>
      <c r="B796" s="11" t="s">
        <v>37</v>
      </c>
      <c r="C796" s="11">
        <v>0</v>
      </c>
      <c r="D796" s="11">
        <v>8.6</v>
      </c>
      <c r="E796" s="11">
        <v>6.19</v>
      </c>
      <c r="F796" s="11">
        <v>1405</v>
      </c>
      <c r="G796" s="6" t="str">
        <f>IF(COUNTIF(Table1[Customer ID],Table1[[#This Row],[Customer ID]])&gt;1,"Repeat Customer","One-Time Customer")</f>
        <v>Repeat Customer</v>
      </c>
      <c r="H796" s="11" t="s">
        <v>1463</v>
      </c>
      <c r="I796" s="11" t="s">
        <v>49</v>
      </c>
      <c r="J796" s="11" t="s">
        <v>28</v>
      </c>
      <c r="K796" s="11" t="s">
        <v>29</v>
      </c>
      <c r="L796" s="11" t="s">
        <v>109</v>
      </c>
      <c r="M796" s="11" t="s">
        <v>59</v>
      </c>
      <c r="N796" s="11" t="s">
        <v>924</v>
      </c>
      <c r="O796" s="11">
        <v>0.38</v>
      </c>
      <c r="P796" s="6">
        <f>Table1[[#This Row],[Profit]]/Table1[[#This Row],[Sales]]</f>
        <v>-0.29661105653299991</v>
      </c>
      <c r="Q796" s="11" t="s">
        <v>33</v>
      </c>
      <c r="R796" s="11" t="s">
        <v>61</v>
      </c>
      <c r="S796" s="11" t="s">
        <v>300</v>
      </c>
      <c r="T796" s="11" t="s">
        <v>1464</v>
      </c>
      <c r="U796" s="11">
        <v>49017</v>
      </c>
      <c r="V796" s="12">
        <v>42019</v>
      </c>
      <c r="W796" s="13" t="str">
        <f>TEXT(Table1[[#This Row],[Order Date]],"mmmm")</f>
        <v>January</v>
      </c>
      <c r="X796" s="7" t="str">
        <f>TEXT(Table1[[#This Row],[Order Date]],"yyyy")</f>
        <v>2015</v>
      </c>
      <c r="Y796" s="12">
        <v>42019</v>
      </c>
      <c r="Z796" s="11">
        <v>-33.211539999999999</v>
      </c>
      <c r="AA796" s="11">
        <v>12</v>
      </c>
      <c r="AB796" s="11">
        <v>111.97</v>
      </c>
      <c r="AC796" s="11">
        <v>86144</v>
      </c>
      <c r="AD796" s="6" t="str">
        <f>IF(COUNTIF(Returns!$A$2:$A$1635,Orders!AC796)&gt;0,"Returned","Not Returned")</f>
        <v>Not Returned</v>
      </c>
    </row>
    <row r="797" spans="1:30" ht="12.75" customHeight="1" thickTop="1" thickBot="1" x14ac:dyDescent="0.25">
      <c r="A797" s="8">
        <v>24080</v>
      </c>
      <c r="B797" s="1" t="s">
        <v>56</v>
      </c>
      <c r="C797" s="1">
        <v>0.04</v>
      </c>
      <c r="D797" s="1">
        <v>30.73</v>
      </c>
      <c r="E797" s="1">
        <v>4</v>
      </c>
      <c r="F797" s="1">
        <v>1405</v>
      </c>
      <c r="G797" s="6" t="str">
        <f>IF(COUNTIF(Table1[Customer ID],Table1[[#This Row],[Customer ID]])&gt;1,"Repeat Customer","One-Time Customer")</f>
        <v>Repeat Customer</v>
      </c>
      <c r="H797" s="1" t="s">
        <v>1463</v>
      </c>
      <c r="I797" s="1" t="s">
        <v>49</v>
      </c>
      <c r="J797" s="1" t="s">
        <v>40</v>
      </c>
      <c r="K797" s="1" t="s">
        <v>77</v>
      </c>
      <c r="L797" s="1" t="s">
        <v>180</v>
      </c>
      <c r="M797" s="1" t="s">
        <v>59</v>
      </c>
      <c r="N797" s="1" t="s">
        <v>288</v>
      </c>
      <c r="O797" s="1">
        <v>0.75</v>
      </c>
      <c r="P797" s="6">
        <f>Table1[[#This Row],[Profit]]/Table1[[#This Row],[Sales]]</f>
        <v>-5.8528757636327804E-2</v>
      </c>
      <c r="Q797" s="1" t="s">
        <v>33</v>
      </c>
      <c r="R797" s="1" t="s">
        <v>61</v>
      </c>
      <c r="S797" s="1" t="s">
        <v>300</v>
      </c>
      <c r="T797" s="1" t="s">
        <v>1464</v>
      </c>
      <c r="U797" s="1">
        <v>49017</v>
      </c>
      <c r="V797" s="9">
        <v>42025</v>
      </c>
      <c r="W797" s="13" t="str">
        <f>TEXT(Table1[[#This Row],[Order Date]],"mmmm")</f>
        <v>January</v>
      </c>
      <c r="X797" s="7" t="str">
        <f>TEXT(Table1[[#This Row],[Order Date]],"yyyy")</f>
        <v>2015</v>
      </c>
      <c r="Y797" s="9">
        <v>42026</v>
      </c>
      <c r="Z797" s="1">
        <v>-20.79</v>
      </c>
      <c r="AA797" s="1">
        <v>12</v>
      </c>
      <c r="AB797" s="1">
        <v>355.21</v>
      </c>
      <c r="AC797" s="1">
        <v>86145</v>
      </c>
      <c r="AD797" s="6" t="str">
        <f>IF(COUNTIF(Returns!$A$2:$A$1635,Orders!AC797)&gt;0,"Returned","Not Returned")</f>
        <v>Not Returned</v>
      </c>
    </row>
    <row r="798" spans="1:30" ht="12.75" customHeight="1" thickTop="1" thickBot="1" x14ac:dyDescent="0.25">
      <c r="A798" s="10">
        <v>19417</v>
      </c>
      <c r="B798" s="11" t="s">
        <v>56</v>
      </c>
      <c r="C798" s="11">
        <v>0</v>
      </c>
      <c r="D798" s="11">
        <v>65.989999999999995</v>
      </c>
      <c r="E798" s="11">
        <v>5.26</v>
      </c>
      <c r="F798" s="11">
        <v>1410</v>
      </c>
      <c r="G798" s="6" t="str">
        <f>IF(COUNTIF(Table1[Customer ID],Table1[[#This Row],[Customer ID]])&gt;1,"Repeat Customer","One-Time Customer")</f>
        <v>One-Time Customer</v>
      </c>
      <c r="H798" s="11" t="s">
        <v>1465</v>
      </c>
      <c r="I798" s="11" t="s">
        <v>49</v>
      </c>
      <c r="J798" s="11" t="s">
        <v>28</v>
      </c>
      <c r="K798" s="11" t="s">
        <v>77</v>
      </c>
      <c r="L798" s="11" t="s">
        <v>78</v>
      </c>
      <c r="M798" s="11" t="s">
        <v>59</v>
      </c>
      <c r="N798" s="11" t="s">
        <v>1466</v>
      </c>
      <c r="O798" s="11">
        <v>0.59</v>
      </c>
      <c r="P798" s="6">
        <f>Table1[[#This Row],[Profit]]/Table1[[#This Row],[Sales]]</f>
        <v>0.69</v>
      </c>
      <c r="Q798" s="11" t="s">
        <v>33</v>
      </c>
      <c r="R798" s="11" t="s">
        <v>34</v>
      </c>
      <c r="S798" s="11" t="s">
        <v>45</v>
      </c>
      <c r="T798" s="11" t="s">
        <v>1467</v>
      </c>
      <c r="U798" s="11">
        <v>92553</v>
      </c>
      <c r="V798" s="12">
        <v>42101</v>
      </c>
      <c r="W798" s="13" t="str">
        <f>TEXT(Table1[[#This Row],[Order Date]],"mmmm")</f>
        <v>April</v>
      </c>
      <c r="X798" s="7" t="str">
        <f>TEXT(Table1[[#This Row],[Order Date]],"yyyy")</f>
        <v>2015</v>
      </c>
      <c r="Y798" s="12">
        <v>42102</v>
      </c>
      <c r="Z798" s="11">
        <v>369.99869999999999</v>
      </c>
      <c r="AA798" s="11">
        <v>9</v>
      </c>
      <c r="AB798" s="11">
        <v>536.23</v>
      </c>
      <c r="AC798" s="11">
        <v>87086</v>
      </c>
      <c r="AD798" s="6" t="str">
        <f>IF(COUNTIF(Returns!$A$2:$A$1635,Orders!AC798)&gt;0,"Returned","Not Returned")</f>
        <v>Not Returned</v>
      </c>
    </row>
    <row r="799" spans="1:30" ht="12.75" customHeight="1" thickTop="1" thickBot="1" x14ac:dyDescent="0.25">
      <c r="A799" s="8">
        <v>24407</v>
      </c>
      <c r="B799" s="1" t="s">
        <v>37</v>
      </c>
      <c r="C799" s="1">
        <v>0.08</v>
      </c>
      <c r="D799" s="1">
        <v>3.38</v>
      </c>
      <c r="E799" s="1">
        <v>0.85</v>
      </c>
      <c r="F799" s="1">
        <v>1412</v>
      </c>
      <c r="G799" s="6" t="str">
        <f>IF(COUNTIF(Table1[Customer ID],Table1[[#This Row],[Customer ID]])&gt;1,"Repeat Customer","One-Time Customer")</f>
        <v>One-Time Customer</v>
      </c>
      <c r="H799" s="1" t="s">
        <v>1468</v>
      </c>
      <c r="I799" s="1" t="s">
        <v>49</v>
      </c>
      <c r="J799" s="1" t="s">
        <v>28</v>
      </c>
      <c r="K799" s="1" t="s">
        <v>29</v>
      </c>
      <c r="L799" s="1" t="s">
        <v>30</v>
      </c>
      <c r="M799" s="1" t="s">
        <v>31</v>
      </c>
      <c r="N799" s="1" t="s">
        <v>1469</v>
      </c>
      <c r="O799" s="1">
        <v>0.48</v>
      </c>
      <c r="P799" s="6">
        <f>Table1[[#This Row],[Profit]]/Table1[[#This Row],[Sales]]</f>
        <v>0.52701880958515845</v>
      </c>
      <c r="Q799" s="1" t="s">
        <v>33</v>
      </c>
      <c r="R799" s="1" t="s">
        <v>34</v>
      </c>
      <c r="S799" s="1" t="s">
        <v>45</v>
      </c>
      <c r="T799" s="1" t="s">
        <v>1470</v>
      </c>
      <c r="U799" s="1">
        <v>94043</v>
      </c>
      <c r="V799" s="9">
        <v>42037</v>
      </c>
      <c r="W799" s="13" t="str">
        <f>TEXT(Table1[[#This Row],[Order Date]],"mmmm")</f>
        <v>February</v>
      </c>
      <c r="X799" s="7" t="str">
        <f>TEXT(Table1[[#This Row],[Order Date]],"yyyy")</f>
        <v>2015</v>
      </c>
      <c r="Y799" s="9">
        <v>42039</v>
      </c>
      <c r="Z799" s="1">
        <v>20.453600000000002</v>
      </c>
      <c r="AA799" s="1">
        <v>12</v>
      </c>
      <c r="AB799" s="1">
        <v>38.81</v>
      </c>
      <c r="AC799" s="1">
        <v>87087</v>
      </c>
      <c r="AD799" s="6" t="str">
        <f>IF(COUNTIF(Returns!$A$2:$A$1635,Orders!AC799)&gt;0,"Returned","Not Returned")</f>
        <v>Not Returned</v>
      </c>
    </row>
    <row r="800" spans="1:30" ht="12.75" customHeight="1" thickTop="1" thickBot="1" x14ac:dyDescent="0.25">
      <c r="A800" s="10">
        <v>1417</v>
      </c>
      <c r="B800" s="11" t="s">
        <v>56</v>
      </c>
      <c r="C800" s="11">
        <v>0</v>
      </c>
      <c r="D800" s="11">
        <v>65.989999999999995</v>
      </c>
      <c r="E800" s="11">
        <v>5.26</v>
      </c>
      <c r="F800" s="11">
        <v>1413</v>
      </c>
      <c r="G800" s="6" t="str">
        <f>IF(COUNTIF(Table1[Customer ID],Table1[[#This Row],[Customer ID]])&gt;1,"Repeat Customer","One-Time Customer")</f>
        <v>Repeat Customer</v>
      </c>
      <c r="H800" s="11" t="s">
        <v>1471</v>
      </c>
      <c r="I800" s="11" t="s">
        <v>49</v>
      </c>
      <c r="J800" s="11" t="s">
        <v>28</v>
      </c>
      <c r="K800" s="11" t="s">
        <v>77</v>
      </c>
      <c r="L800" s="11" t="s">
        <v>78</v>
      </c>
      <c r="M800" s="11" t="s">
        <v>59</v>
      </c>
      <c r="N800" s="11" t="s">
        <v>1466</v>
      </c>
      <c r="O800" s="11">
        <v>0.59</v>
      </c>
      <c r="P800" s="6">
        <f>Table1[[#This Row],[Profit]]/Table1[[#This Row],[Sales]]</f>
        <v>0.25280663148275928</v>
      </c>
      <c r="Q800" s="11" t="s">
        <v>33</v>
      </c>
      <c r="R800" s="11" t="s">
        <v>53</v>
      </c>
      <c r="S800" s="11" t="s">
        <v>193</v>
      </c>
      <c r="T800" s="11" t="s">
        <v>194</v>
      </c>
      <c r="U800" s="11">
        <v>2113</v>
      </c>
      <c r="V800" s="12">
        <v>42101</v>
      </c>
      <c r="W800" s="13" t="str">
        <f>TEXT(Table1[[#This Row],[Order Date]],"mmmm")</f>
        <v>April</v>
      </c>
      <c r="X800" s="7" t="str">
        <f>TEXT(Table1[[#This Row],[Order Date]],"yyyy")</f>
        <v>2015</v>
      </c>
      <c r="Y800" s="12">
        <v>42102</v>
      </c>
      <c r="Z800" s="11">
        <v>542.25</v>
      </c>
      <c r="AA800" s="11">
        <v>36</v>
      </c>
      <c r="AB800" s="11">
        <v>2144.92</v>
      </c>
      <c r="AC800" s="11">
        <v>10277</v>
      </c>
      <c r="AD800" s="6" t="str">
        <f>IF(COUNTIF(Returns!$A$2:$A$1635,Orders!AC800)&gt;0,"Returned","Not Returned")</f>
        <v>Not Returned</v>
      </c>
    </row>
    <row r="801" spans="1:30" ht="12.75" customHeight="1" thickTop="1" thickBot="1" x14ac:dyDescent="0.25">
      <c r="A801" s="8">
        <v>6406</v>
      </c>
      <c r="B801" s="1" t="s">
        <v>37</v>
      </c>
      <c r="C801" s="1">
        <v>0.02</v>
      </c>
      <c r="D801" s="1">
        <v>16.48</v>
      </c>
      <c r="E801" s="1">
        <v>1.99</v>
      </c>
      <c r="F801" s="1">
        <v>1413</v>
      </c>
      <c r="G801" s="6" t="str">
        <f>IF(COUNTIF(Table1[Customer ID],Table1[[#This Row],[Customer ID]])&gt;1,"Repeat Customer","One-Time Customer")</f>
        <v>Repeat Customer</v>
      </c>
      <c r="H801" s="1" t="s">
        <v>1471</v>
      </c>
      <c r="I801" s="1" t="s">
        <v>27</v>
      </c>
      <c r="J801" s="1" t="s">
        <v>28</v>
      </c>
      <c r="K801" s="1" t="s">
        <v>77</v>
      </c>
      <c r="L801" s="1" t="s">
        <v>180</v>
      </c>
      <c r="M801" s="1" t="s">
        <v>51</v>
      </c>
      <c r="N801" s="1" t="s">
        <v>1472</v>
      </c>
      <c r="O801" s="1">
        <v>0.42</v>
      </c>
      <c r="P801" s="6">
        <f>Table1[[#This Row],[Profit]]/Table1[[#This Row],[Sales]]</f>
        <v>0.14365610037972593</v>
      </c>
      <c r="Q801" s="1" t="s">
        <v>33</v>
      </c>
      <c r="R801" s="1" t="s">
        <v>53</v>
      </c>
      <c r="S801" s="1" t="s">
        <v>193</v>
      </c>
      <c r="T801" s="1" t="s">
        <v>194</v>
      </c>
      <c r="U801" s="1">
        <v>2113</v>
      </c>
      <c r="V801" s="9">
        <v>42037</v>
      </c>
      <c r="W801" s="13" t="str">
        <f>TEXT(Table1[[#This Row],[Order Date]],"mmmm")</f>
        <v>February</v>
      </c>
      <c r="X801" s="7" t="str">
        <f>TEXT(Table1[[#This Row],[Order Date]],"yyyy")</f>
        <v>2015</v>
      </c>
      <c r="Y801" s="9">
        <v>42039</v>
      </c>
      <c r="Z801" s="1">
        <v>69.61</v>
      </c>
      <c r="AA801" s="1">
        <v>27</v>
      </c>
      <c r="AB801" s="1">
        <v>484.56</v>
      </c>
      <c r="AC801" s="1">
        <v>45539</v>
      </c>
      <c r="AD801" s="6" t="str">
        <f>IF(COUNTIF(Returns!$A$2:$A$1635,Orders!AC801)&gt;0,"Returned","Not Returned")</f>
        <v>Not Returned</v>
      </c>
    </row>
    <row r="802" spans="1:30" ht="12.75" customHeight="1" thickTop="1" thickBot="1" x14ac:dyDescent="0.25">
      <c r="A802" s="10">
        <v>25129</v>
      </c>
      <c r="B802" s="11" t="s">
        <v>47</v>
      </c>
      <c r="C802" s="11">
        <v>0.02</v>
      </c>
      <c r="D802" s="11">
        <v>417.4</v>
      </c>
      <c r="E802" s="11">
        <v>75.23</v>
      </c>
      <c r="F802" s="11">
        <v>1416</v>
      </c>
      <c r="G802" s="6" t="str">
        <f>IF(COUNTIF(Table1[Customer ID],Table1[[#This Row],[Customer ID]])&gt;1,"Repeat Customer","One-Time Customer")</f>
        <v>Repeat Customer</v>
      </c>
      <c r="H802" s="11" t="s">
        <v>1473</v>
      </c>
      <c r="I802" s="11" t="s">
        <v>39</v>
      </c>
      <c r="J802" s="11" t="s">
        <v>58</v>
      </c>
      <c r="K802" s="11" t="s">
        <v>41</v>
      </c>
      <c r="L802" s="11" t="s">
        <v>152</v>
      </c>
      <c r="M802" s="11" t="s">
        <v>121</v>
      </c>
      <c r="N802" s="11" t="s">
        <v>710</v>
      </c>
      <c r="O802" s="11">
        <v>0.79</v>
      </c>
      <c r="P802" s="6">
        <f>Table1[[#This Row],[Profit]]/Table1[[#This Row],[Sales]]</f>
        <v>-1.3473088431909341</v>
      </c>
      <c r="Q802" s="11" t="s">
        <v>33</v>
      </c>
      <c r="R802" s="11" t="s">
        <v>61</v>
      </c>
      <c r="S802" s="11" t="s">
        <v>703</v>
      </c>
      <c r="T802" s="11" t="s">
        <v>1474</v>
      </c>
      <c r="U802" s="11">
        <v>46203</v>
      </c>
      <c r="V802" s="12">
        <v>42130</v>
      </c>
      <c r="W802" s="13" t="str">
        <f>TEXT(Table1[[#This Row],[Order Date]],"mmmm")</f>
        <v>May</v>
      </c>
      <c r="X802" s="7" t="str">
        <f>TEXT(Table1[[#This Row],[Order Date]],"yyyy")</f>
        <v>2015</v>
      </c>
      <c r="Y802" s="12">
        <v>42131</v>
      </c>
      <c r="Z802" s="11">
        <v>-634.86540000000002</v>
      </c>
      <c r="AA802" s="11">
        <v>1</v>
      </c>
      <c r="AB802" s="11">
        <v>471.21</v>
      </c>
      <c r="AC802" s="11">
        <v>90538</v>
      </c>
      <c r="AD802" s="6" t="str">
        <f>IF(COUNTIF(Returns!$A$2:$A$1635,Orders!AC802)&gt;0,"Returned","Not Returned")</f>
        <v>Not Returned</v>
      </c>
    </row>
    <row r="803" spans="1:30" ht="12.75" customHeight="1" thickTop="1" thickBot="1" x14ac:dyDescent="0.25">
      <c r="A803" s="8">
        <v>24722</v>
      </c>
      <c r="B803" s="1" t="s">
        <v>25</v>
      </c>
      <c r="C803" s="1">
        <v>0.04</v>
      </c>
      <c r="D803" s="1">
        <v>46.89</v>
      </c>
      <c r="E803" s="1">
        <v>5.0999999999999996</v>
      </c>
      <c r="F803" s="1">
        <v>1416</v>
      </c>
      <c r="G803" s="6" t="str">
        <f>IF(COUNTIF(Table1[Customer ID],Table1[[#This Row],[Customer ID]])&gt;1,"Repeat Customer","One-Time Customer")</f>
        <v>Repeat Customer</v>
      </c>
      <c r="H803" s="1" t="s">
        <v>1473</v>
      </c>
      <c r="I803" s="1" t="s">
        <v>49</v>
      </c>
      <c r="J803" s="1" t="s">
        <v>58</v>
      </c>
      <c r="K803" s="1" t="s">
        <v>29</v>
      </c>
      <c r="L803" s="1" t="s">
        <v>257</v>
      </c>
      <c r="M803" s="1" t="s">
        <v>86</v>
      </c>
      <c r="N803" s="1" t="s">
        <v>1345</v>
      </c>
      <c r="O803" s="1">
        <v>0.46</v>
      </c>
      <c r="P803" s="6">
        <f>Table1[[#This Row],[Profit]]/Table1[[#This Row],[Sales]]</f>
        <v>0.47708230655495315</v>
      </c>
      <c r="Q803" s="1" t="s">
        <v>33</v>
      </c>
      <c r="R803" s="1" t="s">
        <v>61</v>
      </c>
      <c r="S803" s="1" t="s">
        <v>703</v>
      </c>
      <c r="T803" s="1" t="s">
        <v>1474</v>
      </c>
      <c r="U803" s="1">
        <v>46203</v>
      </c>
      <c r="V803" s="9">
        <v>42180</v>
      </c>
      <c r="W803" s="13" t="str">
        <f>TEXT(Table1[[#This Row],[Order Date]],"mmmm")</f>
        <v>June</v>
      </c>
      <c r="X803" s="7" t="str">
        <f>TEXT(Table1[[#This Row],[Order Date]],"yyyy")</f>
        <v>2015</v>
      </c>
      <c r="Y803" s="9">
        <v>42182</v>
      </c>
      <c r="Z803" s="1">
        <v>87.12</v>
      </c>
      <c r="AA803" s="1">
        <v>4</v>
      </c>
      <c r="AB803" s="1">
        <v>182.61</v>
      </c>
      <c r="AC803" s="1">
        <v>90540</v>
      </c>
      <c r="AD803" s="6" t="str">
        <f>IF(COUNTIF(Returns!$A$2:$A$1635,Orders!AC803)&gt;0,"Returned","Not Returned")</f>
        <v>Not Returned</v>
      </c>
    </row>
    <row r="804" spans="1:30" ht="12.75" customHeight="1" thickTop="1" thickBot="1" x14ac:dyDescent="0.25">
      <c r="A804" s="10">
        <v>22823</v>
      </c>
      <c r="B804" s="11" t="s">
        <v>106</v>
      </c>
      <c r="C804" s="11">
        <v>7.0000000000000007E-2</v>
      </c>
      <c r="D804" s="11">
        <v>4.84</v>
      </c>
      <c r="E804" s="11">
        <v>0.71</v>
      </c>
      <c r="F804" s="11">
        <v>1418</v>
      </c>
      <c r="G804" s="6" t="str">
        <f>IF(COUNTIF(Table1[Customer ID],Table1[[#This Row],[Customer ID]])&gt;1,"Repeat Customer","One-Time Customer")</f>
        <v>One-Time Customer</v>
      </c>
      <c r="H804" s="11" t="s">
        <v>1475</v>
      </c>
      <c r="I804" s="11" t="s">
        <v>49</v>
      </c>
      <c r="J804" s="11" t="s">
        <v>58</v>
      </c>
      <c r="K804" s="11" t="s">
        <v>29</v>
      </c>
      <c r="L804" s="11" t="s">
        <v>30</v>
      </c>
      <c r="M804" s="11" t="s">
        <v>31</v>
      </c>
      <c r="N804" s="11" t="s">
        <v>1476</v>
      </c>
      <c r="O804" s="11">
        <v>0.52</v>
      </c>
      <c r="P804" s="6">
        <f>Table1[[#This Row],[Profit]]/Table1[[#This Row],[Sales]]</f>
        <v>0.69</v>
      </c>
      <c r="Q804" s="11" t="s">
        <v>33</v>
      </c>
      <c r="R804" s="11" t="s">
        <v>61</v>
      </c>
      <c r="S804" s="11" t="s">
        <v>703</v>
      </c>
      <c r="T804" s="11" t="s">
        <v>1477</v>
      </c>
      <c r="U804" s="11">
        <v>46901</v>
      </c>
      <c r="V804" s="12">
        <v>42005</v>
      </c>
      <c r="W804" s="13" t="str">
        <f>TEXT(Table1[[#This Row],[Order Date]],"mmmm")</f>
        <v>January</v>
      </c>
      <c r="X804" s="7" t="str">
        <f>TEXT(Table1[[#This Row],[Order Date]],"yyyy")</f>
        <v>2015</v>
      </c>
      <c r="Y804" s="12">
        <v>42007</v>
      </c>
      <c r="Z804" s="11">
        <v>25.240199999999998</v>
      </c>
      <c r="AA804" s="11">
        <v>8</v>
      </c>
      <c r="AB804" s="11">
        <v>36.58</v>
      </c>
      <c r="AC804" s="11">
        <v>90539</v>
      </c>
      <c r="AD804" s="6" t="str">
        <f>IF(COUNTIF(Returns!$A$2:$A$1635,Orders!AC804)&gt;0,"Returned","Not Returned")</f>
        <v>Not Returned</v>
      </c>
    </row>
    <row r="805" spans="1:30" ht="12.75" customHeight="1" thickTop="1" thickBot="1" x14ac:dyDescent="0.25">
      <c r="A805" s="8">
        <v>24295</v>
      </c>
      <c r="B805" s="1" t="s">
        <v>37</v>
      </c>
      <c r="C805" s="1">
        <v>0.01</v>
      </c>
      <c r="D805" s="1">
        <v>124.49</v>
      </c>
      <c r="E805" s="1">
        <v>51.94</v>
      </c>
      <c r="F805" s="1">
        <v>1419</v>
      </c>
      <c r="G805" s="6" t="str">
        <f>IF(COUNTIF(Table1[Customer ID],Table1[[#This Row],[Customer ID]])&gt;1,"Repeat Customer","One-Time Customer")</f>
        <v>One-Time Customer</v>
      </c>
      <c r="H805" s="1" t="s">
        <v>1478</v>
      </c>
      <c r="I805" s="1" t="s">
        <v>39</v>
      </c>
      <c r="J805" s="1" t="s">
        <v>58</v>
      </c>
      <c r="K805" s="1" t="s">
        <v>41</v>
      </c>
      <c r="L805" s="1" t="s">
        <v>152</v>
      </c>
      <c r="M805" s="1" t="s">
        <v>121</v>
      </c>
      <c r="N805" s="1" t="s">
        <v>462</v>
      </c>
      <c r="O805" s="1">
        <v>0.63</v>
      </c>
      <c r="P805" s="6">
        <f>Table1[[#This Row],[Profit]]/Table1[[#This Row],[Sales]]</f>
        <v>-3.9844218726326958E-2</v>
      </c>
      <c r="Q805" s="1" t="s">
        <v>33</v>
      </c>
      <c r="R805" s="1" t="s">
        <v>61</v>
      </c>
      <c r="S805" s="1" t="s">
        <v>703</v>
      </c>
      <c r="T805" s="1" t="s">
        <v>1479</v>
      </c>
      <c r="U805" s="1">
        <v>47905</v>
      </c>
      <c r="V805" s="9">
        <v>42180</v>
      </c>
      <c r="W805" s="13" t="str">
        <f>TEXT(Table1[[#This Row],[Order Date]],"mmmm")</f>
        <v>June</v>
      </c>
      <c r="X805" s="7" t="str">
        <f>TEXT(Table1[[#This Row],[Order Date]],"yyyy")</f>
        <v>2015</v>
      </c>
      <c r="Y805" s="9">
        <v>42181</v>
      </c>
      <c r="Z805" s="1">
        <v>-94.674644999999998</v>
      </c>
      <c r="AA805" s="1">
        <v>18</v>
      </c>
      <c r="AB805" s="1">
        <v>2376.12</v>
      </c>
      <c r="AC805" s="1">
        <v>90540</v>
      </c>
      <c r="AD805" s="6" t="str">
        <f>IF(COUNTIF(Returns!$A$2:$A$1635,Orders!AC805)&gt;0,"Returned","Not Returned")</f>
        <v>Not Returned</v>
      </c>
    </row>
    <row r="806" spans="1:30" ht="12.75" customHeight="1" thickTop="1" thickBot="1" x14ac:dyDescent="0.25">
      <c r="A806" s="10">
        <v>19024</v>
      </c>
      <c r="B806" s="11" t="s">
        <v>106</v>
      </c>
      <c r="C806" s="11">
        <v>0.05</v>
      </c>
      <c r="D806" s="11">
        <v>350.99</v>
      </c>
      <c r="E806" s="11">
        <v>39</v>
      </c>
      <c r="F806" s="11">
        <v>1424</v>
      </c>
      <c r="G806" s="6" t="str">
        <f>IF(COUNTIF(Table1[Customer ID],Table1[[#This Row],[Customer ID]])&gt;1,"Repeat Customer","One-Time Customer")</f>
        <v>Repeat Customer</v>
      </c>
      <c r="H806" s="11" t="s">
        <v>1480</v>
      </c>
      <c r="I806" s="11" t="s">
        <v>39</v>
      </c>
      <c r="J806" s="11" t="s">
        <v>40</v>
      </c>
      <c r="K806" s="11" t="s">
        <v>41</v>
      </c>
      <c r="L806" s="11" t="s">
        <v>42</v>
      </c>
      <c r="M806" s="11" t="s">
        <v>43</v>
      </c>
      <c r="N806" s="11" t="s">
        <v>1269</v>
      </c>
      <c r="O806" s="11">
        <v>0.55000000000000004</v>
      </c>
      <c r="P806" s="6">
        <f>Table1[[#This Row],[Profit]]/Table1[[#This Row],[Sales]]</f>
        <v>0.44239706689671393</v>
      </c>
      <c r="Q806" s="11" t="s">
        <v>33</v>
      </c>
      <c r="R806" s="11" t="s">
        <v>34</v>
      </c>
      <c r="S806" s="11" t="s">
        <v>255</v>
      </c>
      <c r="T806" s="11" t="s">
        <v>1481</v>
      </c>
      <c r="U806" s="11">
        <v>80112</v>
      </c>
      <c r="V806" s="12">
        <v>42016</v>
      </c>
      <c r="W806" s="13" t="str">
        <f>TEXT(Table1[[#This Row],[Order Date]],"mmmm")</f>
        <v>January</v>
      </c>
      <c r="X806" s="7" t="str">
        <f>TEXT(Table1[[#This Row],[Order Date]],"yyyy")</f>
        <v>2015</v>
      </c>
      <c r="Y806" s="12">
        <v>42018</v>
      </c>
      <c r="Z806" s="11">
        <v>451.28039999999999</v>
      </c>
      <c r="AA806" s="11">
        <v>3</v>
      </c>
      <c r="AB806" s="11">
        <v>1020.08</v>
      </c>
      <c r="AC806" s="11">
        <v>89448</v>
      </c>
      <c r="AD806" s="6" t="str">
        <f>IF(COUNTIF(Returns!$A$2:$A$1635,Orders!AC806)&gt;0,"Returned","Not Returned")</f>
        <v>Not Returned</v>
      </c>
    </row>
    <row r="807" spans="1:30" ht="12.75" customHeight="1" thickTop="1" thickBot="1" x14ac:dyDescent="0.25">
      <c r="A807" s="8">
        <v>19025</v>
      </c>
      <c r="B807" s="1" t="s">
        <v>106</v>
      </c>
      <c r="C807" s="1">
        <v>0</v>
      </c>
      <c r="D807" s="1">
        <v>8.74</v>
      </c>
      <c r="E807" s="1">
        <v>1.39</v>
      </c>
      <c r="F807" s="1">
        <v>1424</v>
      </c>
      <c r="G807" s="6" t="str">
        <f>IF(COUNTIF(Table1[Customer ID],Table1[[#This Row],[Customer ID]])&gt;1,"Repeat Customer","One-Time Customer")</f>
        <v>Repeat Customer</v>
      </c>
      <c r="H807" s="1" t="s">
        <v>1480</v>
      </c>
      <c r="I807" s="1" t="s">
        <v>49</v>
      </c>
      <c r="J807" s="1" t="s">
        <v>40</v>
      </c>
      <c r="K807" s="1" t="s">
        <v>29</v>
      </c>
      <c r="L807" s="1" t="s">
        <v>69</v>
      </c>
      <c r="M807" s="1" t="s">
        <v>59</v>
      </c>
      <c r="N807" s="1" t="s">
        <v>1482</v>
      </c>
      <c r="O807" s="1">
        <v>0.38</v>
      </c>
      <c r="P807" s="6">
        <f>Table1[[#This Row],[Profit]]/Table1[[#This Row],[Sales]]</f>
        <v>0.69</v>
      </c>
      <c r="Q807" s="1" t="s">
        <v>33</v>
      </c>
      <c r="R807" s="1" t="s">
        <v>34</v>
      </c>
      <c r="S807" s="1" t="s">
        <v>255</v>
      </c>
      <c r="T807" s="1" t="s">
        <v>1481</v>
      </c>
      <c r="U807" s="1">
        <v>80112</v>
      </c>
      <c r="V807" s="9">
        <v>42016</v>
      </c>
      <c r="W807" s="13" t="str">
        <f>TEXT(Table1[[#This Row],[Order Date]],"mmmm")</f>
        <v>January</v>
      </c>
      <c r="X807" s="7" t="str">
        <f>TEXT(Table1[[#This Row],[Order Date]],"yyyy")</f>
        <v>2015</v>
      </c>
      <c r="Y807" s="9">
        <v>42020</v>
      </c>
      <c r="Z807" s="1">
        <v>44.988</v>
      </c>
      <c r="AA807" s="1">
        <v>7</v>
      </c>
      <c r="AB807" s="1">
        <v>65.2</v>
      </c>
      <c r="AC807" s="1">
        <v>89448</v>
      </c>
      <c r="AD807" s="6" t="str">
        <f>IF(COUNTIF(Returns!$A$2:$A$1635,Orders!AC807)&gt;0,"Returned","Not Returned")</f>
        <v>Not Returned</v>
      </c>
    </row>
    <row r="808" spans="1:30" ht="12.75" customHeight="1" thickTop="1" thickBot="1" x14ac:dyDescent="0.25">
      <c r="A808" s="10">
        <v>19026</v>
      </c>
      <c r="B808" s="11" t="s">
        <v>106</v>
      </c>
      <c r="C808" s="11">
        <v>0.02</v>
      </c>
      <c r="D808" s="11">
        <v>1.98</v>
      </c>
      <c r="E808" s="11">
        <v>0.7</v>
      </c>
      <c r="F808" s="11">
        <v>1424</v>
      </c>
      <c r="G808" s="6" t="str">
        <f>IF(COUNTIF(Table1[Customer ID],Table1[[#This Row],[Customer ID]])&gt;1,"Repeat Customer","One-Time Customer")</f>
        <v>Repeat Customer</v>
      </c>
      <c r="H808" s="11" t="s">
        <v>1480</v>
      </c>
      <c r="I808" s="11" t="s">
        <v>49</v>
      </c>
      <c r="J808" s="11" t="s">
        <v>40</v>
      </c>
      <c r="K808" s="11" t="s">
        <v>29</v>
      </c>
      <c r="L808" s="11" t="s">
        <v>66</v>
      </c>
      <c r="M808" s="11" t="s">
        <v>31</v>
      </c>
      <c r="N808" s="11" t="s">
        <v>395</v>
      </c>
      <c r="O808" s="11">
        <v>0.83</v>
      </c>
      <c r="P808" s="6">
        <f>Table1[[#This Row],[Profit]]/Table1[[#This Row],[Sales]]</f>
        <v>-0.9177866312527666</v>
      </c>
      <c r="Q808" s="11" t="s">
        <v>33</v>
      </c>
      <c r="R808" s="11" t="s">
        <v>34</v>
      </c>
      <c r="S808" s="11" t="s">
        <v>255</v>
      </c>
      <c r="T808" s="11" t="s">
        <v>1481</v>
      </c>
      <c r="U808" s="11">
        <v>80112</v>
      </c>
      <c r="V808" s="12">
        <v>42016</v>
      </c>
      <c r="W808" s="13" t="str">
        <f>TEXT(Table1[[#This Row],[Order Date]],"mmmm")</f>
        <v>January</v>
      </c>
      <c r="X808" s="7" t="str">
        <f>TEXT(Table1[[#This Row],[Order Date]],"yyyy")</f>
        <v>2015</v>
      </c>
      <c r="Y808" s="12">
        <v>42020</v>
      </c>
      <c r="Z808" s="11">
        <v>-20.732799999999997</v>
      </c>
      <c r="AA808" s="11">
        <v>11</v>
      </c>
      <c r="AB808" s="11">
        <v>22.59</v>
      </c>
      <c r="AC808" s="11">
        <v>89448</v>
      </c>
      <c r="AD808" s="6" t="str">
        <f>IF(COUNTIF(Returns!$A$2:$A$1635,Orders!AC808)&gt;0,"Returned","Not Returned")</f>
        <v>Not Returned</v>
      </c>
    </row>
    <row r="809" spans="1:30" ht="12.75" customHeight="1" thickTop="1" thickBot="1" x14ac:dyDescent="0.25">
      <c r="A809" s="8">
        <v>23620</v>
      </c>
      <c r="B809" s="1" t="s">
        <v>37</v>
      </c>
      <c r="C809" s="1">
        <v>0.05</v>
      </c>
      <c r="D809" s="1">
        <v>8.0399999999999991</v>
      </c>
      <c r="E809" s="1">
        <v>8.94</v>
      </c>
      <c r="F809" s="1">
        <v>1424</v>
      </c>
      <c r="G809" s="6" t="str">
        <f>IF(COUNTIF(Table1[Customer ID],Table1[[#This Row],[Customer ID]])&gt;1,"Repeat Customer","One-Time Customer")</f>
        <v>Repeat Customer</v>
      </c>
      <c r="H809" s="1" t="s">
        <v>1480</v>
      </c>
      <c r="I809" s="1" t="s">
        <v>49</v>
      </c>
      <c r="J809" s="1" t="s">
        <v>40</v>
      </c>
      <c r="K809" s="1" t="s">
        <v>29</v>
      </c>
      <c r="L809" s="1" t="s">
        <v>109</v>
      </c>
      <c r="M809" s="1" t="s">
        <v>59</v>
      </c>
      <c r="N809" s="1" t="s">
        <v>1040</v>
      </c>
      <c r="O809" s="1">
        <v>0.4</v>
      </c>
      <c r="P809" s="6">
        <f>Table1[[#This Row],[Profit]]/Table1[[#This Row],[Sales]]</f>
        <v>-1.3546044825313115</v>
      </c>
      <c r="Q809" s="1" t="s">
        <v>33</v>
      </c>
      <c r="R809" s="1" t="s">
        <v>34</v>
      </c>
      <c r="S809" s="1" t="s">
        <v>255</v>
      </c>
      <c r="T809" s="1" t="s">
        <v>1481</v>
      </c>
      <c r="U809" s="1">
        <v>80112</v>
      </c>
      <c r="V809" s="9">
        <v>42175</v>
      </c>
      <c r="W809" s="13" t="str">
        <f>TEXT(Table1[[#This Row],[Order Date]],"mmmm")</f>
        <v>June</v>
      </c>
      <c r="X809" s="7" t="str">
        <f>TEXT(Table1[[#This Row],[Order Date]],"yyyy")</f>
        <v>2015</v>
      </c>
      <c r="Y809" s="9">
        <v>42177</v>
      </c>
      <c r="Z809" s="1">
        <v>-164.39479999999998</v>
      </c>
      <c r="AA809" s="1">
        <v>15</v>
      </c>
      <c r="AB809" s="1">
        <v>121.36</v>
      </c>
      <c r="AC809" s="1">
        <v>89449</v>
      </c>
      <c r="AD809" s="6" t="str">
        <f>IF(COUNTIF(Returns!$A$2:$A$1635,Orders!AC809)&gt;0,"Returned","Not Returned")</f>
        <v>Not Returned</v>
      </c>
    </row>
    <row r="810" spans="1:30" ht="12.75" customHeight="1" thickTop="1" thickBot="1" x14ac:dyDescent="0.25">
      <c r="A810" s="10">
        <v>22824</v>
      </c>
      <c r="B810" s="11" t="s">
        <v>106</v>
      </c>
      <c r="C810" s="11">
        <v>0.04</v>
      </c>
      <c r="D810" s="11">
        <v>2036.48</v>
      </c>
      <c r="E810" s="11">
        <v>14.7</v>
      </c>
      <c r="F810" s="11">
        <v>1425</v>
      </c>
      <c r="G810" s="6" t="str">
        <f>IF(COUNTIF(Table1[Customer ID],Table1[[#This Row],[Customer ID]])&gt;1,"Repeat Customer","One-Time Customer")</f>
        <v>One-Time Customer</v>
      </c>
      <c r="H810" s="11" t="s">
        <v>1483</v>
      </c>
      <c r="I810" s="11" t="s">
        <v>39</v>
      </c>
      <c r="J810" s="11" t="s">
        <v>58</v>
      </c>
      <c r="K810" s="11" t="s">
        <v>77</v>
      </c>
      <c r="L810" s="11" t="s">
        <v>85</v>
      </c>
      <c r="M810" s="11" t="s">
        <v>43</v>
      </c>
      <c r="N810" s="11" t="s">
        <v>633</v>
      </c>
      <c r="O810" s="11">
        <v>0.55000000000000004</v>
      </c>
      <c r="P810" s="6">
        <f>Table1[[#This Row],[Profit]]/Table1[[#This Row],[Sales]]</f>
        <v>-2.3802331067155986</v>
      </c>
      <c r="Q810" s="11" t="s">
        <v>33</v>
      </c>
      <c r="R810" s="11" t="s">
        <v>34</v>
      </c>
      <c r="S810" s="11" t="s">
        <v>255</v>
      </c>
      <c r="T810" s="11" t="s">
        <v>256</v>
      </c>
      <c r="U810" s="11">
        <v>80525</v>
      </c>
      <c r="V810" s="12">
        <v>42005</v>
      </c>
      <c r="W810" s="13" t="str">
        <f>TEXT(Table1[[#This Row],[Order Date]],"mmmm")</f>
        <v>January</v>
      </c>
      <c r="X810" s="7" t="str">
        <f>TEXT(Table1[[#This Row],[Order Date]],"yyyy")</f>
        <v>2015</v>
      </c>
      <c r="Y810" s="12">
        <v>42010</v>
      </c>
      <c r="Z810" s="11">
        <v>-4793.0039999999999</v>
      </c>
      <c r="AA810" s="11">
        <v>1</v>
      </c>
      <c r="AB810" s="11">
        <v>2013.67</v>
      </c>
      <c r="AC810" s="11">
        <v>89450</v>
      </c>
      <c r="AD810" s="6" t="str">
        <f>IF(COUNTIF(Returns!$A$2:$A$1635,Orders!AC810)&gt;0,"Returned","Not Returned")</f>
        <v>Not Returned</v>
      </c>
    </row>
    <row r="811" spans="1:30" ht="12.75" customHeight="1" thickTop="1" thickBot="1" x14ac:dyDescent="0.25">
      <c r="A811" s="8">
        <v>22407</v>
      </c>
      <c r="B811" s="1" t="s">
        <v>106</v>
      </c>
      <c r="C811" s="1">
        <v>0.09</v>
      </c>
      <c r="D811" s="1">
        <v>125.99</v>
      </c>
      <c r="E811" s="1">
        <v>2.5</v>
      </c>
      <c r="F811" s="1">
        <v>1427</v>
      </c>
      <c r="G811" s="6" t="str">
        <f>IF(COUNTIF(Table1[Customer ID],Table1[[#This Row],[Customer ID]])&gt;1,"Repeat Customer","One-Time Customer")</f>
        <v>One-Time Customer</v>
      </c>
      <c r="H811" s="1" t="s">
        <v>1484</v>
      </c>
      <c r="I811" s="1" t="s">
        <v>49</v>
      </c>
      <c r="J811" s="1" t="s">
        <v>40</v>
      </c>
      <c r="K811" s="1" t="s">
        <v>77</v>
      </c>
      <c r="L811" s="1" t="s">
        <v>78</v>
      </c>
      <c r="M811" s="1" t="s">
        <v>59</v>
      </c>
      <c r="N811" s="1" t="s">
        <v>1148</v>
      </c>
      <c r="O811" s="1">
        <v>0.6</v>
      </c>
      <c r="P811" s="6">
        <f>Table1[[#This Row],[Profit]]/Table1[[#This Row],[Sales]]</f>
        <v>0.69</v>
      </c>
      <c r="Q811" s="1" t="s">
        <v>33</v>
      </c>
      <c r="R811" s="1" t="s">
        <v>61</v>
      </c>
      <c r="S811" s="1" t="s">
        <v>300</v>
      </c>
      <c r="T811" s="1" t="s">
        <v>1485</v>
      </c>
      <c r="U811" s="1">
        <v>48708</v>
      </c>
      <c r="V811" s="9">
        <v>42040</v>
      </c>
      <c r="W811" s="13" t="str">
        <f>TEXT(Table1[[#This Row],[Order Date]],"mmmm")</f>
        <v>February</v>
      </c>
      <c r="X811" s="7" t="str">
        <f>TEXT(Table1[[#This Row],[Order Date]],"yyyy")</f>
        <v>2015</v>
      </c>
      <c r="Y811" s="9">
        <v>42044</v>
      </c>
      <c r="Z811" s="1">
        <v>1258.7876999999999</v>
      </c>
      <c r="AA811" s="1">
        <v>18</v>
      </c>
      <c r="AB811" s="1">
        <v>1824.33</v>
      </c>
      <c r="AC811" s="1">
        <v>90905</v>
      </c>
      <c r="AD811" s="6" t="str">
        <f>IF(COUNTIF(Returns!$A$2:$A$1635,Orders!AC811)&gt;0,"Returned","Not Returned")</f>
        <v>Not Returned</v>
      </c>
    </row>
    <row r="812" spans="1:30" ht="12.75" customHeight="1" thickTop="1" thickBot="1" x14ac:dyDescent="0.25">
      <c r="A812" s="10">
        <v>19810</v>
      </c>
      <c r="B812" s="11" t="s">
        <v>37</v>
      </c>
      <c r="C812" s="11">
        <v>0.05</v>
      </c>
      <c r="D812" s="11">
        <v>9.7799999999999994</v>
      </c>
      <c r="E812" s="11">
        <v>1.39</v>
      </c>
      <c r="F812" s="11">
        <v>1432</v>
      </c>
      <c r="G812" s="6" t="str">
        <f>IF(COUNTIF(Table1[Customer ID],Table1[[#This Row],[Customer ID]])&gt;1,"Repeat Customer","One-Time Customer")</f>
        <v>Repeat Customer</v>
      </c>
      <c r="H812" s="11" t="s">
        <v>1486</v>
      </c>
      <c r="I812" s="11" t="s">
        <v>49</v>
      </c>
      <c r="J812" s="11" t="s">
        <v>28</v>
      </c>
      <c r="K812" s="11" t="s">
        <v>29</v>
      </c>
      <c r="L812" s="11" t="s">
        <v>69</v>
      </c>
      <c r="M812" s="11" t="s">
        <v>59</v>
      </c>
      <c r="N812" s="11" t="s">
        <v>1265</v>
      </c>
      <c r="O812" s="11">
        <v>0.39</v>
      </c>
      <c r="P812" s="6">
        <f>Table1[[#This Row],[Profit]]/Table1[[#This Row],[Sales]]</f>
        <v>0.69</v>
      </c>
      <c r="Q812" s="11" t="s">
        <v>33</v>
      </c>
      <c r="R812" s="11" t="s">
        <v>61</v>
      </c>
      <c r="S812" s="11" t="s">
        <v>703</v>
      </c>
      <c r="T812" s="11" t="s">
        <v>1474</v>
      </c>
      <c r="U812" s="11">
        <v>46203</v>
      </c>
      <c r="V812" s="12">
        <v>42068</v>
      </c>
      <c r="W812" s="13" t="str">
        <f>TEXT(Table1[[#This Row],[Order Date]],"mmmm")</f>
        <v>March</v>
      </c>
      <c r="X812" s="7" t="str">
        <f>TEXT(Table1[[#This Row],[Order Date]],"yyyy")</f>
        <v>2015</v>
      </c>
      <c r="Y812" s="12">
        <v>42069</v>
      </c>
      <c r="Z812" s="11">
        <v>74.278499999999994</v>
      </c>
      <c r="AA812" s="11">
        <v>11</v>
      </c>
      <c r="AB812" s="11">
        <v>107.65</v>
      </c>
      <c r="AC812" s="11">
        <v>86826</v>
      </c>
      <c r="AD812" s="6" t="str">
        <f>IF(COUNTIF(Returns!$A$2:$A$1635,Orders!AC812)&gt;0,"Returned","Not Returned")</f>
        <v>Not Returned</v>
      </c>
    </row>
    <row r="813" spans="1:30" ht="12.75" customHeight="1" thickTop="1" thickBot="1" x14ac:dyDescent="0.25">
      <c r="A813" s="8">
        <v>18762</v>
      </c>
      <c r="B813" s="1" t="s">
        <v>106</v>
      </c>
      <c r="C813" s="1">
        <v>7.0000000000000007E-2</v>
      </c>
      <c r="D813" s="1">
        <v>10.98</v>
      </c>
      <c r="E813" s="1">
        <v>4.8</v>
      </c>
      <c r="F813" s="1">
        <v>1432</v>
      </c>
      <c r="G813" s="6" t="str">
        <f>IF(COUNTIF(Table1[Customer ID],Table1[[#This Row],[Customer ID]])&gt;1,"Repeat Customer","One-Time Customer")</f>
        <v>Repeat Customer</v>
      </c>
      <c r="H813" s="1" t="s">
        <v>1486</v>
      </c>
      <c r="I813" s="1" t="s">
        <v>49</v>
      </c>
      <c r="J813" s="1" t="s">
        <v>28</v>
      </c>
      <c r="K813" s="1" t="s">
        <v>29</v>
      </c>
      <c r="L813" s="1" t="s">
        <v>69</v>
      </c>
      <c r="M813" s="1" t="s">
        <v>59</v>
      </c>
      <c r="N813" s="1" t="s">
        <v>536</v>
      </c>
      <c r="O813" s="1">
        <v>0.36</v>
      </c>
      <c r="P813" s="6">
        <f>Table1[[#This Row],[Profit]]/Table1[[#This Row],[Sales]]</f>
        <v>0.32031959324496095</v>
      </c>
      <c r="Q813" s="1" t="s">
        <v>33</v>
      </c>
      <c r="R813" s="1" t="s">
        <v>61</v>
      </c>
      <c r="S813" s="1" t="s">
        <v>703</v>
      </c>
      <c r="T813" s="1" t="s">
        <v>1474</v>
      </c>
      <c r="U813" s="1">
        <v>46203</v>
      </c>
      <c r="V813" s="9">
        <v>42175</v>
      </c>
      <c r="W813" s="13" t="str">
        <f>TEXT(Table1[[#This Row],[Order Date]],"mmmm")</f>
        <v>June</v>
      </c>
      <c r="X813" s="7" t="str">
        <f>TEXT(Table1[[#This Row],[Order Date]],"yyyy")</f>
        <v>2015</v>
      </c>
      <c r="Y813" s="9">
        <v>42182</v>
      </c>
      <c r="Z813" s="1">
        <v>52.92</v>
      </c>
      <c r="AA813" s="1">
        <v>16</v>
      </c>
      <c r="AB813" s="1">
        <v>165.21</v>
      </c>
      <c r="AC813" s="1">
        <v>86827</v>
      </c>
      <c r="AD813" s="6" t="str">
        <f>IF(COUNTIF(Returns!$A$2:$A$1635,Orders!AC813)&gt;0,"Returned","Not Returned")</f>
        <v>Not Returned</v>
      </c>
    </row>
    <row r="814" spans="1:30" ht="12.75" customHeight="1" thickTop="1" thickBot="1" x14ac:dyDescent="0.25">
      <c r="A814" s="10">
        <v>19811</v>
      </c>
      <c r="B814" s="11" t="s">
        <v>37</v>
      </c>
      <c r="C814" s="11">
        <v>0.02</v>
      </c>
      <c r="D814" s="11">
        <v>3.28</v>
      </c>
      <c r="E814" s="11">
        <v>3.97</v>
      </c>
      <c r="F814" s="11">
        <v>1433</v>
      </c>
      <c r="G814" s="6" t="str">
        <f>IF(COUNTIF(Table1[Customer ID],Table1[[#This Row],[Customer ID]])&gt;1,"Repeat Customer","One-Time Customer")</f>
        <v>Repeat Customer</v>
      </c>
      <c r="H814" s="11" t="s">
        <v>1487</v>
      </c>
      <c r="I814" s="11" t="s">
        <v>27</v>
      </c>
      <c r="J814" s="11" t="s">
        <v>28</v>
      </c>
      <c r="K814" s="11" t="s">
        <v>29</v>
      </c>
      <c r="L814" s="11" t="s">
        <v>30</v>
      </c>
      <c r="M814" s="11" t="s">
        <v>31</v>
      </c>
      <c r="N814" s="11" t="s">
        <v>1009</v>
      </c>
      <c r="O814" s="11">
        <v>0.56000000000000005</v>
      </c>
      <c r="P814" s="6">
        <f>Table1[[#This Row],[Profit]]/Table1[[#This Row],[Sales]]</f>
        <v>-2.6381709741550696</v>
      </c>
      <c r="Q814" s="11" t="s">
        <v>33</v>
      </c>
      <c r="R814" s="11" t="s">
        <v>61</v>
      </c>
      <c r="S814" s="11" t="s">
        <v>703</v>
      </c>
      <c r="T814" s="11" t="s">
        <v>1488</v>
      </c>
      <c r="U814" s="11">
        <v>47130</v>
      </c>
      <c r="V814" s="12">
        <v>42068</v>
      </c>
      <c r="W814" s="13" t="str">
        <f>TEXT(Table1[[#This Row],[Order Date]],"mmmm")</f>
        <v>March</v>
      </c>
      <c r="X814" s="7" t="str">
        <f>TEXT(Table1[[#This Row],[Order Date]],"yyyy")</f>
        <v>2015</v>
      </c>
      <c r="Y814" s="12">
        <v>42069</v>
      </c>
      <c r="Z814" s="11">
        <v>-66.349999999999994</v>
      </c>
      <c r="AA814" s="11">
        <v>7</v>
      </c>
      <c r="AB814" s="11">
        <v>25.15</v>
      </c>
      <c r="AC814" s="11">
        <v>86826</v>
      </c>
      <c r="AD814" s="6" t="str">
        <f>IF(COUNTIF(Returns!$A$2:$A$1635,Orders!AC814)&gt;0,"Returned","Not Returned")</f>
        <v>Not Returned</v>
      </c>
    </row>
    <row r="815" spans="1:30" ht="12.75" customHeight="1" thickTop="1" thickBot="1" x14ac:dyDescent="0.25">
      <c r="A815" s="8">
        <v>20124</v>
      </c>
      <c r="B815" s="1" t="s">
        <v>25</v>
      </c>
      <c r="C815" s="1">
        <v>7.0000000000000007E-2</v>
      </c>
      <c r="D815" s="1">
        <v>300.98</v>
      </c>
      <c r="E815" s="1">
        <v>64.73</v>
      </c>
      <c r="F815" s="1">
        <v>1433</v>
      </c>
      <c r="G815" s="6" t="str">
        <f>IF(COUNTIF(Table1[Customer ID],Table1[[#This Row],[Customer ID]])&gt;1,"Repeat Customer","One-Time Customer")</f>
        <v>Repeat Customer</v>
      </c>
      <c r="H815" s="1" t="s">
        <v>1487</v>
      </c>
      <c r="I815" s="1" t="s">
        <v>39</v>
      </c>
      <c r="J815" s="1" t="s">
        <v>28</v>
      </c>
      <c r="K815" s="1" t="s">
        <v>41</v>
      </c>
      <c r="L815" s="1" t="s">
        <v>42</v>
      </c>
      <c r="M815" s="1" t="s">
        <v>43</v>
      </c>
      <c r="N815" s="1" t="s">
        <v>1489</v>
      </c>
      <c r="O815" s="1">
        <v>0.56000000000000005</v>
      </c>
      <c r="P815" s="6">
        <f>Table1[[#This Row],[Profit]]/Table1[[#This Row],[Sales]]</f>
        <v>0.32659442406593309</v>
      </c>
      <c r="Q815" s="1" t="s">
        <v>33</v>
      </c>
      <c r="R815" s="1" t="s">
        <v>61</v>
      </c>
      <c r="S815" s="1" t="s">
        <v>703</v>
      </c>
      <c r="T815" s="1" t="s">
        <v>1488</v>
      </c>
      <c r="U815" s="1">
        <v>47130</v>
      </c>
      <c r="V815" s="9">
        <v>42143</v>
      </c>
      <c r="W815" s="13" t="str">
        <f>TEXT(Table1[[#This Row],[Order Date]],"mmmm")</f>
        <v>May</v>
      </c>
      <c r="X815" s="7" t="str">
        <f>TEXT(Table1[[#This Row],[Order Date]],"yyyy")</f>
        <v>2015</v>
      </c>
      <c r="Y815" s="9">
        <v>42145</v>
      </c>
      <c r="Z815" s="1">
        <v>1399.6400000000003</v>
      </c>
      <c r="AA815" s="1">
        <v>14</v>
      </c>
      <c r="AB815" s="1">
        <v>4285.5600000000004</v>
      </c>
      <c r="AC815" s="1">
        <v>86828</v>
      </c>
      <c r="AD815" s="6" t="str">
        <f>IF(COUNTIF(Returns!$A$2:$A$1635,Orders!AC815)&gt;0,"Returned","Not Returned")</f>
        <v>Not Returned</v>
      </c>
    </row>
    <row r="816" spans="1:30" ht="12.75" customHeight="1" thickTop="1" thickBot="1" x14ac:dyDescent="0.25">
      <c r="A816" s="10">
        <v>20125</v>
      </c>
      <c r="B816" s="11" t="s">
        <v>25</v>
      </c>
      <c r="C816" s="11">
        <v>0.01</v>
      </c>
      <c r="D816" s="11">
        <v>20.98</v>
      </c>
      <c r="E816" s="11">
        <v>45</v>
      </c>
      <c r="F816" s="11">
        <v>1433</v>
      </c>
      <c r="G816" s="6" t="str">
        <f>IF(COUNTIF(Table1[Customer ID],Table1[[#This Row],[Customer ID]])&gt;1,"Repeat Customer","One-Time Customer")</f>
        <v>Repeat Customer</v>
      </c>
      <c r="H816" s="11" t="s">
        <v>1487</v>
      </c>
      <c r="I816" s="11" t="s">
        <v>39</v>
      </c>
      <c r="J816" s="11" t="s">
        <v>28</v>
      </c>
      <c r="K816" s="11" t="s">
        <v>29</v>
      </c>
      <c r="L816" s="11" t="s">
        <v>141</v>
      </c>
      <c r="M816" s="11" t="s">
        <v>43</v>
      </c>
      <c r="N816" s="11" t="s">
        <v>1490</v>
      </c>
      <c r="O816" s="11">
        <v>0.61</v>
      </c>
      <c r="P816" s="6">
        <f>Table1[[#This Row],[Profit]]/Table1[[#This Row],[Sales]]</f>
        <v>0.36847173606601563</v>
      </c>
      <c r="Q816" s="11" t="s">
        <v>33</v>
      </c>
      <c r="R816" s="11" t="s">
        <v>61</v>
      </c>
      <c r="S816" s="11" t="s">
        <v>703</v>
      </c>
      <c r="T816" s="11" t="s">
        <v>1488</v>
      </c>
      <c r="U816" s="11">
        <v>47130</v>
      </c>
      <c r="V816" s="12">
        <v>42143</v>
      </c>
      <c r="W816" s="13" t="str">
        <f>TEXT(Table1[[#This Row],[Order Date]],"mmmm")</f>
        <v>May</v>
      </c>
      <c r="X816" s="7" t="str">
        <f>TEXT(Table1[[#This Row],[Order Date]],"yyyy")</f>
        <v>2015</v>
      </c>
      <c r="Y816" s="12">
        <v>42143</v>
      </c>
      <c r="Z816" s="11">
        <v>232.64200000000028</v>
      </c>
      <c r="AA816" s="11">
        <v>28</v>
      </c>
      <c r="AB816" s="11">
        <v>631.37</v>
      </c>
      <c r="AC816" s="11">
        <v>86828</v>
      </c>
      <c r="AD816" s="6" t="str">
        <f>IF(COUNTIF(Returns!$A$2:$A$1635,Orders!AC816)&gt;0,"Returned","Not Returned")</f>
        <v>Not Returned</v>
      </c>
    </row>
    <row r="817" spans="1:30" ht="12.75" customHeight="1" thickTop="1" thickBot="1" x14ac:dyDescent="0.25">
      <c r="A817" s="8">
        <v>21955</v>
      </c>
      <c r="B817" s="1" t="s">
        <v>47</v>
      </c>
      <c r="C817" s="1">
        <v>0.01</v>
      </c>
      <c r="D817" s="1">
        <v>80.98</v>
      </c>
      <c r="E817" s="1">
        <v>35</v>
      </c>
      <c r="F817" s="1">
        <v>1438</v>
      </c>
      <c r="G817" s="6" t="str">
        <f>IF(COUNTIF(Table1[Customer ID],Table1[[#This Row],[Customer ID]])&gt;1,"Repeat Customer","One-Time Customer")</f>
        <v>One-Time Customer</v>
      </c>
      <c r="H817" s="1" t="s">
        <v>1491</v>
      </c>
      <c r="I817" s="1" t="s">
        <v>49</v>
      </c>
      <c r="J817" s="1" t="s">
        <v>28</v>
      </c>
      <c r="K817" s="1" t="s">
        <v>29</v>
      </c>
      <c r="L817" s="1" t="s">
        <v>141</v>
      </c>
      <c r="M817" s="1" t="s">
        <v>236</v>
      </c>
      <c r="N817" s="1" t="s">
        <v>987</v>
      </c>
      <c r="O817" s="1">
        <v>0.83</v>
      </c>
      <c r="P817" s="6">
        <f>Table1[[#This Row],[Profit]]/Table1[[#This Row],[Sales]]</f>
        <v>-1.528482992943285</v>
      </c>
      <c r="Q817" s="1" t="s">
        <v>33</v>
      </c>
      <c r="R817" s="1" t="s">
        <v>53</v>
      </c>
      <c r="S817" s="1" t="s">
        <v>154</v>
      </c>
      <c r="T817" s="1" t="s">
        <v>1492</v>
      </c>
      <c r="U817" s="1">
        <v>44035</v>
      </c>
      <c r="V817" s="9">
        <v>42026</v>
      </c>
      <c r="W817" s="13" t="str">
        <f>TEXT(Table1[[#This Row],[Order Date]],"mmmm")</f>
        <v>January</v>
      </c>
      <c r="X817" s="7" t="str">
        <f>TEXT(Table1[[#This Row],[Order Date]],"yyyy")</f>
        <v>2015</v>
      </c>
      <c r="Y817" s="9">
        <v>42028</v>
      </c>
      <c r="Z817" s="1">
        <v>-409.37360000000001</v>
      </c>
      <c r="AA817" s="1">
        <v>3</v>
      </c>
      <c r="AB817" s="1">
        <v>267.83</v>
      </c>
      <c r="AC817" s="1">
        <v>90120</v>
      </c>
      <c r="AD817" s="6" t="str">
        <f>IF(COUNTIF(Returns!$A$2:$A$1635,Orders!AC817)&gt;0,"Returned","Not Returned")</f>
        <v>Not Returned</v>
      </c>
    </row>
    <row r="818" spans="1:30" ht="12.75" customHeight="1" thickTop="1" thickBot="1" x14ac:dyDescent="0.25">
      <c r="A818" s="10">
        <v>23415</v>
      </c>
      <c r="B818" s="11" t="s">
        <v>47</v>
      </c>
      <c r="C818" s="11">
        <v>0.05</v>
      </c>
      <c r="D818" s="11">
        <v>6.48</v>
      </c>
      <c r="E818" s="11">
        <v>6.22</v>
      </c>
      <c r="F818" s="11">
        <v>1439</v>
      </c>
      <c r="G818" s="6" t="str">
        <f>IF(COUNTIF(Table1[Customer ID],Table1[[#This Row],[Customer ID]])&gt;1,"Repeat Customer","One-Time Customer")</f>
        <v>One-Time Customer</v>
      </c>
      <c r="H818" s="11" t="s">
        <v>1493</v>
      </c>
      <c r="I818" s="11" t="s">
        <v>49</v>
      </c>
      <c r="J818" s="11" t="s">
        <v>28</v>
      </c>
      <c r="K818" s="11" t="s">
        <v>29</v>
      </c>
      <c r="L818" s="11" t="s">
        <v>93</v>
      </c>
      <c r="M818" s="11" t="s">
        <v>59</v>
      </c>
      <c r="N818" s="11" t="s">
        <v>1431</v>
      </c>
      <c r="O818" s="11">
        <v>0.37</v>
      </c>
      <c r="P818" s="6">
        <f>Table1[[#This Row],[Profit]]/Table1[[#This Row],[Sales]]</f>
        <v>-1.3546132339235788</v>
      </c>
      <c r="Q818" s="11" t="s">
        <v>33</v>
      </c>
      <c r="R818" s="11" t="s">
        <v>53</v>
      </c>
      <c r="S818" s="11" t="s">
        <v>154</v>
      </c>
      <c r="T818" s="11" t="s">
        <v>1494</v>
      </c>
      <c r="U818" s="11">
        <v>44117</v>
      </c>
      <c r="V818" s="12">
        <v>42122</v>
      </c>
      <c r="W818" s="13" t="str">
        <f>TEXT(Table1[[#This Row],[Order Date]],"mmmm")</f>
        <v>April</v>
      </c>
      <c r="X818" s="7" t="str">
        <f>TEXT(Table1[[#This Row],[Order Date]],"yyyy")</f>
        <v>2015</v>
      </c>
      <c r="Y818" s="12">
        <v>42123</v>
      </c>
      <c r="Z818" s="11">
        <v>-29.07</v>
      </c>
      <c r="AA818" s="11">
        <v>3</v>
      </c>
      <c r="AB818" s="11">
        <v>21.46</v>
      </c>
      <c r="AC818" s="11">
        <v>90121</v>
      </c>
      <c r="AD818" s="6" t="str">
        <f>IF(COUNTIF(Returns!$A$2:$A$1635,Orders!AC818)&gt;0,"Returned","Not Returned")</f>
        <v>Not Returned</v>
      </c>
    </row>
    <row r="819" spans="1:30" ht="12.75" customHeight="1" thickTop="1" thickBot="1" x14ac:dyDescent="0.25">
      <c r="A819" s="8">
        <v>22672</v>
      </c>
      <c r="B819" s="1" t="s">
        <v>37</v>
      </c>
      <c r="C819" s="1">
        <v>0.04</v>
      </c>
      <c r="D819" s="1">
        <v>177.98</v>
      </c>
      <c r="E819" s="1">
        <v>0.99</v>
      </c>
      <c r="F819" s="1">
        <v>1442</v>
      </c>
      <c r="G819" s="6" t="str">
        <f>IF(COUNTIF(Table1[Customer ID],Table1[[#This Row],[Customer ID]])&gt;1,"Repeat Customer","One-Time Customer")</f>
        <v>Repeat Customer</v>
      </c>
      <c r="H819" s="1" t="s">
        <v>1495</v>
      </c>
      <c r="I819" s="1" t="s">
        <v>49</v>
      </c>
      <c r="J819" s="1" t="s">
        <v>28</v>
      </c>
      <c r="K819" s="1" t="s">
        <v>29</v>
      </c>
      <c r="L819" s="1" t="s">
        <v>257</v>
      </c>
      <c r="M819" s="1" t="s">
        <v>59</v>
      </c>
      <c r="N819" s="1" t="s">
        <v>1496</v>
      </c>
      <c r="O819" s="1">
        <v>0.56000000000000005</v>
      </c>
      <c r="P819" s="6">
        <f>Table1[[#This Row],[Profit]]/Table1[[#This Row],[Sales]]</f>
        <v>0.69</v>
      </c>
      <c r="Q819" s="1" t="s">
        <v>33</v>
      </c>
      <c r="R819" s="1" t="s">
        <v>61</v>
      </c>
      <c r="S819" s="1" t="s">
        <v>506</v>
      </c>
      <c r="T819" s="1" t="s">
        <v>1193</v>
      </c>
      <c r="U819" s="1">
        <v>65807</v>
      </c>
      <c r="V819" s="9">
        <v>42180</v>
      </c>
      <c r="W819" s="13" t="str">
        <f>TEXT(Table1[[#This Row],[Order Date]],"mmmm")</f>
        <v>June</v>
      </c>
      <c r="X819" s="7" t="str">
        <f>TEXT(Table1[[#This Row],[Order Date]],"yyyy")</f>
        <v>2015</v>
      </c>
      <c r="Y819" s="9">
        <v>42182</v>
      </c>
      <c r="Z819" s="1">
        <v>1909.8854999999996</v>
      </c>
      <c r="AA819" s="1">
        <v>15</v>
      </c>
      <c r="AB819" s="1">
        <v>2767.95</v>
      </c>
      <c r="AC819" s="1">
        <v>89076</v>
      </c>
      <c r="AD819" s="6" t="str">
        <f>IF(COUNTIF(Returns!$A$2:$A$1635,Orders!AC819)&gt;0,"Returned","Not Returned")</f>
        <v>Not Returned</v>
      </c>
    </row>
    <row r="820" spans="1:30" ht="12.75" customHeight="1" thickTop="1" thickBot="1" x14ac:dyDescent="0.25">
      <c r="A820" s="10">
        <v>21945</v>
      </c>
      <c r="B820" s="11" t="s">
        <v>106</v>
      </c>
      <c r="C820" s="11">
        <v>0.02</v>
      </c>
      <c r="D820" s="11">
        <v>15.99</v>
      </c>
      <c r="E820" s="11">
        <v>13.18</v>
      </c>
      <c r="F820" s="11">
        <v>1442</v>
      </c>
      <c r="G820" s="6" t="str">
        <f>IF(COUNTIF(Table1[Customer ID],Table1[[#This Row],[Customer ID]])&gt;1,"Repeat Customer","One-Time Customer")</f>
        <v>Repeat Customer</v>
      </c>
      <c r="H820" s="11" t="s">
        <v>1495</v>
      </c>
      <c r="I820" s="11" t="s">
        <v>27</v>
      </c>
      <c r="J820" s="11" t="s">
        <v>28</v>
      </c>
      <c r="K820" s="11" t="s">
        <v>29</v>
      </c>
      <c r="L820" s="11" t="s">
        <v>109</v>
      </c>
      <c r="M820" s="11" t="s">
        <v>59</v>
      </c>
      <c r="N820" s="11" t="s">
        <v>638</v>
      </c>
      <c r="O820" s="11">
        <v>0.37</v>
      </c>
      <c r="P820" s="6">
        <f>Table1[[#This Row],[Profit]]/Table1[[#This Row],[Sales]]</f>
        <v>-0.62580264976022115</v>
      </c>
      <c r="Q820" s="11" t="s">
        <v>33</v>
      </c>
      <c r="R820" s="11" t="s">
        <v>61</v>
      </c>
      <c r="S820" s="11" t="s">
        <v>506</v>
      </c>
      <c r="T820" s="11" t="s">
        <v>1193</v>
      </c>
      <c r="U820" s="11">
        <v>65807</v>
      </c>
      <c r="V820" s="12">
        <v>42034</v>
      </c>
      <c r="W820" s="13" t="str">
        <f>TEXT(Table1[[#This Row],[Order Date]],"mmmm")</f>
        <v>January</v>
      </c>
      <c r="X820" s="7" t="str">
        <f>TEXT(Table1[[#This Row],[Order Date]],"yyyy")</f>
        <v>2015</v>
      </c>
      <c r="Y820" s="12">
        <v>42038</v>
      </c>
      <c r="Z820" s="11">
        <v>-76.992500000000007</v>
      </c>
      <c r="AA820" s="11">
        <v>7</v>
      </c>
      <c r="AB820" s="11">
        <v>123.03</v>
      </c>
      <c r="AC820" s="11">
        <v>89077</v>
      </c>
      <c r="AD820" s="6" t="str">
        <f>IF(COUNTIF(Returns!$A$2:$A$1635,Orders!AC820)&gt;0,"Returned","Not Returned")</f>
        <v>Not Returned</v>
      </c>
    </row>
    <row r="821" spans="1:30" ht="12.75" customHeight="1" thickTop="1" thickBot="1" x14ac:dyDescent="0.25">
      <c r="A821" s="8">
        <v>21946</v>
      </c>
      <c r="B821" s="1" t="s">
        <v>106</v>
      </c>
      <c r="C821" s="1">
        <v>0.09</v>
      </c>
      <c r="D821" s="1">
        <v>46.94</v>
      </c>
      <c r="E821" s="1">
        <v>6.77</v>
      </c>
      <c r="F821" s="1">
        <v>1442</v>
      </c>
      <c r="G821" s="6" t="str">
        <f>IF(COUNTIF(Table1[Customer ID],Table1[[#This Row],[Customer ID]])&gt;1,"Repeat Customer","One-Time Customer")</f>
        <v>Repeat Customer</v>
      </c>
      <c r="H821" s="1" t="s">
        <v>1495</v>
      </c>
      <c r="I821" s="1" t="s">
        <v>27</v>
      </c>
      <c r="J821" s="1" t="s">
        <v>28</v>
      </c>
      <c r="K821" s="1" t="s">
        <v>41</v>
      </c>
      <c r="L821" s="1" t="s">
        <v>50</v>
      </c>
      <c r="M821" s="1" t="s">
        <v>59</v>
      </c>
      <c r="N821" s="1" t="s">
        <v>1497</v>
      </c>
      <c r="O821" s="1">
        <v>0.44</v>
      </c>
      <c r="P821" s="6">
        <f>Table1[[#This Row],[Profit]]/Table1[[#This Row],[Sales]]</f>
        <v>0.69</v>
      </c>
      <c r="Q821" s="1" t="s">
        <v>33</v>
      </c>
      <c r="R821" s="1" t="s">
        <v>61</v>
      </c>
      <c r="S821" s="1" t="s">
        <v>506</v>
      </c>
      <c r="T821" s="1" t="s">
        <v>1193</v>
      </c>
      <c r="U821" s="1">
        <v>65807</v>
      </c>
      <c r="V821" s="9">
        <v>42034</v>
      </c>
      <c r="W821" s="13" t="str">
        <f>TEXT(Table1[[#This Row],[Order Date]],"mmmm")</f>
        <v>January</v>
      </c>
      <c r="X821" s="7" t="str">
        <f>TEXT(Table1[[#This Row],[Order Date]],"yyyy")</f>
        <v>2015</v>
      </c>
      <c r="Y821" s="9">
        <v>42034</v>
      </c>
      <c r="Z821" s="1">
        <v>297.96959999999996</v>
      </c>
      <c r="AA821" s="1">
        <v>10</v>
      </c>
      <c r="AB821" s="1">
        <v>431.84</v>
      </c>
      <c r="AC821" s="1">
        <v>89077</v>
      </c>
      <c r="AD821" s="6" t="str">
        <f>IF(COUNTIF(Returns!$A$2:$A$1635,Orders!AC821)&gt;0,"Returned","Not Returned")</f>
        <v>Not Returned</v>
      </c>
    </row>
    <row r="822" spans="1:30" ht="12.75" customHeight="1" thickTop="1" thickBot="1" x14ac:dyDescent="0.25">
      <c r="A822" s="10">
        <v>23793</v>
      </c>
      <c r="B822" s="11" t="s">
        <v>56</v>
      </c>
      <c r="C822" s="11">
        <v>0.1</v>
      </c>
      <c r="D822" s="11">
        <v>218.08</v>
      </c>
      <c r="E822" s="11">
        <v>18.059999999999999</v>
      </c>
      <c r="F822" s="11">
        <v>1450</v>
      </c>
      <c r="G822" s="6" t="str">
        <f>IF(COUNTIF(Table1[Customer ID],Table1[[#This Row],[Customer ID]])&gt;1,"Repeat Customer","One-Time Customer")</f>
        <v>One-Time Customer</v>
      </c>
      <c r="H822" s="11" t="s">
        <v>1498</v>
      </c>
      <c r="I822" s="11" t="s">
        <v>27</v>
      </c>
      <c r="J822" s="11" t="s">
        <v>114</v>
      </c>
      <c r="K822" s="11" t="s">
        <v>41</v>
      </c>
      <c r="L822" s="11" t="s">
        <v>42</v>
      </c>
      <c r="M822" s="11" t="s">
        <v>236</v>
      </c>
      <c r="N822" s="11" t="s">
        <v>1499</v>
      </c>
      <c r="O822" s="11">
        <v>0.56999999999999995</v>
      </c>
      <c r="P822" s="6">
        <f>Table1[[#This Row],[Profit]]/Table1[[#This Row],[Sales]]</f>
        <v>0.55728900363826894</v>
      </c>
      <c r="Q822" s="11" t="s">
        <v>33</v>
      </c>
      <c r="R822" s="11" t="s">
        <v>34</v>
      </c>
      <c r="S822" s="11" t="s">
        <v>45</v>
      </c>
      <c r="T822" s="11" t="s">
        <v>1500</v>
      </c>
      <c r="U822" s="11">
        <v>96150</v>
      </c>
      <c r="V822" s="12">
        <v>42148</v>
      </c>
      <c r="W822" s="13" t="str">
        <f>TEXT(Table1[[#This Row],[Order Date]],"mmmm")</f>
        <v>May</v>
      </c>
      <c r="X822" s="7" t="str">
        <f>TEXT(Table1[[#This Row],[Order Date]],"yyyy")</f>
        <v>2015</v>
      </c>
      <c r="Y822" s="12">
        <v>42149</v>
      </c>
      <c r="Z822" s="11">
        <v>1318.83</v>
      </c>
      <c r="AA822" s="11">
        <v>12</v>
      </c>
      <c r="AB822" s="11">
        <v>2366.5100000000002</v>
      </c>
      <c r="AC822" s="11">
        <v>86735</v>
      </c>
      <c r="AD822" s="6" t="str">
        <f>IF(COUNTIF(Returns!$A$2:$A$1635,Orders!AC822)&gt;0,"Returned","Not Returned")</f>
        <v>Not Returned</v>
      </c>
    </row>
    <row r="823" spans="1:30" ht="12.75" customHeight="1" thickTop="1" thickBot="1" x14ac:dyDescent="0.25">
      <c r="A823" s="8">
        <v>25006</v>
      </c>
      <c r="B823" s="1" t="s">
        <v>25</v>
      </c>
      <c r="C823" s="1">
        <v>0.05</v>
      </c>
      <c r="D823" s="1">
        <v>85.99</v>
      </c>
      <c r="E823" s="1">
        <v>0.99</v>
      </c>
      <c r="F823" s="1">
        <v>1459</v>
      </c>
      <c r="G823" s="6" t="str">
        <f>IF(COUNTIF(Table1[Customer ID],Table1[[#This Row],[Customer ID]])&gt;1,"Repeat Customer","One-Time Customer")</f>
        <v>One-Time Customer</v>
      </c>
      <c r="H823" s="1" t="s">
        <v>1501</v>
      </c>
      <c r="I823" s="1" t="s">
        <v>49</v>
      </c>
      <c r="J823" s="1" t="s">
        <v>114</v>
      </c>
      <c r="K823" s="1" t="s">
        <v>77</v>
      </c>
      <c r="L823" s="1" t="s">
        <v>78</v>
      </c>
      <c r="M823" s="1" t="s">
        <v>31</v>
      </c>
      <c r="N823" s="1" t="s">
        <v>417</v>
      </c>
      <c r="O823" s="1">
        <v>0.55000000000000004</v>
      </c>
      <c r="P823" s="6">
        <f>Table1[[#This Row],[Profit]]/Table1[[#This Row],[Sales]]</f>
        <v>0.12418049650253736</v>
      </c>
      <c r="Q823" s="1" t="s">
        <v>33</v>
      </c>
      <c r="R823" s="1" t="s">
        <v>136</v>
      </c>
      <c r="S823" s="1" t="s">
        <v>932</v>
      </c>
      <c r="T823" s="1" t="s">
        <v>1502</v>
      </c>
      <c r="U823" s="1">
        <v>29687</v>
      </c>
      <c r="V823" s="9">
        <v>42099</v>
      </c>
      <c r="W823" s="13" t="str">
        <f>TEXT(Table1[[#This Row],[Order Date]],"mmmm")</f>
        <v>April</v>
      </c>
      <c r="X823" s="7" t="str">
        <f>TEXT(Table1[[#This Row],[Order Date]],"yyyy")</f>
        <v>2015</v>
      </c>
      <c r="Y823" s="9">
        <v>42101</v>
      </c>
      <c r="Z823" s="1">
        <v>36.215999999999994</v>
      </c>
      <c r="AA823" s="1">
        <v>4</v>
      </c>
      <c r="AB823" s="1">
        <v>291.64</v>
      </c>
      <c r="AC823" s="1">
        <v>86734</v>
      </c>
      <c r="AD823" s="6" t="str">
        <f>IF(COUNTIF(Returns!$A$2:$A$1635,Orders!AC823)&gt;0,"Returned","Not Returned")</f>
        <v>Not Returned</v>
      </c>
    </row>
    <row r="824" spans="1:30" ht="12.75" customHeight="1" thickTop="1" thickBot="1" x14ac:dyDescent="0.25">
      <c r="A824" s="10">
        <v>18105</v>
      </c>
      <c r="B824" s="11" t="s">
        <v>25</v>
      </c>
      <c r="C824" s="11">
        <v>0.05</v>
      </c>
      <c r="D824" s="11">
        <v>12.95</v>
      </c>
      <c r="E824" s="11">
        <v>4.9800000000000004</v>
      </c>
      <c r="F824" s="11">
        <v>1461</v>
      </c>
      <c r="G824" s="6" t="str">
        <f>IF(COUNTIF(Table1[Customer ID],Table1[[#This Row],[Customer ID]])&gt;1,"Repeat Customer","One-Time Customer")</f>
        <v>One-Time Customer</v>
      </c>
      <c r="H824" s="11" t="s">
        <v>1503</v>
      </c>
      <c r="I824" s="11" t="s">
        <v>49</v>
      </c>
      <c r="J824" s="11" t="s">
        <v>114</v>
      </c>
      <c r="K824" s="11" t="s">
        <v>29</v>
      </c>
      <c r="L824" s="11" t="s">
        <v>109</v>
      </c>
      <c r="M824" s="11" t="s">
        <v>59</v>
      </c>
      <c r="N824" s="11" t="s">
        <v>1504</v>
      </c>
      <c r="O824" s="11">
        <v>0.4</v>
      </c>
      <c r="P824" s="6">
        <f>Table1[[#This Row],[Profit]]/Table1[[#This Row],[Sales]]</f>
        <v>0.53165418449833568</v>
      </c>
      <c r="Q824" s="11" t="s">
        <v>33</v>
      </c>
      <c r="R824" s="11" t="s">
        <v>61</v>
      </c>
      <c r="S824" s="11" t="s">
        <v>703</v>
      </c>
      <c r="T824" s="11" t="s">
        <v>1479</v>
      </c>
      <c r="U824" s="11">
        <v>47905</v>
      </c>
      <c r="V824" s="12">
        <v>42157</v>
      </c>
      <c r="W824" s="13" t="str">
        <f>TEXT(Table1[[#This Row],[Order Date]],"mmmm")</f>
        <v>June</v>
      </c>
      <c r="X824" s="7" t="str">
        <f>TEXT(Table1[[#This Row],[Order Date]],"yyyy")</f>
        <v>2015</v>
      </c>
      <c r="Y824" s="12">
        <v>42159</v>
      </c>
      <c r="Z824" s="11">
        <v>134.16825</v>
      </c>
      <c r="AA824" s="11">
        <v>19</v>
      </c>
      <c r="AB824" s="11">
        <v>252.36</v>
      </c>
      <c r="AC824" s="11">
        <v>86397</v>
      </c>
      <c r="AD824" s="6" t="str">
        <f>IF(COUNTIF(Returns!$A$2:$A$1635,Orders!AC824)&gt;0,"Returned","Not Returned")</f>
        <v>Not Returned</v>
      </c>
    </row>
    <row r="825" spans="1:30" ht="12.75" customHeight="1" thickTop="1" thickBot="1" x14ac:dyDescent="0.25">
      <c r="A825" s="8">
        <v>23735</v>
      </c>
      <c r="B825" s="1" t="s">
        <v>25</v>
      </c>
      <c r="C825" s="1">
        <v>0</v>
      </c>
      <c r="D825" s="1">
        <v>65.989999999999995</v>
      </c>
      <c r="E825" s="1">
        <v>8.99</v>
      </c>
      <c r="F825" s="1">
        <v>1466</v>
      </c>
      <c r="G825" s="6" t="str">
        <f>IF(COUNTIF(Table1[Customer ID],Table1[[#This Row],[Customer ID]])&gt;1,"Repeat Customer","One-Time Customer")</f>
        <v>Repeat Customer</v>
      </c>
      <c r="H825" s="1" t="s">
        <v>1505</v>
      </c>
      <c r="I825" s="1" t="s">
        <v>49</v>
      </c>
      <c r="J825" s="1" t="s">
        <v>58</v>
      </c>
      <c r="K825" s="1" t="s">
        <v>77</v>
      </c>
      <c r="L825" s="1" t="s">
        <v>78</v>
      </c>
      <c r="M825" s="1" t="s">
        <v>59</v>
      </c>
      <c r="N825" s="1" t="s">
        <v>1042</v>
      </c>
      <c r="O825" s="1">
        <v>0.56000000000000005</v>
      </c>
      <c r="P825" s="6">
        <f>Table1[[#This Row],[Profit]]/Table1[[#This Row],[Sales]]</f>
        <v>0.44047368146486504</v>
      </c>
      <c r="Q825" s="1" t="s">
        <v>33</v>
      </c>
      <c r="R825" s="1" t="s">
        <v>61</v>
      </c>
      <c r="S825" s="1" t="s">
        <v>496</v>
      </c>
      <c r="T825" s="1" t="s">
        <v>443</v>
      </c>
      <c r="U825" s="1">
        <v>68601</v>
      </c>
      <c r="V825" s="9">
        <v>42166</v>
      </c>
      <c r="W825" s="13" t="str">
        <f>TEXT(Table1[[#This Row],[Order Date]],"mmmm")</f>
        <v>June</v>
      </c>
      <c r="X825" s="7" t="str">
        <f>TEXT(Table1[[#This Row],[Order Date]],"yyyy")</f>
        <v>2015</v>
      </c>
      <c r="Y825" s="9">
        <v>42168</v>
      </c>
      <c r="Z825" s="1">
        <v>253.30319999999998</v>
      </c>
      <c r="AA825" s="1">
        <v>10</v>
      </c>
      <c r="AB825" s="1">
        <v>575.07000000000005</v>
      </c>
      <c r="AC825" s="1">
        <v>91115</v>
      </c>
      <c r="AD825" s="6" t="str">
        <f>IF(COUNTIF(Returns!$A$2:$A$1635,Orders!AC825)&gt;0,"Returned","Not Returned")</f>
        <v>Not Returned</v>
      </c>
    </row>
    <row r="826" spans="1:30" ht="12.75" customHeight="1" thickTop="1" thickBot="1" x14ac:dyDescent="0.25">
      <c r="A826" s="10">
        <v>25917</v>
      </c>
      <c r="B826" s="11" t="s">
        <v>106</v>
      </c>
      <c r="C826" s="11">
        <v>0.04</v>
      </c>
      <c r="D826" s="11">
        <v>130.97999999999999</v>
      </c>
      <c r="E826" s="11">
        <v>54.74</v>
      </c>
      <c r="F826" s="11">
        <v>1466</v>
      </c>
      <c r="G826" s="6" t="str">
        <f>IF(COUNTIF(Table1[Customer ID],Table1[[#This Row],[Customer ID]])&gt;1,"Repeat Customer","One-Time Customer")</f>
        <v>Repeat Customer</v>
      </c>
      <c r="H826" s="11" t="s">
        <v>1505</v>
      </c>
      <c r="I826" s="11" t="s">
        <v>39</v>
      </c>
      <c r="J826" s="11" t="s">
        <v>58</v>
      </c>
      <c r="K826" s="11" t="s">
        <v>41</v>
      </c>
      <c r="L826" s="11" t="s">
        <v>191</v>
      </c>
      <c r="M826" s="11" t="s">
        <v>121</v>
      </c>
      <c r="N826" s="11" t="s">
        <v>405</v>
      </c>
      <c r="O826" s="11">
        <v>0.69</v>
      </c>
      <c r="P826" s="6">
        <f>Table1[[#This Row],[Profit]]/Table1[[#This Row],[Sales]]</f>
        <v>-0.4062413704073729</v>
      </c>
      <c r="Q826" s="11" t="s">
        <v>33</v>
      </c>
      <c r="R826" s="11" t="s">
        <v>61</v>
      </c>
      <c r="S826" s="11" t="s">
        <v>496</v>
      </c>
      <c r="T826" s="11" t="s">
        <v>443</v>
      </c>
      <c r="U826" s="11">
        <v>68601</v>
      </c>
      <c r="V826" s="12">
        <v>42167</v>
      </c>
      <c r="W826" s="13" t="str">
        <f>TEXT(Table1[[#This Row],[Order Date]],"mmmm")</f>
        <v>June</v>
      </c>
      <c r="X826" s="7" t="str">
        <f>TEXT(Table1[[#This Row],[Order Date]],"yyyy")</f>
        <v>2015</v>
      </c>
      <c r="Y826" s="12">
        <v>42167</v>
      </c>
      <c r="Z826" s="11">
        <v>-723.78399999999999</v>
      </c>
      <c r="AA826" s="11">
        <v>14</v>
      </c>
      <c r="AB826" s="11">
        <v>1781.66</v>
      </c>
      <c r="AC826" s="11">
        <v>91116</v>
      </c>
      <c r="AD826" s="6" t="str">
        <f>IF(COUNTIF(Returns!$A$2:$A$1635,Orders!AC826)&gt;0,"Returned","Not Returned")</f>
        <v>Not Returned</v>
      </c>
    </row>
    <row r="827" spans="1:30" ht="12.75" customHeight="1" thickTop="1" thickBot="1" x14ac:dyDescent="0.25">
      <c r="A827" s="8">
        <v>25915</v>
      </c>
      <c r="B827" s="1" t="s">
        <v>106</v>
      </c>
      <c r="C827" s="1">
        <v>0.04</v>
      </c>
      <c r="D827" s="1">
        <v>105.29</v>
      </c>
      <c r="E827" s="1">
        <v>10.119999999999999</v>
      </c>
      <c r="F827" s="1">
        <v>1469</v>
      </c>
      <c r="G827" s="6" t="str">
        <f>IF(COUNTIF(Table1[Customer ID],Table1[[#This Row],[Customer ID]])&gt;1,"Repeat Customer","One-Time Customer")</f>
        <v>Repeat Customer</v>
      </c>
      <c r="H827" s="1" t="s">
        <v>1506</v>
      </c>
      <c r="I827" s="1" t="s">
        <v>49</v>
      </c>
      <c r="J827" s="1" t="s">
        <v>58</v>
      </c>
      <c r="K827" s="1" t="s">
        <v>41</v>
      </c>
      <c r="L827" s="1" t="s">
        <v>50</v>
      </c>
      <c r="M827" s="1" t="s">
        <v>236</v>
      </c>
      <c r="N827" s="1" t="s">
        <v>1507</v>
      </c>
      <c r="O827" s="1">
        <v>0.79</v>
      </c>
      <c r="P827" s="6">
        <f>Table1[[#This Row],[Profit]]/Table1[[#This Row],[Sales]]</f>
        <v>0.62636928048987928</v>
      </c>
      <c r="Q827" s="1" t="s">
        <v>33</v>
      </c>
      <c r="R827" s="1" t="s">
        <v>34</v>
      </c>
      <c r="S827" s="1" t="s">
        <v>212</v>
      </c>
      <c r="T827" s="1" t="s">
        <v>1508</v>
      </c>
      <c r="U827" s="1">
        <v>84015</v>
      </c>
      <c r="V827" s="9">
        <v>42167</v>
      </c>
      <c r="W827" s="13" t="str">
        <f>TEXT(Table1[[#This Row],[Order Date]],"mmmm")</f>
        <v>June</v>
      </c>
      <c r="X827" s="7" t="str">
        <f>TEXT(Table1[[#This Row],[Order Date]],"yyyy")</f>
        <v>2015</v>
      </c>
      <c r="Y827" s="9">
        <v>42171</v>
      </c>
      <c r="Z827" s="1">
        <v>589.18799999999999</v>
      </c>
      <c r="AA827" s="1">
        <v>9</v>
      </c>
      <c r="AB827" s="1">
        <v>940.64</v>
      </c>
      <c r="AC827" s="1">
        <v>91116</v>
      </c>
      <c r="AD827" s="6" t="str">
        <f>IF(COUNTIF(Returns!$A$2:$A$1635,Orders!AC827)&gt;0,"Returned","Not Returned")</f>
        <v>Not Returned</v>
      </c>
    </row>
    <row r="828" spans="1:30" ht="12.75" customHeight="1" thickTop="1" thickBot="1" x14ac:dyDescent="0.25">
      <c r="A828" s="10">
        <v>25916</v>
      </c>
      <c r="B828" s="11" t="s">
        <v>106</v>
      </c>
      <c r="C828" s="11">
        <v>7.0000000000000007E-2</v>
      </c>
      <c r="D828" s="11">
        <v>31.76</v>
      </c>
      <c r="E828" s="11">
        <v>45.51</v>
      </c>
      <c r="F828" s="11">
        <v>1469</v>
      </c>
      <c r="G828" s="6" t="str">
        <f>IF(COUNTIF(Table1[Customer ID],Table1[[#This Row],[Customer ID]])&gt;1,"Repeat Customer","One-Time Customer")</f>
        <v>Repeat Customer</v>
      </c>
      <c r="H828" s="11" t="s">
        <v>1506</v>
      </c>
      <c r="I828" s="11" t="s">
        <v>39</v>
      </c>
      <c r="J828" s="11" t="s">
        <v>58</v>
      </c>
      <c r="K828" s="11" t="s">
        <v>41</v>
      </c>
      <c r="L828" s="11" t="s">
        <v>152</v>
      </c>
      <c r="M828" s="11" t="s">
        <v>121</v>
      </c>
      <c r="N828" s="11" t="s">
        <v>369</v>
      </c>
      <c r="O828" s="11">
        <v>0.65</v>
      </c>
      <c r="P828" s="6">
        <f>Table1[[#This Row],[Profit]]/Table1[[#This Row],[Sales]]</f>
        <v>-2.9935848111639767</v>
      </c>
      <c r="Q828" s="11" t="s">
        <v>33</v>
      </c>
      <c r="R828" s="11" t="s">
        <v>34</v>
      </c>
      <c r="S828" s="11" t="s">
        <v>212</v>
      </c>
      <c r="T828" s="11" t="s">
        <v>1508</v>
      </c>
      <c r="U828" s="11">
        <v>84015</v>
      </c>
      <c r="V828" s="12">
        <v>42167</v>
      </c>
      <c r="W828" s="13" t="str">
        <f>TEXT(Table1[[#This Row],[Order Date]],"mmmm")</f>
        <v>June</v>
      </c>
      <c r="X828" s="7" t="str">
        <f>TEXT(Table1[[#This Row],[Order Date]],"yyyy")</f>
        <v>2015</v>
      </c>
      <c r="Y828" s="12">
        <v>42169</v>
      </c>
      <c r="Z828" s="11">
        <v>-1314.992</v>
      </c>
      <c r="AA828" s="11">
        <v>18</v>
      </c>
      <c r="AB828" s="11">
        <v>439.27</v>
      </c>
      <c r="AC828" s="11">
        <v>91116</v>
      </c>
      <c r="AD828" s="6" t="str">
        <f>IF(COUNTIF(Returns!$A$2:$A$1635,Orders!AC828)&gt;0,"Returned","Not Returned")</f>
        <v>Not Returned</v>
      </c>
    </row>
    <row r="829" spans="1:30" ht="12.75" customHeight="1" thickTop="1" thickBot="1" x14ac:dyDescent="0.25">
      <c r="A829" s="8">
        <v>21710</v>
      </c>
      <c r="B829" s="1" t="s">
        <v>25</v>
      </c>
      <c r="C829" s="1">
        <v>0.03</v>
      </c>
      <c r="D829" s="1">
        <v>420.98</v>
      </c>
      <c r="E829" s="1">
        <v>19.989999999999998</v>
      </c>
      <c r="F829" s="1">
        <v>1471</v>
      </c>
      <c r="G829" s="6" t="str">
        <f>IF(COUNTIF(Table1[Customer ID],Table1[[#This Row],[Customer ID]])&gt;1,"Repeat Customer","One-Time Customer")</f>
        <v>One-Time Customer</v>
      </c>
      <c r="H829" s="1" t="s">
        <v>1509</v>
      </c>
      <c r="I829" s="1" t="s">
        <v>49</v>
      </c>
      <c r="J829" s="1" t="s">
        <v>40</v>
      </c>
      <c r="K829" s="1" t="s">
        <v>29</v>
      </c>
      <c r="L829" s="1" t="s">
        <v>109</v>
      </c>
      <c r="M829" s="1" t="s">
        <v>59</v>
      </c>
      <c r="N829" s="1" t="s">
        <v>1510</v>
      </c>
      <c r="O829" s="1">
        <v>0.35</v>
      </c>
      <c r="P829" s="6">
        <f>Table1[[#This Row],[Profit]]/Table1[[#This Row],[Sales]]</f>
        <v>0.69</v>
      </c>
      <c r="Q829" s="1" t="s">
        <v>33</v>
      </c>
      <c r="R829" s="1" t="s">
        <v>53</v>
      </c>
      <c r="S829" s="1" t="s">
        <v>154</v>
      </c>
      <c r="T829" s="1" t="s">
        <v>1511</v>
      </c>
      <c r="U829" s="1">
        <v>43081</v>
      </c>
      <c r="V829" s="9">
        <v>42084</v>
      </c>
      <c r="W829" s="13" t="str">
        <f>TEXT(Table1[[#This Row],[Order Date]],"mmmm")</f>
        <v>March</v>
      </c>
      <c r="X829" s="7" t="str">
        <f>TEXT(Table1[[#This Row],[Order Date]],"yyyy")</f>
        <v>2015</v>
      </c>
      <c r="Y829" s="9">
        <v>42085</v>
      </c>
      <c r="Z829" s="1">
        <v>3043.0310999999997</v>
      </c>
      <c r="AA829" s="1">
        <v>10</v>
      </c>
      <c r="AB829" s="1">
        <v>4410.1899999999996</v>
      </c>
      <c r="AC829" s="1">
        <v>87077</v>
      </c>
      <c r="AD829" s="6" t="str">
        <f>IF(COUNTIF(Returns!$A$2:$A$1635,Orders!AC829)&gt;0,"Returned","Not Returned")</f>
        <v>Not Returned</v>
      </c>
    </row>
    <row r="830" spans="1:30" ht="12.75" customHeight="1" thickTop="1" thickBot="1" x14ac:dyDescent="0.25">
      <c r="A830" s="10">
        <v>23958</v>
      </c>
      <c r="B830" s="11" t="s">
        <v>37</v>
      </c>
      <c r="C830" s="11">
        <v>0.02</v>
      </c>
      <c r="D830" s="11">
        <v>30.98</v>
      </c>
      <c r="E830" s="11">
        <v>6.5</v>
      </c>
      <c r="F830" s="11">
        <v>1472</v>
      </c>
      <c r="G830" s="6" t="str">
        <f>IF(COUNTIF(Table1[Customer ID],Table1[[#This Row],[Customer ID]])&gt;1,"Repeat Customer","One-Time Customer")</f>
        <v>Repeat Customer</v>
      </c>
      <c r="H830" s="11" t="s">
        <v>1512</v>
      </c>
      <c r="I830" s="11" t="s">
        <v>27</v>
      </c>
      <c r="J830" s="11" t="s">
        <v>40</v>
      </c>
      <c r="K830" s="11" t="s">
        <v>77</v>
      </c>
      <c r="L830" s="11" t="s">
        <v>180</v>
      </c>
      <c r="M830" s="11" t="s">
        <v>59</v>
      </c>
      <c r="N830" s="11" t="s">
        <v>1240</v>
      </c>
      <c r="O830" s="11">
        <v>0.79</v>
      </c>
      <c r="P830" s="6">
        <f>Table1[[#This Row],[Profit]]/Table1[[#This Row],[Sales]]</f>
        <v>-8.0710448733021037E-2</v>
      </c>
      <c r="Q830" s="11" t="s">
        <v>33</v>
      </c>
      <c r="R830" s="11" t="s">
        <v>53</v>
      </c>
      <c r="S830" s="11" t="s">
        <v>154</v>
      </c>
      <c r="T830" s="11" t="s">
        <v>1513</v>
      </c>
      <c r="U830" s="11">
        <v>44145</v>
      </c>
      <c r="V830" s="12">
        <v>42185</v>
      </c>
      <c r="W830" s="13" t="str">
        <f>TEXT(Table1[[#This Row],[Order Date]],"mmmm")</f>
        <v>June</v>
      </c>
      <c r="X830" s="7" t="str">
        <f>TEXT(Table1[[#This Row],[Order Date]],"yyyy")</f>
        <v>2015</v>
      </c>
      <c r="Y830" s="12">
        <v>42186</v>
      </c>
      <c r="Z830" s="11">
        <v>-44.624000000000002</v>
      </c>
      <c r="AA830" s="11">
        <v>17</v>
      </c>
      <c r="AB830" s="11">
        <v>552.89</v>
      </c>
      <c r="AC830" s="11">
        <v>87078</v>
      </c>
      <c r="AD830" s="6" t="str">
        <f>IF(COUNTIF(Returns!$A$2:$A$1635,Orders!AC830)&gt;0,"Returned","Not Returned")</f>
        <v>Not Returned</v>
      </c>
    </row>
    <row r="831" spans="1:30" ht="12.75" customHeight="1" thickTop="1" thickBot="1" x14ac:dyDescent="0.25">
      <c r="A831" s="8">
        <v>22313</v>
      </c>
      <c r="B831" s="1" t="s">
        <v>56</v>
      </c>
      <c r="C831" s="1">
        <v>0.05</v>
      </c>
      <c r="D831" s="1">
        <v>20.27</v>
      </c>
      <c r="E831" s="1">
        <v>3.99</v>
      </c>
      <c r="F831" s="1">
        <v>1472</v>
      </c>
      <c r="G831" s="6" t="str">
        <f>IF(COUNTIF(Table1[Customer ID],Table1[[#This Row],[Customer ID]])&gt;1,"Repeat Customer","One-Time Customer")</f>
        <v>Repeat Customer</v>
      </c>
      <c r="H831" s="1" t="s">
        <v>1512</v>
      </c>
      <c r="I831" s="1" t="s">
        <v>49</v>
      </c>
      <c r="J831" s="1" t="s">
        <v>40</v>
      </c>
      <c r="K831" s="1" t="s">
        <v>29</v>
      </c>
      <c r="L831" s="1" t="s">
        <v>257</v>
      </c>
      <c r="M831" s="1" t="s">
        <v>59</v>
      </c>
      <c r="N831" s="1" t="s">
        <v>1514</v>
      </c>
      <c r="O831" s="1">
        <v>0.56999999999999995</v>
      </c>
      <c r="P831" s="6">
        <f>Table1[[#This Row],[Profit]]/Table1[[#This Row],[Sales]]</f>
        <v>0.49754488705836936</v>
      </c>
      <c r="Q831" s="1" t="s">
        <v>33</v>
      </c>
      <c r="R831" s="1" t="s">
        <v>53</v>
      </c>
      <c r="S831" s="1" t="s">
        <v>154</v>
      </c>
      <c r="T831" s="1" t="s">
        <v>1513</v>
      </c>
      <c r="U831" s="1">
        <v>44145</v>
      </c>
      <c r="V831" s="9">
        <v>42149</v>
      </c>
      <c r="W831" s="13" t="str">
        <f>TEXT(Table1[[#This Row],[Order Date]],"mmmm")</f>
        <v>May</v>
      </c>
      <c r="X831" s="7" t="str">
        <f>TEXT(Table1[[#This Row],[Order Date]],"yyyy")</f>
        <v>2015</v>
      </c>
      <c r="Y831" s="9">
        <v>42150</v>
      </c>
      <c r="Z831" s="1">
        <v>309.25400000000002</v>
      </c>
      <c r="AA831" s="1">
        <v>30</v>
      </c>
      <c r="AB831" s="1">
        <v>621.55999999999995</v>
      </c>
      <c r="AC831" s="1">
        <v>87079</v>
      </c>
      <c r="AD831" s="6" t="str">
        <f>IF(COUNTIF(Returns!$A$2:$A$1635,Orders!AC831)&gt;0,"Returned","Not Returned")</f>
        <v>Not Returned</v>
      </c>
    </row>
    <row r="832" spans="1:30" ht="12.75" customHeight="1" thickTop="1" thickBot="1" x14ac:dyDescent="0.25">
      <c r="A832" s="10">
        <v>24937</v>
      </c>
      <c r="B832" s="11" t="s">
        <v>47</v>
      </c>
      <c r="C832" s="11">
        <v>0.04</v>
      </c>
      <c r="D832" s="11">
        <v>9.7799999999999994</v>
      </c>
      <c r="E832" s="11">
        <v>1.99</v>
      </c>
      <c r="F832" s="11">
        <v>1473</v>
      </c>
      <c r="G832" s="6" t="str">
        <f>IF(COUNTIF(Table1[Customer ID],Table1[[#This Row],[Customer ID]])&gt;1,"Repeat Customer","One-Time Customer")</f>
        <v>One-Time Customer</v>
      </c>
      <c r="H832" s="11" t="s">
        <v>1515</v>
      </c>
      <c r="I832" s="11" t="s">
        <v>27</v>
      </c>
      <c r="J832" s="11" t="s">
        <v>40</v>
      </c>
      <c r="K832" s="11" t="s">
        <v>77</v>
      </c>
      <c r="L832" s="11" t="s">
        <v>180</v>
      </c>
      <c r="M832" s="11" t="s">
        <v>51</v>
      </c>
      <c r="N832" s="11" t="s">
        <v>1516</v>
      </c>
      <c r="O832" s="11">
        <v>0.43</v>
      </c>
      <c r="P832" s="6">
        <f>Table1[[#This Row],[Profit]]/Table1[[#This Row],[Sales]]</f>
        <v>0.69</v>
      </c>
      <c r="Q832" s="11" t="s">
        <v>33</v>
      </c>
      <c r="R832" s="11" t="s">
        <v>53</v>
      </c>
      <c r="S832" s="11" t="s">
        <v>154</v>
      </c>
      <c r="T832" s="11" t="s">
        <v>1517</v>
      </c>
      <c r="U832" s="11">
        <v>44691</v>
      </c>
      <c r="V832" s="12">
        <v>42025</v>
      </c>
      <c r="W832" s="13" t="str">
        <f>TEXT(Table1[[#This Row],[Order Date]],"mmmm")</f>
        <v>January</v>
      </c>
      <c r="X832" s="7" t="str">
        <f>TEXT(Table1[[#This Row],[Order Date]],"yyyy")</f>
        <v>2015</v>
      </c>
      <c r="Y832" s="12">
        <v>42026</v>
      </c>
      <c r="Z832" s="11">
        <v>61.292699999999996</v>
      </c>
      <c r="AA832" s="11">
        <v>9</v>
      </c>
      <c r="AB832" s="11">
        <v>88.83</v>
      </c>
      <c r="AC832" s="11">
        <v>87076</v>
      </c>
      <c r="AD832" s="6" t="str">
        <f>IF(COUNTIF(Returns!$A$2:$A$1635,Orders!AC832)&gt;0,"Returned","Not Returned")</f>
        <v>Not Returned</v>
      </c>
    </row>
    <row r="833" spans="1:30" ht="12.75" customHeight="1" thickTop="1" thickBot="1" x14ac:dyDescent="0.25">
      <c r="A833" s="8">
        <v>7544</v>
      </c>
      <c r="B833" s="1" t="s">
        <v>37</v>
      </c>
      <c r="C833" s="1">
        <v>7.0000000000000007E-2</v>
      </c>
      <c r="D833" s="1">
        <v>8.9499999999999993</v>
      </c>
      <c r="E833" s="1">
        <v>2.0099999999999998</v>
      </c>
      <c r="F833" s="1">
        <v>1481</v>
      </c>
      <c r="G833" s="6" t="str">
        <f>IF(COUNTIF(Table1[Customer ID],Table1[[#This Row],[Customer ID]])&gt;1,"Repeat Customer","One-Time Customer")</f>
        <v>One-Time Customer</v>
      </c>
      <c r="H833" s="1" t="s">
        <v>1518</v>
      </c>
      <c r="I833" s="1" t="s">
        <v>49</v>
      </c>
      <c r="J833" s="1" t="s">
        <v>28</v>
      </c>
      <c r="K833" s="1" t="s">
        <v>29</v>
      </c>
      <c r="L833" s="1" t="s">
        <v>93</v>
      </c>
      <c r="M833" s="1" t="s">
        <v>31</v>
      </c>
      <c r="N833" s="1" t="s">
        <v>1519</v>
      </c>
      <c r="O833" s="1">
        <v>0.39</v>
      </c>
      <c r="P833" s="6">
        <f>Table1[[#This Row],[Profit]]/Table1[[#This Row],[Sales]]</f>
        <v>0.29816349748090365</v>
      </c>
      <c r="Q833" s="1" t="s">
        <v>33</v>
      </c>
      <c r="R833" s="1" t="s">
        <v>34</v>
      </c>
      <c r="S833" s="1" t="s">
        <v>45</v>
      </c>
      <c r="T833" s="1" t="s">
        <v>663</v>
      </c>
      <c r="U833" s="1">
        <v>90049</v>
      </c>
      <c r="V833" s="9">
        <v>42090</v>
      </c>
      <c r="W833" s="13" t="str">
        <f>TEXT(Table1[[#This Row],[Order Date]],"mmmm")</f>
        <v>March</v>
      </c>
      <c r="X833" s="7" t="str">
        <f>TEXT(Table1[[#This Row],[Order Date]],"yyyy")</f>
        <v>2015</v>
      </c>
      <c r="Y833" s="9">
        <v>42091</v>
      </c>
      <c r="Z833" s="1">
        <v>91.73</v>
      </c>
      <c r="AA833" s="1">
        <v>36</v>
      </c>
      <c r="AB833" s="1">
        <v>307.64999999999998</v>
      </c>
      <c r="AC833" s="1">
        <v>53953</v>
      </c>
      <c r="AD833" s="6" t="str">
        <f>IF(COUNTIF(Returns!$A$2:$A$1635,Orders!AC833)&gt;0,"Returned","Not Returned")</f>
        <v>Not Returned</v>
      </c>
    </row>
    <row r="834" spans="1:30" ht="12.75" customHeight="1" thickTop="1" thickBot="1" x14ac:dyDescent="0.25">
      <c r="A834" s="10">
        <v>25544</v>
      </c>
      <c r="B834" s="11" t="s">
        <v>37</v>
      </c>
      <c r="C834" s="11">
        <v>7.0000000000000007E-2</v>
      </c>
      <c r="D834" s="11">
        <v>8.9499999999999993</v>
      </c>
      <c r="E834" s="11">
        <v>2.0099999999999998</v>
      </c>
      <c r="F834" s="11">
        <v>1482</v>
      </c>
      <c r="G834" s="6" t="str">
        <f>IF(COUNTIF(Table1[Customer ID],Table1[[#This Row],[Customer ID]])&gt;1,"Repeat Customer","One-Time Customer")</f>
        <v>Repeat Customer</v>
      </c>
      <c r="H834" s="11" t="s">
        <v>1520</v>
      </c>
      <c r="I834" s="11" t="s">
        <v>49</v>
      </c>
      <c r="J834" s="11" t="s">
        <v>28</v>
      </c>
      <c r="K834" s="11" t="s">
        <v>29</v>
      </c>
      <c r="L834" s="11" t="s">
        <v>93</v>
      </c>
      <c r="M834" s="11" t="s">
        <v>31</v>
      </c>
      <c r="N834" s="11" t="s">
        <v>1519</v>
      </c>
      <c r="O834" s="11">
        <v>0.39</v>
      </c>
      <c r="P834" s="6">
        <f>Table1[[#This Row],[Profit]]/Table1[[#This Row],[Sales]]</f>
        <v>0.69</v>
      </c>
      <c r="Q834" s="11" t="s">
        <v>33</v>
      </c>
      <c r="R834" s="11" t="s">
        <v>61</v>
      </c>
      <c r="S834" s="11" t="s">
        <v>300</v>
      </c>
      <c r="T834" s="11" t="s">
        <v>1485</v>
      </c>
      <c r="U834" s="11">
        <v>48708</v>
      </c>
      <c r="V834" s="12">
        <v>42090</v>
      </c>
      <c r="W834" s="13" t="str">
        <f>TEXT(Table1[[#This Row],[Order Date]],"mmmm")</f>
        <v>March</v>
      </c>
      <c r="X834" s="7" t="str">
        <f>TEXT(Table1[[#This Row],[Order Date]],"yyyy")</f>
        <v>2015</v>
      </c>
      <c r="Y834" s="12">
        <v>42091</v>
      </c>
      <c r="Z834" s="11">
        <v>53.067899999999995</v>
      </c>
      <c r="AA834" s="11">
        <v>9</v>
      </c>
      <c r="AB834" s="11">
        <v>76.91</v>
      </c>
      <c r="AC834" s="11">
        <v>91362</v>
      </c>
      <c r="AD834" s="6" t="str">
        <f>IF(COUNTIF(Returns!$A$2:$A$1635,Orders!AC834)&gt;0,"Returned","Not Returned")</f>
        <v>Not Returned</v>
      </c>
    </row>
    <row r="835" spans="1:30" ht="12.75" customHeight="1" thickTop="1" thickBot="1" x14ac:dyDescent="0.25">
      <c r="A835" s="8">
        <v>22745</v>
      </c>
      <c r="B835" s="1" t="s">
        <v>37</v>
      </c>
      <c r="C835" s="1">
        <v>0.05</v>
      </c>
      <c r="D835" s="1">
        <v>9.65</v>
      </c>
      <c r="E835" s="1">
        <v>6.22</v>
      </c>
      <c r="F835" s="1">
        <v>1482</v>
      </c>
      <c r="G835" s="6" t="str">
        <f>IF(COUNTIF(Table1[Customer ID],Table1[[#This Row],[Customer ID]])&gt;1,"Repeat Customer","One-Time Customer")</f>
        <v>Repeat Customer</v>
      </c>
      <c r="H835" s="1" t="s">
        <v>1520</v>
      </c>
      <c r="I835" s="1" t="s">
        <v>49</v>
      </c>
      <c r="J835" s="1" t="s">
        <v>28</v>
      </c>
      <c r="K835" s="1" t="s">
        <v>41</v>
      </c>
      <c r="L835" s="1" t="s">
        <v>50</v>
      </c>
      <c r="M835" s="1" t="s">
        <v>59</v>
      </c>
      <c r="N835" s="1" t="s">
        <v>327</v>
      </c>
      <c r="O835" s="1">
        <v>0.55000000000000004</v>
      </c>
      <c r="P835" s="6">
        <f>Table1[[#This Row],[Profit]]/Table1[[#This Row],[Sales]]</f>
        <v>-9.6756971058543681E-2</v>
      </c>
      <c r="Q835" s="1" t="s">
        <v>33</v>
      </c>
      <c r="R835" s="1" t="s">
        <v>61</v>
      </c>
      <c r="S835" s="1" t="s">
        <v>300</v>
      </c>
      <c r="T835" s="1" t="s">
        <v>1485</v>
      </c>
      <c r="U835" s="1">
        <v>48708</v>
      </c>
      <c r="V835" s="9">
        <v>42063</v>
      </c>
      <c r="W835" s="13" t="str">
        <f>TEXT(Table1[[#This Row],[Order Date]],"mmmm")</f>
        <v>February</v>
      </c>
      <c r="X835" s="7" t="str">
        <f>TEXT(Table1[[#This Row],[Order Date]],"yyyy")</f>
        <v>2015</v>
      </c>
      <c r="Y835" s="9">
        <v>42063</v>
      </c>
      <c r="Z835" s="1">
        <v>-14.6432</v>
      </c>
      <c r="AA835" s="1">
        <v>15</v>
      </c>
      <c r="AB835" s="1">
        <v>151.34</v>
      </c>
      <c r="AC835" s="1">
        <v>91363</v>
      </c>
      <c r="AD835" s="6" t="str">
        <f>IF(COUNTIF(Returns!$A$2:$A$1635,Orders!AC835)&gt;0,"Returned","Not Returned")</f>
        <v>Not Returned</v>
      </c>
    </row>
    <row r="836" spans="1:30" ht="12.75" customHeight="1" thickTop="1" thickBot="1" x14ac:dyDescent="0.25">
      <c r="A836" s="10">
        <v>21806</v>
      </c>
      <c r="B836" s="11" t="s">
        <v>25</v>
      </c>
      <c r="C836" s="11">
        <v>0.06</v>
      </c>
      <c r="D836" s="11">
        <v>99.99</v>
      </c>
      <c r="E836" s="11">
        <v>19.989999999999998</v>
      </c>
      <c r="F836" s="11">
        <v>1484</v>
      </c>
      <c r="G836" s="6" t="str">
        <f>IF(COUNTIF(Table1[Customer ID],Table1[[#This Row],[Customer ID]])&gt;1,"Repeat Customer","One-Time Customer")</f>
        <v>Repeat Customer</v>
      </c>
      <c r="H836" s="11" t="s">
        <v>1521</v>
      </c>
      <c r="I836" s="11" t="s">
        <v>49</v>
      </c>
      <c r="J836" s="11" t="s">
        <v>40</v>
      </c>
      <c r="K836" s="11" t="s">
        <v>77</v>
      </c>
      <c r="L836" s="11" t="s">
        <v>180</v>
      </c>
      <c r="M836" s="11" t="s">
        <v>59</v>
      </c>
      <c r="N836" s="11" t="s">
        <v>1151</v>
      </c>
      <c r="O836" s="11">
        <v>0.52</v>
      </c>
      <c r="P836" s="6">
        <f>Table1[[#This Row],[Profit]]/Table1[[#This Row],[Sales]]</f>
        <v>-0.43949834619625139</v>
      </c>
      <c r="Q836" s="11" t="s">
        <v>33</v>
      </c>
      <c r="R836" s="11" t="s">
        <v>61</v>
      </c>
      <c r="S836" s="11" t="s">
        <v>178</v>
      </c>
      <c r="T836" s="11" t="s">
        <v>1522</v>
      </c>
      <c r="U836" s="11">
        <v>60016</v>
      </c>
      <c r="V836" s="12">
        <v>42074</v>
      </c>
      <c r="W836" s="13" t="str">
        <f>TEXT(Table1[[#This Row],[Order Date]],"mmmm")</f>
        <v>March</v>
      </c>
      <c r="X836" s="7" t="str">
        <f>TEXT(Table1[[#This Row],[Order Date]],"yyyy")</f>
        <v>2015</v>
      </c>
      <c r="Y836" s="12">
        <v>42077</v>
      </c>
      <c r="Z836" s="11">
        <v>-127.56</v>
      </c>
      <c r="AA836" s="11">
        <v>3</v>
      </c>
      <c r="AB836" s="11">
        <v>290.24</v>
      </c>
      <c r="AC836" s="11">
        <v>91235</v>
      </c>
      <c r="AD836" s="6" t="str">
        <f>IF(COUNTIF(Returns!$A$2:$A$1635,Orders!AC836)&gt;0,"Returned","Not Returned")</f>
        <v>Not Returned</v>
      </c>
    </row>
    <row r="837" spans="1:30" ht="12.75" customHeight="1" thickTop="1" thickBot="1" x14ac:dyDescent="0.25">
      <c r="A837" s="8">
        <v>21807</v>
      </c>
      <c r="B837" s="1" t="s">
        <v>25</v>
      </c>
      <c r="C837" s="1">
        <v>0</v>
      </c>
      <c r="D837" s="1">
        <v>193.17</v>
      </c>
      <c r="E837" s="1">
        <v>19.989999999999998</v>
      </c>
      <c r="F837" s="1">
        <v>1484</v>
      </c>
      <c r="G837" s="6" t="str">
        <f>IF(COUNTIF(Table1[Customer ID],Table1[[#This Row],[Customer ID]])&gt;1,"Repeat Customer","One-Time Customer")</f>
        <v>Repeat Customer</v>
      </c>
      <c r="H837" s="1" t="s">
        <v>1521</v>
      </c>
      <c r="I837" s="1" t="s">
        <v>49</v>
      </c>
      <c r="J837" s="1" t="s">
        <v>40</v>
      </c>
      <c r="K837" s="1" t="s">
        <v>29</v>
      </c>
      <c r="L837" s="1" t="s">
        <v>141</v>
      </c>
      <c r="M837" s="1" t="s">
        <v>59</v>
      </c>
      <c r="N837" s="1" t="s">
        <v>1523</v>
      </c>
      <c r="O837" s="1">
        <v>0.71</v>
      </c>
      <c r="P837" s="6">
        <f>Table1[[#This Row],[Profit]]/Table1[[#This Row],[Sales]]</f>
        <v>0.2904879555281038</v>
      </c>
      <c r="Q837" s="1" t="s">
        <v>33</v>
      </c>
      <c r="R837" s="1" t="s">
        <v>61</v>
      </c>
      <c r="S837" s="1" t="s">
        <v>178</v>
      </c>
      <c r="T837" s="1" t="s">
        <v>1522</v>
      </c>
      <c r="U837" s="1">
        <v>60016</v>
      </c>
      <c r="V837" s="9">
        <v>42074</v>
      </c>
      <c r="W837" s="13" t="str">
        <f>TEXT(Table1[[#This Row],[Order Date]],"mmmm")</f>
        <v>March</v>
      </c>
      <c r="X837" s="7" t="str">
        <f>TEXT(Table1[[#This Row],[Order Date]],"yyyy")</f>
        <v>2015</v>
      </c>
      <c r="Y837" s="9">
        <v>42075</v>
      </c>
      <c r="Z837" s="1">
        <v>282.18</v>
      </c>
      <c r="AA837" s="1">
        <v>5</v>
      </c>
      <c r="AB837" s="1">
        <v>971.4</v>
      </c>
      <c r="AC837" s="1">
        <v>91235</v>
      </c>
      <c r="AD837" s="6" t="str">
        <f>IF(COUNTIF(Returns!$A$2:$A$1635,Orders!AC837)&gt;0,"Returned","Not Returned")</f>
        <v>Not Returned</v>
      </c>
    </row>
    <row r="838" spans="1:30" ht="12.75" customHeight="1" thickTop="1" thickBot="1" x14ac:dyDescent="0.25">
      <c r="A838" s="10">
        <v>21808</v>
      </c>
      <c r="B838" s="11" t="s">
        <v>25</v>
      </c>
      <c r="C838" s="11">
        <v>0.08</v>
      </c>
      <c r="D838" s="11">
        <v>20.99</v>
      </c>
      <c r="E838" s="11">
        <v>3.3</v>
      </c>
      <c r="F838" s="11">
        <v>1484</v>
      </c>
      <c r="G838" s="6" t="str">
        <f>IF(COUNTIF(Table1[Customer ID],Table1[[#This Row],[Customer ID]])&gt;1,"Repeat Customer","One-Time Customer")</f>
        <v>Repeat Customer</v>
      </c>
      <c r="H838" s="11" t="s">
        <v>1521</v>
      </c>
      <c r="I838" s="11" t="s">
        <v>27</v>
      </c>
      <c r="J838" s="11" t="s">
        <v>40</v>
      </c>
      <c r="K838" s="11" t="s">
        <v>77</v>
      </c>
      <c r="L838" s="11" t="s">
        <v>78</v>
      </c>
      <c r="M838" s="11" t="s">
        <v>51</v>
      </c>
      <c r="N838" s="11" t="s">
        <v>895</v>
      </c>
      <c r="O838" s="11">
        <v>0.81</v>
      </c>
      <c r="P838" s="6">
        <f>Table1[[#This Row],[Profit]]/Table1[[#This Row],[Sales]]</f>
        <v>-0.49784507260606686</v>
      </c>
      <c r="Q838" s="11" t="s">
        <v>33</v>
      </c>
      <c r="R838" s="11" t="s">
        <v>61</v>
      </c>
      <c r="S838" s="11" t="s">
        <v>178</v>
      </c>
      <c r="T838" s="11" t="s">
        <v>1522</v>
      </c>
      <c r="U838" s="11">
        <v>60016</v>
      </c>
      <c r="V838" s="12">
        <v>42074</v>
      </c>
      <c r="W838" s="13" t="str">
        <f>TEXT(Table1[[#This Row],[Order Date]],"mmmm")</f>
        <v>March</v>
      </c>
      <c r="X838" s="7" t="str">
        <f>TEXT(Table1[[#This Row],[Order Date]],"yyyy")</f>
        <v>2015</v>
      </c>
      <c r="Y838" s="12">
        <v>42074</v>
      </c>
      <c r="Z838" s="11">
        <v>-96.337999999999994</v>
      </c>
      <c r="AA838" s="11">
        <v>11</v>
      </c>
      <c r="AB838" s="11">
        <v>193.51</v>
      </c>
      <c r="AC838" s="11">
        <v>91235</v>
      </c>
      <c r="AD838" s="6" t="str">
        <f>IF(COUNTIF(Returns!$A$2:$A$1635,Orders!AC838)&gt;0,"Returned","Not Returned")</f>
        <v>Not Returned</v>
      </c>
    </row>
    <row r="839" spans="1:30" ht="12.75" customHeight="1" thickTop="1" thickBot="1" x14ac:dyDescent="0.25">
      <c r="A839" s="8">
        <v>22763</v>
      </c>
      <c r="B839" s="1" t="s">
        <v>37</v>
      </c>
      <c r="C839" s="1">
        <v>0.04</v>
      </c>
      <c r="D839" s="1">
        <v>11.5</v>
      </c>
      <c r="E839" s="1">
        <v>7.19</v>
      </c>
      <c r="F839" s="1">
        <v>1485</v>
      </c>
      <c r="G839" s="6" t="str">
        <f>IF(COUNTIF(Table1[Customer ID],Table1[[#This Row],[Customer ID]])&gt;1,"Repeat Customer","One-Time Customer")</f>
        <v>Repeat Customer</v>
      </c>
      <c r="H839" s="1" t="s">
        <v>1524</v>
      </c>
      <c r="I839" s="1" t="s">
        <v>49</v>
      </c>
      <c r="J839" s="1" t="s">
        <v>40</v>
      </c>
      <c r="K839" s="1" t="s">
        <v>29</v>
      </c>
      <c r="L839" s="1" t="s">
        <v>109</v>
      </c>
      <c r="M839" s="1" t="s">
        <v>59</v>
      </c>
      <c r="N839" s="1" t="s">
        <v>1525</v>
      </c>
      <c r="O839" s="1">
        <v>0.4</v>
      </c>
      <c r="P839" s="6">
        <f>Table1[[#This Row],[Profit]]/Table1[[#This Row],[Sales]]</f>
        <v>-0.14801267346809455</v>
      </c>
      <c r="Q839" s="1" t="s">
        <v>33</v>
      </c>
      <c r="R839" s="1" t="s">
        <v>61</v>
      </c>
      <c r="S839" s="1" t="s">
        <v>178</v>
      </c>
      <c r="T839" s="1" t="s">
        <v>1526</v>
      </c>
      <c r="U839" s="1">
        <v>60516</v>
      </c>
      <c r="V839" s="9">
        <v>42055</v>
      </c>
      <c r="W839" s="13" t="str">
        <f>TEXT(Table1[[#This Row],[Order Date]],"mmmm")</f>
        <v>February</v>
      </c>
      <c r="X839" s="7" t="str">
        <f>TEXT(Table1[[#This Row],[Order Date]],"yyyy")</f>
        <v>2015</v>
      </c>
      <c r="Y839" s="9">
        <v>42058</v>
      </c>
      <c r="Z839" s="1">
        <v>-23.357880000000002</v>
      </c>
      <c r="AA839" s="1">
        <v>14</v>
      </c>
      <c r="AB839" s="1">
        <v>157.81</v>
      </c>
      <c r="AC839" s="1">
        <v>91236</v>
      </c>
      <c r="AD839" s="6" t="str">
        <f>IF(COUNTIF(Returns!$A$2:$A$1635,Orders!AC839)&gt;0,"Returned","Not Returned")</f>
        <v>Not Returned</v>
      </c>
    </row>
    <row r="840" spans="1:30" ht="12.75" customHeight="1" thickTop="1" thickBot="1" x14ac:dyDescent="0.25">
      <c r="A840" s="10">
        <v>22764</v>
      </c>
      <c r="B840" s="11" t="s">
        <v>37</v>
      </c>
      <c r="C840" s="11">
        <v>0.02</v>
      </c>
      <c r="D840" s="11">
        <v>15.7</v>
      </c>
      <c r="E840" s="11">
        <v>11.25</v>
      </c>
      <c r="F840" s="11">
        <v>1485</v>
      </c>
      <c r="G840" s="6" t="str">
        <f>IF(COUNTIF(Table1[Customer ID],Table1[[#This Row],[Customer ID]])&gt;1,"Repeat Customer","One-Time Customer")</f>
        <v>Repeat Customer</v>
      </c>
      <c r="H840" s="11" t="s">
        <v>1524</v>
      </c>
      <c r="I840" s="11" t="s">
        <v>49</v>
      </c>
      <c r="J840" s="11" t="s">
        <v>40</v>
      </c>
      <c r="K840" s="11" t="s">
        <v>29</v>
      </c>
      <c r="L840" s="11" t="s">
        <v>141</v>
      </c>
      <c r="M840" s="11" t="s">
        <v>59</v>
      </c>
      <c r="N840" s="11" t="s">
        <v>1527</v>
      </c>
      <c r="O840" s="11">
        <v>0.6</v>
      </c>
      <c r="P840" s="6">
        <f>Table1[[#This Row],[Profit]]/Table1[[#This Row],[Sales]]</f>
        <v>-0.9383539094650204</v>
      </c>
      <c r="Q840" s="11" t="s">
        <v>33</v>
      </c>
      <c r="R840" s="11" t="s">
        <v>61</v>
      </c>
      <c r="S840" s="11" t="s">
        <v>178</v>
      </c>
      <c r="T840" s="11" t="s">
        <v>1526</v>
      </c>
      <c r="U840" s="11">
        <v>60516</v>
      </c>
      <c r="V840" s="12">
        <v>42055</v>
      </c>
      <c r="W840" s="13" t="str">
        <f>TEXT(Table1[[#This Row],[Order Date]],"mmmm")</f>
        <v>February</v>
      </c>
      <c r="X840" s="7" t="str">
        <f>TEXT(Table1[[#This Row],[Order Date]],"yyyy")</f>
        <v>2015</v>
      </c>
      <c r="Y840" s="12">
        <v>42056</v>
      </c>
      <c r="Z840" s="11">
        <v>-18.241599999999998</v>
      </c>
      <c r="AA840" s="11">
        <v>1</v>
      </c>
      <c r="AB840" s="11">
        <v>19.440000000000001</v>
      </c>
      <c r="AC840" s="11">
        <v>91236</v>
      </c>
      <c r="AD840" s="6" t="str">
        <f>IF(COUNTIF(Returns!$A$2:$A$1635,Orders!AC840)&gt;0,"Returned","Not Returned")</f>
        <v>Not Returned</v>
      </c>
    </row>
    <row r="841" spans="1:30" ht="12.75" customHeight="1" thickTop="1" thickBot="1" x14ac:dyDescent="0.25">
      <c r="A841" s="8">
        <v>22765</v>
      </c>
      <c r="B841" s="1" t="s">
        <v>37</v>
      </c>
      <c r="C841" s="1">
        <v>0.05</v>
      </c>
      <c r="D841" s="1">
        <v>225.02</v>
      </c>
      <c r="E841" s="1">
        <v>28.66</v>
      </c>
      <c r="F841" s="1">
        <v>1485</v>
      </c>
      <c r="G841" s="6" t="str">
        <f>IF(COUNTIF(Table1[Customer ID],Table1[[#This Row],[Customer ID]])&gt;1,"Repeat Customer","One-Time Customer")</f>
        <v>Repeat Customer</v>
      </c>
      <c r="H841" s="1" t="s">
        <v>1524</v>
      </c>
      <c r="I841" s="1" t="s">
        <v>39</v>
      </c>
      <c r="J841" s="1" t="s">
        <v>40</v>
      </c>
      <c r="K841" s="1" t="s">
        <v>29</v>
      </c>
      <c r="L841" s="1" t="s">
        <v>141</v>
      </c>
      <c r="M841" s="1" t="s">
        <v>43</v>
      </c>
      <c r="N841" s="1" t="s">
        <v>1528</v>
      </c>
      <c r="O841" s="1">
        <v>0.72</v>
      </c>
      <c r="P841" s="6">
        <f>Table1[[#This Row],[Profit]]/Table1[[#This Row],[Sales]]</f>
        <v>0.30817865561841251</v>
      </c>
      <c r="Q841" s="1" t="s">
        <v>33</v>
      </c>
      <c r="R841" s="1" t="s">
        <v>61</v>
      </c>
      <c r="S841" s="1" t="s">
        <v>178</v>
      </c>
      <c r="T841" s="1" t="s">
        <v>1526</v>
      </c>
      <c r="U841" s="1">
        <v>60516</v>
      </c>
      <c r="V841" s="9">
        <v>42055</v>
      </c>
      <c r="W841" s="13" t="str">
        <f>TEXT(Table1[[#This Row],[Order Date]],"mmmm")</f>
        <v>February</v>
      </c>
      <c r="X841" s="7" t="str">
        <f>TEXT(Table1[[#This Row],[Order Date]],"yyyy")</f>
        <v>2015</v>
      </c>
      <c r="Y841" s="9">
        <v>42057</v>
      </c>
      <c r="Z841" s="1">
        <v>1428.9104</v>
      </c>
      <c r="AA841" s="1">
        <v>21</v>
      </c>
      <c r="AB841" s="1">
        <v>4636.63</v>
      </c>
      <c r="AC841" s="1">
        <v>91236</v>
      </c>
      <c r="AD841" s="6" t="str">
        <f>IF(COUNTIF(Returns!$A$2:$A$1635,Orders!AC841)&gt;0,"Returned","Not Returned")</f>
        <v>Not Returned</v>
      </c>
    </row>
    <row r="842" spans="1:30" ht="12.75" customHeight="1" thickTop="1" thickBot="1" x14ac:dyDescent="0.25">
      <c r="A842" s="10">
        <v>18460</v>
      </c>
      <c r="B842" s="11" t="s">
        <v>25</v>
      </c>
      <c r="C842" s="11">
        <v>0.04</v>
      </c>
      <c r="D842" s="11">
        <v>119.99</v>
      </c>
      <c r="E842" s="11">
        <v>14</v>
      </c>
      <c r="F842" s="11">
        <v>1492</v>
      </c>
      <c r="G842" s="6" t="str">
        <f>IF(COUNTIF(Table1[Customer ID],Table1[[#This Row],[Customer ID]])&gt;1,"Repeat Customer","One-Time Customer")</f>
        <v>One-Time Customer</v>
      </c>
      <c r="H842" s="11" t="s">
        <v>1529</v>
      </c>
      <c r="I842" s="11" t="s">
        <v>39</v>
      </c>
      <c r="J842" s="11" t="s">
        <v>28</v>
      </c>
      <c r="K842" s="11" t="s">
        <v>77</v>
      </c>
      <c r="L842" s="11" t="s">
        <v>85</v>
      </c>
      <c r="M842" s="11" t="s">
        <v>43</v>
      </c>
      <c r="N842" s="11" t="s">
        <v>890</v>
      </c>
      <c r="O842" s="11">
        <v>0.36</v>
      </c>
      <c r="P842" s="6">
        <f>Table1[[#This Row],[Profit]]/Table1[[#This Row],[Sales]]</f>
        <v>0.69</v>
      </c>
      <c r="Q842" s="11" t="s">
        <v>33</v>
      </c>
      <c r="R842" s="11" t="s">
        <v>61</v>
      </c>
      <c r="S842" s="11" t="s">
        <v>506</v>
      </c>
      <c r="T842" s="11" t="s">
        <v>1530</v>
      </c>
      <c r="U842" s="11">
        <v>65721</v>
      </c>
      <c r="V842" s="12">
        <v>42171</v>
      </c>
      <c r="W842" s="13" t="str">
        <f>TEXT(Table1[[#This Row],[Order Date]],"mmmm")</f>
        <v>June</v>
      </c>
      <c r="X842" s="7" t="str">
        <f>TEXT(Table1[[#This Row],[Order Date]],"yyyy")</f>
        <v>2015</v>
      </c>
      <c r="Y842" s="12">
        <v>42173</v>
      </c>
      <c r="Z842" s="11">
        <v>509.95830000000001</v>
      </c>
      <c r="AA842" s="11">
        <v>6</v>
      </c>
      <c r="AB842" s="11">
        <v>739.07</v>
      </c>
      <c r="AC842" s="11">
        <v>88004</v>
      </c>
      <c r="AD842" s="6" t="str">
        <f>IF(COUNTIF(Returns!$A$2:$A$1635,Orders!AC842)&gt;0,"Returned","Not Returned")</f>
        <v>Not Returned</v>
      </c>
    </row>
    <row r="843" spans="1:30" ht="12.75" customHeight="1" thickTop="1" thickBot="1" x14ac:dyDescent="0.25">
      <c r="A843" s="8">
        <v>19472</v>
      </c>
      <c r="B843" s="1" t="s">
        <v>47</v>
      </c>
      <c r="C843" s="1">
        <v>0.06</v>
      </c>
      <c r="D843" s="1">
        <v>8.3699999999999992</v>
      </c>
      <c r="E843" s="1">
        <v>10.16</v>
      </c>
      <c r="F843" s="1">
        <v>1494</v>
      </c>
      <c r="G843" s="6" t="str">
        <f>IF(COUNTIF(Table1[Customer ID],Table1[[#This Row],[Customer ID]])&gt;1,"Repeat Customer","One-Time Customer")</f>
        <v>Repeat Customer</v>
      </c>
      <c r="H843" s="1" t="s">
        <v>1531</v>
      </c>
      <c r="I843" s="1" t="s">
        <v>49</v>
      </c>
      <c r="J843" s="1" t="s">
        <v>28</v>
      </c>
      <c r="K843" s="1" t="s">
        <v>41</v>
      </c>
      <c r="L843" s="1" t="s">
        <v>50</v>
      </c>
      <c r="M843" s="1" t="s">
        <v>236</v>
      </c>
      <c r="N843" s="1" t="s">
        <v>1213</v>
      </c>
      <c r="O843" s="1">
        <v>0.59</v>
      </c>
      <c r="P843" s="6">
        <f>Table1[[#This Row],[Profit]]/Table1[[#This Row],[Sales]]</f>
        <v>-1.6217330626744484</v>
      </c>
      <c r="Q843" s="1" t="s">
        <v>33</v>
      </c>
      <c r="R843" s="1" t="s">
        <v>53</v>
      </c>
      <c r="S843" s="1" t="s">
        <v>415</v>
      </c>
      <c r="T843" s="1" t="s">
        <v>1532</v>
      </c>
      <c r="U843" s="1">
        <v>21222</v>
      </c>
      <c r="V843" s="9">
        <v>42074</v>
      </c>
      <c r="W843" s="13" t="str">
        <f>TEXT(Table1[[#This Row],[Order Date]],"mmmm")</f>
        <v>March</v>
      </c>
      <c r="X843" s="7" t="str">
        <f>TEXT(Table1[[#This Row],[Order Date]],"yyyy")</f>
        <v>2015</v>
      </c>
      <c r="Y843" s="9">
        <v>42076</v>
      </c>
      <c r="Z843" s="1">
        <v>-255.65</v>
      </c>
      <c r="AA843" s="1">
        <v>18</v>
      </c>
      <c r="AB843" s="1">
        <v>157.63999999999999</v>
      </c>
      <c r="AC843" s="1">
        <v>85880</v>
      </c>
      <c r="AD843" s="6" t="str">
        <f>IF(COUNTIF(Returns!$A$2:$A$1635,Orders!AC843)&gt;0,"Returned","Not Returned")</f>
        <v>Not Returned</v>
      </c>
    </row>
    <row r="844" spans="1:30" ht="12.75" customHeight="1" thickTop="1" thickBot="1" x14ac:dyDescent="0.25">
      <c r="A844" s="10">
        <v>19473</v>
      </c>
      <c r="B844" s="11" t="s">
        <v>47</v>
      </c>
      <c r="C844" s="11">
        <v>0.09</v>
      </c>
      <c r="D844" s="11">
        <v>6.48</v>
      </c>
      <c r="E844" s="11">
        <v>9.17</v>
      </c>
      <c r="F844" s="11">
        <v>1494</v>
      </c>
      <c r="G844" s="6" t="str">
        <f>IF(COUNTIF(Table1[Customer ID],Table1[[#This Row],[Customer ID]])&gt;1,"Repeat Customer","One-Time Customer")</f>
        <v>Repeat Customer</v>
      </c>
      <c r="H844" s="11" t="s">
        <v>1531</v>
      </c>
      <c r="I844" s="11" t="s">
        <v>27</v>
      </c>
      <c r="J844" s="11" t="s">
        <v>28</v>
      </c>
      <c r="K844" s="11" t="s">
        <v>29</v>
      </c>
      <c r="L844" s="11" t="s">
        <v>93</v>
      </c>
      <c r="M844" s="11" t="s">
        <v>59</v>
      </c>
      <c r="N844" s="11" t="s">
        <v>294</v>
      </c>
      <c r="O844" s="11">
        <v>0.37</v>
      </c>
      <c r="P844" s="6">
        <f>Table1[[#This Row],[Profit]]/Table1[[#This Row],[Sales]]</f>
        <v>-1.8154648956356738</v>
      </c>
      <c r="Q844" s="11" t="s">
        <v>33</v>
      </c>
      <c r="R844" s="11" t="s">
        <v>53</v>
      </c>
      <c r="S844" s="11" t="s">
        <v>415</v>
      </c>
      <c r="T844" s="11" t="s">
        <v>1532</v>
      </c>
      <c r="U844" s="11">
        <v>21222</v>
      </c>
      <c r="V844" s="12">
        <v>42074</v>
      </c>
      <c r="W844" s="13" t="str">
        <f>TEXT(Table1[[#This Row],[Order Date]],"mmmm")</f>
        <v>March</v>
      </c>
      <c r="X844" s="7" t="str">
        <f>TEXT(Table1[[#This Row],[Order Date]],"yyyy")</f>
        <v>2015</v>
      </c>
      <c r="Y844" s="12">
        <v>42076</v>
      </c>
      <c r="Z844" s="11">
        <v>-76.540000000000006</v>
      </c>
      <c r="AA844" s="11">
        <v>6</v>
      </c>
      <c r="AB844" s="11">
        <v>42.16</v>
      </c>
      <c r="AC844" s="11">
        <v>85880</v>
      </c>
      <c r="AD844" s="6" t="str">
        <f>IF(COUNTIF(Returns!$A$2:$A$1635,Orders!AC844)&gt;0,"Returned","Not Returned")</f>
        <v>Not Returned</v>
      </c>
    </row>
    <row r="845" spans="1:30" ht="12.75" customHeight="1" thickTop="1" thickBot="1" x14ac:dyDescent="0.25">
      <c r="A845" s="8">
        <v>24286</v>
      </c>
      <c r="B845" s="1" t="s">
        <v>47</v>
      </c>
      <c r="C845" s="1">
        <v>0.09</v>
      </c>
      <c r="D845" s="1">
        <v>6.28</v>
      </c>
      <c r="E845" s="1">
        <v>5.29</v>
      </c>
      <c r="F845" s="1">
        <v>1497</v>
      </c>
      <c r="G845" s="6" t="str">
        <f>IF(COUNTIF(Table1[Customer ID],Table1[[#This Row],[Customer ID]])&gt;1,"Repeat Customer","One-Time Customer")</f>
        <v>Repeat Customer</v>
      </c>
      <c r="H845" s="1" t="s">
        <v>1533</v>
      </c>
      <c r="I845" s="1" t="s">
        <v>49</v>
      </c>
      <c r="J845" s="1" t="s">
        <v>28</v>
      </c>
      <c r="K845" s="1" t="s">
        <v>41</v>
      </c>
      <c r="L845" s="1" t="s">
        <v>50</v>
      </c>
      <c r="M845" s="1" t="s">
        <v>59</v>
      </c>
      <c r="N845" s="1" t="s">
        <v>440</v>
      </c>
      <c r="O845" s="1">
        <v>0.43</v>
      </c>
      <c r="P845" s="6">
        <f>Table1[[#This Row],[Profit]]/Table1[[#This Row],[Sales]]</f>
        <v>-0.71661931818181812</v>
      </c>
      <c r="Q845" s="1" t="s">
        <v>33</v>
      </c>
      <c r="R845" s="1" t="s">
        <v>53</v>
      </c>
      <c r="S845" s="1" t="s">
        <v>71</v>
      </c>
      <c r="T845" s="1" t="s">
        <v>1534</v>
      </c>
      <c r="U845" s="1">
        <v>14901</v>
      </c>
      <c r="V845" s="9">
        <v>42074</v>
      </c>
      <c r="W845" s="13" t="str">
        <f>TEXT(Table1[[#This Row],[Order Date]],"mmmm")</f>
        <v>March</v>
      </c>
      <c r="X845" s="7" t="str">
        <f>TEXT(Table1[[#This Row],[Order Date]],"yyyy")</f>
        <v>2015</v>
      </c>
      <c r="Y845" s="9">
        <v>42075</v>
      </c>
      <c r="Z845" s="1">
        <v>-10.09</v>
      </c>
      <c r="AA845" s="1">
        <v>2</v>
      </c>
      <c r="AB845" s="1">
        <v>14.08</v>
      </c>
      <c r="AC845" s="1">
        <v>85880</v>
      </c>
      <c r="AD845" s="6" t="str">
        <f>IF(COUNTIF(Returns!$A$2:$A$1635,Orders!AC845)&gt;0,"Returned","Not Returned")</f>
        <v>Not Returned</v>
      </c>
    </row>
    <row r="846" spans="1:30" ht="12.75" customHeight="1" thickTop="1" thickBot="1" x14ac:dyDescent="0.25">
      <c r="A846" s="10">
        <v>24287</v>
      </c>
      <c r="B846" s="11" t="s">
        <v>47</v>
      </c>
      <c r="C846" s="11">
        <v>0.03</v>
      </c>
      <c r="D846" s="11">
        <v>15.14</v>
      </c>
      <c r="E846" s="11">
        <v>4.53</v>
      </c>
      <c r="F846" s="11">
        <v>1497</v>
      </c>
      <c r="G846" s="6" t="str">
        <f>IF(COUNTIF(Table1[Customer ID],Table1[[#This Row],[Customer ID]])&gt;1,"Repeat Customer","One-Time Customer")</f>
        <v>Repeat Customer</v>
      </c>
      <c r="H846" s="11" t="s">
        <v>1533</v>
      </c>
      <c r="I846" s="11" t="s">
        <v>49</v>
      </c>
      <c r="J846" s="11" t="s">
        <v>28</v>
      </c>
      <c r="K846" s="11" t="s">
        <v>29</v>
      </c>
      <c r="L846" s="11" t="s">
        <v>141</v>
      </c>
      <c r="M846" s="11" t="s">
        <v>59</v>
      </c>
      <c r="N846" s="11" t="s">
        <v>1201</v>
      </c>
      <c r="O846" s="11">
        <v>0.81</v>
      </c>
      <c r="P846" s="6">
        <f>Table1[[#This Row],[Profit]]/Table1[[#This Row],[Sales]]</f>
        <v>-0.36174190784092236</v>
      </c>
      <c r="Q846" s="11" t="s">
        <v>33</v>
      </c>
      <c r="R846" s="11" t="s">
        <v>53</v>
      </c>
      <c r="S846" s="11" t="s">
        <v>71</v>
      </c>
      <c r="T846" s="11" t="s">
        <v>1534</v>
      </c>
      <c r="U846" s="11">
        <v>14901</v>
      </c>
      <c r="V846" s="12">
        <v>42074</v>
      </c>
      <c r="W846" s="13" t="str">
        <f>TEXT(Table1[[#This Row],[Order Date]],"mmmm")</f>
        <v>March</v>
      </c>
      <c r="X846" s="7" t="str">
        <f>TEXT(Table1[[#This Row],[Order Date]],"yyyy")</f>
        <v>2015</v>
      </c>
      <c r="Y846" s="12">
        <v>42076</v>
      </c>
      <c r="Z846" s="11">
        <v>-92.87</v>
      </c>
      <c r="AA846" s="11">
        <v>17</v>
      </c>
      <c r="AB846" s="11">
        <v>256.73</v>
      </c>
      <c r="AC846" s="11">
        <v>85880</v>
      </c>
      <c r="AD846" s="6" t="str">
        <f>IF(COUNTIF(Returns!$A$2:$A$1635,Orders!AC846)&gt;0,"Returned","Not Returned")</f>
        <v>Not Returned</v>
      </c>
    </row>
    <row r="847" spans="1:30" ht="12.75" customHeight="1" thickTop="1" thickBot="1" x14ac:dyDescent="0.25">
      <c r="A847" s="8">
        <v>20016</v>
      </c>
      <c r="B847" s="1" t="s">
        <v>56</v>
      </c>
      <c r="C847" s="1">
        <v>0.05</v>
      </c>
      <c r="D847" s="1">
        <v>2.16</v>
      </c>
      <c r="E847" s="1">
        <v>6.05</v>
      </c>
      <c r="F847" s="1">
        <v>1499</v>
      </c>
      <c r="G847" s="6" t="str">
        <f>IF(COUNTIF(Table1[Customer ID],Table1[[#This Row],[Customer ID]])&gt;1,"Repeat Customer","One-Time Customer")</f>
        <v>Repeat Customer</v>
      </c>
      <c r="H847" s="1" t="s">
        <v>1535</v>
      </c>
      <c r="I847" s="1" t="s">
        <v>49</v>
      </c>
      <c r="J847" s="1" t="s">
        <v>40</v>
      </c>
      <c r="K847" s="1" t="s">
        <v>29</v>
      </c>
      <c r="L847" s="1" t="s">
        <v>109</v>
      </c>
      <c r="M847" s="1" t="s">
        <v>59</v>
      </c>
      <c r="N847" s="1" t="s">
        <v>1536</v>
      </c>
      <c r="O847" s="1">
        <v>0.37</v>
      </c>
      <c r="P847" s="6">
        <f>Table1[[#This Row],[Profit]]/Table1[[#This Row],[Sales]]</f>
        <v>-16.077783754706832</v>
      </c>
      <c r="Q847" s="1" t="s">
        <v>33</v>
      </c>
      <c r="R847" s="1" t="s">
        <v>136</v>
      </c>
      <c r="S847" s="1" t="s">
        <v>362</v>
      </c>
      <c r="T847" s="1" t="s">
        <v>1537</v>
      </c>
      <c r="U847" s="1">
        <v>33134</v>
      </c>
      <c r="V847" s="9">
        <v>42039</v>
      </c>
      <c r="W847" s="13" t="str">
        <f>TEXT(Table1[[#This Row],[Order Date]],"mmmm")</f>
        <v>February</v>
      </c>
      <c r="X847" s="7" t="str">
        <f>TEXT(Table1[[#This Row],[Order Date]],"yyyy")</f>
        <v>2015</v>
      </c>
      <c r="Y847" s="9">
        <v>42040</v>
      </c>
      <c r="Z847" s="1">
        <v>-298.88600000000002</v>
      </c>
      <c r="AA847" s="1">
        <v>8</v>
      </c>
      <c r="AB847" s="1">
        <v>18.59</v>
      </c>
      <c r="AC847" s="1">
        <v>90731</v>
      </c>
      <c r="AD847" s="6" t="str">
        <f>IF(COUNTIF(Returns!$A$2:$A$1635,Orders!AC847)&gt;0,"Returned","Not Returned")</f>
        <v>Not Returned</v>
      </c>
    </row>
    <row r="848" spans="1:30" ht="12.75" customHeight="1" thickTop="1" thickBot="1" x14ac:dyDescent="0.25">
      <c r="A848" s="10">
        <v>20017</v>
      </c>
      <c r="B848" s="11" t="s">
        <v>56</v>
      </c>
      <c r="C848" s="11">
        <v>0.03</v>
      </c>
      <c r="D848" s="11">
        <v>6.48</v>
      </c>
      <c r="E848" s="11">
        <v>6.6</v>
      </c>
      <c r="F848" s="11">
        <v>1499</v>
      </c>
      <c r="G848" s="6" t="str">
        <f>IF(COUNTIF(Table1[Customer ID],Table1[[#This Row],[Customer ID]])&gt;1,"Repeat Customer","One-Time Customer")</f>
        <v>Repeat Customer</v>
      </c>
      <c r="H848" s="11" t="s">
        <v>1535</v>
      </c>
      <c r="I848" s="11" t="s">
        <v>49</v>
      </c>
      <c r="J848" s="11" t="s">
        <v>40</v>
      </c>
      <c r="K848" s="11" t="s">
        <v>29</v>
      </c>
      <c r="L848" s="11" t="s">
        <v>93</v>
      </c>
      <c r="M848" s="11" t="s">
        <v>59</v>
      </c>
      <c r="N848" s="11" t="s">
        <v>603</v>
      </c>
      <c r="O848" s="11">
        <v>0.37</v>
      </c>
      <c r="P848" s="6">
        <f>Table1[[#This Row],[Profit]]/Table1[[#This Row],[Sales]]</f>
        <v>-2.4792112867584568</v>
      </c>
      <c r="Q848" s="11" t="s">
        <v>33</v>
      </c>
      <c r="R848" s="11" t="s">
        <v>136</v>
      </c>
      <c r="S848" s="11" t="s">
        <v>362</v>
      </c>
      <c r="T848" s="11" t="s">
        <v>1537</v>
      </c>
      <c r="U848" s="11">
        <v>33134</v>
      </c>
      <c r="V848" s="12">
        <v>42039</v>
      </c>
      <c r="W848" s="13" t="str">
        <f>TEXT(Table1[[#This Row],[Order Date]],"mmmm")</f>
        <v>February</v>
      </c>
      <c r="X848" s="7" t="str">
        <f>TEXT(Table1[[#This Row],[Order Date]],"yyyy")</f>
        <v>2015</v>
      </c>
      <c r="Y848" s="12">
        <v>42040</v>
      </c>
      <c r="Z848" s="11">
        <v>-145.852</v>
      </c>
      <c r="AA848" s="11">
        <v>9</v>
      </c>
      <c r="AB848" s="11">
        <v>58.83</v>
      </c>
      <c r="AC848" s="11">
        <v>90731</v>
      </c>
      <c r="AD848" s="6" t="str">
        <f>IF(COUNTIF(Returns!$A$2:$A$1635,Orders!AC848)&gt;0,"Returned","Not Returned")</f>
        <v>Not Returned</v>
      </c>
    </row>
    <row r="849" spans="1:30" ht="12.75" customHeight="1" thickTop="1" thickBot="1" x14ac:dyDescent="0.25">
      <c r="A849" s="8">
        <v>20018</v>
      </c>
      <c r="B849" s="1" t="s">
        <v>56</v>
      </c>
      <c r="C849" s="1">
        <v>0.08</v>
      </c>
      <c r="D849" s="1">
        <v>146.05000000000001</v>
      </c>
      <c r="E849" s="1">
        <v>80.2</v>
      </c>
      <c r="F849" s="1">
        <v>1499</v>
      </c>
      <c r="G849" s="6" t="str">
        <f>IF(COUNTIF(Table1[Customer ID],Table1[[#This Row],[Customer ID]])&gt;1,"Repeat Customer","One-Time Customer")</f>
        <v>Repeat Customer</v>
      </c>
      <c r="H849" s="1" t="s">
        <v>1535</v>
      </c>
      <c r="I849" s="1" t="s">
        <v>39</v>
      </c>
      <c r="J849" s="1" t="s">
        <v>40</v>
      </c>
      <c r="K849" s="1" t="s">
        <v>41</v>
      </c>
      <c r="L849" s="1" t="s">
        <v>152</v>
      </c>
      <c r="M849" s="1" t="s">
        <v>121</v>
      </c>
      <c r="N849" s="1" t="s">
        <v>347</v>
      </c>
      <c r="O849" s="1">
        <v>0.71</v>
      </c>
      <c r="P849" s="6">
        <f>Table1[[#This Row],[Profit]]/Table1[[#This Row],[Sales]]</f>
        <v>-1.7944224028350216E-2</v>
      </c>
      <c r="Q849" s="1" t="s">
        <v>33</v>
      </c>
      <c r="R849" s="1" t="s">
        <v>136</v>
      </c>
      <c r="S849" s="1" t="s">
        <v>362</v>
      </c>
      <c r="T849" s="1" t="s">
        <v>1537</v>
      </c>
      <c r="U849" s="1">
        <v>33134</v>
      </c>
      <c r="V849" s="9">
        <v>42039</v>
      </c>
      <c r="W849" s="13" t="str">
        <f>TEXT(Table1[[#This Row],[Order Date]],"mmmm")</f>
        <v>February</v>
      </c>
      <c r="X849" s="7" t="str">
        <f>TEXT(Table1[[#This Row],[Order Date]],"yyyy")</f>
        <v>2015</v>
      </c>
      <c r="Y849" s="9">
        <v>42040</v>
      </c>
      <c r="Z849" s="1">
        <v>-27.951000000000001</v>
      </c>
      <c r="AA849" s="1">
        <v>11</v>
      </c>
      <c r="AB849" s="1">
        <v>1557.66</v>
      </c>
      <c r="AC849" s="1">
        <v>90731</v>
      </c>
      <c r="AD849" s="6" t="str">
        <f>IF(COUNTIF(Returns!$A$2:$A$1635,Orders!AC849)&gt;0,"Returned","Not Returned")</f>
        <v>Not Returned</v>
      </c>
    </row>
    <row r="850" spans="1:30" ht="12.75" customHeight="1" thickTop="1" thickBot="1" x14ac:dyDescent="0.25">
      <c r="A850" s="10">
        <v>21682</v>
      </c>
      <c r="B850" s="11" t="s">
        <v>47</v>
      </c>
      <c r="C850" s="11">
        <v>0.08</v>
      </c>
      <c r="D850" s="11">
        <v>3.69</v>
      </c>
      <c r="E850" s="11">
        <v>0.5</v>
      </c>
      <c r="F850" s="11">
        <v>1502</v>
      </c>
      <c r="G850" s="6" t="str">
        <f>IF(COUNTIF(Table1[Customer ID],Table1[[#This Row],[Customer ID]])&gt;1,"Repeat Customer","One-Time Customer")</f>
        <v>Repeat Customer</v>
      </c>
      <c r="H850" s="11" t="s">
        <v>1538</v>
      </c>
      <c r="I850" s="11" t="s">
        <v>49</v>
      </c>
      <c r="J850" s="11" t="s">
        <v>58</v>
      </c>
      <c r="K850" s="11" t="s">
        <v>29</v>
      </c>
      <c r="L850" s="11" t="s">
        <v>134</v>
      </c>
      <c r="M850" s="11" t="s">
        <v>59</v>
      </c>
      <c r="N850" s="11" t="s">
        <v>1539</v>
      </c>
      <c r="O850" s="11">
        <v>0.38</v>
      </c>
      <c r="P850" s="6">
        <f>Table1[[#This Row],[Profit]]/Table1[[#This Row],[Sales]]</f>
        <v>-2.8236884802595997E-2</v>
      </c>
      <c r="Q850" s="11" t="s">
        <v>33</v>
      </c>
      <c r="R850" s="11" t="s">
        <v>136</v>
      </c>
      <c r="S850" s="11" t="s">
        <v>362</v>
      </c>
      <c r="T850" s="11" t="s">
        <v>1540</v>
      </c>
      <c r="U850" s="11">
        <v>33065</v>
      </c>
      <c r="V850" s="12">
        <v>42131</v>
      </c>
      <c r="W850" s="13" t="str">
        <f>TEXT(Table1[[#This Row],[Order Date]],"mmmm")</f>
        <v>May</v>
      </c>
      <c r="X850" s="7" t="str">
        <f>TEXT(Table1[[#This Row],[Order Date]],"yyyy")</f>
        <v>2015</v>
      </c>
      <c r="Y850" s="12">
        <v>42134</v>
      </c>
      <c r="Z850" s="11">
        <v>-3.6547000000000001</v>
      </c>
      <c r="AA850" s="11">
        <v>38</v>
      </c>
      <c r="AB850" s="11">
        <v>129.43</v>
      </c>
      <c r="AC850" s="11">
        <v>89193</v>
      </c>
      <c r="AD850" s="6" t="str">
        <f>IF(COUNTIF(Returns!$A$2:$A$1635,Orders!AC850)&gt;0,"Returned","Not Returned")</f>
        <v>Not Returned</v>
      </c>
    </row>
    <row r="851" spans="1:30" ht="12.75" customHeight="1" thickTop="1" thickBot="1" x14ac:dyDescent="0.25">
      <c r="A851" s="8">
        <v>18868</v>
      </c>
      <c r="B851" s="1" t="s">
        <v>106</v>
      </c>
      <c r="C851" s="1">
        <v>0.08</v>
      </c>
      <c r="D851" s="1">
        <v>5.84</v>
      </c>
      <c r="E851" s="1">
        <v>1</v>
      </c>
      <c r="F851" s="1">
        <v>1502</v>
      </c>
      <c r="G851" s="6" t="str">
        <f>IF(COUNTIF(Table1[Customer ID],Table1[[#This Row],[Customer ID]])&gt;1,"Repeat Customer","One-Time Customer")</f>
        <v>Repeat Customer</v>
      </c>
      <c r="H851" s="1" t="s">
        <v>1538</v>
      </c>
      <c r="I851" s="1" t="s">
        <v>27</v>
      </c>
      <c r="J851" s="1" t="s">
        <v>58</v>
      </c>
      <c r="K851" s="1" t="s">
        <v>29</v>
      </c>
      <c r="L851" s="1" t="s">
        <v>30</v>
      </c>
      <c r="M851" s="1" t="s">
        <v>31</v>
      </c>
      <c r="N851" s="1" t="s">
        <v>1541</v>
      </c>
      <c r="O851" s="1">
        <v>0.38</v>
      </c>
      <c r="P851" s="6">
        <f>Table1[[#This Row],[Profit]]/Table1[[#This Row],[Sales]]</f>
        <v>11.922495520443068</v>
      </c>
      <c r="Q851" s="1" t="s">
        <v>33</v>
      </c>
      <c r="R851" s="1" t="s">
        <v>136</v>
      </c>
      <c r="S851" s="1" t="s">
        <v>362</v>
      </c>
      <c r="T851" s="1" t="s">
        <v>1540</v>
      </c>
      <c r="U851" s="1">
        <v>33065</v>
      </c>
      <c r="V851" s="9">
        <v>42184</v>
      </c>
      <c r="W851" s="13" t="str">
        <f>TEXT(Table1[[#This Row],[Order Date]],"mmmm")</f>
        <v>June</v>
      </c>
      <c r="X851" s="7" t="str">
        <f>TEXT(Table1[[#This Row],[Order Date]],"yyyy")</f>
        <v>2015</v>
      </c>
      <c r="Y851" s="9">
        <v>42188</v>
      </c>
      <c r="Z851" s="1">
        <v>731.92199999999991</v>
      </c>
      <c r="AA851" s="1">
        <v>11</v>
      </c>
      <c r="AB851" s="1">
        <v>61.39</v>
      </c>
      <c r="AC851" s="1">
        <v>89194</v>
      </c>
      <c r="AD851" s="6" t="str">
        <f>IF(COUNTIF(Returns!$A$2:$A$1635,Orders!AC851)&gt;0,"Returned","Not Returned")</f>
        <v>Not Returned</v>
      </c>
    </row>
    <row r="852" spans="1:30" ht="12.75" customHeight="1" thickTop="1" thickBot="1" x14ac:dyDescent="0.25">
      <c r="A852" s="10">
        <v>18869</v>
      </c>
      <c r="B852" s="11" t="s">
        <v>106</v>
      </c>
      <c r="C852" s="11">
        <v>0</v>
      </c>
      <c r="D852" s="11">
        <v>205.99</v>
      </c>
      <c r="E852" s="11">
        <v>8.99</v>
      </c>
      <c r="F852" s="11">
        <v>1502</v>
      </c>
      <c r="G852" s="6" t="str">
        <f>IF(COUNTIF(Table1[Customer ID],Table1[[#This Row],[Customer ID]])&gt;1,"Repeat Customer","One-Time Customer")</f>
        <v>Repeat Customer</v>
      </c>
      <c r="H852" s="11" t="s">
        <v>1538</v>
      </c>
      <c r="I852" s="11" t="s">
        <v>49</v>
      </c>
      <c r="J852" s="11" t="s">
        <v>58</v>
      </c>
      <c r="K852" s="11" t="s">
        <v>77</v>
      </c>
      <c r="L852" s="11" t="s">
        <v>78</v>
      </c>
      <c r="M852" s="11" t="s">
        <v>59</v>
      </c>
      <c r="N852" s="11" t="s">
        <v>1542</v>
      </c>
      <c r="O852" s="11">
        <v>0.6</v>
      </c>
      <c r="P852" s="6">
        <f>Table1[[#This Row],[Profit]]/Table1[[#This Row],[Sales]]</f>
        <v>7.6598837209302328E-2</v>
      </c>
      <c r="Q852" s="11" t="s">
        <v>33</v>
      </c>
      <c r="R852" s="11" t="s">
        <v>136</v>
      </c>
      <c r="S852" s="11" t="s">
        <v>362</v>
      </c>
      <c r="T852" s="11" t="s">
        <v>1540</v>
      </c>
      <c r="U852" s="11">
        <v>33065</v>
      </c>
      <c r="V852" s="12">
        <v>42184</v>
      </c>
      <c r="W852" s="13" t="str">
        <f>TEXT(Table1[[#This Row],[Order Date]],"mmmm")</f>
        <v>June</v>
      </c>
      <c r="X852" s="7" t="str">
        <f>TEXT(Table1[[#This Row],[Order Date]],"yyyy")</f>
        <v>2015</v>
      </c>
      <c r="Y852" s="12">
        <v>42187</v>
      </c>
      <c r="Z852" s="11">
        <v>186.55799999999999</v>
      </c>
      <c r="AA852" s="11">
        <v>13</v>
      </c>
      <c r="AB852" s="11">
        <v>2435.52</v>
      </c>
      <c r="AC852" s="11">
        <v>89194</v>
      </c>
      <c r="AD852" s="6" t="str">
        <f>IF(COUNTIF(Returns!$A$2:$A$1635,Orders!AC852)&gt;0,"Returned","Not Returned")</f>
        <v>Not Returned</v>
      </c>
    </row>
    <row r="853" spans="1:30" ht="12.75" customHeight="1" thickTop="1" thickBot="1" x14ac:dyDescent="0.25">
      <c r="A853" s="8">
        <v>18061</v>
      </c>
      <c r="B853" s="1" t="s">
        <v>106</v>
      </c>
      <c r="C853" s="1">
        <v>0</v>
      </c>
      <c r="D853" s="1">
        <v>85.99</v>
      </c>
      <c r="E853" s="1">
        <v>0.99</v>
      </c>
      <c r="F853" s="1">
        <v>1505</v>
      </c>
      <c r="G853" s="6" t="str">
        <f>IF(COUNTIF(Table1[Customer ID],Table1[[#This Row],[Customer ID]])&gt;1,"Repeat Customer","One-Time Customer")</f>
        <v>One-Time Customer</v>
      </c>
      <c r="H853" s="1" t="s">
        <v>1543</v>
      </c>
      <c r="I853" s="1" t="s">
        <v>49</v>
      </c>
      <c r="J853" s="1" t="s">
        <v>58</v>
      </c>
      <c r="K853" s="1" t="s">
        <v>77</v>
      </c>
      <c r="L853" s="1" t="s">
        <v>78</v>
      </c>
      <c r="M853" s="1" t="s">
        <v>31</v>
      </c>
      <c r="N853" s="1" t="s">
        <v>482</v>
      </c>
      <c r="O853" s="1">
        <v>0.85</v>
      </c>
      <c r="P853" s="6">
        <f>Table1[[#This Row],[Profit]]/Table1[[#This Row],[Sales]]</f>
        <v>-0.29694273544723149</v>
      </c>
      <c r="Q853" s="1" t="s">
        <v>33</v>
      </c>
      <c r="R853" s="1" t="s">
        <v>61</v>
      </c>
      <c r="S853" s="1" t="s">
        <v>130</v>
      </c>
      <c r="T853" s="1" t="s">
        <v>1544</v>
      </c>
      <c r="U853" s="1">
        <v>77840</v>
      </c>
      <c r="V853" s="9">
        <v>42168</v>
      </c>
      <c r="W853" s="13" t="str">
        <f>TEXT(Table1[[#This Row],[Order Date]],"mmmm")</f>
        <v>June</v>
      </c>
      <c r="X853" s="7" t="str">
        <f>TEXT(Table1[[#This Row],[Order Date]],"yyyy")</f>
        <v>2015</v>
      </c>
      <c r="Y853" s="9">
        <v>42173</v>
      </c>
      <c r="Z853" s="1">
        <v>-138.03680000000003</v>
      </c>
      <c r="AA853" s="1">
        <v>6</v>
      </c>
      <c r="AB853" s="1">
        <v>464.86</v>
      </c>
      <c r="AC853" s="1">
        <v>86181</v>
      </c>
      <c r="AD853" s="6" t="str">
        <f>IF(COUNTIF(Returns!$A$2:$A$1635,Orders!AC853)&gt;0,"Returned","Not Returned")</f>
        <v>Not Returned</v>
      </c>
    </row>
    <row r="854" spans="1:30" ht="12.75" customHeight="1" thickTop="1" thickBot="1" x14ac:dyDescent="0.25">
      <c r="A854" s="10">
        <v>23329</v>
      </c>
      <c r="B854" s="11" t="s">
        <v>47</v>
      </c>
      <c r="C854" s="11">
        <v>0.09</v>
      </c>
      <c r="D854" s="11">
        <v>20.98</v>
      </c>
      <c r="E854" s="11">
        <v>1.49</v>
      </c>
      <c r="F854" s="11">
        <v>1511</v>
      </c>
      <c r="G854" s="6" t="str">
        <f>IF(COUNTIF(Table1[Customer ID],Table1[[#This Row],[Customer ID]])&gt;1,"Repeat Customer","One-Time Customer")</f>
        <v>One-Time Customer</v>
      </c>
      <c r="H854" s="11" t="s">
        <v>1545</v>
      </c>
      <c r="I854" s="11" t="s">
        <v>49</v>
      </c>
      <c r="J854" s="11" t="s">
        <v>28</v>
      </c>
      <c r="K854" s="11" t="s">
        <v>29</v>
      </c>
      <c r="L854" s="11" t="s">
        <v>109</v>
      </c>
      <c r="M854" s="11" t="s">
        <v>59</v>
      </c>
      <c r="N854" s="11" t="s">
        <v>1546</v>
      </c>
      <c r="O854" s="11">
        <v>0.35</v>
      </c>
      <c r="P854" s="6">
        <f>Table1[[#This Row],[Profit]]/Table1[[#This Row],[Sales]]</f>
        <v>0.69</v>
      </c>
      <c r="Q854" s="11" t="s">
        <v>33</v>
      </c>
      <c r="R854" s="11" t="s">
        <v>61</v>
      </c>
      <c r="S854" s="11" t="s">
        <v>703</v>
      </c>
      <c r="T854" s="11" t="s">
        <v>1547</v>
      </c>
      <c r="U854" s="11">
        <v>47302</v>
      </c>
      <c r="V854" s="12">
        <v>42177</v>
      </c>
      <c r="W854" s="13" t="str">
        <f>TEXT(Table1[[#This Row],[Order Date]],"mmmm")</f>
        <v>June</v>
      </c>
      <c r="X854" s="7" t="str">
        <f>TEXT(Table1[[#This Row],[Order Date]],"yyyy")</f>
        <v>2015</v>
      </c>
      <c r="Y854" s="12">
        <v>42179</v>
      </c>
      <c r="Z854" s="11">
        <v>199.1823</v>
      </c>
      <c r="AA854" s="11">
        <v>14</v>
      </c>
      <c r="AB854" s="11">
        <v>288.67</v>
      </c>
      <c r="AC854" s="11">
        <v>90303</v>
      </c>
      <c r="AD854" s="6" t="str">
        <f>IF(COUNTIF(Returns!$A$2:$A$1635,Orders!AC854)&gt;0,"Returned","Not Returned")</f>
        <v>Not Returned</v>
      </c>
    </row>
    <row r="855" spans="1:30" ht="12.75" customHeight="1" thickTop="1" thickBot="1" x14ac:dyDescent="0.25">
      <c r="A855" s="8">
        <v>23470</v>
      </c>
      <c r="B855" s="1" t="s">
        <v>47</v>
      </c>
      <c r="C855" s="1">
        <v>0.06</v>
      </c>
      <c r="D855" s="1">
        <v>55.48</v>
      </c>
      <c r="E855" s="1">
        <v>4.8499999999999996</v>
      </c>
      <c r="F855" s="1">
        <v>1519</v>
      </c>
      <c r="G855" s="6" t="str">
        <f>IF(COUNTIF(Table1[Customer ID],Table1[[#This Row],[Customer ID]])&gt;1,"Repeat Customer","One-Time Customer")</f>
        <v>One-Time Customer</v>
      </c>
      <c r="H855" s="1" t="s">
        <v>1548</v>
      </c>
      <c r="I855" s="1" t="s">
        <v>49</v>
      </c>
      <c r="J855" s="1" t="s">
        <v>114</v>
      </c>
      <c r="K855" s="1" t="s">
        <v>29</v>
      </c>
      <c r="L855" s="1" t="s">
        <v>93</v>
      </c>
      <c r="M855" s="1" t="s">
        <v>59</v>
      </c>
      <c r="N855" s="1" t="s">
        <v>1549</v>
      </c>
      <c r="O855" s="1">
        <v>0.37</v>
      </c>
      <c r="P855" s="6">
        <f>Table1[[#This Row],[Profit]]/Table1[[#This Row],[Sales]]</f>
        <v>0.69</v>
      </c>
      <c r="Q855" s="1" t="s">
        <v>33</v>
      </c>
      <c r="R855" s="1" t="s">
        <v>53</v>
      </c>
      <c r="S855" s="1" t="s">
        <v>188</v>
      </c>
      <c r="T855" s="1" t="s">
        <v>511</v>
      </c>
      <c r="U855" s="1">
        <v>4210</v>
      </c>
      <c r="V855" s="9">
        <v>42169</v>
      </c>
      <c r="W855" s="13" t="str">
        <f>TEXT(Table1[[#This Row],[Order Date]],"mmmm")</f>
        <v>June</v>
      </c>
      <c r="X855" s="7" t="str">
        <f>TEXT(Table1[[#This Row],[Order Date]],"yyyy")</f>
        <v>2015</v>
      </c>
      <c r="Y855" s="9">
        <v>42169</v>
      </c>
      <c r="Z855" s="1">
        <v>711.05189999999993</v>
      </c>
      <c r="AA855" s="1">
        <v>19</v>
      </c>
      <c r="AB855" s="1">
        <v>1030.51</v>
      </c>
      <c r="AC855" s="1">
        <v>89957</v>
      </c>
      <c r="AD855" s="6" t="str">
        <f>IF(COUNTIF(Returns!$A$2:$A$1635,Orders!AC855)&gt;0,"Returned","Not Returned")</f>
        <v>Not Returned</v>
      </c>
    </row>
    <row r="856" spans="1:30" ht="12.75" customHeight="1" thickTop="1" thickBot="1" x14ac:dyDescent="0.25">
      <c r="A856" s="10">
        <v>23471</v>
      </c>
      <c r="B856" s="11" t="s">
        <v>47</v>
      </c>
      <c r="C856" s="11">
        <v>0.1</v>
      </c>
      <c r="D856" s="11">
        <v>122.99</v>
      </c>
      <c r="E856" s="11">
        <v>70.2</v>
      </c>
      <c r="F856" s="11">
        <v>1522</v>
      </c>
      <c r="G856" s="6" t="str">
        <f>IF(COUNTIF(Table1[Customer ID],Table1[[#This Row],[Customer ID]])&gt;1,"Repeat Customer","One-Time Customer")</f>
        <v>One-Time Customer</v>
      </c>
      <c r="H856" s="11" t="s">
        <v>1550</v>
      </c>
      <c r="I856" s="11" t="s">
        <v>39</v>
      </c>
      <c r="J856" s="11" t="s">
        <v>114</v>
      </c>
      <c r="K856" s="11" t="s">
        <v>41</v>
      </c>
      <c r="L856" s="11" t="s">
        <v>42</v>
      </c>
      <c r="M856" s="11" t="s">
        <v>43</v>
      </c>
      <c r="N856" s="11" t="s">
        <v>147</v>
      </c>
      <c r="O856" s="11">
        <v>0.74</v>
      </c>
      <c r="P856" s="6">
        <f>Table1[[#This Row],[Profit]]/Table1[[#This Row],[Sales]]</f>
        <v>-0.44386529248955303</v>
      </c>
      <c r="Q856" s="11" t="s">
        <v>33</v>
      </c>
      <c r="R856" s="11" t="s">
        <v>61</v>
      </c>
      <c r="S856" s="11" t="s">
        <v>62</v>
      </c>
      <c r="T856" s="11" t="s">
        <v>1551</v>
      </c>
      <c r="U856" s="11">
        <v>55305</v>
      </c>
      <c r="V856" s="12">
        <v>42169</v>
      </c>
      <c r="W856" s="13" t="str">
        <f>TEXT(Table1[[#This Row],[Order Date]],"mmmm")</f>
        <v>June</v>
      </c>
      <c r="X856" s="7" t="str">
        <f>TEXT(Table1[[#This Row],[Order Date]],"yyyy")</f>
        <v>2015</v>
      </c>
      <c r="Y856" s="12">
        <v>42170</v>
      </c>
      <c r="Z856" s="11">
        <v>-899.67499999999995</v>
      </c>
      <c r="AA856" s="11">
        <v>17</v>
      </c>
      <c r="AB856" s="11">
        <v>2026.91</v>
      </c>
      <c r="AC856" s="11">
        <v>89957</v>
      </c>
      <c r="AD856" s="6" t="str">
        <f>IF(COUNTIF(Returns!$A$2:$A$1635,Orders!AC856)&gt;0,"Returned","Not Returned")</f>
        <v>Not Returned</v>
      </c>
    </row>
    <row r="857" spans="1:30" ht="12.75" customHeight="1" thickTop="1" thickBot="1" x14ac:dyDescent="0.25">
      <c r="A857" s="8">
        <v>19269</v>
      </c>
      <c r="B857" s="1" t="s">
        <v>25</v>
      </c>
      <c r="C857" s="1">
        <v>0.04</v>
      </c>
      <c r="D857" s="1">
        <v>11.34</v>
      </c>
      <c r="E857" s="1">
        <v>5.01</v>
      </c>
      <c r="F857" s="1">
        <v>1526</v>
      </c>
      <c r="G857" s="6" t="str">
        <f>IF(COUNTIF(Table1[Customer ID],Table1[[#This Row],[Customer ID]])&gt;1,"Repeat Customer","One-Time Customer")</f>
        <v>One-Time Customer</v>
      </c>
      <c r="H857" s="1" t="s">
        <v>1552</v>
      </c>
      <c r="I857" s="1" t="s">
        <v>49</v>
      </c>
      <c r="J857" s="1" t="s">
        <v>40</v>
      </c>
      <c r="K857" s="1" t="s">
        <v>29</v>
      </c>
      <c r="L857" s="1" t="s">
        <v>93</v>
      </c>
      <c r="M857" s="1" t="s">
        <v>59</v>
      </c>
      <c r="N857" s="1" t="s">
        <v>576</v>
      </c>
      <c r="O857" s="1">
        <v>0.36</v>
      </c>
      <c r="P857" s="6">
        <f>Table1[[#This Row],[Profit]]/Table1[[#This Row],[Sales]]</f>
        <v>-1.637877607547823</v>
      </c>
      <c r="Q857" s="1" t="s">
        <v>33</v>
      </c>
      <c r="R857" s="1" t="s">
        <v>136</v>
      </c>
      <c r="S857" s="1" t="s">
        <v>1278</v>
      </c>
      <c r="T857" s="1" t="s">
        <v>1553</v>
      </c>
      <c r="U857" s="1">
        <v>35211</v>
      </c>
      <c r="V857" s="9">
        <v>42045</v>
      </c>
      <c r="W857" s="13" t="str">
        <f>TEXT(Table1[[#This Row],[Order Date]],"mmmm")</f>
        <v>February</v>
      </c>
      <c r="X857" s="7" t="str">
        <f>TEXT(Table1[[#This Row],[Order Date]],"yyyy")</f>
        <v>2015</v>
      </c>
      <c r="Y857" s="9">
        <v>42046</v>
      </c>
      <c r="Z857" s="1">
        <v>-189.22399999999999</v>
      </c>
      <c r="AA857" s="1">
        <v>10</v>
      </c>
      <c r="AB857" s="1">
        <v>115.53</v>
      </c>
      <c r="AC857" s="1">
        <v>86812</v>
      </c>
      <c r="AD857" s="6" t="str">
        <f>IF(COUNTIF(Returns!$A$2:$A$1635,Orders!AC857)&gt;0,"Returned","Not Returned")</f>
        <v>Not Returned</v>
      </c>
    </row>
    <row r="858" spans="1:30" ht="12.75" customHeight="1" thickTop="1" thickBot="1" x14ac:dyDescent="0.25">
      <c r="A858" s="10">
        <v>24974</v>
      </c>
      <c r="B858" s="11" t="s">
        <v>47</v>
      </c>
      <c r="C858" s="11">
        <v>0.03</v>
      </c>
      <c r="D858" s="11">
        <v>30.98</v>
      </c>
      <c r="E858" s="11">
        <v>8.99</v>
      </c>
      <c r="F858" s="11">
        <v>1527</v>
      </c>
      <c r="G858" s="6" t="str">
        <f>IF(COUNTIF(Table1[Customer ID],Table1[[#This Row],[Customer ID]])&gt;1,"Repeat Customer","One-Time Customer")</f>
        <v>Repeat Customer</v>
      </c>
      <c r="H858" s="11" t="s">
        <v>1554</v>
      </c>
      <c r="I858" s="11" t="s">
        <v>27</v>
      </c>
      <c r="J858" s="11" t="s">
        <v>58</v>
      </c>
      <c r="K858" s="11" t="s">
        <v>29</v>
      </c>
      <c r="L858" s="11" t="s">
        <v>30</v>
      </c>
      <c r="M858" s="11" t="s">
        <v>51</v>
      </c>
      <c r="N858" s="11" t="s">
        <v>1555</v>
      </c>
      <c r="O858" s="11">
        <v>0.57999999999999996</v>
      </c>
      <c r="P858" s="6">
        <f>Table1[[#This Row],[Profit]]/Table1[[#This Row],[Sales]]</f>
        <v>3.1405874745981817E-3</v>
      </c>
      <c r="Q858" s="11" t="s">
        <v>33</v>
      </c>
      <c r="R858" s="11" t="s">
        <v>136</v>
      </c>
      <c r="S858" s="11" t="s">
        <v>1278</v>
      </c>
      <c r="T858" s="11" t="s">
        <v>1556</v>
      </c>
      <c r="U858" s="11">
        <v>35601</v>
      </c>
      <c r="V858" s="12">
        <v>42013</v>
      </c>
      <c r="W858" s="13" t="str">
        <f>TEXT(Table1[[#This Row],[Order Date]],"mmmm")</f>
        <v>January</v>
      </c>
      <c r="X858" s="7" t="str">
        <f>TEXT(Table1[[#This Row],[Order Date]],"yyyy")</f>
        <v>2015</v>
      </c>
      <c r="Y858" s="12">
        <v>42015</v>
      </c>
      <c r="Z858" s="11">
        <v>0.50999999999999868</v>
      </c>
      <c r="AA858" s="11">
        <v>5</v>
      </c>
      <c r="AB858" s="11">
        <v>162.38999999999999</v>
      </c>
      <c r="AC858" s="11">
        <v>86813</v>
      </c>
      <c r="AD858" s="6" t="str">
        <f>IF(COUNTIF(Returns!$A$2:$A$1635,Orders!AC858)&gt;0,"Returned","Not Returned")</f>
        <v>Not Returned</v>
      </c>
    </row>
    <row r="859" spans="1:30" ht="12.75" customHeight="1" thickTop="1" thickBot="1" x14ac:dyDescent="0.25">
      <c r="A859" s="8">
        <v>22253</v>
      </c>
      <c r="B859" s="1" t="s">
        <v>106</v>
      </c>
      <c r="C859" s="1">
        <v>0.03</v>
      </c>
      <c r="D859" s="1">
        <v>65.989999999999995</v>
      </c>
      <c r="E859" s="1">
        <v>5.26</v>
      </c>
      <c r="F859" s="1">
        <v>1527</v>
      </c>
      <c r="G859" s="6" t="str">
        <f>IF(COUNTIF(Table1[Customer ID],Table1[[#This Row],[Customer ID]])&gt;1,"Repeat Customer","One-Time Customer")</f>
        <v>Repeat Customer</v>
      </c>
      <c r="H859" s="1" t="s">
        <v>1554</v>
      </c>
      <c r="I859" s="1" t="s">
        <v>49</v>
      </c>
      <c r="J859" s="1" t="s">
        <v>40</v>
      </c>
      <c r="K859" s="1" t="s">
        <v>77</v>
      </c>
      <c r="L859" s="1" t="s">
        <v>78</v>
      </c>
      <c r="M859" s="1" t="s">
        <v>59</v>
      </c>
      <c r="N859" s="1" t="s">
        <v>493</v>
      </c>
      <c r="O859" s="1">
        <v>0.56000000000000005</v>
      </c>
      <c r="P859" s="6">
        <f>Table1[[#This Row],[Profit]]/Table1[[#This Row],[Sales]]</f>
        <v>-3.9701222616505709E-2</v>
      </c>
      <c r="Q859" s="1" t="s">
        <v>33</v>
      </c>
      <c r="R859" s="1" t="s">
        <v>136</v>
      </c>
      <c r="S859" s="1" t="s">
        <v>1278</v>
      </c>
      <c r="T859" s="1" t="s">
        <v>1556</v>
      </c>
      <c r="U859" s="1">
        <v>35601</v>
      </c>
      <c r="V859" s="9">
        <v>42093</v>
      </c>
      <c r="W859" s="13" t="str">
        <f>TEXT(Table1[[#This Row],[Order Date]],"mmmm")</f>
        <v>March</v>
      </c>
      <c r="X859" s="7" t="str">
        <f>TEXT(Table1[[#This Row],[Order Date]],"yyyy")</f>
        <v>2015</v>
      </c>
      <c r="Y859" s="9">
        <v>42103</v>
      </c>
      <c r="Z859" s="1">
        <v>-52.248000000000005</v>
      </c>
      <c r="AA859" s="1">
        <v>23</v>
      </c>
      <c r="AB859" s="1">
        <v>1316.03</v>
      </c>
      <c r="AC859" s="1">
        <v>86814</v>
      </c>
      <c r="AD859" s="6" t="str">
        <f>IF(COUNTIF(Returns!$A$2:$A$1635,Orders!AC859)&gt;0,"Returned","Not Returned")</f>
        <v>Not Returned</v>
      </c>
    </row>
    <row r="860" spans="1:30" ht="12.75" customHeight="1" thickTop="1" thickBot="1" x14ac:dyDescent="0.25">
      <c r="A860" s="10">
        <v>21455</v>
      </c>
      <c r="B860" s="11" t="s">
        <v>106</v>
      </c>
      <c r="C860" s="11">
        <v>0.09</v>
      </c>
      <c r="D860" s="11">
        <v>50.98</v>
      </c>
      <c r="E860" s="11">
        <v>6.5</v>
      </c>
      <c r="F860" s="11">
        <v>1527</v>
      </c>
      <c r="G860" s="6" t="str">
        <f>IF(COUNTIF(Table1[Customer ID],Table1[[#This Row],[Customer ID]])&gt;1,"Repeat Customer","One-Time Customer")</f>
        <v>Repeat Customer</v>
      </c>
      <c r="H860" s="11" t="s">
        <v>1554</v>
      </c>
      <c r="I860" s="11" t="s">
        <v>49</v>
      </c>
      <c r="J860" s="11" t="s">
        <v>40</v>
      </c>
      <c r="K860" s="11" t="s">
        <v>77</v>
      </c>
      <c r="L860" s="11" t="s">
        <v>180</v>
      </c>
      <c r="M860" s="11" t="s">
        <v>59</v>
      </c>
      <c r="N860" s="11" t="s">
        <v>937</v>
      </c>
      <c r="O860" s="11">
        <v>0.73</v>
      </c>
      <c r="P860" s="6">
        <f>Table1[[#This Row],[Profit]]/Table1[[#This Row],[Sales]]</f>
        <v>5.0290595595559713E-2</v>
      </c>
      <c r="Q860" s="11" t="s">
        <v>33</v>
      </c>
      <c r="R860" s="11" t="s">
        <v>136</v>
      </c>
      <c r="S860" s="11" t="s">
        <v>1278</v>
      </c>
      <c r="T860" s="11" t="s">
        <v>1556</v>
      </c>
      <c r="U860" s="11">
        <v>35601</v>
      </c>
      <c r="V860" s="12">
        <v>42145</v>
      </c>
      <c r="W860" s="13" t="str">
        <f>TEXT(Table1[[#This Row],[Order Date]],"mmmm")</f>
        <v>May</v>
      </c>
      <c r="X860" s="7" t="str">
        <f>TEXT(Table1[[#This Row],[Order Date]],"yyyy")</f>
        <v>2015</v>
      </c>
      <c r="Y860" s="12">
        <v>42152</v>
      </c>
      <c r="Z860" s="11">
        <v>70.175999999999988</v>
      </c>
      <c r="AA860" s="11">
        <v>28</v>
      </c>
      <c r="AB860" s="11">
        <v>1395.41</v>
      </c>
      <c r="AC860" s="11">
        <v>86815</v>
      </c>
      <c r="AD860" s="6" t="str">
        <f>IF(COUNTIF(Returns!$A$2:$A$1635,Orders!AC860)&gt;0,"Returned","Not Returned")</f>
        <v>Not Returned</v>
      </c>
    </row>
    <row r="861" spans="1:30" ht="12.75" customHeight="1" thickTop="1" thickBot="1" x14ac:dyDescent="0.25">
      <c r="A861" s="8">
        <v>24975</v>
      </c>
      <c r="B861" s="1" t="s">
        <v>47</v>
      </c>
      <c r="C861" s="1">
        <v>0.01</v>
      </c>
      <c r="D861" s="1">
        <v>525.98</v>
      </c>
      <c r="E861" s="1">
        <v>19.989999999999998</v>
      </c>
      <c r="F861" s="1">
        <v>1528</v>
      </c>
      <c r="G861" s="6" t="str">
        <f>IF(COUNTIF(Table1[Customer ID],Table1[[#This Row],[Customer ID]])&gt;1,"Repeat Customer","One-Time Customer")</f>
        <v>One-Time Customer</v>
      </c>
      <c r="H861" s="1" t="s">
        <v>1557</v>
      </c>
      <c r="I861" s="1" t="s">
        <v>49</v>
      </c>
      <c r="J861" s="1" t="s">
        <v>58</v>
      </c>
      <c r="K861" s="1" t="s">
        <v>29</v>
      </c>
      <c r="L861" s="1" t="s">
        <v>109</v>
      </c>
      <c r="M861" s="1" t="s">
        <v>59</v>
      </c>
      <c r="N861" s="1" t="s">
        <v>1558</v>
      </c>
      <c r="O861" s="1">
        <v>0.37</v>
      </c>
      <c r="P861" s="6">
        <f>Table1[[#This Row],[Profit]]/Table1[[#This Row],[Sales]]</f>
        <v>-3.2905964668418407E-2</v>
      </c>
      <c r="Q861" s="1" t="s">
        <v>33</v>
      </c>
      <c r="R861" s="1" t="s">
        <v>136</v>
      </c>
      <c r="S861" s="1" t="s">
        <v>322</v>
      </c>
      <c r="T861" s="1" t="s">
        <v>1559</v>
      </c>
      <c r="U861" s="1">
        <v>27288</v>
      </c>
      <c r="V861" s="9">
        <v>42013</v>
      </c>
      <c r="W861" s="13" t="str">
        <f>TEXT(Table1[[#This Row],[Order Date]],"mmmm")</f>
        <v>January</v>
      </c>
      <c r="X861" s="7" t="str">
        <f>TEXT(Table1[[#This Row],[Order Date]],"yyyy")</f>
        <v>2015</v>
      </c>
      <c r="Y861" s="9">
        <v>42015</v>
      </c>
      <c r="Z861" s="1">
        <v>-161.92400000000001</v>
      </c>
      <c r="AA861" s="1">
        <v>9</v>
      </c>
      <c r="AB861" s="1">
        <v>4920.8100000000004</v>
      </c>
      <c r="AC861" s="1">
        <v>86813</v>
      </c>
      <c r="AD861" s="6" t="str">
        <f>IF(COUNTIF(Returns!$A$2:$A$1635,Orders!AC861)&gt;0,"Returned","Not Returned")</f>
        <v>Not Returned</v>
      </c>
    </row>
    <row r="862" spans="1:30" ht="12.75" customHeight="1" thickTop="1" thickBot="1" x14ac:dyDescent="0.25">
      <c r="A862" s="10">
        <v>21199</v>
      </c>
      <c r="B862" s="11" t="s">
        <v>47</v>
      </c>
      <c r="C862" s="11">
        <v>7.0000000000000007E-2</v>
      </c>
      <c r="D862" s="11">
        <v>4.91</v>
      </c>
      <c r="E862" s="11">
        <v>0.5</v>
      </c>
      <c r="F862" s="11">
        <v>1531</v>
      </c>
      <c r="G862" s="6" t="str">
        <f>IF(COUNTIF(Table1[Customer ID],Table1[[#This Row],[Customer ID]])&gt;1,"Repeat Customer","One-Time Customer")</f>
        <v>One-Time Customer</v>
      </c>
      <c r="H862" s="11" t="s">
        <v>1560</v>
      </c>
      <c r="I862" s="11" t="s">
        <v>49</v>
      </c>
      <c r="J862" s="11" t="s">
        <v>114</v>
      </c>
      <c r="K862" s="11" t="s">
        <v>29</v>
      </c>
      <c r="L862" s="11" t="s">
        <v>134</v>
      </c>
      <c r="M862" s="11" t="s">
        <v>59</v>
      </c>
      <c r="N862" s="11" t="s">
        <v>1561</v>
      </c>
      <c r="O862" s="11">
        <v>0.36</v>
      </c>
      <c r="P862" s="6">
        <f>Table1[[#This Row],[Profit]]/Table1[[#This Row],[Sales]]</f>
        <v>-5.5880935506732818</v>
      </c>
      <c r="Q862" s="11" t="s">
        <v>33</v>
      </c>
      <c r="R862" s="11" t="s">
        <v>136</v>
      </c>
      <c r="S862" s="11" t="s">
        <v>362</v>
      </c>
      <c r="T862" s="11" t="s">
        <v>1562</v>
      </c>
      <c r="U862" s="11">
        <v>32137</v>
      </c>
      <c r="V862" s="12">
        <v>42021</v>
      </c>
      <c r="W862" s="13" t="str">
        <f>TEXT(Table1[[#This Row],[Order Date]],"mmmm")</f>
        <v>January</v>
      </c>
      <c r="X862" s="7" t="str">
        <f>TEXT(Table1[[#This Row],[Order Date]],"yyyy")</f>
        <v>2015</v>
      </c>
      <c r="Y862" s="12">
        <v>42022</v>
      </c>
      <c r="Z862" s="11">
        <v>-157.696</v>
      </c>
      <c r="AA862" s="11">
        <v>6</v>
      </c>
      <c r="AB862" s="11">
        <v>28.22</v>
      </c>
      <c r="AC862" s="11">
        <v>88852</v>
      </c>
      <c r="AD862" s="6" t="str">
        <f>IF(COUNTIF(Returns!$A$2:$A$1635,Orders!AC862)&gt;0,"Returned","Not Returned")</f>
        <v>Not Returned</v>
      </c>
    </row>
    <row r="863" spans="1:30" ht="12.75" customHeight="1" thickTop="1" thickBot="1" x14ac:dyDescent="0.25">
      <c r="A863" s="8">
        <v>21596</v>
      </c>
      <c r="B863" s="1" t="s">
        <v>25</v>
      </c>
      <c r="C863" s="1">
        <v>0.02</v>
      </c>
      <c r="D863" s="1">
        <v>4.8899999999999997</v>
      </c>
      <c r="E863" s="1">
        <v>4.93</v>
      </c>
      <c r="F863" s="1">
        <v>1533</v>
      </c>
      <c r="G863" s="6" t="str">
        <f>IF(COUNTIF(Table1[Customer ID],Table1[[#This Row],[Customer ID]])&gt;1,"Repeat Customer","One-Time Customer")</f>
        <v>Repeat Customer</v>
      </c>
      <c r="H863" s="1" t="s">
        <v>1563</v>
      </c>
      <c r="I863" s="1" t="s">
        <v>49</v>
      </c>
      <c r="J863" s="1" t="s">
        <v>28</v>
      </c>
      <c r="K863" s="1" t="s">
        <v>77</v>
      </c>
      <c r="L863" s="1" t="s">
        <v>180</v>
      </c>
      <c r="M863" s="1" t="s">
        <v>51</v>
      </c>
      <c r="N863" s="1" t="s">
        <v>458</v>
      </c>
      <c r="O863" s="1">
        <v>0.66</v>
      </c>
      <c r="P863" s="6">
        <f>Table1[[#This Row],[Profit]]/Table1[[#This Row],[Sales]]</f>
        <v>-0.76268071882178079</v>
      </c>
      <c r="Q863" s="1" t="s">
        <v>33</v>
      </c>
      <c r="R863" s="1" t="s">
        <v>61</v>
      </c>
      <c r="S863" s="1" t="s">
        <v>506</v>
      </c>
      <c r="T863" s="1" t="s">
        <v>1564</v>
      </c>
      <c r="U863" s="1">
        <v>63130</v>
      </c>
      <c r="V863" s="9">
        <v>42041</v>
      </c>
      <c r="W863" s="13" t="str">
        <f>TEXT(Table1[[#This Row],[Order Date]],"mmmm")</f>
        <v>February</v>
      </c>
      <c r="X863" s="7" t="str">
        <f>TEXT(Table1[[#This Row],[Order Date]],"yyyy")</f>
        <v>2015</v>
      </c>
      <c r="Y863" s="9">
        <v>42042</v>
      </c>
      <c r="Z863" s="1">
        <v>-56.445999999999998</v>
      </c>
      <c r="AA863" s="1">
        <v>14</v>
      </c>
      <c r="AB863" s="1">
        <v>74.010000000000005</v>
      </c>
      <c r="AC863" s="1">
        <v>91328</v>
      </c>
      <c r="AD863" s="6" t="str">
        <f>IF(COUNTIF(Returns!$A$2:$A$1635,Orders!AC863)&gt;0,"Returned","Not Returned")</f>
        <v>Not Returned</v>
      </c>
    </row>
    <row r="864" spans="1:30" ht="12.75" customHeight="1" thickTop="1" thickBot="1" x14ac:dyDescent="0.25">
      <c r="A864" s="10">
        <v>21597</v>
      </c>
      <c r="B864" s="11" t="s">
        <v>25</v>
      </c>
      <c r="C864" s="11">
        <v>7.0000000000000007E-2</v>
      </c>
      <c r="D864" s="11">
        <v>10.06</v>
      </c>
      <c r="E864" s="11">
        <v>2.06</v>
      </c>
      <c r="F864" s="11">
        <v>1533</v>
      </c>
      <c r="G864" s="6" t="str">
        <f>IF(COUNTIF(Table1[Customer ID],Table1[[#This Row],[Customer ID]])&gt;1,"Repeat Customer","One-Time Customer")</f>
        <v>Repeat Customer</v>
      </c>
      <c r="H864" s="11" t="s">
        <v>1563</v>
      </c>
      <c r="I864" s="11" t="s">
        <v>49</v>
      </c>
      <c r="J864" s="11" t="s">
        <v>28</v>
      </c>
      <c r="K864" s="11" t="s">
        <v>29</v>
      </c>
      <c r="L864" s="11" t="s">
        <v>93</v>
      </c>
      <c r="M864" s="11" t="s">
        <v>31</v>
      </c>
      <c r="N864" s="11" t="s">
        <v>280</v>
      </c>
      <c r="O864" s="11">
        <v>0.39</v>
      </c>
      <c r="P864" s="6">
        <f>Table1[[#This Row],[Profit]]/Table1[[#This Row],[Sales]]</f>
        <v>0.69</v>
      </c>
      <c r="Q864" s="11" t="s">
        <v>33</v>
      </c>
      <c r="R864" s="11" t="s">
        <v>61</v>
      </c>
      <c r="S864" s="11" t="s">
        <v>506</v>
      </c>
      <c r="T864" s="11" t="s">
        <v>1564</v>
      </c>
      <c r="U864" s="11">
        <v>63130</v>
      </c>
      <c r="V864" s="12">
        <v>42041</v>
      </c>
      <c r="W864" s="13" t="str">
        <f>TEXT(Table1[[#This Row],[Order Date]],"mmmm")</f>
        <v>February</v>
      </c>
      <c r="X864" s="7" t="str">
        <f>TEXT(Table1[[#This Row],[Order Date]],"yyyy")</f>
        <v>2015</v>
      </c>
      <c r="Y864" s="12">
        <v>42042</v>
      </c>
      <c r="Z864" s="11">
        <v>33.189</v>
      </c>
      <c r="AA864" s="11">
        <v>5</v>
      </c>
      <c r="AB864" s="11">
        <v>48.1</v>
      </c>
      <c r="AC864" s="11">
        <v>91328</v>
      </c>
      <c r="AD864" s="6" t="str">
        <f>IF(COUNTIF(Returns!$A$2:$A$1635,Orders!AC864)&gt;0,"Returned","Not Returned")</f>
        <v>Not Returned</v>
      </c>
    </row>
    <row r="865" spans="1:30" ht="12.75" customHeight="1" thickTop="1" thickBot="1" x14ac:dyDescent="0.25">
      <c r="A865" s="8">
        <v>23147</v>
      </c>
      <c r="B865" s="1" t="s">
        <v>106</v>
      </c>
      <c r="C865" s="1">
        <v>0</v>
      </c>
      <c r="D865" s="1">
        <v>599.99</v>
      </c>
      <c r="E865" s="1">
        <v>24.49</v>
      </c>
      <c r="F865" s="1">
        <v>1548</v>
      </c>
      <c r="G865" s="6" t="str">
        <f>IF(COUNTIF(Table1[Customer ID],Table1[[#This Row],[Customer ID]])&gt;1,"Repeat Customer","One-Time Customer")</f>
        <v>One-Time Customer</v>
      </c>
      <c r="H865" s="1" t="s">
        <v>1565</v>
      </c>
      <c r="I865" s="1" t="s">
        <v>49</v>
      </c>
      <c r="J865" s="1" t="s">
        <v>28</v>
      </c>
      <c r="K865" s="1" t="s">
        <v>77</v>
      </c>
      <c r="L865" s="1" t="s">
        <v>587</v>
      </c>
      <c r="M865" s="1" t="s">
        <v>236</v>
      </c>
      <c r="N865" s="1" t="s">
        <v>1566</v>
      </c>
      <c r="O865" s="1">
        <v>0.44</v>
      </c>
      <c r="P865" s="6">
        <f>Table1[[#This Row],[Profit]]/Table1[[#This Row],[Sales]]</f>
        <v>-3.3330700755822083E-2</v>
      </c>
      <c r="Q865" s="1" t="s">
        <v>33</v>
      </c>
      <c r="R865" s="1" t="s">
        <v>61</v>
      </c>
      <c r="S865" s="1" t="s">
        <v>703</v>
      </c>
      <c r="T865" s="1" t="s">
        <v>1567</v>
      </c>
      <c r="U865" s="1">
        <v>47374</v>
      </c>
      <c r="V865" s="9">
        <v>42178</v>
      </c>
      <c r="W865" s="13" t="str">
        <f>TEXT(Table1[[#This Row],[Order Date]],"mmmm")</f>
        <v>June</v>
      </c>
      <c r="X865" s="7" t="str">
        <f>TEXT(Table1[[#This Row],[Order Date]],"yyyy")</f>
        <v>2015</v>
      </c>
      <c r="Y865" s="9">
        <v>42180</v>
      </c>
      <c r="Z865" s="1">
        <v>-367.16500000000002</v>
      </c>
      <c r="AA865" s="1">
        <v>18</v>
      </c>
      <c r="AB865" s="1">
        <v>11015.82</v>
      </c>
      <c r="AC865" s="1">
        <v>88487</v>
      </c>
      <c r="AD865" s="6" t="str">
        <f>IF(COUNTIF(Returns!$A$2:$A$1635,Orders!AC865)&gt;0,"Returned","Not Returned")</f>
        <v>Not Returned</v>
      </c>
    </row>
    <row r="866" spans="1:30" ht="12.75" customHeight="1" thickTop="1" thickBot="1" x14ac:dyDescent="0.25">
      <c r="A866" s="10">
        <v>19627</v>
      </c>
      <c r="B866" s="11" t="s">
        <v>106</v>
      </c>
      <c r="C866" s="11">
        <v>7.0000000000000007E-2</v>
      </c>
      <c r="D866" s="11">
        <v>17.7</v>
      </c>
      <c r="E866" s="11">
        <v>9.4700000000000006</v>
      </c>
      <c r="F866" s="11">
        <v>1551</v>
      </c>
      <c r="G866" s="6" t="str">
        <f>IF(COUNTIF(Table1[Customer ID],Table1[[#This Row],[Customer ID]])&gt;1,"Repeat Customer","One-Time Customer")</f>
        <v>One-Time Customer</v>
      </c>
      <c r="H866" s="11" t="s">
        <v>1568</v>
      </c>
      <c r="I866" s="11" t="s">
        <v>49</v>
      </c>
      <c r="J866" s="11" t="s">
        <v>114</v>
      </c>
      <c r="K866" s="11" t="s">
        <v>29</v>
      </c>
      <c r="L866" s="11" t="s">
        <v>141</v>
      </c>
      <c r="M866" s="11" t="s">
        <v>59</v>
      </c>
      <c r="N866" s="11" t="s">
        <v>1569</v>
      </c>
      <c r="O866" s="11">
        <v>0.59</v>
      </c>
      <c r="P866" s="6">
        <f>Table1[[#This Row],[Profit]]/Table1[[#This Row],[Sales]]</f>
        <v>-0.81000432367712105</v>
      </c>
      <c r="Q866" s="11" t="s">
        <v>33</v>
      </c>
      <c r="R866" s="11" t="s">
        <v>136</v>
      </c>
      <c r="S866" s="11" t="s">
        <v>671</v>
      </c>
      <c r="T866" s="11" t="s">
        <v>1570</v>
      </c>
      <c r="U866" s="11">
        <v>39530</v>
      </c>
      <c r="V866" s="12">
        <v>42180</v>
      </c>
      <c r="W866" s="13" t="str">
        <f>TEXT(Table1[[#This Row],[Order Date]],"mmmm")</f>
        <v>June</v>
      </c>
      <c r="X866" s="7" t="str">
        <f>TEXT(Table1[[#This Row],[Order Date]],"yyyy")</f>
        <v>2015</v>
      </c>
      <c r="Y866" s="12">
        <v>42186</v>
      </c>
      <c r="Z866" s="11">
        <v>-243.54400000000001</v>
      </c>
      <c r="AA866" s="11">
        <v>18</v>
      </c>
      <c r="AB866" s="11">
        <v>300.67</v>
      </c>
      <c r="AC866" s="11">
        <v>87488</v>
      </c>
      <c r="AD866" s="6" t="str">
        <f>IF(COUNTIF(Returns!$A$2:$A$1635,Orders!AC866)&gt;0,"Returned","Not Returned")</f>
        <v>Not Returned</v>
      </c>
    </row>
    <row r="867" spans="1:30" ht="12.75" customHeight="1" thickTop="1" thickBot="1" x14ac:dyDescent="0.25">
      <c r="A867" s="8">
        <v>20993</v>
      </c>
      <c r="B867" s="1" t="s">
        <v>47</v>
      </c>
      <c r="C867" s="1">
        <v>0.01</v>
      </c>
      <c r="D867" s="1">
        <v>348.21</v>
      </c>
      <c r="E867" s="1">
        <v>40.19</v>
      </c>
      <c r="F867" s="1">
        <v>1552</v>
      </c>
      <c r="G867" s="6" t="str">
        <f>IF(COUNTIF(Table1[Customer ID],Table1[[#This Row],[Customer ID]])&gt;1,"Repeat Customer","One-Time Customer")</f>
        <v>One-Time Customer</v>
      </c>
      <c r="H867" s="1" t="s">
        <v>1571</v>
      </c>
      <c r="I867" s="1" t="s">
        <v>39</v>
      </c>
      <c r="J867" s="1" t="s">
        <v>58</v>
      </c>
      <c r="K867" s="1" t="s">
        <v>41</v>
      </c>
      <c r="L867" s="1" t="s">
        <v>152</v>
      </c>
      <c r="M867" s="1" t="s">
        <v>121</v>
      </c>
      <c r="N867" s="1" t="s">
        <v>1572</v>
      </c>
      <c r="O867" s="1">
        <v>0.62</v>
      </c>
      <c r="P867" s="6">
        <f>Table1[[#This Row],[Profit]]/Table1[[#This Row],[Sales]]</f>
        <v>-0.46589269425325486</v>
      </c>
      <c r="Q867" s="1" t="s">
        <v>33</v>
      </c>
      <c r="R867" s="1" t="s">
        <v>136</v>
      </c>
      <c r="S867" s="1" t="s">
        <v>671</v>
      </c>
      <c r="T867" s="1" t="s">
        <v>1573</v>
      </c>
      <c r="U867" s="1">
        <v>39056</v>
      </c>
      <c r="V867" s="9">
        <v>42005</v>
      </c>
      <c r="W867" s="13" t="str">
        <f>TEXT(Table1[[#This Row],[Order Date]],"mmmm")</f>
        <v>January</v>
      </c>
      <c r="X867" s="7" t="str">
        <f>TEXT(Table1[[#This Row],[Order Date]],"yyyy")</f>
        <v>2015</v>
      </c>
      <c r="Y867" s="9">
        <v>42008</v>
      </c>
      <c r="Z867" s="1">
        <v>-337.09199999999998</v>
      </c>
      <c r="AA867" s="1">
        <v>2</v>
      </c>
      <c r="AB867" s="1">
        <v>723.54</v>
      </c>
      <c r="AC867" s="1">
        <v>87486</v>
      </c>
      <c r="AD867" s="6" t="str">
        <f>IF(COUNTIF(Returns!$A$2:$A$1635,Orders!AC867)&gt;0,"Returned","Not Returned")</f>
        <v>Not Returned</v>
      </c>
    </row>
    <row r="868" spans="1:30" ht="12.75" customHeight="1" thickTop="1" thickBot="1" x14ac:dyDescent="0.25">
      <c r="A868" s="10">
        <v>24862</v>
      </c>
      <c r="B868" s="11" t="s">
        <v>37</v>
      </c>
      <c r="C868" s="11">
        <v>0.03</v>
      </c>
      <c r="D868" s="11">
        <v>12.28</v>
      </c>
      <c r="E868" s="11">
        <v>6.35</v>
      </c>
      <c r="F868" s="11">
        <v>1553</v>
      </c>
      <c r="G868" s="6" t="str">
        <f>IF(COUNTIF(Table1[Customer ID],Table1[[#This Row],[Customer ID]])&gt;1,"Repeat Customer","One-Time Customer")</f>
        <v>One-Time Customer</v>
      </c>
      <c r="H868" s="11" t="s">
        <v>1574</v>
      </c>
      <c r="I868" s="11" t="s">
        <v>49</v>
      </c>
      <c r="J868" s="11" t="s">
        <v>58</v>
      </c>
      <c r="K868" s="11" t="s">
        <v>29</v>
      </c>
      <c r="L868" s="11" t="s">
        <v>93</v>
      </c>
      <c r="M868" s="11" t="s">
        <v>59</v>
      </c>
      <c r="N868" s="11" t="s">
        <v>1575</v>
      </c>
      <c r="O868" s="11">
        <v>0.38</v>
      </c>
      <c r="P868" s="6">
        <f>Table1[[#This Row],[Profit]]/Table1[[#This Row],[Sales]]</f>
        <v>0.78459956586313251</v>
      </c>
      <c r="Q868" s="11" t="s">
        <v>33</v>
      </c>
      <c r="R868" s="11" t="s">
        <v>136</v>
      </c>
      <c r="S868" s="11" t="s">
        <v>671</v>
      </c>
      <c r="T868" s="11" t="s">
        <v>1576</v>
      </c>
      <c r="U868" s="11">
        <v>38701</v>
      </c>
      <c r="V868" s="12">
        <v>42085</v>
      </c>
      <c r="W868" s="13" t="str">
        <f>TEXT(Table1[[#This Row],[Order Date]],"mmmm")</f>
        <v>March</v>
      </c>
      <c r="X868" s="7" t="str">
        <f>TEXT(Table1[[#This Row],[Order Date]],"yyyy")</f>
        <v>2015</v>
      </c>
      <c r="Y868" s="12">
        <v>42087</v>
      </c>
      <c r="Z868" s="11">
        <v>68.675999999999988</v>
      </c>
      <c r="AA868" s="11">
        <v>7</v>
      </c>
      <c r="AB868" s="11">
        <v>87.53</v>
      </c>
      <c r="AC868" s="11">
        <v>87484</v>
      </c>
      <c r="AD868" s="6" t="str">
        <f>IF(COUNTIF(Returns!$A$2:$A$1635,Orders!AC868)&gt;0,"Returned","Not Returned")</f>
        <v>Not Returned</v>
      </c>
    </row>
    <row r="869" spans="1:30" ht="12.75" customHeight="1" thickTop="1" thickBot="1" x14ac:dyDescent="0.25">
      <c r="A869" s="8">
        <v>26135</v>
      </c>
      <c r="B869" s="1" t="s">
        <v>25</v>
      </c>
      <c r="C869" s="1">
        <v>0.04</v>
      </c>
      <c r="D869" s="1">
        <v>10.98</v>
      </c>
      <c r="E869" s="1">
        <v>3.99</v>
      </c>
      <c r="F869" s="1">
        <v>1554</v>
      </c>
      <c r="G869" s="6" t="str">
        <f>IF(COUNTIF(Table1[Customer ID],Table1[[#This Row],[Customer ID]])&gt;1,"Repeat Customer","One-Time Customer")</f>
        <v>Repeat Customer</v>
      </c>
      <c r="H869" s="1" t="s">
        <v>1577</v>
      </c>
      <c r="I869" s="1" t="s">
        <v>49</v>
      </c>
      <c r="J869" s="1" t="s">
        <v>58</v>
      </c>
      <c r="K869" s="1" t="s">
        <v>29</v>
      </c>
      <c r="L869" s="1" t="s">
        <v>257</v>
      </c>
      <c r="M869" s="1" t="s">
        <v>59</v>
      </c>
      <c r="N869" s="1" t="s">
        <v>1578</v>
      </c>
      <c r="O869" s="1">
        <v>0.57999999999999996</v>
      </c>
      <c r="P869" s="6">
        <f>Table1[[#This Row],[Profit]]/Table1[[#This Row],[Sales]]</f>
        <v>2.7931250725815815</v>
      </c>
      <c r="Q869" s="1" t="s">
        <v>33</v>
      </c>
      <c r="R869" s="1" t="s">
        <v>136</v>
      </c>
      <c r="S869" s="1" t="s">
        <v>671</v>
      </c>
      <c r="T869" s="1" t="s">
        <v>1579</v>
      </c>
      <c r="U869" s="1">
        <v>39503</v>
      </c>
      <c r="V869" s="9">
        <v>42142</v>
      </c>
      <c r="W869" s="13" t="str">
        <f>TEXT(Table1[[#This Row],[Order Date]],"mmmm")</f>
        <v>May</v>
      </c>
      <c r="X869" s="7" t="str">
        <f>TEXT(Table1[[#This Row],[Order Date]],"yyyy")</f>
        <v>2015</v>
      </c>
      <c r="Y869" s="9">
        <v>42142</v>
      </c>
      <c r="Z869" s="1">
        <v>481.03199999999998</v>
      </c>
      <c r="AA869" s="1">
        <v>15</v>
      </c>
      <c r="AB869" s="1">
        <v>172.22</v>
      </c>
      <c r="AC869" s="1">
        <v>87485</v>
      </c>
      <c r="AD869" s="6" t="str">
        <f>IF(COUNTIF(Returns!$A$2:$A$1635,Orders!AC869)&gt;0,"Returned","Not Returned")</f>
        <v>Not Returned</v>
      </c>
    </row>
    <row r="870" spans="1:30" ht="12.75" customHeight="1" thickTop="1" thickBot="1" x14ac:dyDescent="0.25">
      <c r="A870" s="10">
        <v>25409</v>
      </c>
      <c r="B870" s="11" t="s">
        <v>25</v>
      </c>
      <c r="C870" s="11">
        <v>0.03</v>
      </c>
      <c r="D870" s="11">
        <v>124.49</v>
      </c>
      <c r="E870" s="11">
        <v>51.94</v>
      </c>
      <c r="F870" s="11">
        <v>1554</v>
      </c>
      <c r="G870" s="6" t="str">
        <f>IF(COUNTIF(Table1[Customer ID],Table1[[#This Row],[Customer ID]])&gt;1,"Repeat Customer","One-Time Customer")</f>
        <v>Repeat Customer</v>
      </c>
      <c r="H870" s="11" t="s">
        <v>1577</v>
      </c>
      <c r="I870" s="11" t="s">
        <v>39</v>
      </c>
      <c r="J870" s="11" t="s">
        <v>114</v>
      </c>
      <c r="K870" s="11" t="s">
        <v>41</v>
      </c>
      <c r="L870" s="11" t="s">
        <v>152</v>
      </c>
      <c r="M870" s="11" t="s">
        <v>121</v>
      </c>
      <c r="N870" s="11" t="s">
        <v>462</v>
      </c>
      <c r="O870" s="11">
        <v>0.63</v>
      </c>
      <c r="P870" s="6">
        <f>Table1[[#This Row],[Profit]]/Table1[[#This Row],[Sales]]</f>
        <v>-4.4899874843554455E-3</v>
      </c>
      <c r="Q870" s="11" t="s">
        <v>33</v>
      </c>
      <c r="R870" s="11" t="s">
        <v>136</v>
      </c>
      <c r="S870" s="11" t="s">
        <v>671</v>
      </c>
      <c r="T870" s="11" t="s">
        <v>1579</v>
      </c>
      <c r="U870" s="11">
        <v>39503</v>
      </c>
      <c r="V870" s="12">
        <v>42048</v>
      </c>
      <c r="W870" s="13" t="str">
        <f>TEXT(Table1[[#This Row],[Order Date]],"mmmm")</f>
        <v>February</v>
      </c>
      <c r="X870" s="7" t="str">
        <f>TEXT(Table1[[#This Row],[Order Date]],"yyyy")</f>
        <v>2015</v>
      </c>
      <c r="Y870" s="12">
        <v>42049</v>
      </c>
      <c r="Z870" s="11">
        <v>-4.0180000000000007</v>
      </c>
      <c r="AA870" s="11">
        <v>7</v>
      </c>
      <c r="AB870" s="11">
        <v>894.88</v>
      </c>
      <c r="AC870" s="11">
        <v>87487</v>
      </c>
      <c r="AD870" s="6" t="str">
        <f>IF(COUNTIF(Returns!$A$2:$A$1635,Orders!AC870)&gt;0,"Returned","Not Returned")</f>
        <v>Not Returned</v>
      </c>
    </row>
    <row r="871" spans="1:30" ht="12.75" customHeight="1" thickTop="1" thickBot="1" x14ac:dyDescent="0.25">
      <c r="A871" s="8">
        <v>18294</v>
      </c>
      <c r="B871" s="1" t="s">
        <v>37</v>
      </c>
      <c r="C871" s="1">
        <v>0.06</v>
      </c>
      <c r="D871" s="1">
        <v>2.89</v>
      </c>
      <c r="E871" s="1">
        <v>0.99</v>
      </c>
      <c r="F871" s="1">
        <v>1556</v>
      </c>
      <c r="G871" s="6" t="str">
        <f>IF(COUNTIF(Table1[Customer ID],Table1[[#This Row],[Customer ID]])&gt;1,"Repeat Customer","One-Time Customer")</f>
        <v>Repeat Customer</v>
      </c>
      <c r="H871" s="1" t="s">
        <v>1580</v>
      </c>
      <c r="I871" s="1" t="s">
        <v>49</v>
      </c>
      <c r="J871" s="1" t="s">
        <v>114</v>
      </c>
      <c r="K871" s="1" t="s">
        <v>29</v>
      </c>
      <c r="L871" s="1" t="s">
        <v>134</v>
      </c>
      <c r="M871" s="1" t="s">
        <v>59</v>
      </c>
      <c r="N871" s="1" t="s">
        <v>1581</v>
      </c>
      <c r="O871" s="1">
        <v>0.38</v>
      </c>
      <c r="P871" s="6">
        <f>Table1[[#This Row],[Profit]]/Table1[[#This Row],[Sales]]</f>
        <v>-0.12055788842231553</v>
      </c>
      <c r="Q871" s="1" t="s">
        <v>33</v>
      </c>
      <c r="R871" s="1" t="s">
        <v>136</v>
      </c>
      <c r="S871" s="1" t="s">
        <v>137</v>
      </c>
      <c r="T871" s="1" t="s">
        <v>1454</v>
      </c>
      <c r="U871" s="1">
        <v>22304</v>
      </c>
      <c r="V871" s="9">
        <v>42156</v>
      </c>
      <c r="W871" s="13" t="str">
        <f>TEXT(Table1[[#This Row],[Order Date]],"mmmm")</f>
        <v>June</v>
      </c>
      <c r="X871" s="7" t="str">
        <f>TEXT(Table1[[#This Row],[Order Date]],"yyyy")</f>
        <v>2015</v>
      </c>
      <c r="Y871" s="9">
        <v>42158</v>
      </c>
      <c r="Z871" s="1">
        <v>-2.0097</v>
      </c>
      <c r="AA871" s="1">
        <v>6</v>
      </c>
      <c r="AB871" s="1">
        <v>16.670000000000002</v>
      </c>
      <c r="AC871" s="1">
        <v>87425</v>
      </c>
      <c r="AD871" s="6" t="str">
        <f>IF(COUNTIF(Returns!$A$2:$A$1635,Orders!AC871)&gt;0,"Returned","Not Returned")</f>
        <v>Not Returned</v>
      </c>
    </row>
    <row r="872" spans="1:30" ht="12.75" customHeight="1" thickTop="1" thickBot="1" x14ac:dyDescent="0.25">
      <c r="A872" s="10">
        <v>18295</v>
      </c>
      <c r="B872" s="11" t="s">
        <v>37</v>
      </c>
      <c r="C872" s="11">
        <v>0.08</v>
      </c>
      <c r="D872" s="11">
        <v>22.84</v>
      </c>
      <c r="E872" s="11">
        <v>11.54</v>
      </c>
      <c r="F872" s="11">
        <v>1556</v>
      </c>
      <c r="G872" s="6" t="str">
        <f>IF(COUNTIF(Table1[Customer ID],Table1[[#This Row],[Customer ID]])&gt;1,"Repeat Customer","One-Time Customer")</f>
        <v>Repeat Customer</v>
      </c>
      <c r="H872" s="11" t="s">
        <v>1580</v>
      </c>
      <c r="I872" s="11" t="s">
        <v>49</v>
      </c>
      <c r="J872" s="11" t="s">
        <v>114</v>
      </c>
      <c r="K872" s="11" t="s">
        <v>29</v>
      </c>
      <c r="L872" s="11" t="s">
        <v>93</v>
      </c>
      <c r="M872" s="11" t="s">
        <v>59</v>
      </c>
      <c r="N872" s="11" t="s">
        <v>227</v>
      </c>
      <c r="O872" s="11">
        <v>0.39</v>
      </c>
      <c r="P872" s="6">
        <f>Table1[[#This Row],[Profit]]/Table1[[#This Row],[Sales]]</f>
        <v>-2.4460545193687233</v>
      </c>
      <c r="Q872" s="11" t="s">
        <v>33</v>
      </c>
      <c r="R872" s="11" t="s">
        <v>136</v>
      </c>
      <c r="S872" s="11" t="s">
        <v>137</v>
      </c>
      <c r="T872" s="11" t="s">
        <v>1454</v>
      </c>
      <c r="U872" s="11">
        <v>22304</v>
      </c>
      <c r="V872" s="12">
        <v>42156</v>
      </c>
      <c r="W872" s="13" t="str">
        <f>TEXT(Table1[[#This Row],[Order Date]],"mmmm")</f>
        <v>June</v>
      </c>
      <c r="X872" s="7" t="str">
        <f>TEXT(Table1[[#This Row],[Order Date]],"yyyy")</f>
        <v>2015</v>
      </c>
      <c r="Y872" s="12">
        <v>42158</v>
      </c>
      <c r="Z872" s="11">
        <v>-477.37200000000007</v>
      </c>
      <c r="AA872" s="11">
        <v>9</v>
      </c>
      <c r="AB872" s="11">
        <v>195.16</v>
      </c>
      <c r="AC872" s="11">
        <v>87425</v>
      </c>
      <c r="AD872" s="6" t="str">
        <f>IF(COUNTIF(Returns!$A$2:$A$1635,Orders!AC872)&gt;0,"Returned","Not Returned")</f>
        <v>Not Returned</v>
      </c>
    </row>
    <row r="873" spans="1:30" ht="12.75" customHeight="1" thickTop="1" thickBot="1" x14ac:dyDescent="0.25">
      <c r="A873" s="8">
        <v>18511</v>
      </c>
      <c r="B873" s="1" t="s">
        <v>106</v>
      </c>
      <c r="C873" s="1">
        <v>0.09</v>
      </c>
      <c r="D873" s="1">
        <v>60.98</v>
      </c>
      <c r="E873" s="1">
        <v>49</v>
      </c>
      <c r="F873" s="1">
        <v>1557</v>
      </c>
      <c r="G873" s="6" t="str">
        <f>IF(COUNTIF(Table1[Customer ID],Table1[[#This Row],[Customer ID]])&gt;1,"Repeat Customer","One-Time Customer")</f>
        <v>Repeat Customer</v>
      </c>
      <c r="H873" s="1" t="s">
        <v>1582</v>
      </c>
      <c r="I873" s="1" t="s">
        <v>49</v>
      </c>
      <c r="J873" s="1" t="s">
        <v>114</v>
      </c>
      <c r="K873" s="1" t="s">
        <v>29</v>
      </c>
      <c r="L873" s="1" t="s">
        <v>257</v>
      </c>
      <c r="M873" s="1" t="s">
        <v>236</v>
      </c>
      <c r="N873" s="1" t="s">
        <v>1583</v>
      </c>
      <c r="O873" s="1">
        <v>0.59</v>
      </c>
      <c r="P873" s="6">
        <f>Table1[[#This Row],[Profit]]/Table1[[#This Row],[Sales]]</f>
        <v>-1.0854209772401719</v>
      </c>
      <c r="Q873" s="1" t="s">
        <v>33</v>
      </c>
      <c r="R873" s="1" t="s">
        <v>136</v>
      </c>
      <c r="S873" s="1" t="s">
        <v>137</v>
      </c>
      <c r="T873" s="1" t="s">
        <v>1584</v>
      </c>
      <c r="U873" s="1">
        <v>22003</v>
      </c>
      <c r="V873" s="9">
        <v>42088</v>
      </c>
      <c r="W873" s="13" t="str">
        <f>TEXT(Table1[[#This Row],[Order Date]],"mmmm")</f>
        <v>March</v>
      </c>
      <c r="X873" s="7" t="str">
        <f>TEXT(Table1[[#This Row],[Order Date]],"yyyy")</f>
        <v>2015</v>
      </c>
      <c r="Y873" s="9">
        <v>42096</v>
      </c>
      <c r="Z873" s="1">
        <v>-954.75800000000004</v>
      </c>
      <c r="AA873" s="1">
        <v>15</v>
      </c>
      <c r="AB873" s="1">
        <v>879.62</v>
      </c>
      <c r="AC873" s="1">
        <v>87426</v>
      </c>
      <c r="AD873" s="6" t="str">
        <f>IF(COUNTIF(Returns!$A$2:$A$1635,Orders!AC873)&gt;0,"Returned","Not Returned")</f>
        <v>Not Returned</v>
      </c>
    </row>
    <row r="874" spans="1:30" ht="12.75" customHeight="1" thickTop="1" thickBot="1" x14ac:dyDescent="0.25">
      <c r="A874" s="10">
        <v>18512</v>
      </c>
      <c r="B874" s="11" t="s">
        <v>106</v>
      </c>
      <c r="C874" s="11">
        <v>0.05</v>
      </c>
      <c r="D874" s="11">
        <v>29.89</v>
      </c>
      <c r="E874" s="11">
        <v>1.99</v>
      </c>
      <c r="F874" s="11">
        <v>1557</v>
      </c>
      <c r="G874" s="6" t="str">
        <f>IF(COUNTIF(Table1[Customer ID],Table1[[#This Row],[Customer ID]])&gt;1,"Repeat Customer","One-Time Customer")</f>
        <v>Repeat Customer</v>
      </c>
      <c r="H874" s="11" t="s">
        <v>1582</v>
      </c>
      <c r="I874" s="11" t="s">
        <v>49</v>
      </c>
      <c r="J874" s="11" t="s">
        <v>114</v>
      </c>
      <c r="K874" s="11" t="s">
        <v>77</v>
      </c>
      <c r="L874" s="11" t="s">
        <v>180</v>
      </c>
      <c r="M874" s="11" t="s">
        <v>51</v>
      </c>
      <c r="N874" s="11" t="s">
        <v>1311</v>
      </c>
      <c r="O874" s="11">
        <v>0.5</v>
      </c>
      <c r="P874" s="6">
        <f>Table1[[#This Row],[Profit]]/Table1[[#This Row],[Sales]]</f>
        <v>0.60763974639386475</v>
      </c>
      <c r="Q874" s="11" t="s">
        <v>33</v>
      </c>
      <c r="R874" s="11" t="s">
        <v>136</v>
      </c>
      <c r="S874" s="11" t="s">
        <v>137</v>
      </c>
      <c r="T874" s="11" t="s">
        <v>1584</v>
      </c>
      <c r="U874" s="11">
        <v>22003</v>
      </c>
      <c r="V874" s="12">
        <v>42088</v>
      </c>
      <c r="W874" s="13" t="str">
        <f>TEXT(Table1[[#This Row],[Order Date]],"mmmm")</f>
        <v>March</v>
      </c>
      <c r="X874" s="7" t="str">
        <f>TEXT(Table1[[#This Row],[Order Date]],"yyyy")</f>
        <v>2015</v>
      </c>
      <c r="Y874" s="12">
        <v>42090</v>
      </c>
      <c r="Z874" s="11">
        <v>219.4734</v>
      </c>
      <c r="AA874" s="11">
        <v>12</v>
      </c>
      <c r="AB874" s="11">
        <v>361.19</v>
      </c>
      <c r="AC874" s="11">
        <v>87426</v>
      </c>
      <c r="AD874" s="6" t="str">
        <f>IF(COUNTIF(Returns!$A$2:$A$1635,Orders!AC874)&gt;0,"Returned","Not Returned")</f>
        <v>Not Returned</v>
      </c>
    </row>
    <row r="875" spans="1:30" ht="12.75" customHeight="1" thickTop="1" thickBot="1" x14ac:dyDescent="0.25">
      <c r="A875" s="8">
        <v>26229</v>
      </c>
      <c r="B875" s="1" t="s">
        <v>47</v>
      </c>
      <c r="C875" s="1">
        <v>0.1</v>
      </c>
      <c r="D875" s="1">
        <v>226.67</v>
      </c>
      <c r="E875" s="1">
        <v>28.16</v>
      </c>
      <c r="F875" s="1">
        <v>1559</v>
      </c>
      <c r="G875" s="6" t="str">
        <f>IF(COUNTIF(Table1[Customer ID],Table1[[#This Row],[Customer ID]])&gt;1,"Repeat Customer","One-Time Customer")</f>
        <v>One-Time Customer</v>
      </c>
      <c r="H875" s="1" t="s">
        <v>1585</v>
      </c>
      <c r="I875" s="1" t="s">
        <v>39</v>
      </c>
      <c r="J875" s="1" t="s">
        <v>114</v>
      </c>
      <c r="K875" s="1" t="s">
        <v>41</v>
      </c>
      <c r="L875" s="1" t="s">
        <v>42</v>
      </c>
      <c r="M875" s="1" t="s">
        <v>43</v>
      </c>
      <c r="N875" s="1" t="s">
        <v>1586</v>
      </c>
      <c r="O875" s="1">
        <v>0.59</v>
      </c>
      <c r="P875" s="6">
        <f>Table1[[#This Row],[Profit]]/Table1[[#This Row],[Sales]]</f>
        <v>-0.3590759561134288</v>
      </c>
      <c r="Q875" s="1" t="s">
        <v>33</v>
      </c>
      <c r="R875" s="1" t="s">
        <v>136</v>
      </c>
      <c r="S875" s="1" t="s">
        <v>137</v>
      </c>
      <c r="T875" s="1" t="s">
        <v>1587</v>
      </c>
      <c r="U875" s="1">
        <v>24060</v>
      </c>
      <c r="V875" s="9">
        <v>42109</v>
      </c>
      <c r="W875" s="13" t="str">
        <f>TEXT(Table1[[#This Row],[Order Date]],"mmmm")</f>
        <v>April</v>
      </c>
      <c r="X875" s="7" t="str">
        <f>TEXT(Table1[[#This Row],[Order Date]],"yyyy")</f>
        <v>2015</v>
      </c>
      <c r="Y875" s="9">
        <v>42111</v>
      </c>
      <c r="Z875" s="1">
        <v>-390.76800000000003</v>
      </c>
      <c r="AA875" s="1">
        <v>5</v>
      </c>
      <c r="AB875" s="1">
        <v>1088.26</v>
      </c>
      <c r="AC875" s="1">
        <v>87424</v>
      </c>
      <c r="AD875" s="6" t="str">
        <f>IF(COUNTIF(Returns!$A$2:$A$1635,Orders!AC875)&gt;0,"Returned","Not Returned")</f>
        <v>Not Returned</v>
      </c>
    </row>
    <row r="876" spans="1:30" ht="12.75" customHeight="1" thickTop="1" thickBot="1" x14ac:dyDescent="0.25">
      <c r="A876" s="10">
        <v>19130</v>
      </c>
      <c r="B876" s="11" t="s">
        <v>25</v>
      </c>
      <c r="C876" s="11">
        <v>0.02</v>
      </c>
      <c r="D876" s="11">
        <v>11.34</v>
      </c>
      <c r="E876" s="11">
        <v>11.25</v>
      </c>
      <c r="F876" s="11">
        <v>1561</v>
      </c>
      <c r="G876" s="6" t="str">
        <f>IF(COUNTIF(Table1[Customer ID],Table1[[#This Row],[Customer ID]])&gt;1,"Repeat Customer","One-Time Customer")</f>
        <v>Repeat Customer</v>
      </c>
      <c r="H876" s="11" t="s">
        <v>1588</v>
      </c>
      <c r="I876" s="11" t="s">
        <v>49</v>
      </c>
      <c r="J876" s="11" t="s">
        <v>28</v>
      </c>
      <c r="K876" s="11" t="s">
        <v>29</v>
      </c>
      <c r="L876" s="11" t="s">
        <v>93</v>
      </c>
      <c r="M876" s="11" t="s">
        <v>59</v>
      </c>
      <c r="N876" s="11" t="s">
        <v>1589</v>
      </c>
      <c r="O876" s="11">
        <v>0.36</v>
      </c>
      <c r="P876" s="6">
        <f>Table1[[#This Row],[Profit]]/Table1[[#This Row],[Sales]]</f>
        <v>-1.4677068557919621</v>
      </c>
      <c r="Q876" s="11" t="s">
        <v>33</v>
      </c>
      <c r="R876" s="11" t="s">
        <v>61</v>
      </c>
      <c r="S876" s="11" t="s">
        <v>130</v>
      </c>
      <c r="T876" s="11" t="s">
        <v>1444</v>
      </c>
      <c r="U876" s="11">
        <v>76063</v>
      </c>
      <c r="V876" s="12">
        <v>42064</v>
      </c>
      <c r="W876" s="13" t="str">
        <f>TEXT(Table1[[#This Row],[Order Date]],"mmmm")</f>
        <v>March</v>
      </c>
      <c r="X876" s="7" t="str">
        <f>TEXT(Table1[[#This Row],[Order Date]],"yyyy")</f>
        <v>2015</v>
      </c>
      <c r="Y876" s="12">
        <v>42065</v>
      </c>
      <c r="Z876" s="11">
        <v>-155.21</v>
      </c>
      <c r="AA876" s="11">
        <v>9</v>
      </c>
      <c r="AB876" s="11">
        <v>105.75</v>
      </c>
      <c r="AC876" s="11">
        <v>88093</v>
      </c>
      <c r="AD876" s="6" t="str">
        <f>IF(COUNTIF(Returns!$A$2:$A$1635,Orders!AC876)&gt;0,"Returned","Not Returned")</f>
        <v>Not Returned</v>
      </c>
    </row>
    <row r="877" spans="1:30" ht="12.75" customHeight="1" thickTop="1" thickBot="1" x14ac:dyDescent="0.25">
      <c r="A877" s="8">
        <v>19208</v>
      </c>
      <c r="B877" s="1" t="s">
        <v>47</v>
      </c>
      <c r="C877" s="1">
        <v>0.05</v>
      </c>
      <c r="D877" s="1">
        <v>12.2</v>
      </c>
      <c r="E877" s="1">
        <v>6.02</v>
      </c>
      <c r="F877" s="1">
        <v>1561</v>
      </c>
      <c r="G877" s="6" t="str">
        <f>IF(COUNTIF(Table1[Customer ID],Table1[[#This Row],[Customer ID]])&gt;1,"Repeat Customer","One-Time Customer")</f>
        <v>Repeat Customer</v>
      </c>
      <c r="H877" s="1" t="s">
        <v>1588</v>
      </c>
      <c r="I877" s="1" t="s">
        <v>49</v>
      </c>
      <c r="J877" s="1" t="s">
        <v>28</v>
      </c>
      <c r="K877" s="1" t="s">
        <v>41</v>
      </c>
      <c r="L877" s="1" t="s">
        <v>50</v>
      </c>
      <c r="M877" s="1" t="s">
        <v>51</v>
      </c>
      <c r="N877" s="1" t="s">
        <v>1412</v>
      </c>
      <c r="O877" s="1">
        <v>0.43</v>
      </c>
      <c r="P877" s="6">
        <f>Table1[[#This Row],[Profit]]/Table1[[#This Row],[Sales]]</f>
        <v>-0.10389488503050212</v>
      </c>
      <c r="Q877" s="1" t="s">
        <v>33</v>
      </c>
      <c r="R877" s="1" t="s">
        <v>61</v>
      </c>
      <c r="S877" s="1" t="s">
        <v>130</v>
      </c>
      <c r="T877" s="1" t="s">
        <v>1444</v>
      </c>
      <c r="U877" s="1">
        <v>76063</v>
      </c>
      <c r="V877" s="9">
        <v>42107</v>
      </c>
      <c r="W877" s="13" t="str">
        <f>TEXT(Table1[[#This Row],[Order Date]],"mmmm")</f>
        <v>April</v>
      </c>
      <c r="X877" s="7" t="str">
        <f>TEXT(Table1[[#This Row],[Order Date]],"yyyy")</f>
        <v>2015</v>
      </c>
      <c r="Y877" s="9">
        <v>42108</v>
      </c>
      <c r="Z877" s="1">
        <v>-6.6420000000000003</v>
      </c>
      <c r="AA877" s="1">
        <v>5</v>
      </c>
      <c r="AB877" s="1">
        <v>63.93</v>
      </c>
      <c r="AC877" s="1">
        <v>88094</v>
      </c>
      <c r="AD877" s="6" t="str">
        <f>IF(COUNTIF(Returns!$A$2:$A$1635,Orders!AC877)&gt;0,"Returned","Not Returned")</f>
        <v>Not Returned</v>
      </c>
    </row>
    <row r="878" spans="1:30" ht="12.75" customHeight="1" thickTop="1" thickBot="1" x14ac:dyDescent="0.25">
      <c r="A878" s="10">
        <v>20464</v>
      </c>
      <c r="B878" s="11" t="s">
        <v>56</v>
      </c>
      <c r="C878" s="11">
        <v>7.0000000000000007E-2</v>
      </c>
      <c r="D878" s="11">
        <v>20.95</v>
      </c>
      <c r="E878" s="11">
        <v>5.99</v>
      </c>
      <c r="F878" s="11">
        <v>1574</v>
      </c>
      <c r="G878" s="6" t="str">
        <f>IF(COUNTIF(Table1[Customer ID],Table1[[#This Row],[Customer ID]])&gt;1,"Repeat Customer","One-Time Customer")</f>
        <v>One-Time Customer</v>
      </c>
      <c r="H878" s="11" t="s">
        <v>1590</v>
      </c>
      <c r="I878" s="11" t="s">
        <v>49</v>
      </c>
      <c r="J878" s="11" t="s">
        <v>114</v>
      </c>
      <c r="K878" s="11" t="s">
        <v>77</v>
      </c>
      <c r="L878" s="11" t="s">
        <v>180</v>
      </c>
      <c r="M878" s="11" t="s">
        <v>59</v>
      </c>
      <c r="N878" s="11" t="s">
        <v>1591</v>
      </c>
      <c r="O878" s="11">
        <v>0.65</v>
      </c>
      <c r="P878" s="6">
        <f>Table1[[#This Row],[Profit]]/Table1[[#This Row],[Sales]]</f>
        <v>6.9580991313234544E-2</v>
      </c>
      <c r="Q878" s="11" t="s">
        <v>33</v>
      </c>
      <c r="R878" s="11" t="s">
        <v>136</v>
      </c>
      <c r="S878" s="11" t="s">
        <v>322</v>
      </c>
      <c r="T878" s="11" t="s">
        <v>1592</v>
      </c>
      <c r="U878" s="11">
        <v>28314</v>
      </c>
      <c r="V878" s="12">
        <v>42044</v>
      </c>
      <c r="W878" s="13" t="str">
        <f>TEXT(Table1[[#This Row],[Order Date]],"mmmm")</f>
        <v>February</v>
      </c>
      <c r="X878" s="7" t="str">
        <f>TEXT(Table1[[#This Row],[Order Date]],"yyyy")</f>
        <v>2015</v>
      </c>
      <c r="Y878" s="12">
        <v>42045</v>
      </c>
      <c r="Z878" s="11">
        <v>27.233999999999998</v>
      </c>
      <c r="AA878" s="11">
        <v>19</v>
      </c>
      <c r="AB878" s="11">
        <v>391.4</v>
      </c>
      <c r="AC878" s="11">
        <v>86966</v>
      </c>
      <c r="AD878" s="6" t="str">
        <f>IF(COUNTIF(Returns!$A$2:$A$1635,Orders!AC878)&gt;0,"Returned","Not Returned")</f>
        <v>Not Returned</v>
      </c>
    </row>
    <row r="879" spans="1:30" ht="12.75" customHeight="1" thickTop="1" thickBot="1" x14ac:dyDescent="0.25">
      <c r="A879" s="8">
        <v>22127</v>
      </c>
      <c r="B879" s="1" t="s">
        <v>106</v>
      </c>
      <c r="C879" s="1">
        <v>0.1</v>
      </c>
      <c r="D879" s="1">
        <v>11.58</v>
      </c>
      <c r="E879" s="1">
        <v>6.97</v>
      </c>
      <c r="F879" s="1">
        <v>1580</v>
      </c>
      <c r="G879" s="6" t="str">
        <f>IF(COUNTIF(Table1[Customer ID],Table1[[#This Row],[Customer ID]])&gt;1,"Repeat Customer","One-Time Customer")</f>
        <v>One-Time Customer</v>
      </c>
      <c r="H879" s="1" t="s">
        <v>1593</v>
      </c>
      <c r="I879" s="1" t="s">
        <v>49</v>
      </c>
      <c r="J879" s="1" t="s">
        <v>28</v>
      </c>
      <c r="K879" s="1" t="s">
        <v>29</v>
      </c>
      <c r="L879" s="1" t="s">
        <v>69</v>
      </c>
      <c r="M879" s="1" t="s">
        <v>59</v>
      </c>
      <c r="N879" s="1" t="s">
        <v>686</v>
      </c>
      <c r="O879" s="1">
        <v>0.35</v>
      </c>
      <c r="P879" s="6">
        <f>Table1[[#This Row],[Profit]]/Table1[[#This Row],[Sales]]</f>
        <v>-0.57797660013764629</v>
      </c>
      <c r="Q879" s="1" t="s">
        <v>33</v>
      </c>
      <c r="R879" s="1" t="s">
        <v>53</v>
      </c>
      <c r="S879" s="1" t="s">
        <v>188</v>
      </c>
      <c r="T879" s="1" t="s">
        <v>1594</v>
      </c>
      <c r="U879" s="1">
        <v>4901</v>
      </c>
      <c r="V879" s="9">
        <v>42051</v>
      </c>
      <c r="W879" s="13" t="str">
        <f>TEXT(Table1[[#This Row],[Order Date]],"mmmm")</f>
        <v>February</v>
      </c>
      <c r="X879" s="7" t="str">
        <f>TEXT(Table1[[#This Row],[Order Date]],"yyyy")</f>
        <v>2015</v>
      </c>
      <c r="Y879" s="9">
        <v>42055</v>
      </c>
      <c r="Z879" s="1">
        <v>-8.3979999999999997</v>
      </c>
      <c r="AA879" s="1">
        <v>1</v>
      </c>
      <c r="AB879" s="1">
        <v>14.53</v>
      </c>
      <c r="AC879" s="1">
        <v>90934</v>
      </c>
      <c r="AD879" s="6" t="str">
        <f>IF(COUNTIF(Returns!$A$2:$A$1635,Orders!AC879)&gt;0,"Returned","Not Returned")</f>
        <v>Not Returned</v>
      </c>
    </row>
    <row r="880" spans="1:30" ht="12.75" customHeight="1" thickTop="1" thickBot="1" x14ac:dyDescent="0.25">
      <c r="A880" s="10">
        <v>25013</v>
      </c>
      <c r="B880" s="11" t="s">
        <v>56</v>
      </c>
      <c r="C880" s="11">
        <v>0.03</v>
      </c>
      <c r="D880" s="11">
        <v>19.04</v>
      </c>
      <c r="E880" s="11">
        <v>6.38</v>
      </c>
      <c r="F880" s="11">
        <v>1590</v>
      </c>
      <c r="G880" s="6" t="str">
        <f>IF(COUNTIF(Table1[Customer ID],Table1[[#This Row],[Customer ID]])&gt;1,"Repeat Customer","One-Time Customer")</f>
        <v>One-Time Customer</v>
      </c>
      <c r="H880" s="11" t="s">
        <v>1595</v>
      </c>
      <c r="I880" s="11" t="s">
        <v>27</v>
      </c>
      <c r="J880" s="11" t="s">
        <v>28</v>
      </c>
      <c r="K880" s="11" t="s">
        <v>41</v>
      </c>
      <c r="L880" s="11" t="s">
        <v>50</v>
      </c>
      <c r="M880" s="11" t="s">
        <v>59</v>
      </c>
      <c r="N880" s="11" t="s">
        <v>1596</v>
      </c>
      <c r="O880" s="11">
        <v>0.56000000000000005</v>
      </c>
      <c r="P880" s="6">
        <f>Table1[[#This Row],[Profit]]/Table1[[#This Row],[Sales]]</f>
        <v>0.58177879608414906</v>
      </c>
      <c r="Q880" s="11" t="s">
        <v>33</v>
      </c>
      <c r="R880" s="11" t="s">
        <v>53</v>
      </c>
      <c r="S880" s="11" t="s">
        <v>154</v>
      </c>
      <c r="T880" s="11" t="s">
        <v>1597</v>
      </c>
      <c r="U880" s="11">
        <v>44094</v>
      </c>
      <c r="V880" s="12">
        <v>42098</v>
      </c>
      <c r="W880" s="13" t="str">
        <f>TEXT(Table1[[#This Row],[Order Date]],"mmmm")</f>
        <v>April</v>
      </c>
      <c r="X880" s="7" t="str">
        <f>TEXT(Table1[[#This Row],[Order Date]],"yyyy")</f>
        <v>2015</v>
      </c>
      <c r="Y880" s="12">
        <v>42098</v>
      </c>
      <c r="Z880" s="11">
        <v>83.793599999999998</v>
      </c>
      <c r="AA880" s="11">
        <v>7</v>
      </c>
      <c r="AB880" s="11">
        <v>144.03</v>
      </c>
      <c r="AC880" s="11">
        <v>86668</v>
      </c>
      <c r="AD880" s="6" t="str">
        <f>IF(COUNTIF(Returns!$A$2:$A$1635,Orders!AC880)&gt;0,"Returned","Not Returned")</f>
        <v>Not Returned</v>
      </c>
    </row>
    <row r="881" spans="1:30" ht="12.75" customHeight="1" thickTop="1" thickBot="1" x14ac:dyDescent="0.25">
      <c r="A881" s="8">
        <v>25011</v>
      </c>
      <c r="B881" s="1" t="s">
        <v>56</v>
      </c>
      <c r="C881" s="1">
        <v>0.02</v>
      </c>
      <c r="D881" s="1">
        <v>5.53</v>
      </c>
      <c r="E881" s="1">
        <v>6.98</v>
      </c>
      <c r="F881" s="1">
        <v>1593</v>
      </c>
      <c r="G881" s="6" t="str">
        <f>IF(COUNTIF(Table1[Customer ID],Table1[[#This Row],[Customer ID]])&gt;1,"Repeat Customer","One-Time Customer")</f>
        <v>One-Time Customer</v>
      </c>
      <c r="H881" s="1" t="s">
        <v>1598</v>
      </c>
      <c r="I881" s="1" t="s">
        <v>49</v>
      </c>
      <c r="J881" s="1" t="s">
        <v>28</v>
      </c>
      <c r="K881" s="1" t="s">
        <v>29</v>
      </c>
      <c r="L881" s="1" t="s">
        <v>109</v>
      </c>
      <c r="M881" s="1" t="s">
        <v>59</v>
      </c>
      <c r="N881" s="1" t="s">
        <v>1599</v>
      </c>
      <c r="O881" s="1">
        <v>0.39</v>
      </c>
      <c r="P881" s="6">
        <f>Table1[[#This Row],[Profit]]/Table1[[#This Row],[Sales]]</f>
        <v>-1.5944216349108786</v>
      </c>
      <c r="Q881" s="1" t="s">
        <v>33</v>
      </c>
      <c r="R881" s="1" t="s">
        <v>61</v>
      </c>
      <c r="S881" s="1" t="s">
        <v>304</v>
      </c>
      <c r="T881" s="1" t="s">
        <v>305</v>
      </c>
      <c r="U881" s="1">
        <v>74006</v>
      </c>
      <c r="V881" s="9">
        <v>42098</v>
      </c>
      <c r="W881" s="13" t="str">
        <f>TEXT(Table1[[#This Row],[Order Date]],"mmmm")</f>
        <v>April</v>
      </c>
      <c r="X881" s="7" t="str">
        <f>TEXT(Table1[[#This Row],[Order Date]],"yyyy")</f>
        <v>2015</v>
      </c>
      <c r="Y881" s="9">
        <v>42100</v>
      </c>
      <c r="Z881" s="1">
        <v>-77.823719999999994</v>
      </c>
      <c r="AA881" s="1">
        <v>8</v>
      </c>
      <c r="AB881" s="1">
        <v>48.81</v>
      </c>
      <c r="AC881" s="1">
        <v>86668</v>
      </c>
      <c r="AD881" s="6" t="str">
        <f>IF(COUNTIF(Returns!$A$2:$A$1635,Orders!AC881)&gt;0,"Returned","Not Returned")</f>
        <v>Not Returned</v>
      </c>
    </row>
    <row r="882" spans="1:30" ht="12.75" customHeight="1" thickTop="1" thickBot="1" x14ac:dyDescent="0.25">
      <c r="A882" s="10">
        <v>21059</v>
      </c>
      <c r="B882" s="11" t="s">
        <v>25</v>
      </c>
      <c r="C882" s="11">
        <v>0.01</v>
      </c>
      <c r="D882" s="11">
        <v>500.98</v>
      </c>
      <c r="E882" s="11">
        <v>26</v>
      </c>
      <c r="F882" s="11">
        <v>1595</v>
      </c>
      <c r="G882" s="6" t="str">
        <f>IF(COUNTIF(Table1[Customer ID],Table1[[#This Row],[Customer ID]])&gt;1,"Repeat Customer","One-Time Customer")</f>
        <v>Repeat Customer</v>
      </c>
      <c r="H882" s="11" t="s">
        <v>1600</v>
      </c>
      <c r="I882" s="11" t="s">
        <v>39</v>
      </c>
      <c r="J882" s="11" t="s">
        <v>28</v>
      </c>
      <c r="K882" s="11" t="s">
        <v>41</v>
      </c>
      <c r="L882" s="11" t="s">
        <v>42</v>
      </c>
      <c r="M882" s="11" t="s">
        <v>43</v>
      </c>
      <c r="N882" s="11" t="s">
        <v>44</v>
      </c>
      <c r="O882" s="11">
        <v>0.6</v>
      </c>
      <c r="P882" s="6">
        <f>Table1[[#This Row],[Profit]]/Table1[[#This Row],[Sales]]</f>
        <v>0.69</v>
      </c>
      <c r="Q882" s="11" t="s">
        <v>33</v>
      </c>
      <c r="R882" s="11" t="s">
        <v>53</v>
      </c>
      <c r="S882" s="11" t="s">
        <v>648</v>
      </c>
      <c r="T882" s="11" t="s">
        <v>1601</v>
      </c>
      <c r="U882" s="11">
        <v>25705</v>
      </c>
      <c r="V882" s="12">
        <v>42135</v>
      </c>
      <c r="W882" s="13" t="str">
        <f>TEXT(Table1[[#This Row],[Order Date]],"mmmm")</f>
        <v>May</v>
      </c>
      <c r="X882" s="7" t="str">
        <f>TEXT(Table1[[#This Row],[Order Date]],"yyyy")</f>
        <v>2015</v>
      </c>
      <c r="Y882" s="12">
        <v>42136</v>
      </c>
      <c r="Z882" s="11">
        <v>5078.5379999999996</v>
      </c>
      <c r="AA882" s="11">
        <v>14</v>
      </c>
      <c r="AB882" s="11">
        <v>7360.2</v>
      </c>
      <c r="AC882" s="11">
        <v>90796</v>
      </c>
      <c r="AD882" s="6" t="str">
        <f>IF(COUNTIF(Returns!$A$2:$A$1635,Orders!AC882)&gt;0,"Returned","Not Returned")</f>
        <v>Not Returned</v>
      </c>
    </row>
    <row r="883" spans="1:30" ht="12.75" customHeight="1" thickTop="1" thickBot="1" x14ac:dyDescent="0.25">
      <c r="A883" s="8">
        <v>21060</v>
      </c>
      <c r="B883" s="1" t="s">
        <v>25</v>
      </c>
      <c r="C883" s="1">
        <v>0.08</v>
      </c>
      <c r="D883" s="1">
        <v>9.77</v>
      </c>
      <c r="E883" s="1">
        <v>6.02</v>
      </c>
      <c r="F883" s="1">
        <v>1595</v>
      </c>
      <c r="G883" s="6" t="str">
        <f>IF(COUNTIF(Table1[Customer ID],Table1[[#This Row],[Customer ID]])&gt;1,"Repeat Customer","One-Time Customer")</f>
        <v>Repeat Customer</v>
      </c>
      <c r="H883" s="1" t="s">
        <v>1600</v>
      </c>
      <c r="I883" s="1" t="s">
        <v>49</v>
      </c>
      <c r="J883" s="1" t="s">
        <v>28</v>
      </c>
      <c r="K883" s="1" t="s">
        <v>41</v>
      </c>
      <c r="L883" s="1" t="s">
        <v>50</v>
      </c>
      <c r="M883" s="1" t="s">
        <v>86</v>
      </c>
      <c r="N883" s="1" t="s">
        <v>1602</v>
      </c>
      <c r="O883" s="1">
        <v>0.48</v>
      </c>
      <c r="P883" s="6">
        <f>Table1[[#This Row],[Profit]]/Table1[[#This Row],[Sales]]</f>
        <v>0.26135189759712557</v>
      </c>
      <c r="Q883" s="1" t="s">
        <v>33</v>
      </c>
      <c r="R883" s="1" t="s">
        <v>53</v>
      </c>
      <c r="S883" s="1" t="s">
        <v>648</v>
      </c>
      <c r="T883" s="1" t="s">
        <v>1601</v>
      </c>
      <c r="U883" s="1">
        <v>25705</v>
      </c>
      <c r="V883" s="9">
        <v>42135</v>
      </c>
      <c r="W883" s="13" t="str">
        <f>TEXT(Table1[[#This Row],[Order Date]],"mmmm")</f>
        <v>May</v>
      </c>
      <c r="X883" s="7" t="str">
        <f>TEXT(Table1[[#This Row],[Order Date]],"yyyy")</f>
        <v>2015</v>
      </c>
      <c r="Y883" s="9">
        <v>42136</v>
      </c>
      <c r="Z883" s="1">
        <v>23.276000000000003</v>
      </c>
      <c r="AA883" s="1">
        <v>9</v>
      </c>
      <c r="AB883" s="1">
        <v>89.06</v>
      </c>
      <c r="AC883" s="1">
        <v>90796</v>
      </c>
      <c r="AD883" s="6" t="str">
        <f>IF(COUNTIF(Returns!$A$2:$A$1635,Orders!AC883)&gt;0,"Returned","Not Returned")</f>
        <v>Not Returned</v>
      </c>
    </row>
    <row r="884" spans="1:30" ht="12.75" customHeight="1" thickTop="1" thickBot="1" x14ac:dyDescent="0.25">
      <c r="A884" s="10">
        <v>21061</v>
      </c>
      <c r="B884" s="11" t="s">
        <v>25</v>
      </c>
      <c r="C884" s="11">
        <v>0.09</v>
      </c>
      <c r="D884" s="11">
        <v>3.28</v>
      </c>
      <c r="E884" s="11">
        <v>0.98</v>
      </c>
      <c r="F884" s="11">
        <v>1595</v>
      </c>
      <c r="G884" s="6" t="str">
        <f>IF(COUNTIF(Table1[Customer ID],Table1[[#This Row],[Customer ID]])&gt;1,"Repeat Customer","One-Time Customer")</f>
        <v>Repeat Customer</v>
      </c>
      <c r="H884" s="11" t="s">
        <v>1600</v>
      </c>
      <c r="I884" s="11" t="s">
        <v>49</v>
      </c>
      <c r="J884" s="11" t="s">
        <v>28</v>
      </c>
      <c r="K884" s="11" t="s">
        <v>29</v>
      </c>
      <c r="L884" s="11" t="s">
        <v>30</v>
      </c>
      <c r="M884" s="11" t="s">
        <v>31</v>
      </c>
      <c r="N884" s="11" t="s">
        <v>1603</v>
      </c>
      <c r="O884" s="11">
        <v>0.59</v>
      </c>
      <c r="P884" s="6">
        <f>Table1[[#This Row],[Profit]]/Table1[[#This Row],[Sales]]</f>
        <v>0.13154034229828851</v>
      </c>
      <c r="Q884" s="11" t="s">
        <v>33</v>
      </c>
      <c r="R884" s="11" t="s">
        <v>53</v>
      </c>
      <c r="S884" s="11" t="s">
        <v>648</v>
      </c>
      <c r="T884" s="11" t="s">
        <v>1601</v>
      </c>
      <c r="U884" s="11">
        <v>25705</v>
      </c>
      <c r="V884" s="12">
        <v>42135</v>
      </c>
      <c r="W884" s="13" t="str">
        <f>TEXT(Table1[[#This Row],[Order Date]],"mmmm")</f>
        <v>May</v>
      </c>
      <c r="X884" s="7" t="str">
        <f>TEXT(Table1[[#This Row],[Order Date]],"yyyy")</f>
        <v>2015</v>
      </c>
      <c r="Y884" s="12">
        <v>42137</v>
      </c>
      <c r="Z884" s="11">
        <v>17.754000000000001</v>
      </c>
      <c r="AA884" s="11">
        <v>42</v>
      </c>
      <c r="AB884" s="11">
        <v>134.97</v>
      </c>
      <c r="AC884" s="11">
        <v>90796</v>
      </c>
      <c r="AD884" s="6" t="str">
        <f>IF(COUNTIF(Returns!$A$2:$A$1635,Orders!AC884)&gt;0,"Returned","Not Returned")</f>
        <v>Not Returned</v>
      </c>
    </row>
    <row r="885" spans="1:30" ht="12.75" customHeight="1" thickTop="1" thickBot="1" x14ac:dyDescent="0.25">
      <c r="A885" s="8">
        <v>21928</v>
      </c>
      <c r="B885" s="1" t="s">
        <v>47</v>
      </c>
      <c r="C885" s="1">
        <v>0.1</v>
      </c>
      <c r="D885" s="1">
        <v>9.11</v>
      </c>
      <c r="E885" s="1">
        <v>2.15</v>
      </c>
      <c r="F885" s="1">
        <v>1602</v>
      </c>
      <c r="G885" s="6" t="str">
        <f>IF(COUNTIF(Table1[Customer ID],Table1[[#This Row],[Customer ID]])&gt;1,"Repeat Customer","One-Time Customer")</f>
        <v>One-Time Customer</v>
      </c>
      <c r="H885" s="1" t="s">
        <v>1604</v>
      </c>
      <c r="I885" s="1" t="s">
        <v>49</v>
      </c>
      <c r="J885" s="1" t="s">
        <v>40</v>
      </c>
      <c r="K885" s="1" t="s">
        <v>29</v>
      </c>
      <c r="L885" s="1" t="s">
        <v>93</v>
      </c>
      <c r="M885" s="1" t="s">
        <v>31</v>
      </c>
      <c r="N885" s="1" t="s">
        <v>1258</v>
      </c>
      <c r="O885" s="1">
        <v>0.4</v>
      </c>
      <c r="P885" s="6">
        <f>Table1[[#This Row],[Profit]]/Table1[[#This Row],[Sales]]</f>
        <v>-0.22567164179104476</v>
      </c>
      <c r="Q885" s="1" t="s">
        <v>33</v>
      </c>
      <c r="R885" s="1" t="s">
        <v>53</v>
      </c>
      <c r="S885" s="1" t="s">
        <v>415</v>
      </c>
      <c r="T885" s="1" t="s">
        <v>1605</v>
      </c>
      <c r="U885" s="1">
        <v>20601</v>
      </c>
      <c r="V885" s="9">
        <v>42104</v>
      </c>
      <c r="W885" s="13" t="str">
        <f>TEXT(Table1[[#This Row],[Order Date]],"mmmm")</f>
        <v>April</v>
      </c>
      <c r="X885" s="7" t="str">
        <f>TEXT(Table1[[#This Row],[Order Date]],"yyyy")</f>
        <v>2015</v>
      </c>
      <c r="Y885" s="9">
        <v>42106</v>
      </c>
      <c r="Z885" s="1">
        <v>-3.9312</v>
      </c>
      <c r="AA885" s="1">
        <v>2</v>
      </c>
      <c r="AB885" s="1">
        <v>17.420000000000002</v>
      </c>
      <c r="AC885" s="1">
        <v>89680</v>
      </c>
      <c r="AD885" s="6" t="str">
        <f>IF(COUNTIF(Returns!$A$2:$A$1635,Orders!AC885)&gt;0,"Returned","Not Returned")</f>
        <v>Not Returned</v>
      </c>
    </row>
    <row r="886" spans="1:30" ht="12.75" customHeight="1" thickTop="1" thickBot="1" x14ac:dyDescent="0.25">
      <c r="A886" s="10">
        <v>23533</v>
      </c>
      <c r="B886" s="11" t="s">
        <v>47</v>
      </c>
      <c r="C886" s="11">
        <v>0.09</v>
      </c>
      <c r="D886" s="11">
        <v>2.1800000000000002</v>
      </c>
      <c r="E886" s="11">
        <v>0.78</v>
      </c>
      <c r="F886" s="11">
        <v>1603</v>
      </c>
      <c r="G886" s="6" t="str">
        <f>IF(COUNTIF(Table1[Customer ID],Table1[[#This Row],[Customer ID]])&gt;1,"Repeat Customer","One-Time Customer")</f>
        <v>Repeat Customer</v>
      </c>
      <c r="H886" s="11" t="s">
        <v>1606</v>
      </c>
      <c r="I886" s="11" t="s">
        <v>49</v>
      </c>
      <c r="J886" s="11" t="s">
        <v>58</v>
      </c>
      <c r="K886" s="11" t="s">
        <v>29</v>
      </c>
      <c r="L886" s="11" t="s">
        <v>66</v>
      </c>
      <c r="M886" s="11" t="s">
        <v>31</v>
      </c>
      <c r="N886" s="11" t="s">
        <v>1607</v>
      </c>
      <c r="O886" s="11">
        <v>0.52</v>
      </c>
      <c r="P886" s="6">
        <f>Table1[[#This Row],[Profit]]/Table1[[#This Row],[Sales]]</f>
        <v>0.12838912133891214</v>
      </c>
      <c r="Q886" s="11" t="s">
        <v>33</v>
      </c>
      <c r="R886" s="11" t="s">
        <v>53</v>
      </c>
      <c r="S886" s="11" t="s">
        <v>71</v>
      </c>
      <c r="T886" s="11" t="s">
        <v>1608</v>
      </c>
      <c r="U886" s="11">
        <v>11598</v>
      </c>
      <c r="V886" s="12">
        <v>42020</v>
      </c>
      <c r="W886" s="13" t="str">
        <f>TEXT(Table1[[#This Row],[Order Date]],"mmmm")</f>
        <v>January</v>
      </c>
      <c r="X886" s="7" t="str">
        <f>TEXT(Table1[[#This Row],[Order Date]],"yyyy")</f>
        <v>2015</v>
      </c>
      <c r="Y886" s="12">
        <v>42022</v>
      </c>
      <c r="Z886" s="11">
        <v>2.4548000000000001</v>
      </c>
      <c r="AA886" s="11">
        <v>9</v>
      </c>
      <c r="AB886" s="11">
        <v>19.12</v>
      </c>
      <c r="AC886" s="11">
        <v>89679</v>
      </c>
      <c r="AD886" s="6" t="str">
        <f>IF(COUNTIF(Returns!$A$2:$A$1635,Orders!AC886)&gt;0,"Returned","Not Returned")</f>
        <v>Not Returned</v>
      </c>
    </row>
    <row r="887" spans="1:30" ht="12.75" customHeight="1" thickTop="1" thickBot="1" x14ac:dyDescent="0.25">
      <c r="A887" s="8">
        <v>23534</v>
      </c>
      <c r="B887" s="1" t="s">
        <v>47</v>
      </c>
      <c r="C887" s="1">
        <v>0.05</v>
      </c>
      <c r="D887" s="1">
        <v>179.29</v>
      </c>
      <c r="E887" s="1">
        <v>29.21</v>
      </c>
      <c r="F887" s="1">
        <v>1603</v>
      </c>
      <c r="G887" s="6" t="str">
        <f>IF(COUNTIF(Table1[Customer ID],Table1[[#This Row],[Customer ID]])&gt;1,"Repeat Customer","One-Time Customer")</f>
        <v>Repeat Customer</v>
      </c>
      <c r="H887" s="1" t="s">
        <v>1606</v>
      </c>
      <c r="I887" s="1" t="s">
        <v>39</v>
      </c>
      <c r="J887" s="1" t="s">
        <v>58</v>
      </c>
      <c r="K887" s="1" t="s">
        <v>41</v>
      </c>
      <c r="L887" s="1" t="s">
        <v>152</v>
      </c>
      <c r="M887" s="1" t="s">
        <v>121</v>
      </c>
      <c r="N887" s="1" t="s">
        <v>629</v>
      </c>
      <c r="O887" s="1">
        <v>0.76</v>
      </c>
      <c r="P887" s="6">
        <f>Table1[[#This Row],[Profit]]/Table1[[#This Row],[Sales]]</f>
        <v>-2.878695763609088</v>
      </c>
      <c r="Q887" s="1" t="s">
        <v>33</v>
      </c>
      <c r="R887" s="1" t="s">
        <v>53</v>
      </c>
      <c r="S887" s="1" t="s">
        <v>71</v>
      </c>
      <c r="T887" s="1" t="s">
        <v>1608</v>
      </c>
      <c r="U887" s="1">
        <v>11598</v>
      </c>
      <c r="V887" s="9">
        <v>42020</v>
      </c>
      <c r="W887" s="13" t="str">
        <f>TEXT(Table1[[#This Row],[Order Date]],"mmmm")</f>
        <v>January</v>
      </c>
      <c r="X887" s="7" t="str">
        <f>TEXT(Table1[[#This Row],[Order Date]],"yyyy")</f>
        <v>2015</v>
      </c>
      <c r="Y887" s="9">
        <v>42022</v>
      </c>
      <c r="Z887" s="1">
        <v>-537.27977732000011</v>
      </c>
      <c r="AA887" s="1">
        <v>1</v>
      </c>
      <c r="AB887" s="1">
        <v>186.64</v>
      </c>
      <c r="AC887" s="1">
        <v>89679</v>
      </c>
      <c r="AD887" s="6" t="str">
        <f>IF(COUNTIF(Returns!$A$2:$A$1635,Orders!AC887)&gt;0,"Returned","Not Returned")</f>
        <v>Not Returned</v>
      </c>
    </row>
    <row r="888" spans="1:30" ht="12.75" customHeight="1" thickTop="1" thickBot="1" x14ac:dyDescent="0.25">
      <c r="A888" s="10">
        <v>18450</v>
      </c>
      <c r="B888" s="11" t="s">
        <v>56</v>
      </c>
      <c r="C888" s="11">
        <v>0.05</v>
      </c>
      <c r="D888" s="11">
        <v>1.98</v>
      </c>
      <c r="E888" s="11">
        <v>4.7699999999999996</v>
      </c>
      <c r="F888" s="11">
        <v>1606</v>
      </c>
      <c r="G888" s="6" t="str">
        <f>IF(COUNTIF(Table1[Customer ID],Table1[[#This Row],[Customer ID]])&gt;1,"Repeat Customer","One-Time Customer")</f>
        <v>Repeat Customer</v>
      </c>
      <c r="H888" s="11" t="s">
        <v>1609</v>
      </c>
      <c r="I888" s="11" t="s">
        <v>49</v>
      </c>
      <c r="J888" s="11" t="s">
        <v>40</v>
      </c>
      <c r="K888" s="11" t="s">
        <v>29</v>
      </c>
      <c r="L888" s="11" t="s">
        <v>109</v>
      </c>
      <c r="M888" s="11" t="s">
        <v>59</v>
      </c>
      <c r="N888" s="11" t="s">
        <v>1610</v>
      </c>
      <c r="O888" s="11">
        <v>0.4</v>
      </c>
      <c r="P888" s="6">
        <f>Table1[[#This Row],[Profit]]/Table1[[#This Row],[Sales]]</f>
        <v>-4.0679376770538251</v>
      </c>
      <c r="Q888" s="11" t="s">
        <v>33</v>
      </c>
      <c r="R888" s="11" t="s">
        <v>53</v>
      </c>
      <c r="S888" s="11" t="s">
        <v>71</v>
      </c>
      <c r="T888" s="11" t="s">
        <v>1611</v>
      </c>
      <c r="U888" s="11">
        <v>11010</v>
      </c>
      <c r="V888" s="12">
        <v>42011</v>
      </c>
      <c r="W888" s="13" t="str">
        <f>TEXT(Table1[[#This Row],[Order Date]],"mmmm")</f>
        <v>January</v>
      </c>
      <c r="X888" s="7" t="str">
        <f>TEXT(Table1[[#This Row],[Order Date]],"yyyy")</f>
        <v>2015</v>
      </c>
      <c r="Y888" s="12">
        <v>42012</v>
      </c>
      <c r="Z888" s="11">
        <v>-14.359820000000001</v>
      </c>
      <c r="AA888" s="11">
        <v>1</v>
      </c>
      <c r="AB888" s="11">
        <v>3.53</v>
      </c>
      <c r="AC888" s="11">
        <v>87993</v>
      </c>
      <c r="AD888" s="6" t="str">
        <f>IF(COUNTIF(Returns!$A$2:$A$1635,Orders!AC888)&gt;0,"Returned","Not Returned")</f>
        <v>Not Returned</v>
      </c>
    </row>
    <row r="889" spans="1:30" ht="12.75" customHeight="1" thickTop="1" thickBot="1" x14ac:dyDescent="0.25">
      <c r="A889" s="8">
        <v>18451</v>
      </c>
      <c r="B889" s="1" t="s">
        <v>56</v>
      </c>
      <c r="C889" s="1">
        <v>7.0000000000000007E-2</v>
      </c>
      <c r="D889" s="1">
        <v>699.99</v>
      </c>
      <c r="E889" s="1">
        <v>24.49</v>
      </c>
      <c r="F889" s="1">
        <v>1606</v>
      </c>
      <c r="G889" s="6" t="str">
        <f>IF(COUNTIF(Table1[Customer ID],Table1[[#This Row],[Customer ID]])&gt;1,"Repeat Customer","One-Time Customer")</f>
        <v>Repeat Customer</v>
      </c>
      <c r="H889" s="1" t="s">
        <v>1609</v>
      </c>
      <c r="I889" s="1" t="s">
        <v>27</v>
      </c>
      <c r="J889" s="1" t="s">
        <v>40</v>
      </c>
      <c r="K889" s="1" t="s">
        <v>77</v>
      </c>
      <c r="L889" s="1" t="s">
        <v>587</v>
      </c>
      <c r="M889" s="1" t="s">
        <v>236</v>
      </c>
      <c r="N889" s="1" t="s">
        <v>588</v>
      </c>
      <c r="O889" s="1">
        <v>0.41</v>
      </c>
      <c r="P889" s="6">
        <f>Table1[[#This Row],[Profit]]/Table1[[#This Row],[Sales]]</f>
        <v>-4.0623267663043476</v>
      </c>
      <c r="Q889" s="1" t="s">
        <v>33</v>
      </c>
      <c r="R889" s="1" t="s">
        <v>53</v>
      </c>
      <c r="S889" s="1" t="s">
        <v>71</v>
      </c>
      <c r="T889" s="1" t="s">
        <v>1611</v>
      </c>
      <c r="U889" s="1">
        <v>11010</v>
      </c>
      <c r="V889" s="9">
        <v>42011</v>
      </c>
      <c r="W889" s="13" t="str">
        <f>TEXT(Table1[[#This Row],[Order Date]],"mmmm")</f>
        <v>January</v>
      </c>
      <c r="X889" s="7" t="str">
        <f>TEXT(Table1[[#This Row],[Order Date]],"yyyy")</f>
        <v>2015</v>
      </c>
      <c r="Y889" s="9">
        <v>42012</v>
      </c>
      <c r="Z889" s="1">
        <v>-2870.2775999999994</v>
      </c>
      <c r="AA889" s="1">
        <v>1</v>
      </c>
      <c r="AB889" s="1">
        <v>706.56</v>
      </c>
      <c r="AC889" s="1">
        <v>87993</v>
      </c>
      <c r="AD889" s="6" t="str">
        <f>IF(COUNTIF(Returns!$A$2:$A$1635,Orders!AC889)&gt;0,"Returned","Not Returned")</f>
        <v>Not Returned</v>
      </c>
    </row>
    <row r="890" spans="1:30" ht="12.75" customHeight="1" thickTop="1" thickBot="1" x14ac:dyDescent="0.25">
      <c r="A890" s="10">
        <v>18452</v>
      </c>
      <c r="B890" s="11" t="s">
        <v>56</v>
      </c>
      <c r="C890" s="11">
        <v>7.0000000000000007E-2</v>
      </c>
      <c r="D890" s="11">
        <v>6783.02</v>
      </c>
      <c r="E890" s="11">
        <v>24.49</v>
      </c>
      <c r="F890" s="11">
        <v>1606</v>
      </c>
      <c r="G890" s="6" t="str">
        <f>IF(COUNTIF(Table1[Customer ID],Table1[[#This Row],[Customer ID]])&gt;1,"Repeat Customer","One-Time Customer")</f>
        <v>Repeat Customer</v>
      </c>
      <c r="H890" s="11" t="s">
        <v>1609</v>
      </c>
      <c r="I890" s="11" t="s">
        <v>49</v>
      </c>
      <c r="J890" s="11" t="s">
        <v>40</v>
      </c>
      <c r="K890" s="11" t="s">
        <v>77</v>
      </c>
      <c r="L890" s="11" t="s">
        <v>85</v>
      </c>
      <c r="M890" s="11" t="s">
        <v>236</v>
      </c>
      <c r="N890" s="11" t="s">
        <v>1277</v>
      </c>
      <c r="O890" s="11">
        <v>0.39</v>
      </c>
      <c r="P890" s="6">
        <f>Table1[[#This Row],[Profit]]/Table1[[#This Row],[Sales]]</f>
        <v>5.9433872389978619E-3</v>
      </c>
      <c r="Q890" s="11" t="s">
        <v>33</v>
      </c>
      <c r="R890" s="11" t="s">
        <v>53</v>
      </c>
      <c r="S890" s="11" t="s">
        <v>71</v>
      </c>
      <c r="T890" s="11" t="s">
        <v>1611</v>
      </c>
      <c r="U890" s="11">
        <v>11010</v>
      </c>
      <c r="V890" s="12">
        <v>42011</v>
      </c>
      <c r="W890" s="13" t="str">
        <f>TEXT(Table1[[#This Row],[Order Date]],"mmmm")</f>
        <v>January</v>
      </c>
      <c r="X890" s="7" t="str">
        <f>TEXT(Table1[[#This Row],[Order Date]],"yyyy")</f>
        <v>2015</v>
      </c>
      <c r="Y890" s="12">
        <v>42012</v>
      </c>
      <c r="Z890" s="11">
        <v>77.983599999997679</v>
      </c>
      <c r="AA890" s="11">
        <v>2</v>
      </c>
      <c r="AB890" s="11">
        <v>13121.07</v>
      </c>
      <c r="AC890" s="11">
        <v>87993</v>
      </c>
      <c r="AD890" s="6" t="str">
        <f>IF(COUNTIF(Returns!$A$2:$A$1635,Orders!AC890)&gt;0,"Returned","Not Returned")</f>
        <v>Not Returned</v>
      </c>
    </row>
    <row r="891" spans="1:30" ht="12.75" customHeight="1" thickTop="1" thickBot="1" x14ac:dyDescent="0.25">
      <c r="A891" s="8">
        <v>22921</v>
      </c>
      <c r="B891" s="1" t="s">
        <v>37</v>
      </c>
      <c r="C891" s="1">
        <v>0.01</v>
      </c>
      <c r="D891" s="1">
        <v>15.16</v>
      </c>
      <c r="E891" s="1">
        <v>15.09</v>
      </c>
      <c r="F891" s="1">
        <v>1607</v>
      </c>
      <c r="G891" s="6" t="str">
        <f>IF(COUNTIF(Table1[Customer ID],Table1[[#This Row],[Customer ID]])&gt;1,"Repeat Customer","One-Time Customer")</f>
        <v>Repeat Customer</v>
      </c>
      <c r="H891" s="1" t="s">
        <v>1612</v>
      </c>
      <c r="I891" s="1" t="s">
        <v>49</v>
      </c>
      <c r="J891" s="1" t="s">
        <v>40</v>
      </c>
      <c r="K891" s="1" t="s">
        <v>29</v>
      </c>
      <c r="L891" s="1" t="s">
        <v>109</v>
      </c>
      <c r="M891" s="1" t="s">
        <v>59</v>
      </c>
      <c r="N891" s="1" t="s">
        <v>1613</v>
      </c>
      <c r="O891" s="1">
        <v>0.39</v>
      </c>
      <c r="P891" s="6">
        <f>Table1[[#This Row],[Profit]]/Table1[[#This Row],[Sales]]</f>
        <v>-1.810682412332101</v>
      </c>
      <c r="Q891" s="1" t="s">
        <v>33</v>
      </c>
      <c r="R891" s="1" t="s">
        <v>53</v>
      </c>
      <c r="S891" s="1" t="s">
        <v>71</v>
      </c>
      <c r="T891" s="1" t="s">
        <v>1614</v>
      </c>
      <c r="U891" s="1">
        <v>11520</v>
      </c>
      <c r="V891" s="9">
        <v>42109</v>
      </c>
      <c r="W891" s="13" t="str">
        <f>TEXT(Table1[[#This Row],[Order Date]],"mmmm")</f>
        <v>April</v>
      </c>
      <c r="X891" s="7" t="str">
        <f>TEXT(Table1[[#This Row],[Order Date]],"yyyy")</f>
        <v>2015</v>
      </c>
      <c r="Y891" s="9">
        <v>42109</v>
      </c>
      <c r="Z891" s="1">
        <v>-200.85899999999998</v>
      </c>
      <c r="AA891" s="1">
        <v>7</v>
      </c>
      <c r="AB891" s="1">
        <v>110.93</v>
      </c>
      <c r="AC891" s="1">
        <v>87994</v>
      </c>
      <c r="AD891" s="6" t="str">
        <f>IF(COUNTIF(Returns!$A$2:$A$1635,Orders!AC891)&gt;0,"Returned","Not Returned")</f>
        <v>Not Returned</v>
      </c>
    </row>
    <row r="892" spans="1:30" ht="12.75" customHeight="1" thickTop="1" thickBot="1" x14ac:dyDescent="0.25">
      <c r="A892" s="10">
        <v>24951</v>
      </c>
      <c r="B892" s="11" t="s">
        <v>106</v>
      </c>
      <c r="C892" s="11">
        <v>0.1</v>
      </c>
      <c r="D892" s="11">
        <v>5.68</v>
      </c>
      <c r="E892" s="11">
        <v>3.6</v>
      </c>
      <c r="F892" s="11">
        <v>1607</v>
      </c>
      <c r="G892" s="6" t="str">
        <f>IF(COUNTIF(Table1[Customer ID],Table1[[#This Row],[Customer ID]])&gt;1,"Repeat Customer","One-Time Customer")</f>
        <v>Repeat Customer</v>
      </c>
      <c r="H892" s="11" t="s">
        <v>1612</v>
      </c>
      <c r="I892" s="11" t="s">
        <v>27</v>
      </c>
      <c r="J892" s="11" t="s">
        <v>40</v>
      </c>
      <c r="K892" s="11" t="s">
        <v>29</v>
      </c>
      <c r="L892" s="11" t="s">
        <v>174</v>
      </c>
      <c r="M892" s="11" t="s">
        <v>51</v>
      </c>
      <c r="N892" s="11" t="s">
        <v>1615</v>
      </c>
      <c r="O892" s="11">
        <v>0.56000000000000005</v>
      </c>
      <c r="P892" s="6">
        <f>Table1[[#This Row],[Profit]]/Table1[[#This Row],[Sales]]</f>
        <v>-0.28133164343050276</v>
      </c>
      <c r="Q892" s="11" t="s">
        <v>33</v>
      </c>
      <c r="R892" s="11" t="s">
        <v>53</v>
      </c>
      <c r="S892" s="11" t="s">
        <v>71</v>
      </c>
      <c r="T892" s="11" t="s">
        <v>1614</v>
      </c>
      <c r="U892" s="11">
        <v>11520</v>
      </c>
      <c r="V892" s="12">
        <v>42041</v>
      </c>
      <c r="W892" s="13" t="str">
        <f>TEXT(Table1[[#This Row],[Order Date]],"mmmm")</f>
        <v>February</v>
      </c>
      <c r="X892" s="7" t="str">
        <f>TEXT(Table1[[#This Row],[Order Date]],"yyyy")</f>
        <v>2015</v>
      </c>
      <c r="Y892" s="12">
        <v>42045</v>
      </c>
      <c r="Z892" s="11">
        <v>-33.2956</v>
      </c>
      <c r="AA892" s="11">
        <v>21</v>
      </c>
      <c r="AB892" s="11">
        <v>118.35</v>
      </c>
      <c r="AC892" s="11">
        <v>87995</v>
      </c>
      <c r="AD892" s="6" t="str">
        <f>IF(COUNTIF(Returns!$A$2:$A$1635,Orders!AC892)&gt;0,"Returned","Not Returned")</f>
        <v>Not Returned</v>
      </c>
    </row>
    <row r="893" spans="1:30" ht="12.75" customHeight="1" thickTop="1" thickBot="1" x14ac:dyDescent="0.25">
      <c r="A893" s="8">
        <v>22682</v>
      </c>
      <c r="B893" s="1" t="s">
        <v>25</v>
      </c>
      <c r="C893" s="1">
        <v>0.03</v>
      </c>
      <c r="D893" s="1">
        <v>2.16</v>
      </c>
      <c r="E893" s="1">
        <v>6.05</v>
      </c>
      <c r="F893" s="1">
        <v>1609</v>
      </c>
      <c r="G893" s="6" t="str">
        <f>IF(COUNTIF(Table1[Customer ID],Table1[[#This Row],[Customer ID]])&gt;1,"Repeat Customer","One-Time Customer")</f>
        <v>Repeat Customer</v>
      </c>
      <c r="H893" s="1" t="s">
        <v>1616</v>
      </c>
      <c r="I893" s="1" t="s">
        <v>49</v>
      </c>
      <c r="J893" s="1" t="s">
        <v>114</v>
      </c>
      <c r="K893" s="1" t="s">
        <v>29</v>
      </c>
      <c r="L893" s="1" t="s">
        <v>109</v>
      </c>
      <c r="M893" s="1" t="s">
        <v>59</v>
      </c>
      <c r="N893" s="1" t="s">
        <v>1536</v>
      </c>
      <c r="O893" s="1">
        <v>0.37</v>
      </c>
      <c r="P893" s="6">
        <f>Table1[[#This Row],[Profit]]/Table1[[#This Row],[Sales]]</f>
        <v>-5.2331311380704797</v>
      </c>
      <c r="Q893" s="1" t="s">
        <v>33</v>
      </c>
      <c r="R893" s="1" t="s">
        <v>34</v>
      </c>
      <c r="S893" s="1" t="s">
        <v>45</v>
      </c>
      <c r="T893" s="1" t="s">
        <v>1617</v>
      </c>
      <c r="U893" s="1">
        <v>95823</v>
      </c>
      <c r="V893" s="9">
        <v>42135</v>
      </c>
      <c r="W893" s="13" t="str">
        <f>TEXT(Table1[[#This Row],[Order Date]],"mmmm")</f>
        <v>May</v>
      </c>
      <c r="X893" s="7" t="str">
        <f>TEXT(Table1[[#This Row],[Order Date]],"yyyy")</f>
        <v>2015</v>
      </c>
      <c r="Y893" s="9">
        <v>42136</v>
      </c>
      <c r="Z893" s="1">
        <v>-90.585499999999996</v>
      </c>
      <c r="AA893" s="1">
        <v>7</v>
      </c>
      <c r="AB893" s="1">
        <v>17.309999999999999</v>
      </c>
      <c r="AC893" s="1">
        <v>87824</v>
      </c>
      <c r="AD893" s="6" t="str">
        <f>IF(COUNTIF(Returns!$A$2:$A$1635,Orders!AC893)&gt;0,"Returned","Not Returned")</f>
        <v>Not Returned</v>
      </c>
    </row>
    <row r="894" spans="1:30" ht="12.75" customHeight="1" thickTop="1" thickBot="1" x14ac:dyDescent="0.25">
      <c r="A894" s="10">
        <v>22683</v>
      </c>
      <c r="B894" s="11" t="s">
        <v>25</v>
      </c>
      <c r="C894" s="11">
        <v>0.03</v>
      </c>
      <c r="D894" s="11">
        <v>9.7100000000000009</v>
      </c>
      <c r="E894" s="11">
        <v>9.4499999999999993</v>
      </c>
      <c r="F894" s="11">
        <v>1609</v>
      </c>
      <c r="G894" s="6" t="str">
        <f>IF(COUNTIF(Table1[Customer ID],Table1[[#This Row],[Customer ID]])&gt;1,"Repeat Customer","One-Time Customer")</f>
        <v>Repeat Customer</v>
      </c>
      <c r="H894" s="11" t="s">
        <v>1616</v>
      </c>
      <c r="I894" s="11" t="s">
        <v>49</v>
      </c>
      <c r="J894" s="11" t="s">
        <v>114</v>
      </c>
      <c r="K894" s="11" t="s">
        <v>29</v>
      </c>
      <c r="L894" s="11" t="s">
        <v>141</v>
      </c>
      <c r="M894" s="11" t="s">
        <v>59</v>
      </c>
      <c r="N894" s="11" t="s">
        <v>510</v>
      </c>
      <c r="O894" s="11">
        <v>0.6</v>
      </c>
      <c r="P894" s="6">
        <f>Table1[[#This Row],[Profit]]/Table1[[#This Row],[Sales]]</f>
        <v>-1.5662139219015281</v>
      </c>
      <c r="Q894" s="11" t="s">
        <v>33</v>
      </c>
      <c r="R894" s="11" t="s">
        <v>34</v>
      </c>
      <c r="S894" s="11" t="s">
        <v>45</v>
      </c>
      <c r="T894" s="11" t="s">
        <v>1617</v>
      </c>
      <c r="U894" s="11">
        <v>95823</v>
      </c>
      <c r="V894" s="12">
        <v>42135</v>
      </c>
      <c r="W894" s="13" t="str">
        <f>TEXT(Table1[[#This Row],[Order Date]],"mmmm")</f>
        <v>May</v>
      </c>
      <c r="X894" s="7" t="str">
        <f>TEXT(Table1[[#This Row],[Order Date]],"yyyy")</f>
        <v>2015</v>
      </c>
      <c r="Y894" s="12">
        <v>42135</v>
      </c>
      <c r="Z894" s="11">
        <v>-36.9</v>
      </c>
      <c r="AA894" s="11">
        <v>2</v>
      </c>
      <c r="AB894" s="11">
        <v>23.56</v>
      </c>
      <c r="AC894" s="11">
        <v>87824</v>
      </c>
      <c r="AD894" s="6" t="str">
        <f>IF(COUNTIF(Returns!$A$2:$A$1635,Orders!AC894)&gt;0,"Returned","Not Returned")</f>
        <v>Not Returned</v>
      </c>
    </row>
    <row r="895" spans="1:30" ht="12.75" customHeight="1" thickTop="1" thickBot="1" x14ac:dyDescent="0.25">
      <c r="A895" s="8">
        <v>18394</v>
      </c>
      <c r="B895" s="1" t="s">
        <v>106</v>
      </c>
      <c r="C895" s="1">
        <v>0.06</v>
      </c>
      <c r="D895" s="1">
        <v>40.97</v>
      </c>
      <c r="E895" s="1">
        <v>1.99</v>
      </c>
      <c r="F895" s="1">
        <v>1614</v>
      </c>
      <c r="G895" s="6" t="str">
        <f>IF(COUNTIF(Table1[Customer ID],Table1[[#This Row],[Customer ID]])&gt;1,"Repeat Customer","One-Time Customer")</f>
        <v>One-Time Customer</v>
      </c>
      <c r="H895" s="1" t="s">
        <v>1618</v>
      </c>
      <c r="I895" s="1" t="s">
        <v>49</v>
      </c>
      <c r="J895" s="1" t="s">
        <v>114</v>
      </c>
      <c r="K895" s="1" t="s">
        <v>77</v>
      </c>
      <c r="L895" s="1" t="s">
        <v>180</v>
      </c>
      <c r="M895" s="1" t="s">
        <v>51</v>
      </c>
      <c r="N895" s="1" t="s">
        <v>1619</v>
      </c>
      <c r="O895" s="1">
        <v>0.42</v>
      </c>
      <c r="P895" s="6">
        <f>Table1[[#This Row],[Profit]]/Table1[[#This Row],[Sales]]</f>
        <v>0.69</v>
      </c>
      <c r="Q895" s="1" t="s">
        <v>33</v>
      </c>
      <c r="R895" s="1" t="s">
        <v>53</v>
      </c>
      <c r="S895" s="1" t="s">
        <v>193</v>
      </c>
      <c r="T895" s="1" t="s">
        <v>1620</v>
      </c>
      <c r="U895" s="1">
        <v>1748</v>
      </c>
      <c r="V895" s="9">
        <v>42102</v>
      </c>
      <c r="W895" s="13" t="str">
        <f>TEXT(Table1[[#This Row],[Order Date]],"mmmm")</f>
        <v>April</v>
      </c>
      <c r="X895" s="7" t="str">
        <f>TEXT(Table1[[#This Row],[Order Date]],"yyyy")</f>
        <v>2015</v>
      </c>
      <c r="Y895" s="9">
        <v>42106</v>
      </c>
      <c r="Z895" s="1">
        <v>341.19809999999995</v>
      </c>
      <c r="AA895" s="1">
        <v>12</v>
      </c>
      <c r="AB895" s="1">
        <v>494.49</v>
      </c>
      <c r="AC895" s="1">
        <v>87823</v>
      </c>
      <c r="AD895" s="6" t="str">
        <f>IF(COUNTIF(Returns!$A$2:$A$1635,Orders!AC895)&gt;0,"Returned","Not Returned")</f>
        <v>Not Returned</v>
      </c>
    </row>
    <row r="896" spans="1:30" ht="12.75" customHeight="1" thickTop="1" thickBot="1" x14ac:dyDescent="0.25">
      <c r="A896" s="10">
        <v>19501</v>
      </c>
      <c r="B896" s="11" t="s">
        <v>25</v>
      </c>
      <c r="C896" s="11">
        <v>0.09</v>
      </c>
      <c r="D896" s="11">
        <v>12.88</v>
      </c>
      <c r="E896" s="11">
        <v>4.59</v>
      </c>
      <c r="F896" s="11">
        <v>1618</v>
      </c>
      <c r="G896" s="6" t="str">
        <f>IF(COUNTIF(Table1[Customer ID],Table1[[#This Row],[Customer ID]])&gt;1,"Repeat Customer","One-Time Customer")</f>
        <v>One-Time Customer</v>
      </c>
      <c r="H896" s="11" t="s">
        <v>1621</v>
      </c>
      <c r="I896" s="11" t="s">
        <v>49</v>
      </c>
      <c r="J896" s="11" t="s">
        <v>114</v>
      </c>
      <c r="K896" s="11" t="s">
        <v>29</v>
      </c>
      <c r="L896" s="11" t="s">
        <v>174</v>
      </c>
      <c r="M896" s="11" t="s">
        <v>31</v>
      </c>
      <c r="N896" s="11" t="s">
        <v>1622</v>
      </c>
      <c r="O896" s="11">
        <v>0.82</v>
      </c>
      <c r="P896" s="6">
        <f>Table1[[#This Row],[Profit]]/Table1[[#This Row],[Sales]]</f>
        <v>-1.1075064820084741</v>
      </c>
      <c r="Q896" s="11" t="s">
        <v>33</v>
      </c>
      <c r="R896" s="11" t="s">
        <v>61</v>
      </c>
      <c r="S896" s="11" t="s">
        <v>703</v>
      </c>
      <c r="T896" s="11" t="s">
        <v>1623</v>
      </c>
      <c r="U896" s="11">
        <v>46322</v>
      </c>
      <c r="V896" s="12">
        <v>42100</v>
      </c>
      <c r="W896" s="13" t="str">
        <f>TEXT(Table1[[#This Row],[Order Date]],"mmmm")</f>
        <v>April</v>
      </c>
      <c r="X896" s="7" t="str">
        <f>TEXT(Table1[[#This Row],[Order Date]],"yyyy")</f>
        <v>2015</v>
      </c>
      <c r="Y896" s="12">
        <v>42100</v>
      </c>
      <c r="Z896" s="11">
        <v>-175.13</v>
      </c>
      <c r="AA896" s="11">
        <v>13</v>
      </c>
      <c r="AB896" s="11">
        <v>158.13</v>
      </c>
      <c r="AC896" s="11">
        <v>90248</v>
      </c>
      <c r="AD896" s="6" t="str">
        <f>IF(COUNTIF(Returns!$A$2:$A$1635,Orders!AC896)&gt;0,"Returned","Not Returned")</f>
        <v>Not Returned</v>
      </c>
    </row>
    <row r="897" spans="1:30" ht="12.75" customHeight="1" thickTop="1" thickBot="1" x14ac:dyDescent="0.25">
      <c r="A897" s="8">
        <v>19502</v>
      </c>
      <c r="B897" s="1" t="s">
        <v>25</v>
      </c>
      <c r="C897" s="1">
        <v>0.02</v>
      </c>
      <c r="D897" s="1">
        <v>45.99</v>
      </c>
      <c r="E897" s="1">
        <v>4.99</v>
      </c>
      <c r="F897" s="1">
        <v>1620</v>
      </c>
      <c r="G897" s="6" t="str">
        <f>IF(COUNTIF(Table1[Customer ID],Table1[[#This Row],[Customer ID]])&gt;1,"Repeat Customer","One-Time Customer")</f>
        <v>One-Time Customer</v>
      </c>
      <c r="H897" s="1" t="s">
        <v>1624</v>
      </c>
      <c r="I897" s="1" t="s">
        <v>27</v>
      </c>
      <c r="J897" s="1" t="s">
        <v>114</v>
      </c>
      <c r="K897" s="1" t="s">
        <v>77</v>
      </c>
      <c r="L897" s="1" t="s">
        <v>78</v>
      </c>
      <c r="M897" s="1" t="s">
        <v>59</v>
      </c>
      <c r="N897" s="1" t="s">
        <v>1625</v>
      </c>
      <c r="O897" s="1">
        <v>0.56999999999999995</v>
      </c>
      <c r="P897" s="6">
        <f>Table1[[#This Row],[Profit]]/Table1[[#This Row],[Sales]]</f>
        <v>2.4292988160235569E-2</v>
      </c>
      <c r="Q897" s="1" t="s">
        <v>33</v>
      </c>
      <c r="R897" s="1" t="s">
        <v>53</v>
      </c>
      <c r="S897" s="1" t="s">
        <v>234</v>
      </c>
      <c r="T897" s="1" t="s">
        <v>1211</v>
      </c>
      <c r="U897" s="1">
        <v>17602</v>
      </c>
      <c r="V897" s="9">
        <v>42100</v>
      </c>
      <c r="W897" s="13" t="str">
        <f>TEXT(Table1[[#This Row],[Order Date]],"mmmm")</f>
        <v>April</v>
      </c>
      <c r="X897" s="7" t="str">
        <f>TEXT(Table1[[#This Row],[Order Date]],"yyyy")</f>
        <v>2015</v>
      </c>
      <c r="Y897" s="9">
        <v>42101</v>
      </c>
      <c r="Z897" s="1">
        <v>3.96</v>
      </c>
      <c r="AA897" s="1">
        <v>4</v>
      </c>
      <c r="AB897" s="1">
        <v>163.01</v>
      </c>
      <c r="AC897" s="1">
        <v>90248</v>
      </c>
      <c r="AD897" s="6" t="str">
        <f>IF(COUNTIF(Returns!$A$2:$A$1635,Orders!AC897)&gt;0,"Returned","Not Returned")</f>
        <v>Not Returned</v>
      </c>
    </row>
    <row r="898" spans="1:30" ht="12.75" customHeight="1" thickTop="1" thickBot="1" x14ac:dyDescent="0.25">
      <c r="A898" s="10">
        <v>23750</v>
      </c>
      <c r="B898" s="11" t="s">
        <v>25</v>
      </c>
      <c r="C898" s="11">
        <v>0.06</v>
      </c>
      <c r="D898" s="11">
        <v>15.01</v>
      </c>
      <c r="E898" s="11">
        <v>8.4</v>
      </c>
      <c r="F898" s="11">
        <v>1623</v>
      </c>
      <c r="G898" s="6" t="str">
        <f>IF(COUNTIF(Table1[Customer ID],Table1[[#This Row],[Customer ID]])&gt;1,"Repeat Customer","One-Time Customer")</f>
        <v>Repeat Customer</v>
      </c>
      <c r="H898" s="11" t="s">
        <v>1626</v>
      </c>
      <c r="I898" s="11" t="s">
        <v>49</v>
      </c>
      <c r="J898" s="11" t="s">
        <v>58</v>
      </c>
      <c r="K898" s="11" t="s">
        <v>29</v>
      </c>
      <c r="L898" s="11" t="s">
        <v>109</v>
      </c>
      <c r="M898" s="11" t="s">
        <v>59</v>
      </c>
      <c r="N898" s="11" t="s">
        <v>1627</v>
      </c>
      <c r="O898" s="11">
        <v>0.39</v>
      </c>
      <c r="P898" s="6">
        <f>Table1[[#This Row],[Profit]]/Table1[[#This Row],[Sales]]</f>
        <v>4.8549723756906105E-3</v>
      </c>
      <c r="Q898" s="11" t="s">
        <v>33</v>
      </c>
      <c r="R898" s="11" t="s">
        <v>61</v>
      </c>
      <c r="S898" s="11" t="s">
        <v>703</v>
      </c>
      <c r="T898" s="11" t="s">
        <v>1628</v>
      </c>
      <c r="U898" s="11">
        <v>46375</v>
      </c>
      <c r="V898" s="12">
        <v>42148</v>
      </c>
      <c r="W898" s="13" t="str">
        <f>TEXT(Table1[[#This Row],[Order Date]],"mmmm")</f>
        <v>May</v>
      </c>
      <c r="X898" s="7" t="str">
        <f>TEXT(Table1[[#This Row],[Order Date]],"yyyy")</f>
        <v>2015</v>
      </c>
      <c r="Y898" s="12">
        <v>42150</v>
      </c>
      <c r="Z898" s="11">
        <v>1.6169000000000011</v>
      </c>
      <c r="AA898" s="11">
        <v>22</v>
      </c>
      <c r="AB898" s="11">
        <v>333.04</v>
      </c>
      <c r="AC898" s="11">
        <v>87611</v>
      </c>
      <c r="AD898" s="6" t="str">
        <f>IF(COUNTIF(Returns!$A$2:$A$1635,Orders!AC898)&gt;0,"Returned","Not Returned")</f>
        <v>Not Returned</v>
      </c>
    </row>
    <row r="899" spans="1:30" ht="12.75" customHeight="1" thickTop="1" thickBot="1" x14ac:dyDescent="0.25">
      <c r="A899" s="8">
        <v>23751</v>
      </c>
      <c r="B899" s="1" t="s">
        <v>25</v>
      </c>
      <c r="C899" s="1">
        <v>0.09</v>
      </c>
      <c r="D899" s="1">
        <v>40.479999999999997</v>
      </c>
      <c r="E899" s="1">
        <v>19.989999999999998</v>
      </c>
      <c r="F899" s="1">
        <v>1623</v>
      </c>
      <c r="G899" s="6" t="str">
        <f>IF(COUNTIF(Table1[Customer ID],Table1[[#This Row],[Customer ID]])&gt;1,"Repeat Customer","One-Time Customer")</f>
        <v>Repeat Customer</v>
      </c>
      <c r="H899" s="1" t="s">
        <v>1626</v>
      </c>
      <c r="I899" s="1" t="s">
        <v>49</v>
      </c>
      <c r="J899" s="1" t="s">
        <v>58</v>
      </c>
      <c r="K899" s="1" t="s">
        <v>77</v>
      </c>
      <c r="L899" s="1" t="s">
        <v>180</v>
      </c>
      <c r="M899" s="1" t="s">
        <v>59</v>
      </c>
      <c r="N899" s="1" t="s">
        <v>830</v>
      </c>
      <c r="O899" s="1">
        <v>0.77</v>
      </c>
      <c r="P899" s="6">
        <f>Table1[[#This Row],[Profit]]/Table1[[#This Row],[Sales]]</f>
        <v>0.13841757683515379</v>
      </c>
      <c r="Q899" s="1" t="s">
        <v>33</v>
      </c>
      <c r="R899" s="1" t="s">
        <v>61</v>
      </c>
      <c r="S899" s="1" t="s">
        <v>703</v>
      </c>
      <c r="T899" s="1" t="s">
        <v>1628</v>
      </c>
      <c r="U899" s="1">
        <v>46375</v>
      </c>
      <c r="V899" s="9">
        <v>42148</v>
      </c>
      <c r="W899" s="13" t="str">
        <f>TEXT(Table1[[#This Row],[Order Date]],"mmmm")</f>
        <v>May</v>
      </c>
      <c r="X899" s="7" t="str">
        <f>TEXT(Table1[[#This Row],[Order Date]],"yyyy")</f>
        <v>2015</v>
      </c>
      <c r="Y899" s="9">
        <v>42150</v>
      </c>
      <c r="Z899" s="1">
        <v>65.394000000000062</v>
      </c>
      <c r="AA899" s="1">
        <v>12</v>
      </c>
      <c r="AB899" s="1">
        <v>472.44</v>
      </c>
      <c r="AC899" s="1">
        <v>87611</v>
      </c>
      <c r="AD899" s="6" t="str">
        <f>IF(COUNTIF(Returns!$A$2:$A$1635,Orders!AC899)&gt;0,"Returned","Not Returned")</f>
        <v>Not Returned</v>
      </c>
    </row>
    <row r="900" spans="1:30" ht="12.75" customHeight="1" thickTop="1" thickBot="1" x14ac:dyDescent="0.25">
      <c r="A900" s="10">
        <v>23752</v>
      </c>
      <c r="B900" s="11" t="s">
        <v>25</v>
      </c>
      <c r="C900" s="11">
        <v>0.05</v>
      </c>
      <c r="D900" s="11">
        <v>12.28</v>
      </c>
      <c r="E900" s="11">
        <v>6.13</v>
      </c>
      <c r="F900" s="11">
        <v>1623</v>
      </c>
      <c r="G900" s="6" t="str">
        <f>IF(COUNTIF(Table1[Customer ID],Table1[[#This Row],[Customer ID]])&gt;1,"Repeat Customer","One-Time Customer")</f>
        <v>Repeat Customer</v>
      </c>
      <c r="H900" s="11" t="s">
        <v>1626</v>
      </c>
      <c r="I900" s="11" t="s">
        <v>49</v>
      </c>
      <c r="J900" s="11" t="s">
        <v>58</v>
      </c>
      <c r="K900" s="11" t="s">
        <v>29</v>
      </c>
      <c r="L900" s="11" t="s">
        <v>141</v>
      </c>
      <c r="M900" s="11" t="s">
        <v>59</v>
      </c>
      <c r="N900" s="11" t="s">
        <v>1461</v>
      </c>
      <c r="O900" s="11">
        <v>0.56999999999999995</v>
      </c>
      <c r="P900" s="6">
        <f>Table1[[#This Row],[Profit]]/Table1[[#This Row],[Sales]]</f>
        <v>7.1329418045915652E-2</v>
      </c>
      <c r="Q900" s="11" t="s">
        <v>33</v>
      </c>
      <c r="R900" s="11" t="s">
        <v>61</v>
      </c>
      <c r="S900" s="11" t="s">
        <v>703</v>
      </c>
      <c r="T900" s="11" t="s">
        <v>1628</v>
      </c>
      <c r="U900" s="11">
        <v>46375</v>
      </c>
      <c r="V900" s="12">
        <v>42148</v>
      </c>
      <c r="W900" s="13" t="str">
        <f>TEXT(Table1[[#This Row],[Order Date]],"mmmm")</f>
        <v>May</v>
      </c>
      <c r="X900" s="7" t="str">
        <f>TEXT(Table1[[#This Row],[Order Date]],"yyyy")</f>
        <v>2015</v>
      </c>
      <c r="Y900" s="12">
        <v>42149</v>
      </c>
      <c r="Z900" s="11">
        <v>1.3360000000000003</v>
      </c>
      <c r="AA900" s="11">
        <v>1</v>
      </c>
      <c r="AB900" s="11">
        <v>18.73</v>
      </c>
      <c r="AC900" s="11">
        <v>87611</v>
      </c>
      <c r="AD900" s="6" t="str">
        <f>IF(COUNTIF(Returns!$A$2:$A$1635,Orders!AC900)&gt;0,"Returned","Not Returned")</f>
        <v>Not Returned</v>
      </c>
    </row>
    <row r="901" spans="1:30" ht="12.75" customHeight="1" thickTop="1" thickBot="1" x14ac:dyDescent="0.25">
      <c r="A901" s="8">
        <v>21145</v>
      </c>
      <c r="B901" s="1" t="s">
        <v>56</v>
      </c>
      <c r="C901" s="1">
        <v>0.08</v>
      </c>
      <c r="D901" s="1">
        <v>213.45</v>
      </c>
      <c r="E901" s="1">
        <v>14.7</v>
      </c>
      <c r="F901" s="1">
        <v>1625</v>
      </c>
      <c r="G901" s="6" t="str">
        <f>IF(COUNTIF(Table1[Customer ID],Table1[[#This Row],[Customer ID]])&gt;1,"Repeat Customer","One-Time Customer")</f>
        <v>Repeat Customer</v>
      </c>
      <c r="H901" s="1" t="s">
        <v>1629</v>
      </c>
      <c r="I901" s="1" t="s">
        <v>39</v>
      </c>
      <c r="J901" s="1" t="s">
        <v>40</v>
      </c>
      <c r="K901" s="1" t="s">
        <v>77</v>
      </c>
      <c r="L901" s="1" t="s">
        <v>85</v>
      </c>
      <c r="M901" s="1" t="s">
        <v>43</v>
      </c>
      <c r="N901" s="1" t="s">
        <v>291</v>
      </c>
      <c r="O901" s="1">
        <v>0.59</v>
      </c>
      <c r="P901" s="6">
        <f>Table1[[#This Row],[Profit]]/Table1[[#This Row],[Sales]]</f>
        <v>0.69</v>
      </c>
      <c r="Q901" s="1" t="s">
        <v>33</v>
      </c>
      <c r="R901" s="1" t="s">
        <v>53</v>
      </c>
      <c r="S901" s="1" t="s">
        <v>71</v>
      </c>
      <c r="T901" s="1" t="s">
        <v>1630</v>
      </c>
      <c r="U901" s="1">
        <v>11542</v>
      </c>
      <c r="V901" s="9">
        <v>42090</v>
      </c>
      <c r="W901" s="13" t="str">
        <f>TEXT(Table1[[#This Row],[Order Date]],"mmmm")</f>
        <v>March</v>
      </c>
      <c r="X901" s="7" t="str">
        <f>TEXT(Table1[[#This Row],[Order Date]],"yyyy")</f>
        <v>2015</v>
      </c>
      <c r="Y901" s="9">
        <v>42092</v>
      </c>
      <c r="Z901" s="1">
        <v>1674.7541999999999</v>
      </c>
      <c r="AA901" s="1">
        <v>12</v>
      </c>
      <c r="AB901" s="1">
        <v>2427.1799999999998</v>
      </c>
      <c r="AC901" s="1">
        <v>90600</v>
      </c>
      <c r="AD901" s="6" t="str">
        <f>IF(COUNTIF(Returns!$A$2:$A$1635,Orders!AC901)&gt;0,"Returned","Not Returned")</f>
        <v>Not Returned</v>
      </c>
    </row>
    <row r="902" spans="1:30" ht="12.75" customHeight="1" thickTop="1" thickBot="1" x14ac:dyDescent="0.25">
      <c r="A902" s="10">
        <v>21146</v>
      </c>
      <c r="B902" s="11" t="s">
        <v>56</v>
      </c>
      <c r="C902" s="11">
        <v>0.1</v>
      </c>
      <c r="D902" s="11">
        <v>55.98</v>
      </c>
      <c r="E902" s="11">
        <v>13.88</v>
      </c>
      <c r="F902" s="11">
        <v>1625</v>
      </c>
      <c r="G902" s="6" t="str">
        <f>IF(COUNTIF(Table1[Customer ID],Table1[[#This Row],[Customer ID]])&gt;1,"Repeat Customer","One-Time Customer")</f>
        <v>Repeat Customer</v>
      </c>
      <c r="H902" s="11" t="s">
        <v>1629</v>
      </c>
      <c r="I902" s="11" t="s">
        <v>49</v>
      </c>
      <c r="J902" s="11" t="s">
        <v>40</v>
      </c>
      <c r="K902" s="11" t="s">
        <v>29</v>
      </c>
      <c r="L902" s="11" t="s">
        <v>93</v>
      </c>
      <c r="M902" s="11" t="s">
        <v>59</v>
      </c>
      <c r="N902" s="11" t="s">
        <v>1631</v>
      </c>
      <c r="O902" s="11">
        <v>0.36</v>
      </c>
      <c r="P902" s="6">
        <f>Table1[[#This Row],[Profit]]/Table1[[#This Row],[Sales]]</f>
        <v>0.69</v>
      </c>
      <c r="Q902" s="11" t="s">
        <v>33</v>
      </c>
      <c r="R902" s="11" t="s">
        <v>53</v>
      </c>
      <c r="S902" s="11" t="s">
        <v>71</v>
      </c>
      <c r="T902" s="11" t="s">
        <v>1630</v>
      </c>
      <c r="U902" s="11">
        <v>11542</v>
      </c>
      <c r="V902" s="12">
        <v>42090</v>
      </c>
      <c r="W902" s="13" t="str">
        <f>TEXT(Table1[[#This Row],[Order Date]],"mmmm")</f>
        <v>March</v>
      </c>
      <c r="X902" s="7" t="str">
        <f>TEXT(Table1[[#This Row],[Order Date]],"yyyy")</f>
        <v>2015</v>
      </c>
      <c r="Y902" s="12">
        <v>42092</v>
      </c>
      <c r="Z902" s="11">
        <v>300.04649999999998</v>
      </c>
      <c r="AA902" s="11">
        <v>8</v>
      </c>
      <c r="AB902" s="11">
        <v>434.85</v>
      </c>
      <c r="AC902" s="11">
        <v>90600</v>
      </c>
      <c r="AD902" s="6" t="str">
        <f>IF(COUNTIF(Returns!$A$2:$A$1635,Orders!AC902)&gt;0,"Returned","Not Returned")</f>
        <v>Not Returned</v>
      </c>
    </row>
    <row r="903" spans="1:30" ht="12.75" customHeight="1" thickTop="1" thickBot="1" x14ac:dyDescent="0.25">
      <c r="A903" s="8">
        <v>21147</v>
      </c>
      <c r="B903" s="1" t="s">
        <v>56</v>
      </c>
      <c r="C903" s="1">
        <v>0</v>
      </c>
      <c r="D903" s="1">
        <v>16.059999999999999</v>
      </c>
      <c r="E903" s="1">
        <v>8.34</v>
      </c>
      <c r="F903" s="1">
        <v>1625</v>
      </c>
      <c r="G903" s="6" t="str">
        <f>IF(COUNTIF(Table1[Customer ID],Table1[[#This Row],[Customer ID]])&gt;1,"Repeat Customer","One-Time Customer")</f>
        <v>Repeat Customer</v>
      </c>
      <c r="H903" s="1" t="s">
        <v>1629</v>
      </c>
      <c r="I903" s="1" t="s">
        <v>49</v>
      </c>
      <c r="J903" s="1" t="s">
        <v>40</v>
      </c>
      <c r="K903" s="1" t="s">
        <v>29</v>
      </c>
      <c r="L903" s="1" t="s">
        <v>141</v>
      </c>
      <c r="M903" s="1" t="s">
        <v>59</v>
      </c>
      <c r="N903" s="1" t="s">
        <v>1632</v>
      </c>
      <c r="O903" s="1">
        <v>0.59</v>
      </c>
      <c r="P903" s="6">
        <f>Table1[[#This Row],[Profit]]/Table1[[#This Row],[Sales]]</f>
        <v>-1.4660751565762005</v>
      </c>
      <c r="Q903" s="1" t="s">
        <v>33</v>
      </c>
      <c r="R903" s="1" t="s">
        <v>53</v>
      </c>
      <c r="S903" s="1" t="s">
        <v>71</v>
      </c>
      <c r="T903" s="1" t="s">
        <v>1630</v>
      </c>
      <c r="U903" s="1">
        <v>11542</v>
      </c>
      <c r="V903" s="9">
        <v>42090</v>
      </c>
      <c r="W903" s="13" t="str">
        <f>TEXT(Table1[[#This Row],[Order Date]],"mmmm")</f>
        <v>March</v>
      </c>
      <c r="X903" s="7" t="str">
        <f>TEXT(Table1[[#This Row],[Order Date]],"yyyy")</f>
        <v>2015</v>
      </c>
      <c r="Y903" s="9">
        <v>42091</v>
      </c>
      <c r="Z903" s="1">
        <v>-28.09</v>
      </c>
      <c r="AA903" s="1">
        <v>1</v>
      </c>
      <c r="AB903" s="1">
        <v>19.16</v>
      </c>
      <c r="AC903" s="1">
        <v>90600</v>
      </c>
      <c r="AD903" s="6" t="str">
        <f>IF(COUNTIF(Returns!$A$2:$A$1635,Orders!AC903)&gt;0,"Returned","Not Returned")</f>
        <v>Not Returned</v>
      </c>
    </row>
    <row r="904" spans="1:30" ht="12.75" customHeight="1" thickTop="1" thickBot="1" x14ac:dyDescent="0.25">
      <c r="A904" s="10">
        <v>21270</v>
      </c>
      <c r="B904" s="11" t="s">
        <v>56</v>
      </c>
      <c r="C904" s="11">
        <v>0</v>
      </c>
      <c r="D904" s="11">
        <v>209.37</v>
      </c>
      <c r="E904" s="11">
        <v>69</v>
      </c>
      <c r="F904" s="11">
        <v>1625</v>
      </c>
      <c r="G904" s="6" t="str">
        <f>IF(COUNTIF(Table1[Customer ID],Table1[[#This Row],[Customer ID]])&gt;1,"Repeat Customer","One-Time Customer")</f>
        <v>Repeat Customer</v>
      </c>
      <c r="H904" s="11" t="s">
        <v>1629</v>
      </c>
      <c r="I904" s="11" t="s">
        <v>49</v>
      </c>
      <c r="J904" s="11" t="s">
        <v>40</v>
      </c>
      <c r="K904" s="11" t="s">
        <v>41</v>
      </c>
      <c r="L904" s="11" t="s">
        <v>152</v>
      </c>
      <c r="M904" s="11" t="s">
        <v>236</v>
      </c>
      <c r="N904" s="11" t="s">
        <v>1633</v>
      </c>
      <c r="O904" s="11">
        <v>0.79</v>
      </c>
      <c r="P904" s="6">
        <f>Table1[[#This Row],[Profit]]/Table1[[#This Row],[Sales]]</f>
        <v>-0.13424899946935531</v>
      </c>
      <c r="Q904" s="11" t="s">
        <v>33</v>
      </c>
      <c r="R904" s="11" t="s">
        <v>53</v>
      </c>
      <c r="S904" s="11" t="s">
        <v>71</v>
      </c>
      <c r="T904" s="11" t="s">
        <v>1630</v>
      </c>
      <c r="U904" s="11">
        <v>11542</v>
      </c>
      <c r="V904" s="12">
        <v>42051</v>
      </c>
      <c r="W904" s="13" t="str">
        <f>TEXT(Table1[[#This Row],[Order Date]],"mmmm")</f>
        <v>February</v>
      </c>
      <c r="X904" s="7" t="str">
        <f>TEXT(Table1[[#This Row],[Order Date]],"yyyy")</f>
        <v>2015</v>
      </c>
      <c r="Y904" s="12">
        <v>42053</v>
      </c>
      <c r="Z904" s="11">
        <v>-263.1119290800001</v>
      </c>
      <c r="AA904" s="11">
        <v>11</v>
      </c>
      <c r="AB904" s="11">
        <v>1959.88</v>
      </c>
      <c r="AC904" s="11">
        <v>90601</v>
      </c>
      <c r="AD904" s="6" t="str">
        <f>IF(COUNTIF(Returns!$A$2:$A$1635,Orders!AC904)&gt;0,"Returned","Not Returned")</f>
        <v>Not Returned</v>
      </c>
    </row>
    <row r="905" spans="1:30" ht="12.75" customHeight="1" thickTop="1" thickBot="1" x14ac:dyDescent="0.25">
      <c r="A905" s="8">
        <v>23604</v>
      </c>
      <c r="B905" s="1" t="s">
        <v>25</v>
      </c>
      <c r="C905" s="1">
        <v>0.06</v>
      </c>
      <c r="D905" s="1">
        <v>43.57</v>
      </c>
      <c r="E905" s="1">
        <v>16.36</v>
      </c>
      <c r="F905" s="1">
        <v>1627</v>
      </c>
      <c r="G905" s="6" t="str">
        <f>IF(COUNTIF(Table1[Customer ID],Table1[[#This Row],[Customer ID]])&gt;1,"Repeat Customer","One-Time Customer")</f>
        <v>One-Time Customer</v>
      </c>
      <c r="H905" s="1" t="s">
        <v>1634</v>
      </c>
      <c r="I905" s="1" t="s">
        <v>49</v>
      </c>
      <c r="J905" s="1" t="s">
        <v>28</v>
      </c>
      <c r="K905" s="1" t="s">
        <v>29</v>
      </c>
      <c r="L905" s="1" t="s">
        <v>141</v>
      </c>
      <c r="M905" s="1" t="s">
        <v>59</v>
      </c>
      <c r="N905" s="1" t="s">
        <v>1635</v>
      </c>
      <c r="O905" s="1">
        <v>0.55000000000000004</v>
      </c>
      <c r="P905" s="6">
        <f>Table1[[#This Row],[Profit]]/Table1[[#This Row],[Sales]]</f>
        <v>-5.4646840148698889E-2</v>
      </c>
      <c r="Q905" s="1" t="s">
        <v>33</v>
      </c>
      <c r="R905" s="1" t="s">
        <v>136</v>
      </c>
      <c r="S905" s="1" t="s">
        <v>244</v>
      </c>
      <c r="T905" s="1" t="s">
        <v>1636</v>
      </c>
      <c r="U905" s="1">
        <v>37743</v>
      </c>
      <c r="V905" s="9">
        <v>42152</v>
      </c>
      <c r="W905" s="13" t="str">
        <f>TEXT(Table1[[#This Row],[Order Date]],"mmmm")</f>
        <v>May</v>
      </c>
      <c r="X905" s="7" t="str">
        <f>TEXT(Table1[[#This Row],[Order Date]],"yyyy")</f>
        <v>2015</v>
      </c>
      <c r="Y905" s="9">
        <v>42154</v>
      </c>
      <c r="Z905" s="1">
        <v>-38.808</v>
      </c>
      <c r="AA905" s="1">
        <v>17</v>
      </c>
      <c r="AB905" s="1">
        <v>710.16</v>
      </c>
      <c r="AC905" s="1">
        <v>90602</v>
      </c>
      <c r="AD905" s="6" t="str">
        <f>IF(COUNTIF(Returns!$A$2:$A$1635,Orders!AC905)&gt;0,"Returned","Not Returned")</f>
        <v>Not Returned</v>
      </c>
    </row>
    <row r="906" spans="1:30" ht="12.75" customHeight="1" thickTop="1" thickBot="1" x14ac:dyDescent="0.25">
      <c r="A906" s="10">
        <v>19769</v>
      </c>
      <c r="B906" s="11" t="s">
        <v>25</v>
      </c>
      <c r="C906" s="11">
        <v>0.08</v>
      </c>
      <c r="D906" s="11">
        <v>8.09</v>
      </c>
      <c r="E906" s="11">
        <v>7.96</v>
      </c>
      <c r="F906" s="11">
        <v>1632</v>
      </c>
      <c r="G906" s="6" t="str">
        <f>IF(COUNTIF(Table1[Customer ID],Table1[[#This Row],[Customer ID]])&gt;1,"Repeat Customer","One-Time Customer")</f>
        <v>Repeat Customer</v>
      </c>
      <c r="H906" s="11" t="s">
        <v>1637</v>
      </c>
      <c r="I906" s="11" t="s">
        <v>27</v>
      </c>
      <c r="J906" s="11" t="s">
        <v>40</v>
      </c>
      <c r="K906" s="11" t="s">
        <v>41</v>
      </c>
      <c r="L906" s="11" t="s">
        <v>50</v>
      </c>
      <c r="M906" s="11" t="s">
        <v>59</v>
      </c>
      <c r="N906" s="11" t="s">
        <v>157</v>
      </c>
      <c r="O906" s="11">
        <v>0.49</v>
      </c>
      <c r="P906" s="6">
        <f>Table1[[#This Row],[Profit]]/Table1[[#This Row],[Sales]]</f>
        <v>0.33127461139896375</v>
      </c>
      <c r="Q906" s="11" t="s">
        <v>33</v>
      </c>
      <c r="R906" s="11" t="s">
        <v>136</v>
      </c>
      <c r="S906" s="11" t="s">
        <v>671</v>
      </c>
      <c r="T906" s="11" t="s">
        <v>1638</v>
      </c>
      <c r="U906" s="11">
        <v>39401</v>
      </c>
      <c r="V906" s="12">
        <v>42019</v>
      </c>
      <c r="W906" s="13" t="str">
        <f>TEXT(Table1[[#This Row],[Order Date]],"mmmm")</f>
        <v>January</v>
      </c>
      <c r="X906" s="7" t="str">
        <f>TEXT(Table1[[#This Row],[Order Date]],"yyyy")</f>
        <v>2015</v>
      </c>
      <c r="Y906" s="12">
        <v>42020</v>
      </c>
      <c r="Z906" s="11">
        <v>15.984</v>
      </c>
      <c r="AA906" s="11">
        <v>6</v>
      </c>
      <c r="AB906" s="11">
        <v>48.25</v>
      </c>
      <c r="AC906" s="11">
        <v>90530</v>
      </c>
      <c r="AD906" s="6" t="str">
        <f>IF(COUNTIF(Returns!$A$2:$A$1635,Orders!AC906)&gt;0,"Returned","Not Returned")</f>
        <v>Not Returned</v>
      </c>
    </row>
    <row r="907" spans="1:30" ht="12.75" customHeight="1" thickTop="1" thickBot="1" x14ac:dyDescent="0.25">
      <c r="A907" s="8">
        <v>20359</v>
      </c>
      <c r="B907" s="1" t="s">
        <v>25</v>
      </c>
      <c r="C907" s="1">
        <v>0.02</v>
      </c>
      <c r="D907" s="1">
        <v>25.99</v>
      </c>
      <c r="E907" s="1">
        <v>5.37</v>
      </c>
      <c r="F907" s="1">
        <v>1632</v>
      </c>
      <c r="G907" s="6" t="str">
        <f>IF(COUNTIF(Table1[Customer ID],Table1[[#This Row],[Customer ID]])&gt;1,"Repeat Customer","One-Time Customer")</f>
        <v>Repeat Customer</v>
      </c>
      <c r="H907" s="1" t="s">
        <v>1637</v>
      </c>
      <c r="I907" s="1" t="s">
        <v>49</v>
      </c>
      <c r="J907" s="1" t="s">
        <v>40</v>
      </c>
      <c r="K907" s="1" t="s">
        <v>29</v>
      </c>
      <c r="L907" s="1" t="s">
        <v>30</v>
      </c>
      <c r="M907" s="1" t="s">
        <v>59</v>
      </c>
      <c r="N907" s="1" t="s">
        <v>1639</v>
      </c>
      <c r="O907" s="1">
        <v>0.56000000000000005</v>
      </c>
      <c r="P907" s="6">
        <f>Table1[[#This Row],[Profit]]/Table1[[#This Row],[Sales]]</f>
        <v>-0.36243216576221016</v>
      </c>
      <c r="Q907" s="1" t="s">
        <v>33</v>
      </c>
      <c r="R907" s="1" t="s">
        <v>136</v>
      </c>
      <c r="S907" s="1" t="s">
        <v>671</v>
      </c>
      <c r="T907" s="1" t="s">
        <v>1638</v>
      </c>
      <c r="U907" s="1">
        <v>39401</v>
      </c>
      <c r="V907" s="9">
        <v>42109</v>
      </c>
      <c r="W907" s="13" t="str">
        <f>TEXT(Table1[[#This Row],[Order Date]],"mmmm")</f>
        <v>April</v>
      </c>
      <c r="X907" s="7" t="str">
        <f>TEXT(Table1[[#This Row],[Order Date]],"yyyy")</f>
        <v>2015</v>
      </c>
      <c r="Y907" s="9">
        <v>42111</v>
      </c>
      <c r="Z907" s="1">
        <v>-88.158000000000001</v>
      </c>
      <c r="AA907" s="1">
        <v>9</v>
      </c>
      <c r="AB907" s="1">
        <v>243.24</v>
      </c>
      <c r="AC907" s="1">
        <v>90533</v>
      </c>
      <c r="AD907" s="6" t="str">
        <f>IF(COUNTIF(Returns!$A$2:$A$1635,Orders!AC907)&gt;0,"Returned","Not Returned")</f>
        <v>Not Returned</v>
      </c>
    </row>
    <row r="908" spans="1:30" ht="12.75" customHeight="1" thickTop="1" thickBot="1" x14ac:dyDescent="0.25">
      <c r="A908" s="10">
        <v>24786</v>
      </c>
      <c r="B908" s="11" t="s">
        <v>37</v>
      </c>
      <c r="C908" s="11">
        <v>0.03</v>
      </c>
      <c r="D908" s="11">
        <v>5.98</v>
      </c>
      <c r="E908" s="11">
        <v>3.85</v>
      </c>
      <c r="F908" s="11">
        <v>1633</v>
      </c>
      <c r="G908" s="6" t="str">
        <f>IF(COUNTIF(Table1[Customer ID],Table1[[#This Row],[Customer ID]])&gt;1,"Repeat Customer","One-Time Customer")</f>
        <v>One-Time Customer</v>
      </c>
      <c r="H908" s="11" t="s">
        <v>1640</v>
      </c>
      <c r="I908" s="11" t="s">
        <v>49</v>
      </c>
      <c r="J908" s="11" t="s">
        <v>40</v>
      </c>
      <c r="K908" s="11" t="s">
        <v>77</v>
      </c>
      <c r="L908" s="11" t="s">
        <v>180</v>
      </c>
      <c r="M908" s="11" t="s">
        <v>51</v>
      </c>
      <c r="N908" s="11" t="s">
        <v>1137</v>
      </c>
      <c r="O908" s="11">
        <v>0.68</v>
      </c>
      <c r="P908" s="6">
        <f>Table1[[#This Row],[Profit]]/Table1[[#This Row],[Sales]]</f>
        <v>-1.9747483134405814</v>
      </c>
      <c r="Q908" s="11" t="s">
        <v>33</v>
      </c>
      <c r="R908" s="11" t="s">
        <v>136</v>
      </c>
      <c r="S908" s="11" t="s">
        <v>671</v>
      </c>
      <c r="T908" s="11" t="s">
        <v>1641</v>
      </c>
      <c r="U908" s="11">
        <v>38637</v>
      </c>
      <c r="V908" s="12">
        <v>42045</v>
      </c>
      <c r="W908" s="13" t="str">
        <f>TEXT(Table1[[#This Row],[Order Date]],"mmmm")</f>
        <v>February</v>
      </c>
      <c r="X908" s="7" t="str">
        <f>TEXT(Table1[[#This Row],[Order Date]],"yyyy")</f>
        <v>2015</v>
      </c>
      <c r="Y908" s="12">
        <v>42047</v>
      </c>
      <c r="Z908" s="11">
        <v>-76.106800000000007</v>
      </c>
      <c r="AA908" s="11">
        <v>6</v>
      </c>
      <c r="AB908" s="11">
        <v>38.54</v>
      </c>
      <c r="AC908" s="11">
        <v>90531</v>
      </c>
      <c r="AD908" s="6" t="str">
        <f>IF(COUNTIF(Returns!$A$2:$A$1635,Orders!AC908)&gt;0,"Returned","Not Returned")</f>
        <v>Not Returned</v>
      </c>
    </row>
    <row r="909" spans="1:30" ht="12.75" customHeight="1" thickTop="1" thickBot="1" x14ac:dyDescent="0.25">
      <c r="A909" s="8">
        <v>26340</v>
      </c>
      <c r="B909" s="1" t="s">
        <v>37</v>
      </c>
      <c r="C909" s="1">
        <v>0.08</v>
      </c>
      <c r="D909" s="1">
        <v>100.97</v>
      </c>
      <c r="E909" s="1">
        <v>14</v>
      </c>
      <c r="F909" s="1">
        <v>1634</v>
      </c>
      <c r="G909" s="6" t="str">
        <f>IF(COUNTIF(Table1[Customer ID],Table1[[#This Row],[Customer ID]])&gt;1,"Repeat Customer","One-Time Customer")</f>
        <v>One-Time Customer</v>
      </c>
      <c r="H909" s="1" t="s">
        <v>1642</v>
      </c>
      <c r="I909" s="1" t="s">
        <v>39</v>
      </c>
      <c r="J909" s="1" t="s">
        <v>40</v>
      </c>
      <c r="K909" s="1" t="s">
        <v>77</v>
      </c>
      <c r="L909" s="1" t="s">
        <v>85</v>
      </c>
      <c r="M909" s="1" t="s">
        <v>43</v>
      </c>
      <c r="N909" s="1" t="s">
        <v>1643</v>
      </c>
      <c r="O909" s="1">
        <v>0.37</v>
      </c>
      <c r="P909" s="6">
        <f>Table1[[#This Row],[Profit]]/Table1[[#This Row],[Sales]]</f>
        <v>-4.9552388144232538E-2</v>
      </c>
      <c r="Q909" s="1" t="s">
        <v>33</v>
      </c>
      <c r="R909" s="1" t="s">
        <v>136</v>
      </c>
      <c r="S909" s="1" t="s">
        <v>671</v>
      </c>
      <c r="T909" s="1" t="s">
        <v>1644</v>
      </c>
      <c r="U909" s="1">
        <v>39212</v>
      </c>
      <c r="V909" s="9">
        <v>42103</v>
      </c>
      <c r="W909" s="13" t="str">
        <f>TEXT(Table1[[#This Row],[Order Date]],"mmmm")</f>
        <v>April</v>
      </c>
      <c r="X909" s="7" t="str">
        <f>TEXT(Table1[[#This Row],[Order Date]],"yyyy")</f>
        <v>2015</v>
      </c>
      <c r="Y909" s="9">
        <v>42104</v>
      </c>
      <c r="Z909" s="1">
        <v>-73.494119999999938</v>
      </c>
      <c r="AA909" s="1">
        <v>15</v>
      </c>
      <c r="AB909" s="1">
        <v>1483.16</v>
      </c>
      <c r="AC909" s="1">
        <v>90532</v>
      </c>
      <c r="AD909" s="6" t="str">
        <f>IF(COUNTIF(Returns!$A$2:$A$1635,Orders!AC909)&gt;0,"Returned","Not Returned")</f>
        <v>Not Returned</v>
      </c>
    </row>
    <row r="910" spans="1:30" ht="12.75" customHeight="1" thickTop="1" thickBot="1" x14ac:dyDescent="0.25">
      <c r="A910" s="10">
        <v>19144</v>
      </c>
      <c r="B910" s="11" t="s">
        <v>47</v>
      </c>
      <c r="C910" s="11">
        <v>0.08</v>
      </c>
      <c r="D910" s="11">
        <v>115.99</v>
      </c>
      <c r="E910" s="11">
        <v>56.14</v>
      </c>
      <c r="F910" s="11">
        <v>1636</v>
      </c>
      <c r="G910" s="6" t="str">
        <f>IF(COUNTIF(Table1[Customer ID],Table1[[#This Row],[Customer ID]])&gt;1,"Repeat Customer","One-Time Customer")</f>
        <v>Repeat Customer</v>
      </c>
      <c r="H910" s="11" t="s">
        <v>1645</v>
      </c>
      <c r="I910" s="11" t="s">
        <v>39</v>
      </c>
      <c r="J910" s="11" t="s">
        <v>40</v>
      </c>
      <c r="K910" s="11" t="s">
        <v>77</v>
      </c>
      <c r="L910" s="11" t="s">
        <v>85</v>
      </c>
      <c r="M910" s="11" t="s">
        <v>43</v>
      </c>
      <c r="N910" s="11" t="s">
        <v>1355</v>
      </c>
      <c r="O910" s="11">
        <v>0.4</v>
      </c>
      <c r="P910" s="6">
        <f>Table1[[#This Row],[Profit]]/Table1[[#This Row],[Sales]]</f>
        <v>-0.48471547794574815</v>
      </c>
      <c r="Q910" s="11" t="s">
        <v>33</v>
      </c>
      <c r="R910" s="11" t="s">
        <v>34</v>
      </c>
      <c r="S910" s="11" t="s">
        <v>45</v>
      </c>
      <c r="T910" s="11" t="s">
        <v>1646</v>
      </c>
      <c r="U910" s="11">
        <v>93905</v>
      </c>
      <c r="V910" s="12">
        <v>42018</v>
      </c>
      <c r="W910" s="13" t="str">
        <f>TEXT(Table1[[#This Row],[Order Date]],"mmmm")</f>
        <v>January</v>
      </c>
      <c r="X910" s="7" t="str">
        <f>TEXT(Table1[[#This Row],[Order Date]],"yyyy")</f>
        <v>2015</v>
      </c>
      <c r="Y910" s="12">
        <v>42020</v>
      </c>
      <c r="Z910" s="11">
        <v>-272.860884</v>
      </c>
      <c r="AA910" s="11">
        <v>5</v>
      </c>
      <c r="AB910" s="11">
        <v>562.92999999999995</v>
      </c>
      <c r="AC910" s="11">
        <v>89704</v>
      </c>
      <c r="AD910" s="6" t="str">
        <f>IF(COUNTIF(Returns!$A$2:$A$1635,Orders!AC910)&gt;0,"Returned","Not Returned")</f>
        <v>Not Returned</v>
      </c>
    </row>
    <row r="911" spans="1:30" ht="12.75" customHeight="1" thickTop="1" thickBot="1" x14ac:dyDescent="0.25">
      <c r="A911" s="8">
        <v>19145</v>
      </c>
      <c r="B911" s="1" t="s">
        <v>47</v>
      </c>
      <c r="C911" s="1">
        <v>0.08</v>
      </c>
      <c r="D911" s="1">
        <v>4.28</v>
      </c>
      <c r="E911" s="1">
        <v>0.94</v>
      </c>
      <c r="F911" s="1">
        <v>1636</v>
      </c>
      <c r="G911" s="6" t="str">
        <f>IF(COUNTIF(Table1[Customer ID],Table1[[#This Row],[Customer ID]])&gt;1,"Repeat Customer","One-Time Customer")</f>
        <v>Repeat Customer</v>
      </c>
      <c r="H911" s="1" t="s">
        <v>1645</v>
      </c>
      <c r="I911" s="1" t="s">
        <v>49</v>
      </c>
      <c r="J911" s="1" t="s">
        <v>40</v>
      </c>
      <c r="K911" s="1" t="s">
        <v>29</v>
      </c>
      <c r="L911" s="1" t="s">
        <v>30</v>
      </c>
      <c r="M911" s="1" t="s">
        <v>31</v>
      </c>
      <c r="N911" s="1" t="s">
        <v>1647</v>
      </c>
      <c r="O911" s="1">
        <v>0.56000000000000005</v>
      </c>
      <c r="P911" s="6">
        <f>Table1[[#This Row],[Profit]]/Table1[[#This Row],[Sales]]</f>
        <v>0.36254969156956823</v>
      </c>
      <c r="Q911" s="1" t="s">
        <v>33</v>
      </c>
      <c r="R911" s="1" t="s">
        <v>34</v>
      </c>
      <c r="S911" s="1" t="s">
        <v>45</v>
      </c>
      <c r="T911" s="1" t="s">
        <v>1646</v>
      </c>
      <c r="U911" s="1">
        <v>93905</v>
      </c>
      <c r="V911" s="9">
        <v>42018</v>
      </c>
      <c r="W911" s="13" t="str">
        <f>TEXT(Table1[[#This Row],[Order Date]],"mmmm")</f>
        <v>January</v>
      </c>
      <c r="X911" s="7" t="str">
        <f>TEXT(Table1[[#This Row],[Order Date]],"yyyy")</f>
        <v>2015</v>
      </c>
      <c r="Y911" s="9">
        <v>42021</v>
      </c>
      <c r="Z911" s="1">
        <v>10.5792</v>
      </c>
      <c r="AA911" s="1">
        <v>7</v>
      </c>
      <c r="AB911" s="1">
        <v>29.18</v>
      </c>
      <c r="AC911" s="1">
        <v>89704</v>
      </c>
      <c r="AD911" s="6" t="str">
        <f>IF(COUNTIF(Returns!$A$2:$A$1635,Orders!AC911)&gt;0,"Returned","Not Returned")</f>
        <v>Not Returned</v>
      </c>
    </row>
    <row r="912" spans="1:30" ht="12.75" customHeight="1" thickTop="1" thickBot="1" x14ac:dyDescent="0.25">
      <c r="A912" s="10">
        <v>20869</v>
      </c>
      <c r="B912" s="11" t="s">
        <v>25</v>
      </c>
      <c r="C912" s="11">
        <v>0.04</v>
      </c>
      <c r="D912" s="11">
        <v>136.97999999999999</v>
      </c>
      <c r="E912" s="11">
        <v>24.49</v>
      </c>
      <c r="F912" s="11">
        <v>1636</v>
      </c>
      <c r="G912" s="6" t="str">
        <f>IF(COUNTIF(Table1[Customer ID],Table1[[#This Row],[Customer ID]])&gt;1,"Repeat Customer","One-Time Customer")</f>
        <v>Repeat Customer</v>
      </c>
      <c r="H912" s="11" t="s">
        <v>1645</v>
      </c>
      <c r="I912" s="11" t="s">
        <v>27</v>
      </c>
      <c r="J912" s="11" t="s">
        <v>40</v>
      </c>
      <c r="K912" s="11" t="s">
        <v>41</v>
      </c>
      <c r="L912" s="11" t="s">
        <v>50</v>
      </c>
      <c r="M912" s="11" t="s">
        <v>236</v>
      </c>
      <c r="N912" s="11" t="s">
        <v>1648</v>
      </c>
      <c r="O912" s="11">
        <v>0.59</v>
      </c>
      <c r="P912" s="6">
        <f>Table1[[#This Row],[Profit]]/Table1[[#This Row],[Sales]]</f>
        <v>0.69</v>
      </c>
      <c r="Q912" s="11" t="s">
        <v>33</v>
      </c>
      <c r="R912" s="11" t="s">
        <v>34</v>
      </c>
      <c r="S912" s="11" t="s">
        <v>45</v>
      </c>
      <c r="T912" s="11" t="s">
        <v>1646</v>
      </c>
      <c r="U912" s="11">
        <v>93905</v>
      </c>
      <c r="V912" s="12">
        <v>42016</v>
      </c>
      <c r="W912" s="13" t="str">
        <f>TEXT(Table1[[#This Row],[Order Date]],"mmmm")</f>
        <v>January</v>
      </c>
      <c r="X912" s="7" t="str">
        <f>TEXT(Table1[[#This Row],[Order Date]],"yyyy")</f>
        <v>2015</v>
      </c>
      <c r="Y912" s="12">
        <v>42018</v>
      </c>
      <c r="Z912" s="11">
        <v>1127.5497</v>
      </c>
      <c r="AA912" s="11">
        <v>12</v>
      </c>
      <c r="AB912" s="11">
        <v>1634.13</v>
      </c>
      <c r="AC912" s="11">
        <v>89706</v>
      </c>
      <c r="AD912" s="6" t="str">
        <f>IF(COUNTIF(Returns!$A$2:$A$1635,Orders!AC912)&gt;0,"Returned","Not Returned")</f>
        <v>Not Returned</v>
      </c>
    </row>
    <row r="913" spans="1:30" ht="12.75" customHeight="1" thickTop="1" thickBot="1" x14ac:dyDescent="0.25">
      <c r="A913" s="8">
        <v>26109</v>
      </c>
      <c r="B913" s="1" t="s">
        <v>47</v>
      </c>
      <c r="C913" s="1">
        <v>0.08</v>
      </c>
      <c r="D913" s="1">
        <v>55.48</v>
      </c>
      <c r="E913" s="1">
        <v>6.79</v>
      </c>
      <c r="F913" s="1">
        <v>1639</v>
      </c>
      <c r="G913" s="6" t="str">
        <f>IF(COUNTIF(Table1[Customer ID],Table1[[#This Row],[Customer ID]])&gt;1,"Repeat Customer","One-Time Customer")</f>
        <v>One-Time Customer</v>
      </c>
      <c r="H913" s="1" t="s">
        <v>1649</v>
      </c>
      <c r="I913" s="1" t="s">
        <v>49</v>
      </c>
      <c r="J913" s="1" t="s">
        <v>40</v>
      </c>
      <c r="K913" s="1" t="s">
        <v>29</v>
      </c>
      <c r="L913" s="1" t="s">
        <v>93</v>
      </c>
      <c r="M913" s="1" t="s">
        <v>59</v>
      </c>
      <c r="N913" s="1" t="s">
        <v>1650</v>
      </c>
      <c r="O913" s="1">
        <v>0.37</v>
      </c>
      <c r="P913" s="6">
        <f>Table1[[#This Row],[Profit]]/Table1[[#This Row],[Sales]]</f>
        <v>0.69000000000000006</v>
      </c>
      <c r="Q913" s="1" t="s">
        <v>33</v>
      </c>
      <c r="R913" s="1" t="s">
        <v>53</v>
      </c>
      <c r="S913" s="1" t="s">
        <v>228</v>
      </c>
      <c r="T913" s="1" t="s">
        <v>1651</v>
      </c>
      <c r="U913" s="1">
        <v>6901</v>
      </c>
      <c r="V913" s="9">
        <v>42061</v>
      </c>
      <c r="W913" s="13" t="str">
        <f>TEXT(Table1[[#This Row],[Order Date]],"mmmm")</f>
        <v>February</v>
      </c>
      <c r="X913" s="7" t="str">
        <f>TEXT(Table1[[#This Row],[Order Date]],"yyyy")</f>
        <v>2015</v>
      </c>
      <c r="Y913" s="9">
        <v>42063</v>
      </c>
      <c r="Z913" s="1">
        <v>147.75659999999999</v>
      </c>
      <c r="AA913" s="1">
        <v>4</v>
      </c>
      <c r="AB913" s="1">
        <v>214.14</v>
      </c>
      <c r="AC913" s="1">
        <v>89705</v>
      </c>
      <c r="AD913" s="6" t="str">
        <f>IF(COUNTIF(Returns!$A$2:$A$1635,Orders!AC913)&gt;0,"Returned","Not Returned")</f>
        <v>Not Returned</v>
      </c>
    </row>
    <row r="914" spans="1:30" ht="12.75" customHeight="1" thickTop="1" thickBot="1" x14ac:dyDescent="0.25">
      <c r="A914" s="10">
        <v>18274</v>
      </c>
      <c r="B914" s="11" t="s">
        <v>106</v>
      </c>
      <c r="C914" s="11">
        <v>0.09</v>
      </c>
      <c r="D914" s="11">
        <v>107.53</v>
      </c>
      <c r="E914" s="11">
        <v>5.81</v>
      </c>
      <c r="F914" s="11">
        <v>1644</v>
      </c>
      <c r="G914" s="6" t="str">
        <f>IF(COUNTIF(Table1[Customer ID],Table1[[#This Row],[Customer ID]])&gt;1,"Repeat Customer","One-Time Customer")</f>
        <v>One-Time Customer</v>
      </c>
      <c r="H914" s="11" t="s">
        <v>1652</v>
      </c>
      <c r="I914" s="11" t="s">
        <v>49</v>
      </c>
      <c r="J914" s="11" t="s">
        <v>58</v>
      </c>
      <c r="K914" s="11" t="s">
        <v>41</v>
      </c>
      <c r="L914" s="11" t="s">
        <v>50</v>
      </c>
      <c r="M914" s="11" t="s">
        <v>86</v>
      </c>
      <c r="N914" s="11" t="s">
        <v>1653</v>
      </c>
      <c r="O914" s="11">
        <v>0.65</v>
      </c>
      <c r="P914" s="6">
        <f>Table1[[#This Row],[Profit]]/Table1[[#This Row],[Sales]]</f>
        <v>0.69000000000000006</v>
      </c>
      <c r="Q914" s="11" t="s">
        <v>33</v>
      </c>
      <c r="R914" s="11" t="s">
        <v>61</v>
      </c>
      <c r="S914" s="11" t="s">
        <v>130</v>
      </c>
      <c r="T914" s="11" t="s">
        <v>1654</v>
      </c>
      <c r="U914" s="11">
        <v>77546</v>
      </c>
      <c r="V914" s="12">
        <v>42169</v>
      </c>
      <c r="W914" s="13" t="str">
        <f>TEXT(Table1[[#This Row],[Order Date]],"mmmm")</f>
        <v>June</v>
      </c>
      <c r="X914" s="7" t="str">
        <f>TEXT(Table1[[#This Row],[Order Date]],"yyyy")</f>
        <v>2015</v>
      </c>
      <c r="Y914" s="12">
        <v>42171</v>
      </c>
      <c r="Z914" s="11">
        <v>69.545100000000005</v>
      </c>
      <c r="AA914" s="11">
        <v>1</v>
      </c>
      <c r="AB914" s="11">
        <v>100.79</v>
      </c>
      <c r="AC914" s="11">
        <v>87342</v>
      </c>
      <c r="AD914" s="6" t="str">
        <f>IF(COUNTIF(Returns!$A$2:$A$1635,Orders!AC914)&gt;0,"Returned","Not Returned")</f>
        <v>Not Returned</v>
      </c>
    </row>
    <row r="915" spans="1:30" ht="12.75" customHeight="1" thickTop="1" thickBot="1" x14ac:dyDescent="0.25">
      <c r="A915" s="8">
        <v>24265</v>
      </c>
      <c r="B915" s="1" t="s">
        <v>37</v>
      </c>
      <c r="C915" s="1">
        <v>0.06</v>
      </c>
      <c r="D915" s="1">
        <v>3.29</v>
      </c>
      <c r="E915" s="1">
        <v>1.35</v>
      </c>
      <c r="F915" s="1">
        <v>1646</v>
      </c>
      <c r="G915" s="6" t="str">
        <f>IF(COUNTIF(Table1[Customer ID],Table1[[#This Row],[Customer ID]])&gt;1,"Repeat Customer","One-Time Customer")</f>
        <v>One-Time Customer</v>
      </c>
      <c r="H915" s="1" t="s">
        <v>1655</v>
      </c>
      <c r="I915" s="1" t="s">
        <v>49</v>
      </c>
      <c r="J915" s="1" t="s">
        <v>58</v>
      </c>
      <c r="K915" s="1" t="s">
        <v>29</v>
      </c>
      <c r="L915" s="1" t="s">
        <v>66</v>
      </c>
      <c r="M915" s="1" t="s">
        <v>31</v>
      </c>
      <c r="N915" s="1" t="s">
        <v>296</v>
      </c>
      <c r="O915" s="1">
        <v>0.4</v>
      </c>
      <c r="P915" s="6">
        <f>Table1[[#This Row],[Profit]]/Table1[[#This Row],[Sales]]</f>
        <v>0.23714206283013622</v>
      </c>
      <c r="Q915" s="1" t="s">
        <v>33</v>
      </c>
      <c r="R915" s="1" t="s">
        <v>53</v>
      </c>
      <c r="S915" s="1" t="s">
        <v>71</v>
      </c>
      <c r="T915" s="1" t="s">
        <v>1656</v>
      </c>
      <c r="U915" s="1">
        <v>11714</v>
      </c>
      <c r="V915" s="9">
        <v>42078</v>
      </c>
      <c r="W915" s="13" t="str">
        <f>TEXT(Table1[[#This Row],[Order Date]],"mmmm")</f>
        <v>March</v>
      </c>
      <c r="X915" s="7" t="str">
        <f>TEXT(Table1[[#This Row],[Order Date]],"yyyy")</f>
        <v>2015</v>
      </c>
      <c r="Y915" s="9">
        <v>42080</v>
      </c>
      <c r="Z915" s="1">
        <v>8.5299999999999994</v>
      </c>
      <c r="AA915" s="1">
        <v>11</v>
      </c>
      <c r="AB915" s="1">
        <v>35.97</v>
      </c>
      <c r="AC915" s="1">
        <v>90932</v>
      </c>
      <c r="AD915" s="6" t="str">
        <f>IF(COUNTIF(Returns!$A$2:$A$1635,Orders!AC915)&gt;0,"Returned","Not Returned")</f>
        <v>Not Returned</v>
      </c>
    </row>
    <row r="916" spans="1:30" ht="12.75" customHeight="1" thickTop="1" thickBot="1" x14ac:dyDescent="0.25">
      <c r="A916" s="10">
        <v>21947</v>
      </c>
      <c r="B916" s="11" t="s">
        <v>47</v>
      </c>
      <c r="C916" s="11">
        <v>0.08</v>
      </c>
      <c r="D916" s="11">
        <v>46.89</v>
      </c>
      <c r="E916" s="11">
        <v>5.0999999999999996</v>
      </c>
      <c r="F916" s="11">
        <v>1648</v>
      </c>
      <c r="G916" s="6" t="str">
        <f>IF(COUNTIF(Table1[Customer ID],Table1[[#This Row],[Customer ID]])&gt;1,"Repeat Customer","One-Time Customer")</f>
        <v>Repeat Customer</v>
      </c>
      <c r="H916" s="11" t="s">
        <v>1657</v>
      </c>
      <c r="I916" s="11" t="s">
        <v>49</v>
      </c>
      <c r="J916" s="11" t="s">
        <v>28</v>
      </c>
      <c r="K916" s="11" t="s">
        <v>29</v>
      </c>
      <c r="L916" s="11" t="s">
        <v>257</v>
      </c>
      <c r="M916" s="11" t="s">
        <v>86</v>
      </c>
      <c r="N916" s="11" t="s">
        <v>1345</v>
      </c>
      <c r="O916" s="11">
        <v>0.46</v>
      </c>
      <c r="P916" s="6">
        <f>Table1[[#This Row],[Profit]]/Table1[[#This Row],[Sales]]</f>
        <v>0.69</v>
      </c>
      <c r="Q916" s="11" t="s">
        <v>33</v>
      </c>
      <c r="R916" s="11" t="s">
        <v>61</v>
      </c>
      <c r="S916" s="11" t="s">
        <v>178</v>
      </c>
      <c r="T916" s="11" t="s">
        <v>1658</v>
      </c>
      <c r="U916" s="11">
        <v>60098</v>
      </c>
      <c r="V916" s="12">
        <v>42088</v>
      </c>
      <c r="W916" s="13" t="str">
        <f>TEXT(Table1[[#This Row],[Order Date]],"mmmm")</f>
        <v>March</v>
      </c>
      <c r="X916" s="7" t="str">
        <f>TEXT(Table1[[#This Row],[Order Date]],"yyyy")</f>
        <v>2015</v>
      </c>
      <c r="Y916" s="12">
        <v>42090</v>
      </c>
      <c r="Z916" s="11">
        <v>507.63299999999998</v>
      </c>
      <c r="AA916" s="11">
        <v>17</v>
      </c>
      <c r="AB916" s="11">
        <v>735.7</v>
      </c>
      <c r="AC916" s="11">
        <v>91043</v>
      </c>
      <c r="AD916" s="6" t="str">
        <f>IF(COUNTIF(Returns!$A$2:$A$1635,Orders!AC916)&gt;0,"Returned","Not Returned")</f>
        <v>Not Returned</v>
      </c>
    </row>
    <row r="917" spans="1:30" ht="12.75" customHeight="1" thickTop="1" thickBot="1" x14ac:dyDescent="0.25">
      <c r="A917" s="8">
        <v>21948</v>
      </c>
      <c r="B917" s="1" t="s">
        <v>47</v>
      </c>
      <c r="C917" s="1">
        <v>0.05</v>
      </c>
      <c r="D917" s="1">
        <v>12.98</v>
      </c>
      <c r="E917" s="1">
        <v>3.14</v>
      </c>
      <c r="F917" s="1">
        <v>1648</v>
      </c>
      <c r="G917" s="6" t="str">
        <f>IF(COUNTIF(Table1[Customer ID],Table1[[#This Row],[Customer ID]])&gt;1,"Repeat Customer","One-Time Customer")</f>
        <v>Repeat Customer</v>
      </c>
      <c r="H917" s="1" t="s">
        <v>1657</v>
      </c>
      <c r="I917" s="1" t="s">
        <v>49</v>
      </c>
      <c r="J917" s="1" t="s">
        <v>28</v>
      </c>
      <c r="K917" s="1" t="s">
        <v>29</v>
      </c>
      <c r="L917" s="1" t="s">
        <v>174</v>
      </c>
      <c r="M917" s="1" t="s">
        <v>51</v>
      </c>
      <c r="N917" s="1" t="s">
        <v>175</v>
      </c>
      <c r="O917" s="1">
        <v>0.6</v>
      </c>
      <c r="P917" s="6">
        <f>Table1[[#This Row],[Profit]]/Table1[[#This Row],[Sales]]</f>
        <v>0.16946673168136883</v>
      </c>
      <c r="Q917" s="1" t="s">
        <v>33</v>
      </c>
      <c r="R917" s="1" t="s">
        <v>61</v>
      </c>
      <c r="S917" s="1" t="s">
        <v>178</v>
      </c>
      <c r="T917" s="1" t="s">
        <v>1658</v>
      </c>
      <c r="U917" s="1">
        <v>60098</v>
      </c>
      <c r="V917" s="9">
        <v>42088</v>
      </c>
      <c r="W917" s="13" t="str">
        <f>TEXT(Table1[[#This Row],[Order Date]],"mmmm")</f>
        <v>March</v>
      </c>
      <c r="X917" s="7" t="str">
        <f>TEXT(Table1[[#This Row],[Order Date]],"yyyy")</f>
        <v>2015</v>
      </c>
      <c r="Y917" s="9">
        <v>42088</v>
      </c>
      <c r="Z917" s="1">
        <v>38.229999999999997</v>
      </c>
      <c r="AA917" s="1">
        <v>18</v>
      </c>
      <c r="AB917" s="1">
        <v>225.59</v>
      </c>
      <c r="AC917" s="1">
        <v>91043</v>
      </c>
      <c r="AD917" s="6" t="str">
        <f>IF(COUNTIF(Returns!$A$2:$A$1635,Orders!AC917)&gt;0,"Returned","Not Returned")</f>
        <v>Not Returned</v>
      </c>
    </row>
    <row r="918" spans="1:30" ht="12.75" customHeight="1" thickTop="1" thickBot="1" x14ac:dyDescent="0.25">
      <c r="A918" s="10">
        <v>20603</v>
      </c>
      <c r="B918" s="11" t="s">
        <v>47</v>
      </c>
      <c r="C918" s="11">
        <v>0.03</v>
      </c>
      <c r="D918" s="11">
        <v>48.58</v>
      </c>
      <c r="E918" s="11">
        <v>3.99</v>
      </c>
      <c r="F918" s="11">
        <v>1649</v>
      </c>
      <c r="G918" s="6" t="str">
        <f>IF(COUNTIF(Table1[Customer ID],Table1[[#This Row],[Customer ID]])&gt;1,"Repeat Customer","One-Time Customer")</f>
        <v>One-Time Customer</v>
      </c>
      <c r="H918" s="11" t="s">
        <v>1659</v>
      </c>
      <c r="I918" s="11" t="s">
        <v>27</v>
      </c>
      <c r="J918" s="11" t="s">
        <v>28</v>
      </c>
      <c r="K918" s="11" t="s">
        <v>29</v>
      </c>
      <c r="L918" s="11" t="s">
        <v>257</v>
      </c>
      <c r="M918" s="11" t="s">
        <v>59</v>
      </c>
      <c r="N918" s="11" t="s">
        <v>1660</v>
      </c>
      <c r="O918" s="11">
        <v>0.56000000000000005</v>
      </c>
      <c r="P918" s="6">
        <f>Table1[[#This Row],[Profit]]/Table1[[#This Row],[Sales]]</f>
        <v>0.69</v>
      </c>
      <c r="Q918" s="11" t="s">
        <v>33</v>
      </c>
      <c r="R918" s="11" t="s">
        <v>53</v>
      </c>
      <c r="S918" s="11" t="s">
        <v>71</v>
      </c>
      <c r="T918" s="11" t="s">
        <v>1608</v>
      </c>
      <c r="U918" s="11">
        <v>11598</v>
      </c>
      <c r="V918" s="12">
        <v>42059</v>
      </c>
      <c r="W918" s="13" t="str">
        <f>TEXT(Table1[[#This Row],[Order Date]],"mmmm")</f>
        <v>February</v>
      </c>
      <c r="X918" s="7" t="str">
        <f>TEXT(Table1[[#This Row],[Order Date]],"yyyy")</f>
        <v>2015</v>
      </c>
      <c r="Y918" s="12">
        <v>42061</v>
      </c>
      <c r="Z918" s="11">
        <v>100.13279999999999</v>
      </c>
      <c r="AA918" s="11">
        <v>3</v>
      </c>
      <c r="AB918" s="11">
        <v>145.12</v>
      </c>
      <c r="AC918" s="11">
        <v>91041</v>
      </c>
      <c r="AD918" s="6" t="str">
        <f>IF(COUNTIF(Returns!$A$2:$A$1635,Orders!AC918)&gt;0,"Returned","Not Returned")</f>
        <v>Not Returned</v>
      </c>
    </row>
    <row r="919" spans="1:30" ht="12.75" customHeight="1" thickTop="1" thickBot="1" x14ac:dyDescent="0.25">
      <c r="A919" s="8">
        <v>24016</v>
      </c>
      <c r="B919" s="1" t="s">
        <v>25</v>
      </c>
      <c r="C919" s="1">
        <v>0.05</v>
      </c>
      <c r="D919" s="1">
        <v>6.48</v>
      </c>
      <c r="E919" s="1">
        <v>2.74</v>
      </c>
      <c r="F919" s="1">
        <v>1650</v>
      </c>
      <c r="G919" s="6" t="str">
        <f>IF(COUNTIF(Table1[Customer ID],Table1[[#This Row],[Customer ID]])&gt;1,"Repeat Customer","One-Time Customer")</f>
        <v>Repeat Customer</v>
      </c>
      <c r="H919" s="1" t="s">
        <v>1661</v>
      </c>
      <c r="I919" s="1" t="s">
        <v>49</v>
      </c>
      <c r="J919" s="1" t="s">
        <v>28</v>
      </c>
      <c r="K919" s="1" t="s">
        <v>77</v>
      </c>
      <c r="L919" s="1" t="s">
        <v>180</v>
      </c>
      <c r="M919" s="1" t="s">
        <v>51</v>
      </c>
      <c r="N919" s="1" t="s">
        <v>1662</v>
      </c>
      <c r="O919" s="1">
        <v>0.71</v>
      </c>
      <c r="P919" s="6">
        <f>Table1[[#This Row],[Profit]]/Table1[[#This Row],[Sales]]</f>
        <v>0.16013578020579189</v>
      </c>
      <c r="Q919" s="1" t="s">
        <v>33</v>
      </c>
      <c r="R919" s="1" t="s">
        <v>136</v>
      </c>
      <c r="S919" s="1" t="s">
        <v>322</v>
      </c>
      <c r="T919" s="1" t="s">
        <v>1663</v>
      </c>
      <c r="U919" s="1">
        <v>27203</v>
      </c>
      <c r="V919" s="9">
        <v>42133</v>
      </c>
      <c r="W919" s="13" t="str">
        <f>TEXT(Table1[[#This Row],[Order Date]],"mmmm")</f>
        <v>May</v>
      </c>
      <c r="X919" s="7" t="str">
        <f>TEXT(Table1[[#This Row],[Order Date]],"yyyy")</f>
        <v>2015</v>
      </c>
      <c r="Y919" s="9">
        <v>42133</v>
      </c>
      <c r="Z919" s="1">
        <v>15.096</v>
      </c>
      <c r="AA919" s="1">
        <v>15</v>
      </c>
      <c r="AB919" s="1">
        <v>94.27</v>
      </c>
      <c r="AC919" s="1">
        <v>91042</v>
      </c>
      <c r="AD919" s="6" t="str">
        <f>IF(COUNTIF(Returns!$A$2:$A$1635,Orders!AC919)&gt;0,"Returned","Not Returned")</f>
        <v>Not Returned</v>
      </c>
    </row>
    <row r="920" spans="1:30" ht="12.75" customHeight="1" thickTop="1" thickBot="1" x14ac:dyDescent="0.25">
      <c r="A920" s="10">
        <v>24017</v>
      </c>
      <c r="B920" s="11" t="s">
        <v>25</v>
      </c>
      <c r="C920" s="11">
        <v>0.09</v>
      </c>
      <c r="D920" s="11">
        <v>12.53</v>
      </c>
      <c r="E920" s="11">
        <v>0.5</v>
      </c>
      <c r="F920" s="11">
        <v>1650</v>
      </c>
      <c r="G920" s="6" t="str">
        <f>IF(COUNTIF(Table1[Customer ID],Table1[[#This Row],[Customer ID]])&gt;1,"Repeat Customer","One-Time Customer")</f>
        <v>Repeat Customer</v>
      </c>
      <c r="H920" s="11" t="s">
        <v>1661</v>
      </c>
      <c r="I920" s="11" t="s">
        <v>49</v>
      </c>
      <c r="J920" s="11" t="s">
        <v>28</v>
      </c>
      <c r="K920" s="11" t="s">
        <v>29</v>
      </c>
      <c r="L920" s="11" t="s">
        <v>134</v>
      </c>
      <c r="M920" s="11" t="s">
        <v>59</v>
      </c>
      <c r="N920" s="11" t="s">
        <v>1664</v>
      </c>
      <c r="O920" s="11">
        <v>0.38</v>
      </c>
      <c r="P920" s="6">
        <f>Table1[[#This Row],[Profit]]/Table1[[#This Row],[Sales]]</f>
        <v>0.18139399099866196</v>
      </c>
      <c r="Q920" s="11" t="s">
        <v>33</v>
      </c>
      <c r="R920" s="11" t="s">
        <v>136</v>
      </c>
      <c r="S920" s="11" t="s">
        <v>322</v>
      </c>
      <c r="T920" s="11" t="s">
        <v>1663</v>
      </c>
      <c r="U920" s="11">
        <v>27203</v>
      </c>
      <c r="V920" s="12">
        <v>42133</v>
      </c>
      <c r="W920" s="13" t="str">
        <f>TEXT(Table1[[#This Row],[Order Date]],"mmmm")</f>
        <v>May</v>
      </c>
      <c r="X920" s="7" t="str">
        <f>TEXT(Table1[[#This Row],[Order Date]],"yyyy")</f>
        <v>2015</v>
      </c>
      <c r="Y920" s="12">
        <v>42134</v>
      </c>
      <c r="Z920" s="11">
        <v>14.912399999999998</v>
      </c>
      <c r="AA920" s="11">
        <v>7</v>
      </c>
      <c r="AB920" s="11">
        <v>82.21</v>
      </c>
      <c r="AC920" s="11">
        <v>91042</v>
      </c>
      <c r="AD920" s="6" t="str">
        <f>IF(COUNTIF(Returns!$A$2:$A$1635,Orders!AC920)&gt;0,"Returned","Not Returned")</f>
        <v>Not Returned</v>
      </c>
    </row>
    <row r="921" spans="1:30" ht="12.75" customHeight="1" thickTop="1" thickBot="1" x14ac:dyDescent="0.25">
      <c r="A921" s="8">
        <v>24019</v>
      </c>
      <c r="B921" s="1" t="s">
        <v>25</v>
      </c>
      <c r="C921" s="1">
        <v>0.08</v>
      </c>
      <c r="D921" s="1">
        <v>65.989999999999995</v>
      </c>
      <c r="E921" s="1">
        <v>8.99</v>
      </c>
      <c r="F921" s="1">
        <v>1650</v>
      </c>
      <c r="G921" s="6" t="str">
        <f>IF(COUNTIF(Table1[Customer ID],Table1[[#This Row],[Customer ID]])&gt;1,"Repeat Customer","One-Time Customer")</f>
        <v>Repeat Customer</v>
      </c>
      <c r="H921" s="1" t="s">
        <v>1661</v>
      </c>
      <c r="I921" s="1" t="s">
        <v>27</v>
      </c>
      <c r="J921" s="1" t="s">
        <v>28</v>
      </c>
      <c r="K921" s="1" t="s">
        <v>77</v>
      </c>
      <c r="L921" s="1" t="s">
        <v>78</v>
      </c>
      <c r="M921" s="1" t="s">
        <v>59</v>
      </c>
      <c r="N921" s="1" t="s">
        <v>1665</v>
      </c>
      <c r="O921" s="1">
        <v>0.55000000000000004</v>
      </c>
      <c r="P921" s="6">
        <f>Table1[[#This Row],[Profit]]/Table1[[#This Row],[Sales]]</f>
        <v>-0.32391788631518431</v>
      </c>
      <c r="Q921" s="1" t="s">
        <v>33</v>
      </c>
      <c r="R921" s="1" t="s">
        <v>136</v>
      </c>
      <c r="S921" s="1" t="s">
        <v>322</v>
      </c>
      <c r="T921" s="1" t="s">
        <v>1663</v>
      </c>
      <c r="U921" s="1">
        <v>27203</v>
      </c>
      <c r="V921" s="9">
        <v>42133</v>
      </c>
      <c r="W921" s="13" t="str">
        <f>TEXT(Table1[[#This Row],[Order Date]],"mmmm")</f>
        <v>May</v>
      </c>
      <c r="X921" s="7" t="str">
        <f>TEXT(Table1[[#This Row],[Order Date]],"yyyy")</f>
        <v>2015</v>
      </c>
      <c r="Y921" s="9">
        <v>42135</v>
      </c>
      <c r="Z921" s="1">
        <v>-135.226</v>
      </c>
      <c r="AA921" s="1">
        <v>8</v>
      </c>
      <c r="AB921" s="1">
        <v>417.47</v>
      </c>
      <c r="AC921" s="1">
        <v>91042</v>
      </c>
      <c r="AD921" s="6" t="str">
        <f>IF(COUNTIF(Returns!$A$2:$A$1635,Orders!AC921)&gt;0,"Returned","Not Returned")</f>
        <v>Not Returned</v>
      </c>
    </row>
    <row r="922" spans="1:30" ht="12.75" customHeight="1" thickTop="1" thickBot="1" x14ac:dyDescent="0.25">
      <c r="A922" s="10">
        <v>19251</v>
      </c>
      <c r="B922" s="11" t="s">
        <v>37</v>
      </c>
      <c r="C922" s="11">
        <v>0</v>
      </c>
      <c r="D922" s="11">
        <v>101.41</v>
      </c>
      <c r="E922" s="11">
        <v>35</v>
      </c>
      <c r="F922" s="11">
        <v>1653</v>
      </c>
      <c r="G922" s="6" t="str">
        <f>IF(COUNTIF(Table1[Customer ID],Table1[[#This Row],[Customer ID]])&gt;1,"Repeat Customer","One-Time Customer")</f>
        <v>Repeat Customer</v>
      </c>
      <c r="H922" s="11" t="s">
        <v>1666</v>
      </c>
      <c r="I922" s="11" t="s">
        <v>27</v>
      </c>
      <c r="J922" s="11" t="s">
        <v>28</v>
      </c>
      <c r="K922" s="11" t="s">
        <v>29</v>
      </c>
      <c r="L922" s="11" t="s">
        <v>141</v>
      </c>
      <c r="M922" s="11" t="s">
        <v>236</v>
      </c>
      <c r="N922" s="11" t="s">
        <v>860</v>
      </c>
      <c r="O922" s="11">
        <v>0.82</v>
      </c>
      <c r="P922" s="6">
        <f>Table1[[#This Row],[Profit]]/Table1[[#This Row],[Sales]]</f>
        <v>-0.4144903651115619</v>
      </c>
      <c r="Q922" s="11" t="s">
        <v>33</v>
      </c>
      <c r="R922" s="11" t="s">
        <v>34</v>
      </c>
      <c r="S922" s="11" t="s">
        <v>45</v>
      </c>
      <c r="T922" s="11" t="s">
        <v>1667</v>
      </c>
      <c r="U922" s="11">
        <v>91360</v>
      </c>
      <c r="V922" s="12">
        <v>42028</v>
      </c>
      <c r="W922" s="13" t="str">
        <f>TEXT(Table1[[#This Row],[Order Date]],"mmmm")</f>
        <v>January</v>
      </c>
      <c r="X922" s="7" t="str">
        <f>TEXT(Table1[[#This Row],[Order Date]],"yyyy")</f>
        <v>2015</v>
      </c>
      <c r="Y922" s="12">
        <v>42029</v>
      </c>
      <c r="Z922" s="11">
        <v>-457.73</v>
      </c>
      <c r="AA922" s="11">
        <v>10</v>
      </c>
      <c r="AB922" s="11">
        <v>1104.32</v>
      </c>
      <c r="AC922" s="11">
        <v>89885</v>
      </c>
      <c r="AD922" s="6" t="str">
        <f>IF(COUNTIF(Returns!$A$2:$A$1635,Orders!AC922)&gt;0,"Returned","Not Returned")</f>
        <v>Not Returned</v>
      </c>
    </row>
    <row r="923" spans="1:30" ht="12.75" customHeight="1" thickTop="1" thickBot="1" x14ac:dyDescent="0.25">
      <c r="A923" s="8">
        <v>19252</v>
      </c>
      <c r="B923" s="1" t="s">
        <v>37</v>
      </c>
      <c r="C923" s="1">
        <v>0.1</v>
      </c>
      <c r="D923" s="1">
        <v>95.99</v>
      </c>
      <c r="E923" s="1">
        <v>4.9000000000000004</v>
      </c>
      <c r="F923" s="1">
        <v>1653</v>
      </c>
      <c r="G923" s="6" t="str">
        <f>IF(COUNTIF(Table1[Customer ID],Table1[[#This Row],[Customer ID]])&gt;1,"Repeat Customer","One-Time Customer")</f>
        <v>Repeat Customer</v>
      </c>
      <c r="H923" s="1" t="s">
        <v>1666</v>
      </c>
      <c r="I923" s="1" t="s">
        <v>49</v>
      </c>
      <c r="J923" s="1" t="s">
        <v>28</v>
      </c>
      <c r="K923" s="1" t="s">
        <v>77</v>
      </c>
      <c r="L923" s="1" t="s">
        <v>78</v>
      </c>
      <c r="M923" s="1" t="s">
        <v>59</v>
      </c>
      <c r="N923" s="1" t="s">
        <v>254</v>
      </c>
      <c r="O923" s="1">
        <v>0.56000000000000005</v>
      </c>
      <c r="P923" s="6">
        <f>Table1[[#This Row],[Profit]]/Table1[[#This Row],[Sales]]</f>
        <v>-1.7934846461949263</v>
      </c>
      <c r="Q923" s="1" t="s">
        <v>33</v>
      </c>
      <c r="R923" s="1" t="s">
        <v>34</v>
      </c>
      <c r="S923" s="1" t="s">
        <v>45</v>
      </c>
      <c r="T923" s="1" t="s">
        <v>1667</v>
      </c>
      <c r="U923" s="1">
        <v>91360</v>
      </c>
      <c r="V923" s="9">
        <v>42028</v>
      </c>
      <c r="W923" s="13" t="str">
        <f>TEXT(Table1[[#This Row],[Order Date]],"mmmm")</f>
        <v>January</v>
      </c>
      <c r="X923" s="7" t="str">
        <f>TEXT(Table1[[#This Row],[Order Date]],"yyyy")</f>
        <v>2015</v>
      </c>
      <c r="Y923" s="9">
        <v>42029</v>
      </c>
      <c r="Z923" s="1">
        <v>-268.66399999999999</v>
      </c>
      <c r="AA923" s="1">
        <v>2</v>
      </c>
      <c r="AB923" s="1">
        <v>149.80000000000001</v>
      </c>
      <c r="AC923" s="1">
        <v>89885</v>
      </c>
      <c r="AD923" s="6" t="str">
        <f>IF(COUNTIF(Returns!$A$2:$A$1635,Orders!AC923)&gt;0,"Returned","Not Returned")</f>
        <v>Not Returned</v>
      </c>
    </row>
    <row r="924" spans="1:30" ht="12.75" customHeight="1" thickTop="1" thickBot="1" x14ac:dyDescent="0.25">
      <c r="A924" s="10">
        <v>24187</v>
      </c>
      <c r="B924" s="11" t="s">
        <v>25</v>
      </c>
      <c r="C924" s="11">
        <v>0.1</v>
      </c>
      <c r="D924" s="11">
        <v>3.6</v>
      </c>
      <c r="E924" s="11">
        <v>2.2000000000000002</v>
      </c>
      <c r="F924" s="11">
        <v>1665</v>
      </c>
      <c r="G924" s="6" t="str">
        <f>IF(COUNTIF(Table1[Customer ID],Table1[[#This Row],[Customer ID]])&gt;1,"Repeat Customer","One-Time Customer")</f>
        <v>One-Time Customer</v>
      </c>
      <c r="H924" s="11" t="s">
        <v>1668</v>
      </c>
      <c r="I924" s="11" t="s">
        <v>49</v>
      </c>
      <c r="J924" s="11" t="s">
        <v>114</v>
      </c>
      <c r="K924" s="11" t="s">
        <v>29</v>
      </c>
      <c r="L924" s="11" t="s">
        <v>93</v>
      </c>
      <c r="M924" s="11" t="s">
        <v>31</v>
      </c>
      <c r="N924" s="11" t="s">
        <v>1669</v>
      </c>
      <c r="O924" s="11">
        <v>0.39</v>
      </c>
      <c r="P924" s="6">
        <f>Table1[[#This Row],[Profit]]/Table1[[#This Row],[Sales]]</f>
        <v>-1.187948350071736</v>
      </c>
      <c r="Q924" s="11" t="s">
        <v>33</v>
      </c>
      <c r="R924" s="11" t="s">
        <v>34</v>
      </c>
      <c r="S924" s="11" t="s">
        <v>45</v>
      </c>
      <c r="T924" s="11" t="s">
        <v>1670</v>
      </c>
      <c r="U924" s="11">
        <v>92653</v>
      </c>
      <c r="V924" s="12">
        <v>42061</v>
      </c>
      <c r="W924" s="13" t="str">
        <f>TEXT(Table1[[#This Row],[Order Date]],"mmmm")</f>
        <v>February</v>
      </c>
      <c r="X924" s="7" t="str">
        <f>TEXT(Table1[[#This Row],[Order Date]],"yyyy")</f>
        <v>2015</v>
      </c>
      <c r="Y924" s="12">
        <v>42062</v>
      </c>
      <c r="Z924" s="11">
        <v>-8.2799999999999994</v>
      </c>
      <c r="AA924" s="11">
        <v>2</v>
      </c>
      <c r="AB924" s="11">
        <v>6.97</v>
      </c>
      <c r="AC924" s="11">
        <v>90678</v>
      </c>
      <c r="AD924" s="6" t="str">
        <f>IF(COUNTIF(Returns!$A$2:$A$1635,Orders!AC924)&gt;0,"Returned","Not Returned")</f>
        <v>Not Returned</v>
      </c>
    </row>
    <row r="925" spans="1:30" ht="12.75" customHeight="1" thickTop="1" thickBot="1" x14ac:dyDescent="0.25">
      <c r="A925" s="8">
        <v>21491</v>
      </c>
      <c r="B925" s="1" t="s">
        <v>106</v>
      </c>
      <c r="C925" s="1">
        <v>0.03</v>
      </c>
      <c r="D925" s="1">
        <v>35.409999999999997</v>
      </c>
      <c r="E925" s="1">
        <v>1.99</v>
      </c>
      <c r="F925" s="1">
        <v>1670</v>
      </c>
      <c r="G925" s="6" t="str">
        <f>IF(COUNTIF(Table1[Customer ID],Table1[[#This Row],[Customer ID]])&gt;1,"Repeat Customer","One-Time Customer")</f>
        <v>Repeat Customer</v>
      </c>
      <c r="H925" s="1" t="s">
        <v>1671</v>
      </c>
      <c r="I925" s="1" t="s">
        <v>49</v>
      </c>
      <c r="J925" s="1" t="s">
        <v>58</v>
      </c>
      <c r="K925" s="1" t="s">
        <v>77</v>
      </c>
      <c r="L925" s="1" t="s">
        <v>180</v>
      </c>
      <c r="M925" s="1" t="s">
        <v>51</v>
      </c>
      <c r="N925" s="1" t="s">
        <v>1672</v>
      </c>
      <c r="O925" s="1">
        <v>0.43</v>
      </c>
      <c r="P925" s="6">
        <f>Table1[[#This Row],[Profit]]/Table1[[#This Row],[Sales]]</f>
        <v>5.203586199390509</v>
      </c>
      <c r="Q925" s="1" t="s">
        <v>33</v>
      </c>
      <c r="R925" s="1" t="s">
        <v>136</v>
      </c>
      <c r="S925" s="1" t="s">
        <v>137</v>
      </c>
      <c r="T925" s="1" t="s">
        <v>1587</v>
      </c>
      <c r="U925" s="1">
        <v>24060</v>
      </c>
      <c r="V925" s="9">
        <v>42118</v>
      </c>
      <c r="W925" s="13" t="str">
        <f>TEXT(Table1[[#This Row],[Order Date]],"mmmm")</f>
        <v>April</v>
      </c>
      <c r="X925" s="7" t="str">
        <f>TEXT(Table1[[#This Row],[Order Date]],"yyyy")</f>
        <v>2015</v>
      </c>
      <c r="Y925" s="9">
        <v>42120</v>
      </c>
      <c r="Z925" s="1">
        <v>1912.4219999999998</v>
      </c>
      <c r="AA925" s="1">
        <v>10</v>
      </c>
      <c r="AB925" s="1">
        <v>367.52</v>
      </c>
      <c r="AC925" s="1">
        <v>86722</v>
      </c>
      <c r="AD925" s="6" t="str">
        <f>IF(COUNTIF(Returns!$A$2:$A$1635,Orders!AC925)&gt;0,"Returned","Not Returned")</f>
        <v>Not Returned</v>
      </c>
    </row>
    <row r="926" spans="1:30" ht="12.75" customHeight="1" thickTop="1" thickBot="1" x14ac:dyDescent="0.25">
      <c r="A926" s="10">
        <v>21492</v>
      </c>
      <c r="B926" s="11" t="s">
        <v>106</v>
      </c>
      <c r="C926" s="11">
        <v>0</v>
      </c>
      <c r="D926" s="11">
        <v>142.86000000000001</v>
      </c>
      <c r="E926" s="11">
        <v>19.989999999999998</v>
      </c>
      <c r="F926" s="11">
        <v>1670</v>
      </c>
      <c r="G926" s="6" t="str">
        <f>IF(COUNTIF(Table1[Customer ID],Table1[[#This Row],[Customer ID]])&gt;1,"Repeat Customer","One-Time Customer")</f>
        <v>Repeat Customer</v>
      </c>
      <c r="H926" s="11" t="s">
        <v>1671</v>
      </c>
      <c r="I926" s="11" t="s">
        <v>49</v>
      </c>
      <c r="J926" s="11" t="s">
        <v>58</v>
      </c>
      <c r="K926" s="11" t="s">
        <v>29</v>
      </c>
      <c r="L926" s="11" t="s">
        <v>141</v>
      </c>
      <c r="M926" s="11" t="s">
        <v>59</v>
      </c>
      <c r="N926" s="11" t="s">
        <v>1673</v>
      </c>
      <c r="O926" s="11">
        <v>0.56000000000000005</v>
      </c>
      <c r="P926" s="6">
        <f>Table1[[#This Row],[Profit]]/Table1[[#This Row],[Sales]]</f>
        <v>-0.46901132362736708</v>
      </c>
      <c r="Q926" s="11" t="s">
        <v>33</v>
      </c>
      <c r="R926" s="11" t="s">
        <v>136</v>
      </c>
      <c r="S926" s="11" t="s">
        <v>137</v>
      </c>
      <c r="T926" s="11" t="s">
        <v>1587</v>
      </c>
      <c r="U926" s="11">
        <v>24060</v>
      </c>
      <c r="V926" s="12">
        <v>42118</v>
      </c>
      <c r="W926" s="13" t="str">
        <f>TEXT(Table1[[#This Row],[Order Date]],"mmmm")</f>
        <v>April</v>
      </c>
      <c r="X926" s="7" t="str">
        <f>TEXT(Table1[[#This Row],[Order Date]],"yyyy")</f>
        <v>2015</v>
      </c>
      <c r="Y926" s="12">
        <v>42127</v>
      </c>
      <c r="Z926" s="11">
        <v>-739.32600000000002</v>
      </c>
      <c r="AA926" s="11">
        <v>11</v>
      </c>
      <c r="AB926" s="11">
        <v>1576.35</v>
      </c>
      <c r="AC926" s="11">
        <v>86722</v>
      </c>
      <c r="AD926" s="6" t="str">
        <f>IF(COUNTIF(Returns!$A$2:$A$1635,Orders!AC926)&gt;0,"Returned","Not Returned")</f>
        <v>Not Returned</v>
      </c>
    </row>
    <row r="927" spans="1:30" ht="12.75" customHeight="1" thickTop="1" thickBot="1" x14ac:dyDescent="0.25">
      <c r="A927" s="8">
        <v>23578</v>
      </c>
      <c r="B927" s="1" t="s">
        <v>106</v>
      </c>
      <c r="C927" s="1">
        <v>0.1</v>
      </c>
      <c r="D927" s="1">
        <v>4.13</v>
      </c>
      <c r="E927" s="1">
        <v>0.99</v>
      </c>
      <c r="F927" s="1">
        <v>1671</v>
      </c>
      <c r="G927" s="6" t="str">
        <f>IF(COUNTIF(Table1[Customer ID],Table1[[#This Row],[Customer ID]])&gt;1,"Repeat Customer","One-Time Customer")</f>
        <v>Repeat Customer</v>
      </c>
      <c r="H927" s="1" t="s">
        <v>1674</v>
      </c>
      <c r="I927" s="1" t="s">
        <v>49</v>
      </c>
      <c r="J927" s="1" t="s">
        <v>58</v>
      </c>
      <c r="K927" s="1" t="s">
        <v>29</v>
      </c>
      <c r="L927" s="1" t="s">
        <v>134</v>
      </c>
      <c r="M927" s="1" t="s">
        <v>59</v>
      </c>
      <c r="N927" s="1" t="s">
        <v>1420</v>
      </c>
      <c r="O927" s="1">
        <v>0.39</v>
      </c>
      <c r="P927" s="6">
        <f>Table1[[#This Row],[Profit]]/Table1[[#This Row],[Sales]]</f>
        <v>-0.77703220858895716</v>
      </c>
      <c r="Q927" s="1" t="s">
        <v>33</v>
      </c>
      <c r="R927" s="1" t="s">
        <v>136</v>
      </c>
      <c r="S927" s="1" t="s">
        <v>137</v>
      </c>
      <c r="T927" s="1" t="s">
        <v>1675</v>
      </c>
      <c r="U927" s="1">
        <v>22015</v>
      </c>
      <c r="V927" s="9">
        <v>42044</v>
      </c>
      <c r="W927" s="13" t="str">
        <f>TEXT(Table1[[#This Row],[Order Date]],"mmmm")</f>
        <v>February</v>
      </c>
      <c r="X927" s="7" t="str">
        <f>TEXT(Table1[[#This Row],[Order Date]],"yyyy")</f>
        <v>2015</v>
      </c>
      <c r="Y927" s="9">
        <v>42048</v>
      </c>
      <c r="Z927" s="1">
        <v>-40.53</v>
      </c>
      <c r="AA927" s="1">
        <v>13</v>
      </c>
      <c r="AB927" s="1">
        <v>52.16</v>
      </c>
      <c r="AC927" s="1">
        <v>86724</v>
      </c>
      <c r="AD927" s="6" t="str">
        <f>IF(COUNTIF(Returns!$A$2:$A$1635,Orders!AC927)&gt;0,"Returned","Not Returned")</f>
        <v>Not Returned</v>
      </c>
    </row>
    <row r="928" spans="1:30" ht="12.75" customHeight="1" thickTop="1" thickBot="1" x14ac:dyDescent="0.25">
      <c r="A928" s="10">
        <v>22007</v>
      </c>
      <c r="B928" s="11" t="s">
        <v>47</v>
      </c>
      <c r="C928" s="11">
        <v>0.03</v>
      </c>
      <c r="D928" s="11">
        <v>223.98</v>
      </c>
      <c r="E928" s="11">
        <v>15.01</v>
      </c>
      <c r="F928" s="11">
        <v>1671</v>
      </c>
      <c r="G928" s="6" t="str">
        <f>IF(COUNTIF(Table1[Customer ID],Table1[[#This Row],[Customer ID]])&gt;1,"Repeat Customer","One-Time Customer")</f>
        <v>Repeat Customer</v>
      </c>
      <c r="H928" s="11" t="s">
        <v>1674</v>
      </c>
      <c r="I928" s="11" t="s">
        <v>49</v>
      </c>
      <c r="J928" s="11" t="s">
        <v>58</v>
      </c>
      <c r="K928" s="11" t="s">
        <v>29</v>
      </c>
      <c r="L928" s="11" t="s">
        <v>109</v>
      </c>
      <c r="M928" s="11" t="s">
        <v>59</v>
      </c>
      <c r="N928" s="11" t="s">
        <v>1676</v>
      </c>
      <c r="O928" s="11">
        <v>0.38</v>
      </c>
      <c r="P928" s="6">
        <f>Table1[[#This Row],[Profit]]/Table1[[#This Row],[Sales]]</f>
        <v>1.4256919522147386E-4</v>
      </c>
      <c r="Q928" s="11" t="s">
        <v>33</v>
      </c>
      <c r="R928" s="11" t="s">
        <v>136</v>
      </c>
      <c r="S928" s="11" t="s">
        <v>137</v>
      </c>
      <c r="T928" s="11" t="s">
        <v>1675</v>
      </c>
      <c r="U928" s="11">
        <v>22015</v>
      </c>
      <c r="V928" s="12">
        <v>42136</v>
      </c>
      <c r="W928" s="13" t="str">
        <f>TEXT(Table1[[#This Row],[Order Date]],"mmmm")</f>
        <v>May</v>
      </c>
      <c r="X928" s="7" t="str">
        <f>TEXT(Table1[[#This Row],[Order Date]],"yyyy")</f>
        <v>2015</v>
      </c>
      <c r="Y928" s="12">
        <v>42137</v>
      </c>
      <c r="Z928" s="11">
        <v>0.69599999999999995</v>
      </c>
      <c r="AA928" s="11">
        <v>21</v>
      </c>
      <c r="AB928" s="11">
        <v>4881.84</v>
      </c>
      <c r="AC928" s="11">
        <v>86725</v>
      </c>
      <c r="AD928" s="6" t="str">
        <f>IF(COUNTIF(Returns!$A$2:$A$1635,Orders!AC928)&gt;0,"Returned","Not Returned")</f>
        <v>Not Returned</v>
      </c>
    </row>
    <row r="929" spans="1:30" ht="12.75" customHeight="1" thickTop="1" thickBot="1" x14ac:dyDescent="0.25">
      <c r="A929" s="8">
        <v>25066</v>
      </c>
      <c r="B929" s="1" t="s">
        <v>106</v>
      </c>
      <c r="C929" s="1">
        <v>0.02</v>
      </c>
      <c r="D929" s="1">
        <v>284.98</v>
      </c>
      <c r="E929" s="1">
        <v>69.55</v>
      </c>
      <c r="F929" s="1">
        <v>1672</v>
      </c>
      <c r="G929" s="6" t="str">
        <f>IF(COUNTIF(Table1[Customer ID],Table1[[#This Row],[Customer ID]])&gt;1,"Repeat Customer","One-Time Customer")</f>
        <v>Repeat Customer</v>
      </c>
      <c r="H929" s="1" t="s">
        <v>1677</v>
      </c>
      <c r="I929" s="1" t="s">
        <v>39</v>
      </c>
      <c r="J929" s="1" t="s">
        <v>58</v>
      </c>
      <c r="K929" s="1" t="s">
        <v>41</v>
      </c>
      <c r="L929" s="1" t="s">
        <v>42</v>
      </c>
      <c r="M929" s="1" t="s">
        <v>43</v>
      </c>
      <c r="N929" s="1" t="s">
        <v>1082</v>
      </c>
      <c r="O929" s="1">
        <v>0.6</v>
      </c>
      <c r="P929" s="6">
        <f>Table1[[#This Row],[Profit]]/Table1[[#This Row],[Sales]]</f>
        <v>1.676346755910612E-2</v>
      </c>
      <c r="Q929" s="1" t="s">
        <v>33</v>
      </c>
      <c r="R929" s="1" t="s">
        <v>136</v>
      </c>
      <c r="S929" s="1" t="s">
        <v>137</v>
      </c>
      <c r="T929" s="1" t="s">
        <v>1678</v>
      </c>
      <c r="U929" s="1">
        <v>22901</v>
      </c>
      <c r="V929" s="9">
        <v>42162</v>
      </c>
      <c r="W929" s="13" t="str">
        <f>TEXT(Table1[[#This Row],[Order Date]],"mmmm")</f>
        <v>June</v>
      </c>
      <c r="X929" s="7" t="str">
        <f>TEXT(Table1[[#This Row],[Order Date]],"yyyy")</f>
        <v>2015</v>
      </c>
      <c r="Y929" s="9">
        <v>42167</v>
      </c>
      <c r="Z929" s="1">
        <v>15.527999999999999</v>
      </c>
      <c r="AA929" s="1">
        <v>3</v>
      </c>
      <c r="AB929" s="1">
        <v>926.3</v>
      </c>
      <c r="AC929" s="1">
        <v>86723</v>
      </c>
      <c r="AD929" s="6" t="str">
        <f>IF(COUNTIF(Returns!$A$2:$A$1635,Orders!AC929)&gt;0,"Returned","Not Returned")</f>
        <v>Not Returned</v>
      </c>
    </row>
    <row r="930" spans="1:30" ht="12.75" customHeight="1" thickTop="1" thickBot="1" x14ac:dyDescent="0.25">
      <c r="A930" s="10">
        <v>25067</v>
      </c>
      <c r="B930" s="11" t="s">
        <v>106</v>
      </c>
      <c r="C930" s="11">
        <v>0.08</v>
      </c>
      <c r="D930" s="11">
        <v>55.48</v>
      </c>
      <c r="E930" s="11">
        <v>14.3</v>
      </c>
      <c r="F930" s="11">
        <v>1672</v>
      </c>
      <c r="G930" s="6" t="str">
        <f>IF(COUNTIF(Table1[Customer ID],Table1[[#This Row],[Customer ID]])&gt;1,"Repeat Customer","One-Time Customer")</f>
        <v>Repeat Customer</v>
      </c>
      <c r="H930" s="11" t="s">
        <v>1677</v>
      </c>
      <c r="I930" s="11" t="s">
        <v>49</v>
      </c>
      <c r="J930" s="11" t="s">
        <v>58</v>
      </c>
      <c r="K930" s="11" t="s">
        <v>29</v>
      </c>
      <c r="L930" s="11" t="s">
        <v>93</v>
      </c>
      <c r="M930" s="11" t="s">
        <v>59</v>
      </c>
      <c r="N930" s="11" t="s">
        <v>94</v>
      </c>
      <c r="O930" s="11">
        <v>0.37</v>
      </c>
      <c r="P930" s="6">
        <f>Table1[[#This Row],[Profit]]/Table1[[#This Row],[Sales]]</f>
        <v>-0.23931736920840715</v>
      </c>
      <c r="Q930" s="11" t="s">
        <v>33</v>
      </c>
      <c r="R930" s="11" t="s">
        <v>136</v>
      </c>
      <c r="S930" s="11" t="s">
        <v>137</v>
      </c>
      <c r="T930" s="11" t="s">
        <v>1678</v>
      </c>
      <c r="U930" s="11">
        <v>22901</v>
      </c>
      <c r="V930" s="12">
        <v>42162</v>
      </c>
      <c r="W930" s="13" t="str">
        <f>TEXT(Table1[[#This Row],[Order Date]],"mmmm")</f>
        <v>June</v>
      </c>
      <c r="X930" s="7" t="str">
        <f>TEXT(Table1[[#This Row],[Order Date]],"yyyy")</f>
        <v>2015</v>
      </c>
      <c r="Y930" s="12">
        <v>42164</v>
      </c>
      <c r="Z930" s="11">
        <v>-225.56379999999999</v>
      </c>
      <c r="AA930" s="11">
        <v>17</v>
      </c>
      <c r="AB930" s="11">
        <v>942.53</v>
      </c>
      <c r="AC930" s="11">
        <v>86723</v>
      </c>
      <c r="AD930" s="6" t="str">
        <f>IF(COUNTIF(Returns!$A$2:$A$1635,Orders!AC930)&gt;0,"Returned","Not Returned")</f>
        <v>Not Returned</v>
      </c>
    </row>
    <row r="931" spans="1:30" ht="12.75" customHeight="1" thickTop="1" thickBot="1" x14ac:dyDescent="0.25">
      <c r="A931" s="8">
        <v>18150</v>
      </c>
      <c r="B931" s="1" t="s">
        <v>56</v>
      </c>
      <c r="C931" s="1">
        <v>7.0000000000000007E-2</v>
      </c>
      <c r="D931" s="1">
        <v>13.73</v>
      </c>
      <c r="E931" s="1">
        <v>6.85</v>
      </c>
      <c r="F931" s="1">
        <v>1679</v>
      </c>
      <c r="G931" s="6" t="str">
        <f>IF(COUNTIF(Table1[Customer ID],Table1[[#This Row],[Customer ID]])&gt;1,"Repeat Customer","One-Time Customer")</f>
        <v>One-Time Customer</v>
      </c>
      <c r="H931" s="1" t="s">
        <v>1679</v>
      </c>
      <c r="I931" s="1" t="s">
        <v>49</v>
      </c>
      <c r="J931" s="1" t="s">
        <v>114</v>
      </c>
      <c r="K931" s="1" t="s">
        <v>41</v>
      </c>
      <c r="L931" s="1" t="s">
        <v>50</v>
      </c>
      <c r="M931" s="1" t="s">
        <v>31</v>
      </c>
      <c r="N931" s="1" t="s">
        <v>647</v>
      </c>
      <c r="O931" s="1">
        <v>0.54</v>
      </c>
      <c r="P931" s="6">
        <f>Table1[[#This Row],[Profit]]/Table1[[#This Row],[Sales]]</f>
        <v>-8.2128397917871604E-2</v>
      </c>
      <c r="Q931" s="1" t="s">
        <v>33</v>
      </c>
      <c r="R931" s="1" t="s">
        <v>53</v>
      </c>
      <c r="S931" s="1" t="s">
        <v>154</v>
      </c>
      <c r="T931" s="1" t="s">
        <v>1680</v>
      </c>
      <c r="U931" s="1">
        <v>45324</v>
      </c>
      <c r="V931" s="9">
        <v>42083</v>
      </c>
      <c r="W931" s="13" t="str">
        <f>TEXT(Table1[[#This Row],[Order Date]],"mmmm")</f>
        <v>March</v>
      </c>
      <c r="X931" s="7" t="str">
        <f>TEXT(Table1[[#This Row],[Order Date]],"yyyy")</f>
        <v>2015</v>
      </c>
      <c r="Y931" s="9">
        <v>42084</v>
      </c>
      <c r="Z931" s="1">
        <v>-22.72</v>
      </c>
      <c r="AA931" s="1">
        <v>21</v>
      </c>
      <c r="AB931" s="1">
        <v>276.64</v>
      </c>
      <c r="AC931" s="1">
        <v>86646</v>
      </c>
      <c r="AD931" s="6" t="str">
        <f>IF(COUNTIF(Returns!$A$2:$A$1635,Orders!AC931)&gt;0,"Returned","Not Returned")</f>
        <v>Not Returned</v>
      </c>
    </row>
    <row r="932" spans="1:30" ht="12.75" customHeight="1" thickTop="1" thickBot="1" x14ac:dyDescent="0.25">
      <c r="A932" s="10">
        <v>23524</v>
      </c>
      <c r="B932" s="11" t="s">
        <v>106</v>
      </c>
      <c r="C932" s="11">
        <v>0.09</v>
      </c>
      <c r="D932" s="11">
        <v>30.98</v>
      </c>
      <c r="E932" s="11">
        <v>19.510000000000002</v>
      </c>
      <c r="F932" s="11">
        <v>1680</v>
      </c>
      <c r="G932" s="6" t="str">
        <f>IF(COUNTIF(Table1[Customer ID],Table1[[#This Row],[Customer ID]])&gt;1,"Repeat Customer","One-Time Customer")</f>
        <v>Repeat Customer</v>
      </c>
      <c r="H932" s="11" t="s">
        <v>1681</v>
      </c>
      <c r="I932" s="11" t="s">
        <v>49</v>
      </c>
      <c r="J932" s="11" t="s">
        <v>114</v>
      </c>
      <c r="K932" s="11" t="s">
        <v>29</v>
      </c>
      <c r="L932" s="11" t="s">
        <v>69</v>
      </c>
      <c r="M932" s="11" t="s">
        <v>59</v>
      </c>
      <c r="N932" s="11" t="s">
        <v>1682</v>
      </c>
      <c r="O932" s="11">
        <v>0.36</v>
      </c>
      <c r="P932" s="6">
        <f>Table1[[#This Row],[Profit]]/Table1[[#This Row],[Sales]]</f>
        <v>-0.31776845050717034</v>
      </c>
      <c r="Q932" s="11" t="s">
        <v>33</v>
      </c>
      <c r="R932" s="11" t="s">
        <v>53</v>
      </c>
      <c r="S932" s="11" t="s">
        <v>154</v>
      </c>
      <c r="T932" s="11" t="s">
        <v>393</v>
      </c>
      <c r="U932" s="11">
        <v>45014</v>
      </c>
      <c r="V932" s="12">
        <v>42127</v>
      </c>
      <c r="W932" s="13" t="str">
        <f>TEXT(Table1[[#This Row],[Order Date]],"mmmm")</f>
        <v>May</v>
      </c>
      <c r="X932" s="7" t="str">
        <f>TEXT(Table1[[#This Row],[Order Date]],"yyyy")</f>
        <v>2015</v>
      </c>
      <c r="Y932" s="12">
        <v>42129</v>
      </c>
      <c r="Z932" s="11">
        <v>-163.53</v>
      </c>
      <c r="AA932" s="11">
        <v>18</v>
      </c>
      <c r="AB932" s="11">
        <v>514.62</v>
      </c>
      <c r="AC932" s="11">
        <v>86645</v>
      </c>
      <c r="AD932" s="6" t="str">
        <f>IF(COUNTIF(Returns!$A$2:$A$1635,Orders!AC932)&gt;0,"Returned","Not Returned")</f>
        <v>Not Returned</v>
      </c>
    </row>
    <row r="933" spans="1:30" ht="12.75" customHeight="1" thickTop="1" thickBot="1" x14ac:dyDescent="0.25">
      <c r="A933" s="8">
        <v>23525</v>
      </c>
      <c r="B933" s="1" t="s">
        <v>106</v>
      </c>
      <c r="C933" s="1">
        <v>0.03</v>
      </c>
      <c r="D933" s="1">
        <v>49.34</v>
      </c>
      <c r="E933" s="1">
        <v>10.25</v>
      </c>
      <c r="F933" s="1">
        <v>1680</v>
      </c>
      <c r="G933" s="6" t="str">
        <f>IF(COUNTIF(Table1[Customer ID],Table1[[#This Row],[Customer ID]])&gt;1,"Repeat Customer","One-Time Customer")</f>
        <v>Repeat Customer</v>
      </c>
      <c r="H933" s="1" t="s">
        <v>1681</v>
      </c>
      <c r="I933" s="1" t="s">
        <v>49</v>
      </c>
      <c r="J933" s="1" t="s">
        <v>114</v>
      </c>
      <c r="K933" s="1" t="s">
        <v>41</v>
      </c>
      <c r="L933" s="1" t="s">
        <v>50</v>
      </c>
      <c r="M933" s="1" t="s">
        <v>236</v>
      </c>
      <c r="N933" s="1" t="s">
        <v>1683</v>
      </c>
      <c r="O933" s="1">
        <v>0.56999999999999995</v>
      </c>
      <c r="P933" s="6">
        <f>Table1[[#This Row],[Profit]]/Table1[[#This Row],[Sales]]</f>
        <v>0.67876719032936905</v>
      </c>
      <c r="Q933" s="1" t="s">
        <v>33</v>
      </c>
      <c r="R933" s="1" t="s">
        <v>53</v>
      </c>
      <c r="S933" s="1" t="s">
        <v>154</v>
      </c>
      <c r="T933" s="1" t="s">
        <v>393</v>
      </c>
      <c r="U933" s="1">
        <v>45014</v>
      </c>
      <c r="V933" s="9">
        <v>42127</v>
      </c>
      <c r="W933" s="13" t="str">
        <f>TEXT(Table1[[#This Row],[Order Date]],"mmmm")</f>
        <v>May</v>
      </c>
      <c r="X933" s="7" t="str">
        <f>TEXT(Table1[[#This Row],[Order Date]],"yyyy")</f>
        <v>2015</v>
      </c>
      <c r="Y933" s="9">
        <v>42129</v>
      </c>
      <c r="Z933" s="1">
        <v>554.77</v>
      </c>
      <c r="AA933" s="1">
        <v>17</v>
      </c>
      <c r="AB933" s="1">
        <v>817.32</v>
      </c>
      <c r="AC933" s="1">
        <v>86645</v>
      </c>
      <c r="AD933" s="6" t="str">
        <f>IF(COUNTIF(Returns!$A$2:$A$1635,Orders!AC933)&gt;0,"Returned","Not Returned")</f>
        <v>Not Returned</v>
      </c>
    </row>
    <row r="934" spans="1:30" ht="12.75" customHeight="1" thickTop="1" thickBot="1" x14ac:dyDescent="0.25">
      <c r="A934" s="10">
        <v>1976</v>
      </c>
      <c r="B934" s="11" t="s">
        <v>37</v>
      </c>
      <c r="C934" s="11">
        <v>0.04</v>
      </c>
      <c r="D934" s="11">
        <v>6.28</v>
      </c>
      <c r="E934" s="11">
        <v>5.41</v>
      </c>
      <c r="F934" s="11">
        <v>1682</v>
      </c>
      <c r="G934" s="6" t="str">
        <f>IF(COUNTIF(Table1[Customer ID],Table1[[#This Row],[Customer ID]])&gt;1,"Repeat Customer","One-Time Customer")</f>
        <v>Repeat Customer</v>
      </c>
      <c r="H934" s="11" t="s">
        <v>1684</v>
      </c>
      <c r="I934" s="11" t="s">
        <v>49</v>
      </c>
      <c r="J934" s="11" t="s">
        <v>114</v>
      </c>
      <c r="K934" s="11" t="s">
        <v>41</v>
      </c>
      <c r="L934" s="11" t="s">
        <v>50</v>
      </c>
      <c r="M934" s="11" t="s">
        <v>59</v>
      </c>
      <c r="N934" s="11" t="s">
        <v>1685</v>
      </c>
      <c r="O934" s="11">
        <v>0.53</v>
      </c>
      <c r="P934" s="6">
        <f>Table1[[#This Row],[Profit]]/Table1[[#This Row],[Sales]]</f>
        <v>-0.13491282339707536</v>
      </c>
      <c r="Q934" s="11" t="s">
        <v>33</v>
      </c>
      <c r="R934" s="11" t="s">
        <v>61</v>
      </c>
      <c r="S934" s="11" t="s">
        <v>178</v>
      </c>
      <c r="T934" s="11" t="s">
        <v>179</v>
      </c>
      <c r="U934" s="11">
        <v>60611</v>
      </c>
      <c r="V934" s="12">
        <v>42049</v>
      </c>
      <c r="W934" s="13" t="str">
        <f>TEXT(Table1[[#This Row],[Order Date]],"mmmm")</f>
        <v>February</v>
      </c>
      <c r="X934" s="7" t="str">
        <f>TEXT(Table1[[#This Row],[Order Date]],"yyyy")</f>
        <v>2015</v>
      </c>
      <c r="Y934" s="12">
        <v>42051</v>
      </c>
      <c r="Z934" s="11">
        <v>-38.380000000000003</v>
      </c>
      <c r="AA934" s="11">
        <v>43</v>
      </c>
      <c r="AB934" s="11">
        <v>284.48</v>
      </c>
      <c r="AC934" s="11">
        <v>14115</v>
      </c>
      <c r="AD934" s="6" t="str">
        <f>IF(COUNTIF(Returns!$A$2:$A$1635,Orders!AC934)&gt;0,"Returned","Not Returned")</f>
        <v>Not Returned</v>
      </c>
    </row>
    <row r="935" spans="1:30" ht="12.75" customHeight="1" thickTop="1" thickBot="1" x14ac:dyDescent="0.25">
      <c r="A935" s="8">
        <v>5358</v>
      </c>
      <c r="B935" s="1" t="s">
        <v>37</v>
      </c>
      <c r="C935" s="1">
        <v>0.08</v>
      </c>
      <c r="D935" s="1">
        <v>4.9800000000000004</v>
      </c>
      <c r="E935" s="1">
        <v>4.7</v>
      </c>
      <c r="F935" s="1">
        <v>1682</v>
      </c>
      <c r="G935" s="6" t="str">
        <f>IF(COUNTIF(Table1[Customer ID],Table1[[#This Row],[Customer ID]])&gt;1,"Repeat Customer","One-Time Customer")</f>
        <v>Repeat Customer</v>
      </c>
      <c r="H935" s="1" t="s">
        <v>1684</v>
      </c>
      <c r="I935" s="1" t="s">
        <v>49</v>
      </c>
      <c r="J935" s="1" t="s">
        <v>114</v>
      </c>
      <c r="K935" s="1" t="s">
        <v>29</v>
      </c>
      <c r="L935" s="1" t="s">
        <v>93</v>
      </c>
      <c r="M935" s="1" t="s">
        <v>59</v>
      </c>
      <c r="N935" s="1" t="s">
        <v>1686</v>
      </c>
      <c r="O935" s="1">
        <v>0.38</v>
      </c>
      <c r="P935" s="6">
        <f>Table1[[#This Row],[Profit]]/Table1[[#This Row],[Sales]]</f>
        <v>-0.24935835029648643</v>
      </c>
      <c r="Q935" s="1" t="s">
        <v>33</v>
      </c>
      <c r="R935" s="1" t="s">
        <v>61</v>
      </c>
      <c r="S935" s="1" t="s">
        <v>178</v>
      </c>
      <c r="T935" s="1" t="s">
        <v>179</v>
      </c>
      <c r="U935" s="1">
        <v>60611</v>
      </c>
      <c r="V935" s="9">
        <v>42077</v>
      </c>
      <c r="W935" s="13" t="str">
        <f>TEXT(Table1[[#This Row],[Order Date]],"mmmm")</f>
        <v>March</v>
      </c>
      <c r="X935" s="7" t="str">
        <f>TEXT(Table1[[#This Row],[Order Date]],"yyyy")</f>
        <v>2015</v>
      </c>
      <c r="Y935" s="9">
        <v>42078</v>
      </c>
      <c r="Z935" s="1">
        <v>-56.35</v>
      </c>
      <c r="AA935" s="1">
        <v>47</v>
      </c>
      <c r="AB935" s="1">
        <v>225.98</v>
      </c>
      <c r="AC935" s="1">
        <v>38080</v>
      </c>
      <c r="AD935" s="6" t="str">
        <f>IF(COUNTIF(Returns!$A$2:$A$1635,Orders!AC935)&gt;0,"Returned","Not Returned")</f>
        <v>Not Returned</v>
      </c>
    </row>
    <row r="936" spans="1:30" ht="12.75" customHeight="1" thickTop="1" thickBot="1" x14ac:dyDescent="0.25">
      <c r="A936" s="10">
        <v>19976</v>
      </c>
      <c r="B936" s="11" t="s">
        <v>37</v>
      </c>
      <c r="C936" s="11">
        <v>0.04</v>
      </c>
      <c r="D936" s="11">
        <v>6.28</v>
      </c>
      <c r="E936" s="11">
        <v>5.41</v>
      </c>
      <c r="F936" s="11">
        <v>1683</v>
      </c>
      <c r="G936" s="6" t="str">
        <f>IF(COUNTIF(Table1[Customer ID],Table1[[#This Row],[Customer ID]])&gt;1,"Repeat Customer","One-Time Customer")</f>
        <v>Repeat Customer</v>
      </c>
      <c r="H936" s="11" t="s">
        <v>1687</v>
      </c>
      <c r="I936" s="11" t="s">
        <v>49</v>
      </c>
      <c r="J936" s="11" t="s">
        <v>114</v>
      </c>
      <c r="K936" s="11" t="s">
        <v>41</v>
      </c>
      <c r="L936" s="11" t="s">
        <v>50</v>
      </c>
      <c r="M936" s="11" t="s">
        <v>59</v>
      </c>
      <c r="N936" s="11" t="s">
        <v>1685</v>
      </c>
      <c r="O936" s="11">
        <v>0.53</v>
      </c>
      <c r="P936" s="6">
        <f>Table1[[#This Row],[Profit]]/Table1[[#This Row],[Sales]]</f>
        <v>-0.27425587467362927</v>
      </c>
      <c r="Q936" s="11" t="s">
        <v>33</v>
      </c>
      <c r="R936" s="11" t="s">
        <v>61</v>
      </c>
      <c r="S936" s="11" t="s">
        <v>130</v>
      </c>
      <c r="T936" s="11" t="s">
        <v>1688</v>
      </c>
      <c r="U936" s="11">
        <v>77301</v>
      </c>
      <c r="V936" s="12">
        <v>42049</v>
      </c>
      <c r="W936" s="13" t="str">
        <f>TEXT(Table1[[#This Row],[Order Date]],"mmmm")</f>
        <v>February</v>
      </c>
      <c r="X936" s="7" t="str">
        <f>TEXT(Table1[[#This Row],[Order Date]],"yyyy")</f>
        <v>2015</v>
      </c>
      <c r="Y936" s="12">
        <v>42051</v>
      </c>
      <c r="Z936" s="11">
        <v>-19.957600000000003</v>
      </c>
      <c r="AA936" s="11">
        <v>11</v>
      </c>
      <c r="AB936" s="11">
        <v>72.77</v>
      </c>
      <c r="AC936" s="11">
        <v>90612</v>
      </c>
      <c r="AD936" s="6" t="str">
        <f>IF(COUNTIF(Returns!$A$2:$A$1635,Orders!AC936)&gt;0,"Returned","Not Returned")</f>
        <v>Not Returned</v>
      </c>
    </row>
    <row r="937" spans="1:30" ht="12.75" customHeight="1" thickTop="1" thickBot="1" x14ac:dyDescent="0.25">
      <c r="A937" s="8">
        <v>23358</v>
      </c>
      <c r="B937" s="1" t="s">
        <v>37</v>
      </c>
      <c r="C937" s="1">
        <v>0.08</v>
      </c>
      <c r="D937" s="1">
        <v>4.9800000000000004</v>
      </c>
      <c r="E937" s="1">
        <v>4.7</v>
      </c>
      <c r="F937" s="1">
        <v>1683</v>
      </c>
      <c r="G937" s="6" t="str">
        <f>IF(COUNTIF(Table1[Customer ID],Table1[[#This Row],[Customer ID]])&gt;1,"Repeat Customer","One-Time Customer")</f>
        <v>Repeat Customer</v>
      </c>
      <c r="H937" s="1" t="s">
        <v>1687</v>
      </c>
      <c r="I937" s="1" t="s">
        <v>49</v>
      </c>
      <c r="J937" s="1" t="s">
        <v>114</v>
      </c>
      <c r="K937" s="1" t="s">
        <v>29</v>
      </c>
      <c r="L937" s="1" t="s">
        <v>93</v>
      </c>
      <c r="M937" s="1" t="s">
        <v>59</v>
      </c>
      <c r="N937" s="1" t="s">
        <v>1686</v>
      </c>
      <c r="O937" s="1">
        <v>0.38</v>
      </c>
      <c r="P937" s="6">
        <f>Table1[[#This Row],[Profit]]/Table1[[#This Row],[Sales]]</f>
        <v>-0.97660311958405543</v>
      </c>
      <c r="Q937" s="1" t="s">
        <v>33</v>
      </c>
      <c r="R937" s="1" t="s">
        <v>61</v>
      </c>
      <c r="S937" s="1" t="s">
        <v>130</v>
      </c>
      <c r="T937" s="1" t="s">
        <v>1688</v>
      </c>
      <c r="U937" s="1">
        <v>77301</v>
      </c>
      <c r="V937" s="9">
        <v>42077</v>
      </c>
      <c r="W937" s="13" t="str">
        <f>TEXT(Table1[[#This Row],[Order Date]],"mmmm")</f>
        <v>March</v>
      </c>
      <c r="X937" s="7" t="str">
        <f>TEXT(Table1[[#This Row],[Order Date]],"yyyy")</f>
        <v>2015</v>
      </c>
      <c r="Y937" s="9">
        <v>42078</v>
      </c>
      <c r="Z937" s="1">
        <v>-56.35</v>
      </c>
      <c r="AA937" s="1">
        <v>12</v>
      </c>
      <c r="AB937" s="1">
        <v>57.7</v>
      </c>
      <c r="AC937" s="1">
        <v>90613</v>
      </c>
      <c r="AD937" s="6" t="str">
        <f>IF(COUNTIF(Returns!$A$2:$A$1635,Orders!AC937)&gt;0,"Returned","Not Returned")</f>
        <v>Not Returned</v>
      </c>
    </row>
    <row r="938" spans="1:30" ht="12.75" customHeight="1" thickTop="1" thickBot="1" x14ac:dyDescent="0.25">
      <c r="A938" s="10">
        <v>19751</v>
      </c>
      <c r="B938" s="11" t="s">
        <v>106</v>
      </c>
      <c r="C938" s="11">
        <v>0.08</v>
      </c>
      <c r="D938" s="11">
        <v>2.08</v>
      </c>
      <c r="E938" s="11">
        <v>5.33</v>
      </c>
      <c r="F938" s="11">
        <v>1686</v>
      </c>
      <c r="G938" s="6" t="str">
        <f>IF(COUNTIF(Table1[Customer ID],Table1[[#This Row],[Customer ID]])&gt;1,"Repeat Customer","One-Time Customer")</f>
        <v>One-Time Customer</v>
      </c>
      <c r="H938" s="11" t="s">
        <v>1689</v>
      </c>
      <c r="I938" s="11" t="s">
        <v>49</v>
      </c>
      <c r="J938" s="11" t="s">
        <v>28</v>
      </c>
      <c r="K938" s="11" t="s">
        <v>41</v>
      </c>
      <c r="L938" s="11" t="s">
        <v>50</v>
      </c>
      <c r="M938" s="11" t="s">
        <v>59</v>
      </c>
      <c r="N938" s="11" t="s">
        <v>744</v>
      </c>
      <c r="O938" s="11">
        <v>0.43</v>
      </c>
      <c r="P938" s="6">
        <f>Table1[[#This Row],[Profit]]/Table1[[#This Row],[Sales]]</f>
        <v>-6.5587188612099636</v>
      </c>
      <c r="Q938" s="11" t="s">
        <v>33</v>
      </c>
      <c r="R938" s="11" t="s">
        <v>61</v>
      </c>
      <c r="S938" s="11" t="s">
        <v>178</v>
      </c>
      <c r="T938" s="11" t="s">
        <v>1690</v>
      </c>
      <c r="U938" s="11">
        <v>60123</v>
      </c>
      <c r="V938" s="12">
        <v>42066</v>
      </c>
      <c r="W938" s="13" t="str">
        <f>TEXT(Table1[[#This Row],[Order Date]],"mmmm")</f>
        <v>March</v>
      </c>
      <c r="X938" s="7" t="str">
        <f>TEXT(Table1[[#This Row],[Order Date]],"yyyy")</f>
        <v>2015</v>
      </c>
      <c r="Y938" s="12">
        <v>42073</v>
      </c>
      <c r="Z938" s="11">
        <v>-129.01</v>
      </c>
      <c r="AA938" s="11">
        <v>9</v>
      </c>
      <c r="AB938" s="11">
        <v>19.670000000000002</v>
      </c>
      <c r="AC938" s="11">
        <v>86973</v>
      </c>
      <c r="AD938" s="6" t="str">
        <f>IF(COUNTIF(Returns!$A$2:$A$1635,Orders!AC938)&gt;0,"Returned","Not Returned")</f>
        <v>Not Returned</v>
      </c>
    </row>
    <row r="939" spans="1:30" ht="12.75" customHeight="1" thickTop="1" thickBot="1" x14ac:dyDescent="0.25">
      <c r="A939" s="8">
        <v>25690</v>
      </c>
      <c r="B939" s="1" t="s">
        <v>25</v>
      </c>
      <c r="C939" s="1">
        <v>0</v>
      </c>
      <c r="D939" s="1">
        <v>48.91</v>
      </c>
      <c r="E939" s="1">
        <v>35</v>
      </c>
      <c r="F939" s="1">
        <v>1689</v>
      </c>
      <c r="G939" s="6" t="str">
        <f>IF(COUNTIF(Table1[Customer ID],Table1[[#This Row],[Customer ID]])&gt;1,"Repeat Customer","One-Time Customer")</f>
        <v>One-Time Customer</v>
      </c>
      <c r="H939" s="1" t="s">
        <v>1691</v>
      </c>
      <c r="I939" s="1" t="s">
        <v>49</v>
      </c>
      <c r="J939" s="1" t="s">
        <v>28</v>
      </c>
      <c r="K939" s="1" t="s">
        <v>29</v>
      </c>
      <c r="L939" s="1" t="s">
        <v>141</v>
      </c>
      <c r="M939" s="1" t="s">
        <v>236</v>
      </c>
      <c r="N939" s="1" t="s">
        <v>1692</v>
      </c>
      <c r="O939" s="1">
        <v>0.83</v>
      </c>
      <c r="P939" s="6">
        <f>Table1[[#This Row],[Profit]]/Table1[[#This Row],[Sales]]</f>
        <v>-1.2206530818391967</v>
      </c>
      <c r="Q939" s="1" t="s">
        <v>33</v>
      </c>
      <c r="R939" s="1" t="s">
        <v>61</v>
      </c>
      <c r="S939" s="1" t="s">
        <v>703</v>
      </c>
      <c r="T939" s="1" t="s">
        <v>1623</v>
      </c>
      <c r="U939" s="1">
        <v>46322</v>
      </c>
      <c r="V939" s="9">
        <v>42087</v>
      </c>
      <c r="W939" s="13" t="str">
        <f>TEXT(Table1[[#This Row],[Order Date]],"mmmm")</f>
        <v>March</v>
      </c>
      <c r="X939" s="7" t="str">
        <f>TEXT(Table1[[#This Row],[Order Date]],"yyyy")</f>
        <v>2015</v>
      </c>
      <c r="Y939" s="9">
        <v>42088</v>
      </c>
      <c r="Z939" s="1">
        <v>-628.38</v>
      </c>
      <c r="AA939" s="1">
        <v>10</v>
      </c>
      <c r="AB939" s="1">
        <v>514.79</v>
      </c>
      <c r="AC939" s="1">
        <v>91077</v>
      </c>
      <c r="AD939" s="6" t="str">
        <f>IF(COUNTIF(Returns!$A$2:$A$1635,Orders!AC939)&gt;0,"Returned","Not Returned")</f>
        <v>Not Returned</v>
      </c>
    </row>
    <row r="940" spans="1:30" ht="12.75" customHeight="1" thickTop="1" thickBot="1" x14ac:dyDescent="0.25">
      <c r="A940" s="10">
        <v>22798</v>
      </c>
      <c r="B940" s="11" t="s">
        <v>106</v>
      </c>
      <c r="C940" s="11">
        <v>0.05</v>
      </c>
      <c r="D940" s="11">
        <v>115.99</v>
      </c>
      <c r="E940" s="11">
        <v>5.26</v>
      </c>
      <c r="F940" s="11">
        <v>1690</v>
      </c>
      <c r="G940" s="6" t="str">
        <f>IF(COUNTIF(Table1[Customer ID],Table1[[#This Row],[Customer ID]])&gt;1,"Repeat Customer","One-Time Customer")</f>
        <v>Repeat Customer</v>
      </c>
      <c r="H940" s="11" t="s">
        <v>1693</v>
      </c>
      <c r="I940" s="11" t="s">
        <v>49</v>
      </c>
      <c r="J940" s="11" t="s">
        <v>28</v>
      </c>
      <c r="K940" s="11" t="s">
        <v>77</v>
      </c>
      <c r="L940" s="11" t="s">
        <v>78</v>
      </c>
      <c r="M940" s="11" t="s">
        <v>59</v>
      </c>
      <c r="N940" s="11" t="s">
        <v>1694</v>
      </c>
      <c r="O940" s="11">
        <v>0.56999999999999995</v>
      </c>
      <c r="P940" s="6">
        <f>Table1[[#This Row],[Profit]]/Table1[[#This Row],[Sales]]</f>
        <v>0.69</v>
      </c>
      <c r="Q940" s="11" t="s">
        <v>33</v>
      </c>
      <c r="R940" s="11" t="s">
        <v>53</v>
      </c>
      <c r="S940" s="11" t="s">
        <v>234</v>
      </c>
      <c r="T940" s="11" t="s">
        <v>1695</v>
      </c>
      <c r="U940" s="11">
        <v>17112</v>
      </c>
      <c r="V940" s="12">
        <v>42028</v>
      </c>
      <c r="W940" s="13" t="str">
        <f>TEXT(Table1[[#This Row],[Order Date]],"mmmm")</f>
        <v>January</v>
      </c>
      <c r="X940" s="7" t="str">
        <f>TEXT(Table1[[#This Row],[Order Date]],"yyyy")</f>
        <v>2015</v>
      </c>
      <c r="Y940" s="12">
        <v>42032</v>
      </c>
      <c r="Z940" s="11">
        <v>616.53569999999991</v>
      </c>
      <c r="AA940" s="11">
        <v>9</v>
      </c>
      <c r="AB940" s="11">
        <v>893.53</v>
      </c>
      <c r="AC940" s="11">
        <v>91076</v>
      </c>
      <c r="AD940" s="6" t="str">
        <f>IF(COUNTIF(Returns!$A$2:$A$1635,Orders!AC940)&gt;0,"Returned","Not Returned")</f>
        <v>Not Returned</v>
      </c>
    </row>
    <row r="941" spans="1:30" ht="12.75" customHeight="1" thickTop="1" thickBot="1" x14ac:dyDescent="0.25">
      <c r="A941" s="8">
        <v>23626</v>
      </c>
      <c r="B941" s="1" t="s">
        <v>37</v>
      </c>
      <c r="C941" s="1">
        <v>0.09</v>
      </c>
      <c r="D941" s="1">
        <v>95.43</v>
      </c>
      <c r="E941" s="1">
        <v>19.989999999999998</v>
      </c>
      <c r="F941" s="1">
        <v>1690</v>
      </c>
      <c r="G941" s="6" t="str">
        <f>IF(COUNTIF(Table1[Customer ID],Table1[[#This Row],[Customer ID]])&gt;1,"Repeat Customer","One-Time Customer")</f>
        <v>Repeat Customer</v>
      </c>
      <c r="H941" s="1" t="s">
        <v>1693</v>
      </c>
      <c r="I941" s="1" t="s">
        <v>49</v>
      </c>
      <c r="J941" s="1" t="s">
        <v>28</v>
      </c>
      <c r="K941" s="1" t="s">
        <v>29</v>
      </c>
      <c r="L941" s="1" t="s">
        <v>141</v>
      </c>
      <c r="M941" s="1" t="s">
        <v>59</v>
      </c>
      <c r="N941" s="1" t="s">
        <v>849</v>
      </c>
      <c r="O941" s="1">
        <v>0.79</v>
      </c>
      <c r="P941" s="6">
        <f>Table1[[#This Row],[Profit]]/Table1[[#This Row],[Sales]]</f>
        <v>-6.9748246980911574E-2</v>
      </c>
      <c r="Q941" s="1" t="s">
        <v>33</v>
      </c>
      <c r="R941" s="1" t="s">
        <v>53</v>
      </c>
      <c r="S941" s="1" t="s">
        <v>234</v>
      </c>
      <c r="T941" s="1" t="s">
        <v>1695</v>
      </c>
      <c r="U941" s="1">
        <v>17112</v>
      </c>
      <c r="V941" s="9">
        <v>42156</v>
      </c>
      <c r="W941" s="13" t="str">
        <f>TEXT(Table1[[#This Row],[Order Date]],"mmmm")</f>
        <v>June</v>
      </c>
      <c r="X941" s="7" t="str">
        <f>TEXT(Table1[[#This Row],[Order Date]],"yyyy")</f>
        <v>2015</v>
      </c>
      <c r="Y941" s="9">
        <v>42157</v>
      </c>
      <c r="Z941" s="1">
        <v>-143.23500000000001</v>
      </c>
      <c r="AA941" s="1">
        <v>22</v>
      </c>
      <c r="AB941" s="1">
        <v>2053.6</v>
      </c>
      <c r="AC941" s="1">
        <v>91078</v>
      </c>
      <c r="AD941" s="6" t="str">
        <f>IF(COUNTIF(Returns!$A$2:$A$1635,Orders!AC941)&gt;0,"Returned","Not Returned")</f>
        <v>Not Returned</v>
      </c>
    </row>
    <row r="942" spans="1:30" ht="12.75" customHeight="1" thickTop="1" thickBot="1" x14ac:dyDescent="0.25">
      <c r="A942" s="10">
        <v>19481</v>
      </c>
      <c r="B942" s="11" t="s">
        <v>37</v>
      </c>
      <c r="C942" s="11">
        <v>0</v>
      </c>
      <c r="D942" s="11">
        <v>6.84</v>
      </c>
      <c r="E942" s="11">
        <v>8.3699999999999992</v>
      </c>
      <c r="F942" s="11">
        <v>1692</v>
      </c>
      <c r="G942" s="6" t="str">
        <f>IF(COUNTIF(Table1[Customer ID],Table1[[#This Row],[Customer ID]])&gt;1,"Repeat Customer","One-Time Customer")</f>
        <v>One-Time Customer</v>
      </c>
      <c r="H942" s="11" t="s">
        <v>1696</v>
      </c>
      <c r="I942" s="11" t="s">
        <v>49</v>
      </c>
      <c r="J942" s="11" t="s">
        <v>114</v>
      </c>
      <c r="K942" s="11" t="s">
        <v>29</v>
      </c>
      <c r="L942" s="11" t="s">
        <v>174</v>
      </c>
      <c r="M942" s="11" t="s">
        <v>51</v>
      </c>
      <c r="N942" s="11" t="s">
        <v>1697</v>
      </c>
      <c r="O942" s="11">
        <v>0.57999999999999996</v>
      </c>
      <c r="P942" s="6">
        <f>Table1[[#This Row],[Profit]]/Table1[[#This Row],[Sales]]</f>
        <v>-3.2510319345473739</v>
      </c>
      <c r="Q942" s="11" t="s">
        <v>33</v>
      </c>
      <c r="R942" s="11" t="s">
        <v>61</v>
      </c>
      <c r="S942" s="11" t="s">
        <v>183</v>
      </c>
      <c r="T942" s="11" t="s">
        <v>331</v>
      </c>
      <c r="U942" s="11">
        <v>67114</v>
      </c>
      <c r="V942" s="12">
        <v>42027</v>
      </c>
      <c r="W942" s="13" t="str">
        <f>TEXT(Table1[[#This Row],[Order Date]],"mmmm")</f>
        <v>January</v>
      </c>
      <c r="X942" s="7" t="str">
        <f>TEXT(Table1[[#This Row],[Order Date]],"yyyy")</f>
        <v>2015</v>
      </c>
      <c r="Y942" s="12">
        <v>42028</v>
      </c>
      <c r="Z942" s="11">
        <v>-123.1816</v>
      </c>
      <c r="AA942" s="11">
        <v>5</v>
      </c>
      <c r="AB942" s="11">
        <v>37.89</v>
      </c>
      <c r="AC942" s="11">
        <v>90189</v>
      </c>
      <c r="AD942" s="6" t="str">
        <f>IF(COUNTIF(Returns!$A$2:$A$1635,Orders!AC942)&gt;0,"Returned","Not Returned")</f>
        <v>Not Returned</v>
      </c>
    </row>
    <row r="943" spans="1:30" ht="12.75" customHeight="1" thickTop="1" thickBot="1" x14ac:dyDescent="0.25">
      <c r="A943" s="8">
        <v>19482</v>
      </c>
      <c r="B943" s="1" t="s">
        <v>37</v>
      </c>
      <c r="C943" s="1">
        <v>7.0000000000000007E-2</v>
      </c>
      <c r="D943" s="1">
        <v>30.98</v>
      </c>
      <c r="E943" s="1">
        <v>5.76</v>
      </c>
      <c r="F943" s="1">
        <v>1693</v>
      </c>
      <c r="G943" s="6" t="str">
        <f>IF(COUNTIF(Table1[Customer ID],Table1[[#This Row],[Customer ID]])&gt;1,"Repeat Customer","One-Time Customer")</f>
        <v>Repeat Customer</v>
      </c>
      <c r="H943" s="1" t="s">
        <v>1698</v>
      </c>
      <c r="I943" s="1" t="s">
        <v>49</v>
      </c>
      <c r="J943" s="1" t="s">
        <v>114</v>
      </c>
      <c r="K943" s="1" t="s">
        <v>29</v>
      </c>
      <c r="L943" s="1" t="s">
        <v>93</v>
      </c>
      <c r="M943" s="1" t="s">
        <v>59</v>
      </c>
      <c r="N943" s="1" t="s">
        <v>1343</v>
      </c>
      <c r="O943" s="1">
        <v>0.4</v>
      </c>
      <c r="P943" s="6">
        <f>Table1[[#This Row],[Profit]]/Table1[[#This Row],[Sales]]</f>
        <v>-8.3766252654236595E-2</v>
      </c>
      <c r="Q943" s="1" t="s">
        <v>33</v>
      </c>
      <c r="R943" s="1" t="s">
        <v>136</v>
      </c>
      <c r="S943" s="1" t="s">
        <v>137</v>
      </c>
      <c r="T943" s="1" t="s">
        <v>1699</v>
      </c>
      <c r="U943" s="1">
        <v>20190</v>
      </c>
      <c r="V943" s="9">
        <v>42027</v>
      </c>
      <c r="W943" s="13" t="str">
        <f>TEXT(Table1[[#This Row],[Order Date]],"mmmm")</f>
        <v>January</v>
      </c>
      <c r="X943" s="7" t="str">
        <f>TEXT(Table1[[#This Row],[Order Date]],"yyyy")</f>
        <v>2015</v>
      </c>
      <c r="Y943" s="9">
        <v>42029</v>
      </c>
      <c r="Z943" s="1">
        <v>-28.798000000000002</v>
      </c>
      <c r="AA943" s="1">
        <v>11</v>
      </c>
      <c r="AB943" s="1">
        <v>343.79</v>
      </c>
      <c r="AC943" s="1">
        <v>90189</v>
      </c>
      <c r="AD943" s="6" t="str">
        <f>IF(COUNTIF(Returns!$A$2:$A$1635,Orders!AC943)&gt;0,"Returned","Not Returned")</f>
        <v>Not Returned</v>
      </c>
    </row>
    <row r="944" spans="1:30" ht="12.75" customHeight="1" thickTop="1" thickBot="1" x14ac:dyDescent="0.25">
      <c r="A944" s="10">
        <v>21262</v>
      </c>
      <c r="B944" s="11" t="s">
        <v>106</v>
      </c>
      <c r="C944" s="11">
        <v>0.01</v>
      </c>
      <c r="D944" s="11">
        <v>15.67</v>
      </c>
      <c r="E944" s="11">
        <v>1.39</v>
      </c>
      <c r="F944" s="11">
        <v>1693</v>
      </c>
      <c r="G944" s="6" t="str">
        <f>IF(COUNTIF(Table1[Customer ID],Table1[[#This Row],[Customer ID]])&gt;1,"Repeat Customer","One-Time Customer")</f>
        <v>Repeat Customer</v>
      </c>
      <c r="H944" s="11" t="s">
        <v>1698</v>
      </c>
      <c r="I944" s="11" t="s">
        <v>27</v>
      </c>
      <c r="J944" s="11" t="s">
        <v>114</v>
      </c>
      <c r="K944" s="11" t="s">
        <v>29</v>
      </c>
      <c r="L944" s="11" t="s">
        <v>69</v>
      </c>
      <c r="M944" s="11" t="s">
        <v>59</v>
      </c>
      <c r="N944" s="11" t="s">
        <v>1700</v>
      </c>
      <c r="O944" s="11">
        <v>0.38</v>
      </c>
      <c r="P944" s="6">
        <f>Table1[[#This Row],[Profit]]/Table1[[#This Row],[Sales]]</f>
        <v>-1.4566430963900261</v>
      </c>
      <c r="Q944" s="11" t="s">
        <v>33</v>
      </c>
      <c r="R944" s="11" t="s">
        <v>136</v>
      </c>
      <c r="S944" s="11" t="s">
        <v>137</v>
      </c>
      <c r="T944" s="11" t="s">
        <v>1699</v>
      </c>
      <c r="U944" s="11">
        <v>20190</v>
      </c>
      <c r="V944" s="12">
        <v>42135</v>
      </c>
      <c r="W944" s="13" t="str">
        <f>TEXT(Table1[[#This Row],[Order Date]],"mmmm")</f>
        <v>May</v>
      </c>
      <c r="X944" s="7" t="str">
        <f>TEXT(Table1[[#This Row],[Order Date]],"yyyy")</f>
        <v>2015</v>
      </c>
      <c r="Y944" s="12">
        <v>42135</v>
      </c>
      <c r="Z944" s="11">
        <v>-273.98</v>
      </c>
      <c r="AA944" s="11">
        <v>11</v>
      </c>
      <c r="AB944" s="11">
        <v>188.09</v>
      </c>
      <c r="AC944" s="11">
        <v>90190</v>
      </c>
      <c r="AD944" s="6" t="str">
        <f>IF(COUNTIF(Returns!$A$2:$A$1635,Orders!AC944)&gt;0,"Returned","Not Returned")</f>
        <v>Not Returned</v>
      </c>
    </row>
    <row r="945" spans="1:30" ht="12.75" customHeight="1" thickTop="1" thickBot="1" x14ac:dyDescent="0.25">
      <c r="A945" s="8">
        <v>24941</v>
      </c>
      <c r="B945" s="1" t="s">
        <v>56</v>
      </c>
      <c r="C945" s="1">
        <v>0</v>
      </c>
      <c r="D945" s="1">
        <v>13.43</v>
      </c>
      <c r="E945" s="1">
        <v>5.5</v>
      </c>
      <c r="F945" s="1">
        <v>1697</v>
      </c>
      <c r="G945" s="6" t="str">
        <f>IF(COUNTIF(Table1[Customer ID],Table1[[#This Row],[Customer ID]])&gt;1,"Repeat Customer","One-Time Customer")</f>
        <v>One-Time Customer</v>
      </c>
      <c r="H945" s="1" t="s">
        <v>1701</v>
      </c>
      <c r="I945" s="1" t="s">
        <v>49</v>
      </c>
      <c r="J945" s="1" t="s">
        <v>40</v>
      </c>
      <c r="K945" s="1" t="s">
        <v>29</v>
      </c>
      <c r="L945" s="1" t="s">
        <v>141</v>
      </c>
      <c r="M945" s="1" t="s">
        <v>59</v>
      </c>
      <c r="N945" s="1" t="s">
        <v>1702</v>
      </c>
      <c r="O945" s="1">
        <v>0.56999999999999995</v>
      </c>
      <c r="P945" s="6">
        <f>Table1[[#This Row],[Profit]]/Table1[[#This Row],[Sales]]</f>
        <v>-1.9590705573568012</v>
      </c>
      <c r="Q945" s="1" t="s">
        <v>33</v>
      </c>
      <c r="R945" s="1" t="s">
        <v>136</v>
      </c>
      <c r="S945" s="1" t="s">
        <v>958</v>
      </c>
      <c r="T945" s="1" t="s">
        <v>1703</v>
      </c>
      <c r="U945" s="1">
        <v>71901</v>
      </c>
      <c r="V945" s="9">
        <v>42020</v>
      </c>
      <c r="W945" s="13" t="str">
        <f>TEXT(Table1[[#This Row],[Order Date]],"mmmm")</f>
        <v>January</v>
      </c>
      <c r="X945" s="7" t="str">
        <f>TEXT(Table1[[#This Row],[Order Date]],"yyyy")</f>
        <v>2015</v>
      </c>
      <c r="Y945" s="9">
        <v>42021</v>
      </c>
      <c r="Z945" s="1">
        <v>-253.77800000000002</v>
      </c>
      <c r="AA945" s="1">
        <v>9</v>
      </c>
      <c r="AB945" s="1">
        <v>129.54</v>
      </c>
      <c r="AC945" s="1">
        <v>86338</v>
      </c>
      <c r="AD945" s="6" t="str">
        <f>IF(COUNTIF(Returns!$A$2:$A$1635,Orders!AC945)&gt;0,"Returned","Not Returned")</f>
        <v>Not Returned</v>
      </c>
    </row>
    <row r="946" spans="1:30" ht="12.75" customHeight="1" thickTop="1" thickBot="1" x14ac:dyDescent="0.25">
      <c r="A946" s="10">
        <v>18275</v>
      </c>
      <c r="B946" s="11" t="s">
        <v>106</v>
      </c>
      <c r="C946" s="11">
        <v>0.05</v>
      </c>
      <c r="D946" s="11">
        <v>3.98</v>
      </c>
      <c r="E946" s="11">
        <v>5.26</v>
      </c>
      <c r="F946" s="11">
        <v>1699</v>
      </c>
      <c r="G946" s="6" t="str">
        <f>IF(COUNTIF(Table1[Customer ID],Table1[[#This Row],[Customer ID]])&gt;1,"Repeat Customer","One-Time Customer")</f>
        <v>Repeat Customer</v>
      </c>
      <c r="H946" s="11" t="s">
        <v>1704</v>
      </c>
      <c r="I946" s="11" t="s">
        <v>49</v>
      </c>
      <c r="J946" s="11" t="s">
        <v>58</v>
      </c>
      <c r="K946" s="11" t="s">
        <v>29</v>
      </c>
      <c r="L946" s="11" t="s">
        <v>109</v>
      </c>
      <c r="M946" s="11" t="s">
        <v>59</v>
      </c>
      <c r="N946" s="11" t="s">
        <v>1705</v>
      </c>
      <c r="O946" s="11">
        <v>0.38</v>
      </c>
      <c r="P946" s="6">
        <f>Table1[[#This Row],[Profit]]/Table1[[#This Row],[Sales]]</f>
        <v>-3.0850424757281552</v>
      </c>
      <c r="Q946" s="11" t="s">
        <v>33</v>
      </c>
      <c r="R946" s="11" t="s">
        <v>53</v>
      </c>
      <c r="S946" s="11" t="s">
        <v>234</v>
      </c>
      <c r="T946" s="11" t="s">
        <v>1706</v>
      </c>
      <c r="U946" s="11">
        <v>19057</v>
      </c>
      <c r="V946" s="12">
        <v>42088</v>
      </c>
      <c r="W946" s="13" t="str">
        <f>TEXT(Table1[[#This Row],[Order Date]],"mmmm")</f>
        <v>March</v>
      </c>
      <c r="X946" s="7" t="str">
        <f>TEXT(Table1[[#This Row],[Order Date]],"yyyy")</f>
        <v>2015</v>
      </c>
      <c r="Y946" s="12">
        <v>42092</v>
      </c>
      <c r="Z946" s="11">
        <v>-152.52449999999999</v>
      </c>
      <c r="AA946" s="11">
        <v>12</v>
      </c>
      <c r="AB946" s="11">
        <v>49.44</v>
      </c>
      <c r="AC946" s="11">
        <v>87345</v>
      </c>
      <c r="AD946" s="6" t="str">
        <f>IF(COUNTIF(Returns!$A$2:$A$1635,Orders!AC946)&gt;0,"Returned","Not Returned")</f>
        <v>Not Returned</v>
      </c>
    </row>
    <row r="947" spans="1:30" ht="12.75" customHeight="1" thickTop="1" thickBot="1" x14ac:dyDescent="0.25">
      <c r="A947" s="8">
        <v>18276</v>
      </c>
      <c r="B947" s="1" t="s">
        <v>106</v>
      </c>
      <c r="C947" s="1">
        <v>0.01</v>
      </c>
      <c r="D947" s="1">
        <v>6.48</v>
      </c>
      <c r="E947" s="1">
        <v>5.4</v>
      </c>
      <c r="F947" s="1">
        <v>1699</v>
      </c>
      <c r="G947" s="6" t="str">
        <f>IF(COUNTIF(Table1[Customer ID],Table1[[#This Row],[Customer ID]])&gt;1,"Repeat Customer","One-Time Customer")</f>
        <v>Repeat Customer</v>
      </c>
      <c r="H947" s="1" t="s">
        <v>1704</v>
      </c>
      <c r="I947" s="1" t="s">
        <v>49</v>
      </c>
      <c r="J947" s="1" t="s">
        <v>58</v>
      </c>
      <c r="K947" s="1" t="s">
        <v>29</v>
      </c>
      <c r="L947" s="1" t="s">
        <v>93</v>
      </c>
      <c r="M947" s="1" t="s">
        <v>59</v>
      </c>
      <c r="N947" s="1" t="s">
        <v>1707</v>
      </c>
      <c r="O947" s="1">
        <v>0.37</v>
      </c>
      <c r="P947" s="6">
        <f>Table1[[#This Row],[Profit]]/Table1[[#This Row],[Sales]]</f>
        <v>-1.3191042687193844</v>
      </c>
      <c r="Q947" s="1" t="s">
        <v>33</v>
      </c>
      <c r="R947" s="1" t="s">
        <v>53</v>
      </c>
      <c r="S947" s="1" t="s">
        <v>234</v>
      </c>
      <c r="T947" s="1" t="s">
        <v>1706</v>
      </c>
      <c r="U947" s="1">
        <v>19057</v>
      </c>
      <c r="V947" s="9">
        <v>42088</v>
      </c>
      <c r="W947" s="13" t="str">
        <f>TEXT(Table1[[#This Row],[Order Date]],"mmmm")</f>
        <v>March</v>
      </c>
      <c r="X947" s="7" t="str">
        <f>TEXT(Table1[[#This Row],[Order Date]],"yyyy")</f>
        <v>2015</v>
      </c>
      <c r="Y947" s="9">
        <v>42088</v>
      </c>
      <c r="Z947" s="1">
        <v>-18.850000000000001</v>
      </c>
      <c r="AA947" s="1">
        <v>2</v>
      </c>
      <c r="AB947" s="1">
        <v>14.29</v>
      </c>
      <c r="AC947" s="1">
        <v>87345</v>
      </c>
      <c r="AD947" s="6" t="str">
        <f>IF(COUNTIF(Returns!$A$2:$A$1635,Orders!AC947)&gt;0,"Returned","Not Returned")</f>
        <v>Not Returned</v>
      </c>
    </row>
    <row r="948" spans="1:30" ht="12.75" customHeight="1" thickTop="1" thickBot="1" x14ac:dyDescent="0.25">
      <c r="A948" s="10">
        <v>24158</v>
      </c>
      <c r="B948" s="11" t="s">
        <v>56</v>
      </c>
      <c r="C948" s="11">
        <v>0.05</v>
      </c>
      <c r="D948" s="11">
        <v>14.81</v>
      </c>
      <c r="E948" s="11">
        <v>13.32</v>
      </c>
      <c r="F948" s="11">
        <v>1702</v>
      </c>
      <c r="G948" s="6" t="str">
        <f>IF(COUNTIF(Table1[Customer ID],Table1[[#This Row],[Customer ID]])&gt;1,"Repeat Customer","One-Time Customer")</f>
        <v>Repeat Customer</v>
      </c>
      <c r="H948" s="11" t="s">
        <v>1708</v>
      </c>
      <c r="I948" s="11" t="s">
        <v>49</v>
      </c>
      <c r="J948" s="11" t="s">
        <v>40</v>
      </c>
      <c r="K948" s="11" t="s">
        <v>29</v>
      </c>
      <c r="L948" s="11" t="s">
        <v>257</v>
      </c>
      <c r="M948" s="11" t="s">
        <v>59</v>
      </c>
      <c r="N948" s="11" t="s">
        <v>833</v>
      </c>
      <c r="O948" s="11">
        <v>0.43</v>
      </c>
      <c r="P948" s="6">
        <f>Table1[[#This Row],[Profit]]/Table1[[#This Row],[Sales]]</f>
        <v>-4.8598056537102474</v>
      </c>
      <c r="Q948" s="11" t="s">
        <v>33</v>
      </c>
      <c r="R948" s="11" t="s">
        <v>136</v>
      </c>
      <c r="S948" s="11" t="s">
        <v>671</v>
      </c>
      <c r="T948" s="11" t="s">
        <v>1709</v>
      </c>
      <c r="U948" s="11">
        <v>39301</v>
      </c>
      <c r="V948" s="12">
        <v>42021</v>
      </c>
      <c r="W948" s="13" t="str">
        <f>TEXT(Table1[[#This Row],[Order Date]],"mmmm")</f>
        <v>January</v>
      </c>
      <c r="X948" s="7" t="str">
        <f>TEXT(Table1[[#This Row],[Order Date]],"yyyy")</f>
        <v>2015</v>
      </c>
      <c r="Y948" s="12">
        <v>42024</v>
      </c>
      <c r="Z948" s="11">
        <v>-220.05200000000002</v>
      </c>
      <c r="AA948" s="11">
        <v>3</v>
      </c>
      <c r="AB948" s="11">
        <v>45.28</v>
      </c>
      <c r="AC948" s="11">
        <v>90473</v>
      </c>
      <c r="AD948" s="6" t="str">
        <f>IF(COUNTIF(Returns!$A$2:$A$1635,Orders!AC948)&gt;0,"Returned","Not Returned")</f>
        <v>Not Returned</v>
      </c>
    </row>
    <row r="949" spans="1:30" ht="12.75" customHeight="1" thickTop="1" thickBot="1" x14ac:dyDescent="0.25">
      <c r="A949" s="8">
        <v>24159</v>
      </c>
      <c r="B949" s="1" t="s">
        <v>56</v>
      </c>
      <c r="C949" s="1">
        <v>0.05</v>
      </c>
      <c r="D949" s="1">
        <v>4.2</v>
      </c>
      <c r="E949" s="1">
        <v>2.2599999999999998</v>
      </c>
      <c r="F949" s="1">
        <v>1702</v>
      </c>
      <c r="G949" s="6" t="str">
        <f>IF(COUNTIF(Table1[Customer ID],Table1[[#This Row],[Customer ID]])&gt;1,"Repeat Customer","One-Time Customer")</f>
        <v>Repeat Customer</v>
      </c>
      <c r="H949" s="1" t="s">
        <v>1708</v>
      </c>
      <c r="I949" s="1" t="s">
        <v>27</v>
      </c>
      <c r="J949" s="1" t="s">
        <v>40</v>
      </c>
      <c r="K949" s="1" t="s">
        <v>29</v>
      </c>
      <c r="L949" s="1" t="s">
        <v>93</v>
      </c>
      <c r="M949" s="1" t="s">
        <v>31</v>
      </c>
      <c r="N949" s="1" t="s">
        <v>1234</v>
      </c>
      <c r="O949" s="1">
        <v>0.36</v>
      </c>
      <c r="P949" s="6">
        <f>Table1[[#This Row],[Profit]]/Table1[[#This Row],[Sales]]</f>
        <v>1.502827560795873</v>
      </c>
      <c r="Q949" s="1" t="s">
        <v>33</v>
      </c>
      <c r="R949" s="1" t="s">
        <v>136</v>
      </c>
      <c r="S949" s="1" t="s">
        <v>671</v>
      </c>
      <c r="T949" s="1" t="s">
        <v>1709</v>
      </c>
      <c r="U949" s="1">
        <v>39301</v>
      </c>
      <c r="V949" s="9">
        <v>42021</v>
      </c>
      <c r="W949" s="13" t="str">
        <f>TEXT(Table1[[#This Row],[Order Date]],"mmmm")</f>
        <v>January</v>
      </c>
      <c r="X949" s="7" t="str">
        <f>TEXT(Table1[[#This Row],[Order Date]],"yyyy")</f>
        <v>2015</v>
      </c>
      <c r="Y949" s="9">
        <v>42023</v>
      </c>
      <c r="Z949" s="1">
        <v>20.393369999999997</v>
      </c>
      <c r="AA949" s="1">
        <v>3</v>
      </c>
      <c r="AB949" s="1">
        <v>13.57</v>
      </c>
      <c r="AC949" s="1">
        <v>90473</v>
      </c>
      <c r="AD949" s="6" t="str">
        <f>IF(COUNTIF(Returns!$A$2:$A$1635,Orders!AC949)&gt;0,"Returned","Not Returned")</f>
        <v>Not Returned</v>
      </c>
    </row>
    <row r="950" spans="1:30" ht="12.75" customHeight="1" thickTop="1" thickBot="1" x14ac:dyDescent="0.25">
      <c r="A950" s="10">
        <v>25761</v>
      </c>
      <c r="B950" s="11" t="s">
        <v>56</v>
      </c>
      <c r="C950" s="11">
        <v>0.05</v>
      </c>
      <c r="D950" s="11">
        <v>5.68</v>
      </c>
      <c r="E950" s="11">
        <v>1.39</v>
      </c>
      <c r="F950" s="11">
        <v>1708</v>
      </c>
      <c r="G950" s="6" t="str">
        <f>IF(COUNTIF(Table1[Customer ID],Table1[[#This Row],[Customer ID]])&gt;1,"Repeat Customer","One-Time Customer")</f>
        <v>Repeat Customer</v>
      </c>
      <c r="H950" s="11" t="s">
        <v>1710</v>
      </c>
      <c r="I950" s="11" t="s">
        <v>49</v>
      </c>
      <c r="J950" s="11" t="s">
        <v>58</v>
      </c>
      <c r="K950" s="11" t="s">
        <v>29</v>
      </c>
      <c r="L950" s="11" t="s">
        <v>69</v>
      </c>
      <c r="M950" s="11" t="s">
        <v>59</v>
      </c>
      <c r="N950" s="11" t="s">
        <v>998</v>
      </c>
      <c r="O950" s="11">
        <v>0.38</v>
      </c>
      <c r="P950" s="6">
        <f>Table1[[#This Row],[Profit]]/Table1[[#This Row],[Sales]]</f>
        <v>0.69000000000000006</v>
      </c>
      <c r="Q950" s="11" t="s">
        <v>33</v>
      </c>
      <c r="R950" s="11" t="s">
        <v>53</v>
      </c>
      <c r="S950" s="11" t="s">
        <v>154</v>
      </c>
      <c r="T950" s="11" t="s">
        <v>1711</v>
      </c>
      <c r="U950" s="11">
        <v>44118</v>
      </c>
      <c r="V950" s="12">
        <v>42021</v>
      </c>
      <c r="W950" s="13" t="str">
        <f>TEXT(Table1[[#This Row],[Order Date]],"mmmm")</f>
        <v>January</v>
      </c>
      <c r="X950" s="7" t="str">
        <f>TEXT(Table1[[#This Row],[Order Date]],"yyyy")</f>
        <v>2015</v>
      </c>
      <c r="Y950" s="12">
        <v>42022</v>
      </c>
      <c r="Z950" s="11">
        <v>38.281199999999998</v>
      </c>
      <c r="AA950" s="11">
        <v>10</v>
      </c>
      <c r="AB950" s="11">
        <v>55.48</v>
      </c>
      <c r="AC950" s="11">
        <v>88781</v>
      </c>
      <c r="AD950" s="6" t="str">
        <f>IF(COUNTIF(Returns!$A$2:$A$1635,Orders!AC950)&gt;0,"Returned","Not Returned")</f>
        <v>Not Returned</v>
      </c>
    </row>
    <row r="951" spans="1:30" ht="12.75" customHeight="1" thickTop="1" thickBot="1" x14ac:dyDescent="0.25">
      <c r="A951" s="8">
        <v>26037</v>
      </c>
      <c r="B951" s="1" t="s">
        <v>37</v>
      </c>
      <c r="C951" s="1">
        <v>0.03</v>
      </c>
      <c r="D951" s="1">
        <v>205.99</v>
      </c>
      <c r="E951" s="1">
        <v>3</v>
      </c>
      <c r="F951" s="1">
        <v>1708</v>
      </c>
      <c r="G951" s="6" t="str">
        <f>IF(COUNTIF(Table1[Customer ID],Table1[[#This Row],[Customer ID]])&gt;1,"Repeat Customer","One-Time Customer")</f>
        <v>Repeat Customer</v>
      </c>
      <c r="H951" s="1" t="s">
        <v>1710</v>
      </c>
      <c r="I951" s="1" t="s">
        <v>49</v>
      </c>
      <c r="J951" s="1" t="s">
        <v>58</v>
      </c>
      <c r="K951" s="1" t="s">
        <v>77</v>
      </c>
      <c r="L951" s="1" t="s">
        <v>78</v>
      </c>
      <c r="M951" s="1" t="s">
        <v>59</v>
      </c>
      <c r="N951" s="1" t="s">
        <v>214</v>
      </c>
      <c r="O951" s="1">
        <v>0.57999999999999996</v>
      </c>
      <c r="P951" s="6">
        <f>Table1[[#This Row],[Profit]]/Table1[[#This Row],[Sales]]</f>
        <v>0.69</v>
      </c>
      <c r="Q951" s="1" t="s">
        <v>33</v>
      </c>
      <c r="R951" s="1" t="s">
        <v>53</v>
      </c>
      <c r="S951" s="1" t="s">
        <v>154</v>
      </c>
      <c r="T951" s="1" t="s">
        <v>1711</v>
      </c>
      <c r="U951" s="1">
        <v>44118</v>
      </c>
      <c r="V951" s="9">
        <v>42144</v>
      </c>
      <c r="W951" s="13" t="str">
        <f>TEXT(Table1[[#This Row],[Order Date]],"mmmm")</f>
        <v>May</v>
      </c>
      <c r="X951" s="7" t="str">
        <f>TEXT(Table1[[#This Row],[Order Date]],"yyyy")</f>
        <v>2015</v>
      </c>
      <c r="Y951" s="9">
        <v>42145</v>
      </c>
      <c r="Z951" s="1">
        <v>3670.3514999999998</v>
      </c>
      <c r="AA951" s="1">
        <v>29</v>
      </c>
      <c r="AB951" s="1">
        <v>5319.35</v>
      </c>
      <c r="AC951" s="1">
        <v>88784</v>
      </c>
      <c r="AD951" s="6" t="str">
        <f>IF(COUNTIF(Returns!$A$2:$A$1635,Orders!AC951)&gt;0,"Returned","Not Returned")</f>
        <v>Not Returned</v>
      </c>
    </row>
    <row r="952" spans="1:30" ht="12.75" customHeight="1" thickTop="1" thickBot="1" x14ac:dyDescent="0.25">
      <c r="A952" s="10">
        <v>23822</v>
      </c>
      <c r="B952" s="11" t="s">
        <v>37</v>
      </c>
      <c r="C952" s="11">
        <v>0.01</v>
      </c>
      <c r="D952" s="11">
        <v>14.28</v>
      </c>
      <c r="E952" s="11">
        <v>2.99</v>
      </c>
      <c r="F952" s="11">
        <v>1709</v>
      </c>
      <c r="G952" s="6" t="str">
        <f>IF(COUNTIF(Table1[Customer ID],Table1[[#This Row],[Customer ID]])&gt;1,"Repeat Customer","One-Time Customer")</f>
        <v>Repeat Customer</v>
      </c>
      <c r="H952" s="11" t="s">
        <v>1712</v>
      </c>
      <c r="I952" s="11" t="s">
        <v>49</v>
      </c>
      <c r="J952" s="11" t="s">
        <v>114</v>
      </c>
      <c r="K952" s="11" t="s">
        <v>29</v>
      </c>
      <c r="L952" s="11" t="s">
        <v>109</v>
      </c>
      <c r="M952" s="11" t="s">
        <v>59</v>
      </c>
      <c r="N952" s="11" t="s">
        <v>1713</v>
      </c>
      <c r="O952" s="11">
        <v>0.39</v>
      </c>
      <c r="P952" s="6">
        <f>Table1[[#This Row],[Profit]]/Table1[[#This Row],[Sales]]</f>
        <v>0.68999671484888314</v>
      </c>
      <c r="Q952" s="11" t="s">
        <v>33</v>
      </c>
      <c r="R952" s="11" t="s">
        <v>53</v>
      </c>
      <c r="S952" s="11" t="s">
        <v>234</v>
      </c>
      <c r="T952" s="11" t="s">
        <v>1714</v>
      </c>
      <c r="U952" s="11">
        <v>19464</v>
      </c>
      <c r="V952" s="12">
        <v>42025</v>
      </c>
      <c r="W952" s="13" t="str">
        <f>TEXT(Table1[[#This Row],[Order Date]],"mmmm")</f>
        <v>January</v>
      </c>
      <c r="X952" s="7" t="str">
        <f>TEXT(Table1[[#This Row],[Order Date]],"yyyy")</f>
        <v>2015</v>
      </c>
      <c r="Y952" s="12">
        <v>42026</v>
      </c>
      <c r="Z952" s="11">
        <v>21.003500000000003</v>
      </c>
      <c r="AA952" s="11">
        <v>2</v>
      </c>
      <c r="AB952" s="11">
        <v>30.44</v>
      </c>
      <c r="AC952" s="11">
        <v>88782</v>
      </c>
      <c r="AD952" s="6" t="str">
        <f>IF(COUNTIF(Returns!$A$2:$A$1635,Orders!AC952)&gt;0,"Returned","Not Returned")</f>
        <v>Not Returned</v>
      </c>
    </row>
    <row r="953" spans="1:30" ht="12.75" customHeight="1" thickTop="1" thickBot="1" x14ac:dyDescent="0.25">
      <c r="A953" s="8">
        <v>24577</v>
      </c>
      <c r="B953" s="1" t="s">
        <v>56</v>
      </c>
      <c r="C953" s="1">
        <v>0.04</v>
      </c>
      <c r="D953" s="1">
        <v>95.43</v>
      </c>
      <c r="E953" s="1">
        <v>19.989999999999998</v>
      </c>
      <c r="F953" s="1">
        <v>1709</v>
      </c>
      <c r="G953" s="6" t="str">
        <f>IF(COUNTIF(Table1[Customer ID],Table1[[#This Row],[Customer ID]])&gt;1,"Repeat Customer","One-Time Customer")</f>
        <v>Repeat Customer</v>
      </c>
      <c r="H953" s="1" t="s">
        <v>1712</v>
      </c>
      <c r="I953" s="1" t="s">
        <v>49</v>
      </c>
      <c r="J953" s="1" t="s">
        <v>58</v>
      </c>
      <c r="K953" s="1" t="s">
        <v>29</v>
      </c>
      <c r="L953" s="1" t="s">
        <v>141</v>
      </c>
      <c r="M953" s="1" t="s">
        <v>59</v>
      </c>
      <c r="N953" s="1" t="s">
        <v>849</v>
      </c>
      <c r="O953" s="1">
        <v>0.79</v>
      </c>
      <c r="P953" s="6">
        <f>Table1[[#This Row],[Profit]]/Table1[[#This Row],[Sales]]</f>
        <v>4.1626688316480963E-3</v>
      </c>
      <c r="Q953" s="1" t="s">
        <v>33</v>
      </c>
      <c r="R953" s="1" t="s">
        <v>53</v>
      </c>
      <c r="S953" s="1" t="s">
        <v>234</v>
      </c>
      <c r="T953" s="1" t="s">
        <v>1714</v>
      </c>
      <c r="U953" s="1">
        <v>19464</v>
      </c>
      <c r="V953" s="9">
        <v>42134</v>
      </c>
      <c r="W953" s="13" t="str">
        <f>TEXT(Table1[[#This Row],[Order Date]],"mmmm")</f>
        <v>May</v>
      </c>
      <c r="X953" s="7" t="str">
        <f>TEXT(Table1[[#This Row],[Order Date]],"yyyy")</f>
        <v>2015</v>
      </c>
      <c r="Y953" s="9">
        <v>42136</v>
      </c>
      <c r="Z953" s="1">
        <v>13.536000000000016</v>
      </c>
      <c r="AA953" s="1">
        <v>33</v>
      </c>
      <c r="AB953" s="1">
        <v>3251.76</v>
      </c>
      <c r="AC953" s="1">
        <v>88783</v>
      </c>
      <c r="AD953" s="6" t="str">
        <f>IF(COUNTIF(Returns!$A$2:$A$1635,Orders!AC953)&gt;0,"Returned","Not Returned")</f>
        <v>Not Returned</v>
      </c>
    </row>
    <row r="954" spans="1:30" ht="12.75" customHeight="1" thickTop="1" thickBot="1" x14ac:dyDescent="0.25">
      <c r="A954" s="10">
        <v>19287</v>
      </c>
      <c r="B954" s="11" t="s">
        <v>37</v>
      </c>
      <c r="C954" s="11">
        <v>7.0000000000000007E-2</v>
      </c>
      <c r="D954" s="11">
        <v>7.59</v>
      </c>
      <c r="E954" s="11">
        <v>4</v>
      </c>
      <c r="F954" s="11">
        <v>1711</v>
      </c>
      <c r="G954" s="6" t="str">
        <f>IF(COUNTIF(Table1[Customer ID],Table1[[#This Row],[Customer ID]])&gt;1,"Repeat Customer","One-Time Customer")</f>
        <v>One-Time Customer</v>
      </c>
      <c r="H954" s="11" t="s">
        <v>1715</v>
      </c>
      <c r="I954" s="11" t="s">
        <v>49</v>
      </c>
      <c r="J954" s="11" t="s">
        <v>28</v>
      </c>
      <c r="K954" s="11" t="s">
        <v>41</v>
      </c>
      <c r="L954" s="11" t="s">
        <v>50</v>
      </c>
      <c r="M954" s="11" t="s">
        <v>31</v>
      </c>
      <c r="N954" s="11" t="s">
        <v>444</v>
      </c>
      <c r="O954" s="11">
        <v>0.42</v>
      </c>
      <c r="P954" s="6">
        <f>Table1[[#This Row],[Profit]]/Table1[[#This Row],[Sales]]</f>
        <v>-7.4309608540925263</v>
      </c>
      <c r="Q954" s="11" t="s">
        <v>33</v>
      </c>
      <c r="R954" s="11" t="s">
        <v>136</v>
      </c>
      <c r="S954" s="11" t="s">
        <v>387</v>
      </c>
      <c r="T954" s="11" t="s">
        <v>1716</v>
      </c>
      <c r="U954" s="11">
        <v>30062</v>
      </c>
      <c r="V954" s="12">
        <v>42079</v>
      </c>
      <c r="W954" s="13" t="str">
        <f>TEXT(Table1[[#This Row],[Order Date]],"mmmm")</f>
        <v>March</v>
      </c>
      <c r="X954" s="7" t="str">
        <f>TEXT(Table1[[#This Row],[Order Date]],"yyyy")</f>
        <v>2015</v>
      </c>
      <c r="Y954" s="12">
        <v>42081</v>
      </c>
      <c r="Z954" s="11">
        <v>-167.048</v>
      </c>
      <c r="AA954" s="11">
        <v>3</v>
      </c>
      <c r="AB954" s="11">
        <v>22.48</v>
      </c>
      <c r="AC954" s="11">
        <v>87747</v>
      </c>
      <c r="AD954" s="6" t="str">
        <f>IF(COUNTIF(Returns!$A$2:$A$1635,Orders!AC954)&gt;0,"Returned","Not Returned")</f>
        <v>Not Returned</v>
      </c>
    </row>
    <row r="955" spans="1:30" ht="12.75" customHeight="1" thickTop="1" thickBot="1" x14ac:dyDescent="0.25">
      <c r="A955" s="8">
        <v>21655</v>
      </c>
      <c r="B955" s="1" t="s">
        <v>106</v>
      </c>
      <c r="C955" s="1">
        <v>0.03</v>
      </c>
      <c r="D955" s="1">
        <v>11.66</v>
      </c>
      <c r="E955" s="1">
        <v>7.95</v>
      </c>
      <c r="F955" s="1">
        <v>1712</v>
      </c>
      <c r="G955" s="6" t="str">
        <f>IF(COUNTIF(Table1[Customer ID],Table1[[#This Row],[Customer ID]])&gt;1,"Repeat Customer","One-Time Customer")</f>
        <v>One-Time Customer</v>
      </c>
      <c r="H955" s="1" t="s">
        <v>1717</v>
      </c>
      <c r="I955" s="1" t="s">
        <v>49</v>
      </c>
      <c r="J955" s="1" t="s">
        <v>28</v>
      </c>
      <c r="K955" s="1" t="s">
        <v>29</v>
      </c>
      <c r="L955" s="1" t="s">
        <v>30</v>
      </c>
      <c r="M955" s="1" t="s">
        <v>51</v>
      </c>
      <c r="N955" s="1" t="s">
        <v>1718</v>
      </c>
      <c r="O955" s="1">
        <v>0.57999999999999996</v>
      </c>
      <c r="P955" s="6">
        <f>Table1[[#This Row],[Profit]]/Table1[[#This Row],[Sales]]</f>
        <v>-0.11631752207092624</v>
      </c>
      <c r="Q955" s="1" t="s">
        <v>33</v>
      </c>
      <c r="R955" s="1" t="s">
        <v>136</v>
      </c>
      <c r="S955" s="1" t="s">
        <v>387</v>
      </c>
      <c r="T955" s="1" t="s">
        <v>1719</v>
      </c>
      <c r="U955" s="1">
        <v>30907</v>
      </c>
      <c r="V955" s="9">
        <v>42105</v>
      </c>
      <c r="W955" s="13" t="str">
        <f>TEXT(Table1[[#This Row],[Order Date]],"mmmm")</f>
        <v>April</v>
      </c>
      <c r="X955" s="7" t="str">
        <f>TEXT(Table1[[#This Row],[Order Date]],"yyyy")</f>
        <v>2015</v>
      </c>
      <c r="Y955" s="9">
        <v>42114</v>
      </c>
      <c r="Z955" s="1">
        <v>-31.094000000000001</v>
      </c>
      <c r="AA955" s="1">
        <v>22</v>
      </c>
      <c r="AB955" s="1">
        <v>267.32</v>
      </c>
      <c r="AC955" s="1">
        <v>87749</v>
      </c>
      <c r="AD955" s="6" t="str">
        <f>IF(COUNTIF(Returns!$A$2:$A$1635,Orders!AC955)&gt;0,"Returned","Not Returned")</f>
        <v>Not Returned</v>
      </c>
    </row>
    <row r="956" spans="1:30" ht="12.75" customHeight="1" thickTop="1" thickBot="1" x14ac:dyDescent="0.25">
      <c r="A956" s="10">
        <v>25078</v>
      </c>
      <c r="B956" s="11" t="s">
        <v>25</v>
      </c>
      <c r="C956" s="11">
        <v>0.01</v>
      </c>
      <c r="D956" s="11">
        <v>23.99</v>
      </c>
      <c r="E956" s="11">
        <v>6.3</v>
      </c>
      <c r="F956" s="11">
        <v>1713</v>
      </c>
      <c r="G956" s="6" t="str">
        <f>IF(COUNTIF(Table1[Customer ID],Table1[[#This Row],[Customer ID]])&gt;1,"Repeat Customer","One-Time Customer")</f>
        <v>One-Time Customer</v>
      </c>
      <c r="H956" s="11" t="s">
        <v>1720</v>
      </c>
      <c r="I956" s="11" t="s">
        <v>49</v>
      </c>
      <c r="J956" s="11" t="s">
        <v>28</v>
      </c>
      <c r="K956" s="11" t="s">
        <v>77</v>
      </c>
      <c r="L956" s="11" t="s">
        <v>85</v>
      </c>
      <c r="M956" s="11" t="s">
        <v>86</v>
      </c>
      <c r="N956" s="11" t="s">
        <v>1721</v>
      </c>
      <c r="O956" s="11">
        <v>0.38</v>
      </c>
      <c r="P956" s="6">
        <f>Table1[[#This Row],[Profit]]/Table1[[#This Row],[Sales]]</f>
        <v>-2.1808080452899187E-2</v>
      </c>
      <c r="Q956" s="11" t="s">
        <v>33</v>
      </c>
      <c r="R956" s="11" t="s">
        <v>136</v>
      </c>
      <c r="S956" s="11" t="s">
        <v>387</v>
      </c>
      <c r="T956" s="11" t="s">
        <v>1722</v>
      </c>
      <c r="U956" s="11">
        <v>30265</v>
      </c>
      <c r="V956" s="12">
        <v>42153</v>
      </c>
      <c r="W956" s="13" t="str">
        <f>TEXT(Table1[[#This Row],[Order Date]],"mmmm")</f>
        <v>May</v>
      </c>
      <c r="X956" s="7" t="str">
        <f>TEXT(Table1[[#This Row],[Order Date]],"yyyy")</f>
        <v>2015</v>
      </c>
      <c r="Y956" s="12">
        <v>42155</v>
      </c>
      <c r="Z956" s="11">
        <v>-6.202</v>
      </c>
      <c r="AA956" s="11">
        <v>11</v>
      </c>
      <c r="AB956" s="11">
        <v>284.39</v>
      </c>
      <c r="AC956" s="11">
        <v>87748</v>
      </c>
      <c r="AD956" s="6" t="str">
        <f>IF(COUNTIF(Returns!$A$2:$A$1635,Orders!AC956)&gt;0,"Returned","Not Returned")</f>
        <v>Not Returned</v>
      </c>
    </row>
    <row r="957" spans="1:30" ht="12.75" customHeight="1" thickTop="1" thickBot="1" x14ac:dyDescent="0.25">
      <c r="A957" s="8">
        <v>19884</v>
      </c>
      <c r="B957" s="1" t="s">
        <v>106</v>
      </c>
      <c r="C957" s="1">
        <v>0.01</v>
      </c>
      <c r="D957" s="1">
        <v>300.98</v>
      </c>
      <c r="E957" s="1">
        <v>64.73</v>
      </c>
      <c r="F957" s="1">
        <v>1718</v>
      </c>
      <c r="G957" s="6" t="str">
        <f>IF(COUNTIF(Table1[Customer ID],Table1[[#This Row],[Customer ID]])&gt;1,"Repeat Customer","One-Time Customer")</f>
        <v>One-Time Customer</v>
      </c>
      <c r="H957" s="1" t="s">
        <v>1723</v>
      </c>
      <c r="I957" s="1" t="s">
        <v>39</v>
      </c>
      <c r="J957" s="1" t="s">
        <v>114</v>
      </c>
      <c r="K957" s="1" t="s">
        <v>41</v>
      </c>
      <c r="L957" s="1" t="s">
        <v>42</v>
      </c>
      <c r="M957" s="1" t="s">
        <v>43</v>
      </c>
      <c r="N957" s="1" t="s">
        <v>1489</v>
      </c>
      <c r="O957" s="1">
        <v>0.56000000000000005</v>
      </c>
      <c r="P957" s="6">
        <f>Table1[[#This Row],[Profit]]/Table1[[#This Row],[Sales]]</f>
        <v>-5.0171433264212535E-2</v>
      </c>
      <c r="Q957" s="1" t="s">
        <v>33</v>
      </c>
      <c r="R957" s="1" t="s">
        <v>136</v>
      </c>
      <c r="S957" s="1" t="s">
        <v>322</v>
      </c>
      <c r="T957" s="1" t="s">
        <v>1724</v>
      </c>
      <c r="U957" s="1">
        <v>27529</v>
      </c>
      <c r="V957" s="9">
        <v>42071</v>
      </c>
      <c r="W957" s="13" t="str">
        <f>TEXT(Table1[[#This Row],[Order Date]],"mmmm")</f>
        <v>March</v>
      </c>
      <c r="X957" s="7" t="str">
        <f>TEXT(Table1[[#This Row],[Order Date]],"yyyy")</f>
        <v>2015</v>
      </c>
      <c r="Y957" s="9">
        <v>42078</v>
      </c>
      <c r="Z957" s="1">
        <v>-48.873999999999995</v>
      </c>
      <c r="AA957" s="1">
        <v>3</v>
      </c>
      <c r="AB957" s="1">
        <v>974.14</v>
      </c>
      <c r="AC957" s="1">
        <v>90621</v>
      </c>
      <c r="AD957" s="6" t="str">
        <f>IF(COUNTIF(Returns!$A$2:$A$1635,Orders!AC957)&gt;0,"Returned","Not Returned")</f>
        <v>Not Returned</v>
      </c>
    </row>
    <row r="958" spans="1:30" ht="12.75" customHeight="1" thickTop="1" thickBot="1" x14ac:dyDescent="0.25">
      <c r="A958" s="10">
        <v>20619</v>
      </c>
      <c r="B958" s="11" t="s">
        <v>56</v>
      </c>
      <c r="C958" s="11">
        <v>0.06</v>
      </c>
      <c r="D958" s="11">
        <v>16.48</v>
      </c>
      <c r="E958" s="11">
        <v>1.99</v>
      </c>
      <c r="F958" s="11">
        <v>1719</v>
      </c>
      <c r="G958" s="6" t="str">
        <f>IF(COUNTIF(Table1[Customer ID],Table1[[#This Row],[Customer ID]])&gt;1,"Repeat Customer","One-Time Customer")</f>
        <v>One-Time Customer</v>
      </c>
      <c r="H958" s="11" t="s">
        <v>1725</v>
      </c>
      <c r="I958" s="11" t="s">
        <v>49</v>
      </c>
      <c r="J958" s="11" t="s">
        <v>28</v>
      </c>
      <c r="K958" s="11" t="s">
        <v>77</v>
      </c>
      <c r="L958" s="11" t="s">
        <v>180</v>
      </c>
      <c r="M958" s="11" t="s">
        <v>51</v>
      </c>
      <c r="N958" s="11" t="s">
        <v>1472</v>
      </c>
      <c r="O958" s="11">
        <v>0.42</v>
      </c>
      <c r="P958" s="6">
        <f>Table1[[#This Row],[Profit]]/Table1[[#This Row],[Sales]]</f>
        <v>-1.1284788886287367</v>
      </c>
      <c r="Q958" s="11" t="s">
        <v>33</v>
      </c>
      <c r="R958" s="11" t="s">
        <v>136</v>
      </c>
      <c r="S958" s="11" t="s">
        <v>1278</v>
      </c>
      <c r="T958" s="11" t="s">
        <v>1726</v>
      </c>
      <c r="U958" s="11">
        <v>35473</v>
      </c>
      <c r="V958" s="12">
        <v>42021</v>
      </c>
      <c r="W958" s="13" t="str">
        <f>TEXT(Table1[[#This Row],[Order Date]],"mmmm")</f>
        <v>January</v>
      </c>
      <c r="X958" s="7" t="str">
        <f>TEXT(Table1[[#This Row],[Order Date]],"yyyy")</f>
        <v>2015</v>
      </c>
      <c r="Y958" s="12">
        <v>42023</v>
      </c>
      <c r="Z958" s="11">
        <v>-144.59200000000001</v>
      </c>
      <c r="AA958" s="11">
        <v>8</v>
      </c>
      <c r="AB958" s="11">
        <v>128.13</v>
      </c>
      <c r="AC958" s="11">
        <v>90786</v>
      </c>
      <c r="AD958" s="6" t="str">
        <f>IF(COUNTIF(Returns!$A$2:$A$1635,Orders!AC958)&gt;0,"Returned","Not Returned")</f>
        <v>Not Returned</v>
      </c>
    </row>
    <row r="959" spans="1:30" ht="12.75" customHeight="1" thickTop="1" thickBot="1" x14ac:dyDescent="0.25">
      <c r="A959" s="8">
        <v>22596</v>
      </c>
      <c r="B959" s="1" t="s">
        <v>25</v>
      </c>
      <c r="C959" s="1">
        <v>0.04</v>
      </c>
      <c r="D959" s="1">
        <v>12.44</v>
      </c>
      <c r="E959" s="1">
        <v>6.27</v>
      </c>
      <c r="F959" s="1">
        <v>1721</v>
      </c>
      <c r="G959" s="6" t="str">
        <f>IF(COUNTIF(Table1[Customer ID],Table1[[#This Row],[Customer ID]])&gt;1,"Repeat Customer","One-Time Customer")</f>
        <v>One-Time Customer</v>
      </c>
      <c r="H959" s="1" t="s">
        <v>1727</v>
      </c>
      <c r="I959" s="1" t="s">
        <v>49</v>
      </c>
      <c r="J959" s="1" t="s">
        <v>28</v>
      </c>
      <c r="K959" s="1" t="s">
        <v>29</v>
      </c>
      <c r="L959" s="1" t="s">
        <v>141</v>
      </c>
      <c r="M959" s="1" t="s">
        <v>86</v>
      </c>
      <c r="N959" s="1" t="s">
        <v>1728</v>
      </c>
      <c r="O959" s="1">
        <v>0.56999999999999995</v>
      </c>
      <c r="P959" s="6">
        <f>Table1[[#This Row],[Profit]]/Table1[[#This Row],[Sales]]</f>
        <v>-0.556127672387835</v>
      </c>
      <c r="Q959" s="1" t="s">
        <v>33</v>
      </c>
      <c r="R959" s="1" t="s">
        <v>136</v>
      </c>
      <c r="S959" s="1" t="s">
        <v>958</v>
      </c>
      <c r="T959" s="1" t="s">
        <v>1729</v>
      </c>
      <c r="U959" s="1">
        <v>72401</v>
      </c>
      <c r="V959" s="9">
        <v>42140</v>
      </c>
      <c r="W959" s="13" t="str">
        <f>TEXT(Table1[[#This Row],[Order Date]],"mmmm")</f>
        <v>May</v>
      </c>
      <c r="X959" s="7" t="str">
        <f>TEXT(Table1[[#This Row],[Order Date]],"yyyy")</f>
        <v>2015</v>
      </c>
      <c r="Y959" s="9">
        <v>42141</v>
      </c>
      <c r="Z959" s="1">
        <v>-258.56600000000003</v>
      </c>
      <c r="AA959" s="1">
        <v>37</v>
      </c>
      <c r="AB959" s="1">
        <v>464.94</v>
      </c>
      <c r="AC959" s="1">
        <v>90787</v>
      </c>
      <c r="AD959" s="6" t="str">
        <f>IF(COUNTIF(Returns!$A$2:$A$1635,Orders!AC959)&gt;0,"Returned","Not Returned")</f>
        <v>Not Returned</v>
      </c>
    </row>
    <row r="960" spans="1:30" ht="12.75" customHeight="1" thickTop="1" thickBot="1" x14ac:dyDescent="0.25">
      <c r="A960" s="10">
        <v>5670</v>
      </c>
      <c r="B960" s="11" t="s">
        <v>106</v>
      </c>
      <c r="C960" s="11">
        <v>0.1</v>
      </c>
      <c r="D960" s="11">
        <v>49.99</v>
      </c>
      <c r="E960" s="11">
        <v>19.989999999999998</v>
      </c>
      <c r="F960" s="11">
        <v>1723</v>
      </c>
      <c r="G960" s="6" t="str">
        <f>IF(COUNTIF(Table1[Customer ID],Table1[[#This Row],[Customer ID]])&gt;1,"Repeat Customer","One-Time Customer")</f>
        <v>Repeat Customer</v>
      </c>
      <c r="H960" s="11" t="s">
        <v>1730</v>
      </c>
      <c r="I960" s="11" t="s">
        <v>27</v>
      </c>
      <c r="J960" s="11" t="s">
        <v>28</v>
      </c>
      <c r="K960" s="11" t="s">
        <v>77</v>
      </c>
      <c r="L960" s="11" t="s">
        <v>180</v>
      </c>
      <c r="M960" s="11" t="s">
        <v>59</v>
      </c>
      <c r="N960" s="11" t="s">
        <v>1731</v>
      </c>
      <c r="O960" s="11">
        <v>0.45</v>
      </c>
      <c r="P960" s="6">
        <f>Table1[[#This Row],[Profit]]/Table1[[#This Row],[Sales]]</f>
        <v>6.1735052969297015E-3</v>
      </c>
      <c r="Q960" s="11" t="s">
        <v>33</v>
      </c>
      <c r="R960" s="11" t="s">
        <v>34</v>
      </c>
      <c r="S960" s="11" t="s">
        <v>45</v>
      </c>
      <c r="T960" s="11" t="s">
        <v>1732</v>
      </c>
      <c r="U960" s="11">
        <v>92037</v>
      </c>
      <c r="V960" s="12">
        <v>42035</v>
      </c>
      <c r="W960" s="13" t="str">
        <f>TEXT(Table1[[#This Row],[Order Date]],"mmmm")</f>
        <v>January</v>
      </c>
      <c r="X960" s="7" t="str">
        <f>TEXT(Table1[[#This Row],[Order Date]],"yyyy")</f>
        <v>2015</v>
      </c>
      <c r="Y960" s="12">
        <v>42040</v>
      </c>
      <c r="Z960" s="11">
        <v>13.508000000000003</v>
      </c>
      <c r="AA960" s="11">
        <v>46</v>
      </c>
      <c r="AB960" s="11">
        <v>2188.06</v>
      </c>
      <c r="AC960" s="11">
        <v>40101</v>
      </c>
      <c r="AD960" s="6" t="str">
        <f>IF(COUNTIF(Returns!$A$2:$A$1635,Orders!AC960)&gt;0,"Returned","Not Returned")</f>
        <v>Not Returned</v>
      </c>
    </row>
    <row r="961" spans="1:30" ht="12.75" customHeight="1" thickTop="1" thickBot="1" x14ac:dyDescent="0.25">
      <c r="A961" s="8">
        <v>6212</v>
      </c>
      <c r="B961" s="1" t="s">
        <v>56</v>
      </c>
      <c r="C961" s="1">
        <v>0.05</v>
      </c>
      <c r="D961" s="1">
        <v>6.68</v>
      </c>
      <c r="E961" s="1">
        <v>5.66</v>
      </c>
      <c r="F961" s="1">
        <v>1723</v>
      </c>
      <c r="G961" s="6" t="str">
        <f>IF(COUNTIF(Table1[Customer ID],Table1[[#This Row],[Customer ID]])&gt;1,"Repeat Customer","One-Time Customer")</f>
        <v>Repeat Customer</v>
      </c>
      <c r="H961" s="1" t="s">
        <v>1730</v>
      </c>
      <c r="I961" s="1" t="s">
        <v>49</v>
      </c>
      <c r="J961" s="1" t="s">
        <v>28</v>
      </c>
      <c r="K961" s="1" t="s">
        <v>29</v>
      </c>
      <c r="L961" s="1" t="s">
        <v>93</v>
      </c>
      <c r="M961" s="1" t="s">
        <v>59</v>
      </c>
      <c r="N961" s="1" t="s">
        <v>1164</v>
      </c>
      <c r="O961" s="1">
        <v>0.37</v>
      </c>
      <c r="P961" s="6">
        <f>Table1[[#This Row],[Profit]]/Table1[[#This Row],[Sales]]</f>
        <v>-0.20714797619418565</v>
      </c>
      <c r="Q961" s="1" t="s">
        <v>33</v>
      </c>
      <c r="R961" s="1" t="s">
        <v>34</v>
      </c>
      <c r="S961" s="1" t="s">
        <v>45</v>
      </c>
      <c r="T961" s="1" t="s">
        <v>1732</v>
      </c>
      <c r="U961" s="1">
        <v>92037</v>
      </c>
      <c r="V961" s="9">
        <v>42042</v>
      </c>
      <c r="W961" s="13" t="str">
        <f>TEXT(Table1[[#This Row],[Order Date]],"mmmm")</f>
        <v>February</v>
      </c>
      <c r="X961" s="7" t="str">
        <f>TEXT(Table1[[#This Row],[Order Date]],"yyyy")</f>
        <v>2015</v>
      </c>
      <c r="Y961" s="9">
        <v>42044</v>
      </c>
      <c r="Z961" s="1">
        <v>-66.48</v>
      </c>
      <c r="AA961" s="1">
        <v>46</v>
      </c>
      <c r="AB961" s="1">
        <v>320.93</v>
      </c>
      <c r="AC961" s="1">
        <v>44002</v>
      </c>
      <c r="AD961" s="6" t="str">
        <f>IF(COUNTIF(Returns!$A$2:$A$1635,Orders!AC961)&gt;0,"Returned","Not Returned")</f>
        <v>Not Returned</v>
      </c>
    </row>
    <row r="962" spans="1:30" ht="12.75" customHeight="1" thickTop="1" thickBot="1" x14ac:dyDescent="0.25">
      <c r="A962" s="10">
        <v>6213</v>
      </c>
      <c r="B962" s="11" t="s">
        <v>56</v>
      </c>
      <c r="C962" s="11">
        <v>0.03</v>
      </c>
      <c r="D962" s="11">
        <v>17.7</v>
      </c>
      <c r="E962" s="11">
        <v>9.4700000000000006</v>
      </c>
      <c r="F962" s="11">
        <v>1723</v>
      </c>
      <c r="G962" s="6" t="str">
        <f>IF(COUNTIF(Table1[Customer ID],Table1[[#This Row],[Customer ID]])&gt;1,"Repeat Customer","One-Time Customer")</f>
        <v>Repeat Customer</v>
      </c>
      <c r="H962" s="11" t="s">
        <v>1730</v>
      </c>
      <c r="I962" s="11" t="s">
        <v>49</v>
      </c>
      <c r="J962" s="11" t="s">
        <v>28</v>
      </c>
      <c r="K962" s="11" t="s">
        <v>29</v>
      </c>
      <c r="L962" s="11" t="s">
        <v>141</v>
      </c>
      <c r="M962" s="11" t="s">
        <v>59</v>
      </c>
      <c r="N962" s="11" t="s">
        <v>1569</v>
      </c>
      <c r="O962" s="11">
        <v>0.59</v>
      </c>
      <c r="P962" s="6">
        <f>Table1[[#This Row],[Profit]]/Table1[[#This Row],[Sales]]</f>
        <v>-0.19984724078670993</v>
      </c>
      <c r="Q962" s="11" t="s">
        <v>33</v>
      </c>
      <c r="R962" s="11" t="s">
        <v>34</v>
      </c>
      <c r="S962" s="11" t="s">
        <v>45</v>
      </c>
      <c r="T962" s="11" t="s">
        <v>1732</v>
      </c>
      <c r="U962" s="11">
        <v>92037</v>
      </c>
      <c r="V962" s="12">
        <v>42042</v>
      </c>
      <c r="W962" s="13" t="str">
        <f>TEXT(Table1[[#This Row],[Order Date]],"mmmm")</f>
        <v>February</v>
      </c>
      <c r="X962" s="7" t="str">
        <f>TEXT(Table1[[#This Row],[Order Date]],"yyyy")</f>
        <v>2015</v>
      </c>
      <c r="Y962" s="12">
        <v>42042</v>
      </c>
      <c r="Z962" s="11">
        <v>-52.33</v>
      </c>
      <c r="AA962" s="11">
        <v>14</v>
      </c>
      <c r="AB962" s="11">
        <v>261.85000000000002</v>
      </c>
      <c r="AC962" s="11">
        <v>44002</v>
      </c>
      <c r="AD962" s="6" t="str">
        <f>IF(COUNTIF(Returns!$A$2:$A$1635,Orders!AC962)&gt;0,"Returned","Not Returned")</f>
        <v>Not Returned</v>
      </c>
    </row>
    <row r="963" spans="1:30" ht="12.75" customHeight="1" thickTop="1" thickBot="1" x14ac:dyDescent="0.25">
      <c r="A963" s="8">
        <v>4596</v>
      </c>
      <c r="B963" s="1" t="s">
        <v>25</v>
      </c>
      <c r="C963" s="1">
        <v>0.04</v>
      </c>
      <c r="D963" s="1">
        <v>12.44</v>
      </c>
      <c r="E963" s="1">
        <v>6.27</v>
      </c>
      <c r="F963" s="1">
        <v>1723</v>
      </c>
      <c r="G963" s="6" t="str">
        <f>IF(COUNTIF(Table1[Customer ID],Table1[[#This Row],[Customer ID]])&gt;1,"Repeat Customer","One-Time Customer")</f>
        <v>Repeat Customer</v>
      </c>
      <c r="H963" s="1" t="s">
        <v>1730</v>
      </c>
      <c r="I963" s="1" t="s">
        <v>49</v>
      </c>
      <c r="J963" s="1" t="s">
        <v>28</v>
      </c>
      <c r="K963" s="1" t="s">
        <v>29</v>
      </c>
      <c r="L963" s="1" t="s">
        <v>141</v>
      </c>
      <c r="M963" s="1" t="s">
        <v>86</v>
      </c>
      <c r="N963" s="1" t="s">
        <v>1728</v>
      </c>
      <c r="O963" s="1">
        <v>0.56999999999999995</v>
      </c>
      <c r="P963" s="6">
        <f>Table1[[#This Row],[Profit]]/Table1[[#This Row],[Sales]]</f>
        <v>-3.2192128027210144E-2</v>
      </c>
      <c r="Q963" s="1" t="s">
        <v>33</v>
      </c>
      <c r="R963" s="1" t="s">
        <v>34</v>
      </c>
      <c r="S963" s="1" t="s">
        <v>45</v>
      </c>
      <c r="T963" s="1" t="s">
        <v>1732</v>
      </c>
      <c r="U963" s="1">
        <v>92037</v>
      </c>
      <c r="V963" s="9">
        <v>42140</v>
      </c>
      <c r="W963" s="13" t="str">
        <f>TEXT(Table1[[#This Row],[Order Date]],"mmmm")</f>
        <v>May</v>
      </c>
      <c r="X963" s="7" t="str">
        <f>TEXT(Table1[[#This Row],[Order Date]],"yyyy")</f>
        <v>2015</v>
      </c>
      <c r="Y963" s="9">
        <v>42141</v>
      </c>
      <c r="Z963" s="1">
        <v>-59.06</v>
      </c>
      <c r="AA963" s="1">
        <v>146</v>
      </c>
      <c r="AB963" s="1">
        <v>1834.61</v>
      </c>
      <c r="AC963" s="1">
        <v>32710</v>
      </c>
      <c r="AD963" s="6" t="str">
        <f>IF(COUNTIF(Returns!$A$2:$A$1635,Orders!AC963)&gt;0,"Returned","Not Returned")</f>
        <v>Not Returned</v>
      </c>
    </row>
    <row r="964" spans="1:30" ht="12.75" customHeight="1" thickTop="1" thickBot="1" x14ac:dyDescent="0.25">
      <c r="A964" s="10">
        <v>18244</v>
      </c>
      <c r="B964" s="11" t="s">
        <v>25</v>
      </c>
      <c r="C964" s="11">
        <v>0.05</v>
      </c>
      <c r="D964" s="11">
        <v>35.99</v>
      </c>
      <c r="E964" s="11">
        <v>1.1000000000000001</v>
      </c>
      <c r="F964" s="11">
        <v>1725</v>
      </c>
      <c r="G964" s="6" t="str">
        <f>IF(COUNTIF(Table1[Customer ID],Table1[[#This Row],[Customer ID]])&gt;1,"Repeat Customer","One-Time Customer")</f>
        <v>One-Time Customer</v>
      </c>
      <c r="H964" s="11" t="s">
        <v>1733</v>
      </c>
      <c r="I964" s="11" t="s">
        <v>49</v>
      </c>
      <c r="J964" s="11" t="s">
        <v>28</v>
      </c>
      <c r="K964" s="11" t="s">
        <v>77</v>
      </c>
      <c r="L964" s="11" t="s">
        <v>78</v>
      </c>
      <c r="M964" s="11" t="s">
        <v>59</v>
      </c>
      <c r="N964" s="11" t="s">
        <v>935</v>
      </c>
      <c r="O964" s="11">
        <v>0.55000000000000004</v>
      </c>
      <c r="P964" s="6">
        <f>Table1[[#This Row],[Profit]]/Table1[[#This Row],[Sales]]</f>
        <v>0.57029362287811591</v>
      </c>
      <c r="Q964" s="11" t="s">
        <v>33</v>
      </c>
      <c r="R964" s="11" t="s">
        <v>53</v>
      </c>
      <c r="S964" s="11" t="s">
        <v>154</v>
      </c>
      <c r="T964" s="11" t="s">
        <v>1734</v>
      </c>
      <c r="U964" s="11">
        <v>43026</v>
      </c>
      <c r="V964" s="12">
        <v>42131</v>
      </c>
      <c r="W964" s="13" t="str">
        <f>TEXT(Table1[[#This Row],[Order Date]],"mmmm")</f>
        <v>May</v>
      </c>
      <c r="X964" s="7" t="str">
        <f>TEXT(Table1[[#This Row],[Order Date]],"yyyy")</f>
        <v>2015</v>
      </c>
      <c r="Y964" s="12">
        <v>42133</v>
      </c>
      <c r="Z964" s="11">
        <v>149.166</v>
      </c>
      <c r="AA964" s="11">
        <v>9</v>
      </c>
      <c r="AB964" s="11">
        <v>261.56</v>
      </c>
      <c r="AC964" s="11">
        <v>87193</v>
      </c>
      <c r="AD964" s="6" t="str">
        <f>IF(COUNTIF(Returns!$A$2:$A$1635,Orders!AC964)&gt;0,"Returned","Not Returned")</f>
        <v>Not Returned</v>
      </c>
    </row>
    <row r="965" spans="1:30" ht="12.75" customHeight="1" thickTop="1" thickBot="1" x14ac:dyDescent="0.25">
      <c r="A965" s="8">
        <v>24872</v>
      </c>
      <c r="B965" s="1" t="s">
        <v>37</v>
      </c>
      <c r="C965" s="1">
        <v>0.1</v>
      </c>
      <c r="D965" s="1">
        <v>14.98</v>
      </c>
      <c r="E965" s="1">
        <v>7.69</v>
      </c>
      <c r="F965" s="1">
        <v>1727</v>
      </c>
      <c r="G965" s="6" t="str">
        <f>IF(COUNTIF(Table1[Customer ID],Table1[[#This Row],[Customer ID]])&gt;1,"Repeat Customer","One-Time Customer")</f>
        <v>One-Time Customer</v>
      </c>
      <c r="H965" s="1" t="s">
        <v>1735</v>
      </c>
      <c r="I965" s="1" t="s">
        <v>27</v>
      </c>
      <c r="J965" s="1" t="s">
        <v>58</v>
      </c>
      <c r="K965" s="1" t="s">
        <v>29</v>
      </c>
      <c r="L965" s="1" t="s">
        <v>141</v>
      </c>
      <c r="M965" s="1" t="s">
        <v>59</v>
      </c>
      <c r="N965" s="1" t="s">
        <v>1736</v>
      </c>
      <c r="O965" s="1">
        <v>0.56999999999999995</v>
      </c>
      <c r="P965" s="6">
        <f>Table1[[#This Row],[Profit]]/Table1[[#This Row],[Sales]]</f>
        <v>-0.66980228203118197</v>
      </c>
      <c r="Q965" s="1" t="s">
        <v>33</v>
      </c>
      <c r="R965" s="1" t="s">
        <v>53</v>
      </c>
      <c r="S965" s="1" t="s">
        <v>154</v>
      </c>
      <c r="T965" s="1" t="s">
        <v>1737</v>
      </c>
      <c r="U965" s="1">
        <v>44240</v>
      </c>
      <c r="V965" s="9">
        <v>42025</v>
      </c>
      <c r="W965" s="13" t="str">
        <f>TEXT(Table1[[#This Row],[Order Date]],"mmmm")</f>
        <v>January</v>
      </c>
      <c r="X965" s="7" t="str">
        <f>TEXT(Table1[[#This Row],[Order Date]],"yyyy")</f>
        <v>2015</v>
      </c>
      <c r="Y965" s="9">
        <v>42027</v>
      </c>
      <c r="Z965" s="1">
        <v>-76.900000000000006</v>
      </c>
      <c r="AA965" s="1">
        <v>8</v>
      </c>
      <c r="AB965" s="1">
        <v>114.81</v>
      </c>
      <c r="AC965" s="1">
        <v>87194</v>
      </c>
      <c r="AD965" s="6" t="str">
        <f>IF(COUNTIF(Returns!$A$2:$A$1635,Orders!AC965)&gt;0,"Returned","Not Returned")</f>
        <v>Not Returned</v>
      </c>
    </row>
    <row r="966" spans="1:30" ht="12.75" customHeight="1" thickTop="1" thickBot="1" x14ac:dyDescent="0.25">
      <c r="A966" s="10">
        <v>26066</v>
      </c>
      <c r="B966" s="11" t="s">
        <v>25</v>
      </c>
      <c r="C966" s="11">
        <v>0.04</v>
      </c>
      <c r="D966" s="11">
        <v>55.48</v>
      </c>
      <c r="E966" s="11">
        <v>6.79</v>
      </c>
      <c r="F966" s="11">
        <v>1728</v>
      </c>
      <c r="G966" s="6" t="str">
        <f>IF(COUNTIF(Table1[Customer ID],Table1[[#This Row],[Customer ID]])&gt;1,"Repeat Customer","One-Time Customer")</f>
        <v>One-Time Customer</v>
      </c>
      <c r="H966" s="11" t="s">
        <v>1738</v>
      </c>
      <c r="I966" s="11" t="s">
        <v>49</v>
      </c>
      <c r="J966" s="11" t="s">
        <v>28</v>
      </c>
      <c r="K966" s="11" t="s">
        <v>29</v>
      </c>
      <c r="L966" s="11" t="s">
        <v>93</v>
      </c>
      <c r="M966" s="11" t="s">
        <v>59</v>
      </c>
      <c r="N966" s="11" t="s">
        <v>1650</v>
      </c>
      <c r="O966" s="11">
        <v>0.37</v>
      </c>
      <c r="P966" s="6">
        <f>Table1[[#This Row],[Profit]]/Table1[[#This Row],[Sales]]</f>
        <v>0.69</v>
      </c>
      <c r="Q966" s="11" t="s">
        <v>33</v>
      </c>
      <c r="R966" s="11" t="s">
        <v>53</v>
      </c>
      <c r="S966" s="11" t="s">
        <v>154</v>
      </c>
      <c r="T966" s="11" t="s">
        <v>1739</v>
      </c>
      <c r="U966" s="11">
        <v>45429</v>
      </c>
      <c r="V966" s="12">
        <v>42057</v>
      </c>
      <c r="W966" s="13" t="str">
        <f>TEXT(Table1[[#This Row],[Order Date]],"mmmm")</f>
        <v>February</v>
      </c>
      <c r="X966" s="7" t="str">
        <f>TEXT(Table1[[#This Row],[Order Date]],"yyyy")</f>
        <v>2015</v>
      </c>
      <c r="Y966" s="12">
        <v>42059</v>
      </c>
      <c r="Z966" s="11">
        <v>376.88490000000002</v>
      </c>
      <c r="AA966" s="11">
        <v>10</v>
      </c>
      <c r="AB966" s="11">
        <v>546.21</v>
      </c>
      <c r="AC966" s="11">
        <v>87195</v>
      </c>
      <c r="AD966" s="6" t="str">
        <f>IF(COUNTIF(Returns!$A$2:$A$1635,Orders!AC966)&gt;0,"Returned","Not Returned")</f>
        <v>Not Returned</v>
      </c>
    </row>
    <row r="967" spans="1:30" ht="12.75" customHeight="1" thickTop="1" thickBot="1" x14ac:dyDescent="0.25">
      <c r="A967" s="8">
        <v>24545</v>
      </c>
      <c r="B967" s="1" t="s">
        <v>25</v>
      </c>
      <c r="C967" s="1">
        <v>0.1</v>
      </c>
      <c r="D967" s="1">
        <v>65.989999999999995</v>
      </c>
      <c r="E967" s="1">
        <v>3.99</v>
      </c>
      <c r="F967" s="1">
        <v>1730</v>
      </c>
      <c r="G967" s="6" t="str">
        <f>IF(COUNTIF(Table1[Customer ID],Table1[[#This Row],[Customer ID]])&gt;1,"Repeat Customer","One-Time Customer")</f>
        <v>One-Time Customer</v>
      </c>
      <c r="H967" s="1" t="s">
        <v>1740</v>
      </c>
      <c r="I967" s="1" t="s">
        <v>27</v>
      </c>
      <c r="J967" s="1" t="s">
        <v>58</v>
      </c>
      <c r="K967" s="1" t="s">
        <v>77</v>
      </c>
      <c r="L967" s="1" t="s">
        <v>78</v>
      </c>
      <c r="M967" s="1" t="s">
        <v>59</v>
      </c>
      <c r="N967" s="1" t="s">
        <v>1053</v>
      </c>
      <c r="O967" s="1">
        <v>0.59</v>
      </c>
      <c r="P967" s="6">
        <f>Table1[[#This Row],[Profit]]/Table1[[#This Row],[Sales]]</f>
        <v>-0.32479953089496444</v>
      </c>
      <c r="Q967" s="1" t="s">
        <v>33</v>
      </c>
      <c r="R967" s="1" t="s">
        <v>34</v>
      </c>
      <c r="S967" s="1" t="s">
        <v>1741</v>
      </c>
      <c r="T967" s="1" t="s">
        <v>1742</v>
      </c>
      <c r="U967" s="1">
        <v>83843</v>
      </c>
      <c r="V967" s="9">
        <v>42101</v>
      </c>
      <c r="W967" s="13" t="str">
        <f>TEXT(Table1[[#This Row],[Order Date]],"mmmm")</f>
        <v>April</v>
      </c>
      <c r="X967" s="7" t="str">
        <f>TEXT(Table1[[#This Row],[Order Date]],"yyyy")</f>
        <v>2015</v>
      </c>
      <c r="Y967" s="9">
        <v>42103</v>
      </c>
      <c r="Z967" s="1">
        <v>-88.624800000000008</v>
      </c>
      <c r="AA967" s="1">
        <v>5</v>
      </c>
      <c r="AB967" s="1">
        <v>272.86</v>
      </c>
      <c r="AC967" s="1">
        <v>90653</v>
      </c>
      <c r="AD967" s="6" t="str">
        <f>IF(COUNTIF(Returns!$A$2:$A$1635,Orders!AC967)&gt;0,"Returned","Not Returned")</f>
        <v>Not Returned</v>
      </c>
    </row>
    <row r="968" spans="1:30" ht="12.75" customHeight="1" thickTop="1" thickBot="1" x14ac:dyDescent="0.25">
      <c r="A968" s="10">
        <v>566</v>
      </c>
      <c r="B968" s="11" t="s">
        <v>37</v>
      </c>
      <c r="C968" s="11">
        <v>0.02</v>
      </c>
      <c r="D968" s="11">
        <v>60.98</v>
      </c>
      <c r="E968" s="11">
        <v>49</v>
      </c>
      <c r="F968" s="11">
        <v>1733</v>
      </c>
      <c r="G968" s="6" t="str">
        <f>IF(COUNTIF(Table1[Customer ID],Table1[[#This Row],[Customer ID]])&gt;1,"Repeat Customer","One-Time Customer")</f>
        <v>Repeat Customer</v>
      </c>
      <c r="H968" s="11" t="s">
        <v>1743</v>
      </c>
      <c r="I968" s="11" t="s">
        <v>49</v>
      </c>
      <c r="J968" s="11" t="s">
        <v>58</v>
      </c>
      <c r="K968" s="11" t="s">
        <v>29</v>
      </c>
      <c r="L968" s="11" t="s">
        <v>257</v>
      </c>
      <c r="M968" s="11" t="s">
        <v>236</v>
      </c>
      <c r="N968" s="11" t="s">
        <v>1583</v>
      </c>
      <c r="O968" s="11">
        <v>0.59</v>
      </c>
      <c r="P968" s="6">
        <f>Table1[[#This Row],[Profit]]/Table1[[#This Row],[Sales]]</f>
        <v>-0.31257725732942054</v>
      </c>
      <c r="Q968" s="11" t="s">
        <v>33</v>
      </c>
      <c r="R968" s="11" t="s">
        <v>53</v>
      </c>
      <c r="S968" s="11" t="s">
        <v>1008</v>
      </c>
      <c r="T968" s="11" t="s">
        <v>35</v>
      </c>
      <c r="U968" s="11">
        <v>20012</v>
      </c>
      <c r="V968" s="12">
        <v>42098</v>
      </c>
      <c r="W968" s="13" t="str">
        <f>TEXT(Table1[[#This Row],[Order Date]],"mmmm")</f>
        <v>April</v>
      </c>
      <c r="X968" s="7" t="str">
        <f>TEXT(Table1[[#This Row],[Order Date]],"yyyy")</f>
        <v>2015</v>
      </c>
      <c r="Y968" s="12">
        <v>42100</v>
      </c>
      <c r="Z968" s="11">
        <v>-662.52</v>
      </c>
      <c r="AA968" s="11">
        <v>34</v>
      </c>
      <c r="AB968" s="11">
        <v>2119.54</v>
      </c>
      <c r="AC968" s="11">
        <v>3841</v>
      </c>
      <c r="AD968" s="6" t="str">
        <f>IF(COUNTIF(Returns!$A$2:$A$1635,Orders!AC968)&gt;0,"Returned","Not Returned")</f>
        <v>Not Returned</v>
      </c>
    </row>
    <row r="969" spans="1:30" ht="12.75" customHeight="1" thickTop="1" thickBot="1" x14ac:dyDescent="0.25">
      <c r="A969" s="8">
        <v>567</v>
      </c>
      <c r="B969" s="1" t="s">
        <v>37</v>
      </c>
      <c r="C969" s="1">
        <v>0.02</v>
      </c>
      <c r="D969" s="1">
        <v>1270.99</v>
      </c>
      <c r="E969" s="1">
        <v>19.989999999999998</v>
      </c>
      <c r="F969" s="1">
        <v>1733</v>
      </c>
      <c r="G969" s="6" t="str">
        <f>IF(COUNTIF(Table1[Customer ID],Table1[[#This Row],[Customer ID]])&gt;1,"Repeat Customer","One-Time Customer")</f>
        <v>Repeat Customer</v>
      </c>
      <c r="H969" s="1" t="s">
        <v>1743</v>
      </c>
      <c r="I969" s="1" t="s">
        <v>49</v>
      </c>
      <c r="J969" s="1" t="s">
        <v>58</v>
      </c>
      <c r="K969" s="1" t="s">
        <v>29</v>
      </c>
      <c r="L969" s="1" t="s">
        <v>109</v>
      </c>
      <c r="M969" s="1" t="s">
        <v>59</v>
      </c>
      <c r="N969" s="1" t="s">
        <v>631</v>
      </c>
      <c r="O969" s="1">
        <v>0.35</v>
      </c>
      <c r="P969" s="6">
        <f>Table1[[#This Row],[Profit]]/Table1[[#This Row],[Sales]]</f>
        <v>0.20176572615847929</v>
      </c>
      <c r="Q969" s="1" t="s">
        <v>33</v>
      </c>
      <c r="R969" s="1" t="s">
        <v>53</v>
      </c>
      <c r="S969" s="1" t="s">
        <v>1008</v>
      </c>
      <c r="T969" s="1" t="s">
        <v>35</v>
      </c>
      <c r="U969" s="1">
        <v>20012</v>
      </c>
      <c r="V969" s="9">
        <v>42098</v>
      </c>
      <c r="W969" s="13" t="str">
        <f>TEXT(Table1[[#This Row],[Order Date]],"mmmm")</f>
        <v>April</v>
      </c>
      <c r="X969" s="7" t="str">
        <f>TEXT(Table1[[#This Row],[Order Date]],"yyyy")</f>
        <v>2015</v>
      </c>
      <c r="Y969" s="9">
        <v>42100</v>
      </c>
      <c r="Z969" s="1">
        <v>9228.2255999999998</v>
      </c>
      <c r="AA969" s="1">
        <v>36</v>
      </c>
      <c r="AB969" s="1">
        <v>45737.33</v>
      </c>
      <c r="AC969" s="1">
        <v>3841</v>
      </c>
      <c r="AD969" s="6" t="str">
        <f>IF(COUNTIF(Returns!$A$2:$A$1635,Orders!AC969)&gt;0,"Returned","Not Returned")</f>
        <v>Not Returned</v>
      </c>
    </row>
    <row r="970" spans="1:30" ht="12.75" customHeight="1" thickTop="1" thickBot="1" x14ac:dyDescent="0.25">
      <c r="A970" s="10">
        <v>8389</v>
      </c>
      <c r="B970" s="11" t="s">
        <v>25</v>
      </c>
      <c r="C970" s="11">
        <v>0.02</v>
      </c>
      <c r="D970" s="11">
        <v>30.98</v>
      </c>
      <c r="E970" s="11">
        <v>17.079999999999998</v>
      </c>
      <c r="F970" s="11">
        <v>1733</v>
      </c>
      <c r="G970" s="6" t="str">
        <f>IF(COUNTIF(Table1[Customer ID],Table1[[#This Row],[Customer ID]])&gt;1,"Repeat Customer","One-Time Customer")</f>
        <v>Repeat Customer</v>
      </c>
      <c r="H970" s="11" t="s">
        <v>1743</v>
      </c>
      <c r="I970" s="11" t="s">
        <v>49</v>
      </c>
      <c r="J970" s="11" t="s">
        <v>58</v>
      </c>
      <c r="K970" s="11" t="s">
        <v>29</v>
      </c>
      <c r="L970" s="11" t="s">
        <v>93</v>
      </c>
      <c r="M970" s="11" t="s">
        <v>59</v>
      </c>
      <c r="N970" s="11" t="s">
        <v>1744</v>
      </c>
      <c r="O970" s="11">
        <v>0.4</v>
      </c>
      <c r="P970" s="6">
        <f>Table1[[#This Row],[Profit]]/Table1[[#This Row],[Sales]]</f>
        <v>-7.365658870507702E-2</v>
      </c>
      <c r="Q970" s="11" t="s">
        <v>33</v>
      </c>
      <c r="R970" s="11" t="s">
        <v>53</v>
      </c>
      <c r="S970" s="11" t="s">
        <v>1008</v>
      </c>
      <c r="T970" s="11" t="s">
        <v>35</v>
      </c>
      <c r="U970" s="11">
        <v>20012</v>
      </c>
      <c r="V970" s="12">
        <v>42183</v>
      </c>
      <c r="W970" s="13" t="str">
        <f>TEXT(Table1[[#This Row],[Order Date]],"mmmm")</f>
        <v>June</v>
      </c>
      <c r="X970" s="7" t="str">
        <f>TEXT(Table1[[#This Row],[Order Date]],"yyyy")</f>
        <v>2015</v>
      </c>
      <c r="Y970" s="12">
        <v>42184</v>
      </c>
      <c r="Z970" s="11">
        <v>-32.28</v>
      </c>
      <c r="AA970" s="11">
        <v>13</v>
      </c>
      <c r="AB970" s="11">
        <v>438.25</v>
      </c>
      <c r="AC970" s="11">
        <v>59937</v>
      </c>
      <c r="AD970" s="6" t="str">
        <f>IF(COUNTIF(Returns!$A$2:$A$1635,Orders!AC970)&gt;0,"Returned","Not Returned")</f>
        <v>Returned</v>
      </c>
    </row>
    <row r="971" spans="1:30" ht="12.75" customHeight="1" thickTop="1" thickBot="1" x14ac:dyDescent="0.25">
      <c r="A971" s="8">
        <v>18566</v>
      </c>
      <c r="B971" s="1" t="s">
        <v>37</v>
      </c>
      <c r="C971" s="1">
        <v>0.02</v>
      </c>
      <c r="D971" s="1">
        <v>60.98</v>
      </c>
      <c r="E971" s="1">
        <v>49</v>
      </c>
      <c r="F971" s="1">
        <v>1734</v>
      </c>
      <c r="G971" s="6" t="str">
        <f>IF(COUNTIF(Table1[Customer ID],Table1[[#This Row],[Customer ID]])&gt;1,"Repeat Customer","One-Time Customer")</f>
        <v>Repeat Customer</v>
      </c>
      <c r="H971" s="1" t="s">
        <v>1745</v>
      </c>
      <c r="I971" s="1" t="s">
        <v>49</v>
      </c>
      <c r="J971" s="1" t="s">
        <v>58</v>
      </c>
      <c r="K971" s="1" t="s">
        <v>29</v>
      </c>
      <c r="L971" s="1" t="s">
        <v>257</v>
      </c>
      <c r="M971" s="1" t="s">
        <v>236</v>
      </c>
      <c r="N971" s="1" t="s">
        <v>1583</v>
      </c>
      <c r="O971" s="1">
        <v>0.59</v>
      </c>
      <c r="P971" s="6">
        <f>Table1[[#This Row],[Profit]]/Table1[[#This Row],[Sales]]</f>
        <v>-1.062752646775746</v>
      </c>
      <c r="Q971" s="1" t="s">
        <v>33</v>
      </c>
      <c r="R971" s="1" t="s">
        <v>53</v>
      </c>
      <c r="S971" s="1" t="s">
        <v>71</v>
      </c>
      <c r="T971" s="1" t="s">
        <v>1746</v>
      </c>
      <c r="U971" s="1">
        <v>10528</v>
      </c>
      <c r="V971" s="9">
        <v>42098</v>
      </c>
      <c r="W971" s="13" t="str">
        <f>TEXT(Table1[[#This Row],[Order Date]],"mmmm")</f>
        <v>April</v>
      </c>
      <c r="X971" s="7" t="str">
        <f>TEXT(Table1[[#This Row],[Order Date]],"yyyy")</f>
        <v>2015</v>
      </c>
      <c r="Y971" s="9">
        <v>42100</v>
      </c>
      <c r="Z971" s="1">
        <v>-596.26800000000003</v>
      </c>
      <c r="AA971" s="1">
        <v>9</v>
      </c>
      <c r="AB971" s="1">
        <v>561.05999999999995</v>
      </c>
      <c r="AC971" s="1">
        <v>88443</v>
      </c>
      <c r="AD971" s="6" t="str">
        <f>IF(COUNTIF(Returns!$A$2:$A$1635,Orders!AC971)&gt;0,"Returned","Not Returned")</f>
        <v>Not Returned</v>
      </c>
    </row>
    <row r="972" spans="1:30" ht="12.75" customHeight="1" thickTop="1" thickBot="1" x14ac:dyDescent="0.25">
      <c r="A972" s="10">
        <v>18567</v>
      </c>
      <c r="B972" s="11" t="s">
        <v>37</v>
      </c>
      <c r="C972" s="11">
        <v>0.02</v>
      </c>
      <c r="D972" s="11">
        <v>1270.99</v>
      </c>
      <c r="E972" s="11">
        <v>19.989999999999998</v>
      </c>
      <c r="F972" s="11">
        <v>1734</v>
      </c>
      <c r="G972" s="6" t="str">
        <f>IF(COUNTIF(Table1[Customer ID],Table1[[#This Row],[Customer ID]])&gt;1,"Repeat Customer","One-Time Customer")</f>
        <v>Repeat Customer</v>
      </c>
      <c r="H972" s="11" t="s">
        <v>1745</v>
      </c>
      <c r="I972" s="11" t="s">
        <v>49</v>
      </c>
      <c r="J972" s="11" t="s">
        <v>58</v>
      </c>
      <c r="K972" s="11" t="s">
        <v>29</v>
      </c>
      <c r="L972" s="11" t="s">
        <v>109</v>
      </c>
      <c r="M972" s="11" t="s">
        <v>59</v>
      </c>
      <c r="N972" s="11" t="s">
        <v>631</v>
      </c>
      <c r="O972" s="11">
        <v>0.35</v>
      </c>
      <c r="P972" s="6">
        <f>Table1[[#This Row],[Profit]]/Table1[[#This Row],[Sales]]</f>
        <v>0.69</v>
      </c>
      <c r="Q972" s="11" t="s">
        <v>33</v>
      </c>
      <c r="R972" s="11" t="s">
        <v>53</v>
      </c>
      <c r="S972" s="11" t="s">
        <v>71</v>
      </c>
      <c r="T972" s="11" t="s">
        <v>1746</v>
      </c>
      <c r="U972" s="11">
        <v>10528</v>
      </c>
      <c r="V972" s="12">
        <v>42098</v>
      </c>
      <c r="W972" s="13" t="str">
        <f>TEXT(Table1[[#This Row],[Order Date]],"mmmm")</f>
        <v>April</v>
      </c>
      <c r="X972" s="7" t="str">
        <f>TEXT(Table1[[#This Row],[Order Date]],"yyyy")</f>
        <v>2015</v>
      </c>
      <c r="Y972" s="12">
        <v>42100</v>
      </c>
      <c r="Z972" s="11">
        <v>7889.6876999999995</v>
      </c>
      <c r="AA972" s="11">
        <v>9</v>
      </c>
      <c r="AB972" s="11">
        <v>11434.33</v>
      </c>
      <c r="AC972" s="11">
        <v>88443</v>
      </c>
      <c r="AD972" s="6" t="str">
        <f>IF(COUNTIF(Returns!$A$2:$A$1635,Orders!AC972)&gt;0,"Returned","Not Returned")</f>
        <v>Not Returned</v>
      </c>
    </row>
    <row r="973" spans="1:30" ht="12.75" customHeight="1" thickTop="1" thickBot="1" x14ac:dyDescent="0.25">
      <c r="A973" s="8">
        <v>18568</v>
      </c>
      <c r="B973" s="1" t="s">
        <v>37</v>
      </c>
      <c r="C973" s="1">
        <v>0.05</v>
      </c>
      <c r="D973" s="1">
        <v>205.99</v>
      </c>
      <c r="E973" s="1">
        <v>8.99</v>
      </c>
      <c r="F973" s="1">
        <v>1734</v>
      </c>
      <c r="G973" s="6" t="str">
        <f>IF(COUNTIF(Table1[Customer ID],Table1[[#This Row],[Customer ID]])&gt;1,"Repeat Customer","One-Time Customer")</f>
        <v>Repeat Customer</v>
      </c>
      <c r="H973" s="1" t="s">
        <v>1745</v>
      </c>
      <c r="I973" s="1" t="s">
        <v>27</v>
      </c>
      <c r="J973" s="1" t="s">
        <v>58</v>
      </c>
      <c r="K973" s="1" t="s">
        <v>77</v>
      </c>
      <c r="L973" s="1" t="s">
        <v>78</v>
      </c>
      <c r="M973" s="1" t="s">
        <v>59</v>
      </c>
      <c r="N973" s="1" t="s">
        <v>1542</v>
      </c>
      <c r="O973" s="1">
        <v>0.6</v>
      </c>
      <c r="P973" s="6">
        <f>Table1[[#This Row],[Profit]]/Table1[[#This Row],[Sales]]</f>
        <v>0.47869150636062979</v>
      </c>
      <c r="Q973" s="1" t="s">
        <v>33</v>
      </c>
      <c r="R973" s="1" t="s">
        <v>53</v>
      </c>
      <c r="S973" s="1" t="s">
        <v>71</v>
      </c>
      <c r="T973" s="1" t="s">
        <v>1746</v>
      </c>
      <c r="U973" s="1">
        <v>10528</v>
      </c>
      <c r="V973" s="9">
        <v>42098</v>
      </c>
      <c r="W973" s="13" t="str">
        <f>TEXT(Table1[[#This Row],[Order Date]],"mmmm")</f>
        <v>April</v>
      </c>
      <c r="X973" s="7" t="str">
        <f>TEXT(Table1[[#This Row],[Order Date]],"yyyy")</f>
        <v>2015</v>
      </c>
      <c r="Y973" s="9">
        <v>42100</v>
      </c>
      <c r="Z973" s="1">
        <v>1545.8097600000001</v>
      </c>
      <c r="AA973" s="1">
        <v>19</v>
      </c>
      <c r="AB973" s="1">
        <v>3229.24</v>
      </c>
      <c r="AC973" s="1">
        <v>88443</v>
      </c>
      <c r="AD973" s="6" t="str">
        <f>IF(COUNTIF(Returns!$A$2:$A$1635,Orders!AC973)&gt;0,"Returned","Not Returned")</f>
        <v>Not Returned</v>
      </c>
    </row>
    <row r="974" spans="1:30" ht="12.75" customHeight="1" thickTop="1" thickBot="1" x14ac:dyDescent="0.25">
      <c r="A974" s="10">
        <v>26389</v>
      </c>
      <c r="B974" s="11" t="s">
        <v>25</v>
      </c>
      <c r="C974" s="11">
        <v>0.02</v>
      </c>
      <c r="D974" s="11">
        <v>30.98</v>
      </c>
      <c r="E974" s="11">
        <v>17.079999999999998</v>
      </c>
      <c r="F974" s="11">
        <v>1735</v>
      </c>
      <c r="G974" s="6" t="str">
        <f>IF(COUNTIF(Table1[Customer ID],Table1[[#This Row],[Customer ID]])&gt;1,"Repeat Customer","One-Time Customer")</f>
        <v>One-Time Customer</v>
      </c>
      <c r="H974" s="11" t="s">
        <v>1747</v>
      </c>
      <c r="I974" s="11" t="s">
        <v>49</v>
      </c>
      <c r="J974" s="11" t="s">
        <v>58</v>
      </c>
      <c r="K974" s="11" t="s">
        <v>29</v>
      </c>
      <c r="L974" s="11" t="s">
        <v>93</v>
      </c>
      <c r="M974" s="11" t="s">
        <v>59</v>
      </c>
      <c r="N974" s="11" t="s">
        <v>1744</v>
      </c>
      <c r="O974" s="11">
        <v>0.4</v>
      </c>
      <c r="P974" s="6">
        <f>Table1[[#This Row],[Profit]]/Table1[[#This Row],[Sales]]</f>
        <v>-0.159596558884604</v>
      </c>
      <c r="Q974" s="11" t="s">
        <v>33</v>
      </c>
      <c r="R974" s="11" t="s">
        <v>53</v>
      </c>
      <c r="S974" s="11" t="s">
        <v>71</v>
      </c>
      <c r="T974" s="11" t="s">
        <v>1748</v>
      </c>
      <c r="U974" s="11">
        <v>11550</v>
      </c>
      <c r="V974" s="12">
        <v>42183</v>
      </c>
      <c r="W974" s="13" t="str">
        <f>TEXT(Table1[[#This Row],[Order Date]],"mmmm")</f>
        <v>June</v>
      </c>
      <c r="X974" s="7" t="str">
        <f>TEXT(Table1[[#This Row],[Order Date]],"yyyy")</f>
        <v>2015</v>
      </c>
      <c r="Y974" s="12">
        <v>42184</v>
      </c>
      <c r="Z974" s="11">
        <v>-16.14</v>
      </c>
      <c r="AA974" s="11">
        <v>3</v>
      </c>
      <c r="AB974" s="11">
        <v>101.13</v>
      </c>
      <c r="AC974" s="11">
        <v>88444</v>
      </c>
      <c r="AD974" s="6" t="str">
        <f>IF(COUNTIF(Returns!$A$2:$A$1635,Orders!AC974)&gt;0,"Returned","Not Returned")</f>
        <v>Not Returned</v>
      </c>
    </row>
    <row r="975" spans="1:30" ht="12.75" customHeight="1" thickTop="1" thickBot="1" x14ac:dyDescent="0.25">
      <c r="A975" s="8">
        <v>18012</v>
      </c>
      <c r="B975" s="1" t="s">
        <v>37</v>
      </c>
      <c r="C975" s="1">
        <v>0.09</v>
      </c>
      <c r="D975" s="1">
        <v>30.93</v>
      </c>
      <c r="E975" s="1">
        <v>3.92</v>
      </c>
      <c r="F975" s="1">
        <v>1737</v>
      </c>
      <c r="G975" s="6" t="str">
        <f>IF(COUNTIF(Table1[Customer ID],Table1[[#This Row],[Customer ID]])&gt;1,"Repeat Customer","One-Time Customer")</f>
        <v>Repeat Customer</v>
      </c>
      <c r="H975" s="1" t="s">
        <v>1749</v>
      </c>
      <c r="I975" s="1" t="s">
        <v>49</v>
      </c>
      <c r="J975" s="1" t="s">
        <v>28</v>
      </c>
      <c r="K975" s="1" t="s">
        <v>41</v>
      </c>
      <c r="L975" s="1" t="s">
        <v>50</v>
      </c>
      <c r="M975" s="1" t="s">
        <v>51</v>
      </c>
      <c r="N975" s="1" t="s">
        <v>1750</v>
      </c>
      <c r="O975" s="1">
        <v>0.44</v>
      </c>
      <c r="P975" s="6">
        <f>Table1[[#This Row],[Profit]]/Table1[[#This Row],[Sales]]</f>
        <v>-0.28865723834185425</v>
      </c>
      <c r="Q975" s="1" t="s">
        <v>33</v>
      </c>
      <c r="R975" s="1" t="s">
        <v>136</v>
      </c>
      <c r="S975" s="1" t="s">
        <v>322</v>
      </c>
      <c r="T975" s="1" t="s">
        <v>1724</v>
      </c>
      <c r="U975" s="1">
        <v>27529</v>
      </c>
      <c r="V975" s="9">
        <v>42158</v>
      </c>
      <c r="W975" s="13" t="str">
        <f>TEXT(Table1[[#This Row],[Order Date]],"mmmm")</f>
        <v>June</v>
      </c>
      <c r="X975" s="7" t="str">
        <f>TEXT(Table1[[#This Row],[Order Date]],"yyyy")</f>
        <v>2015</v>
      </c>
      <c r="Y975" s="9">
        <v>42160</v>
      </c>
      <c r="Z975" s="1">
        <v>-130.42400000000001</v>
      </c>
      <c r="AA975" s="1">
        <v>16</v>
      </c>
      <c r="AB975" s="1">
        <v>451.83</v>
      </c>
      <c r="AC975" s="1">
        <v>85866</v>
      </c>
      <c r="AD975" s="6" t="str">
        <f>IF(COUNTIF(Returns!$A$2:$A$1635,Orders!AC975)&gt;0,"Returned","Not Returned")</f>
        <v>Not Returned</v>
      </c>
    </row>
    <row r="976" spans="1:30" ht="12.75" customHeight="1" thickTop="1" thickBot="1" x14ac:dyDescent="0.25">
      <c r="A976" s="10">
        <v>18013</v>
      </c>
      <c r="B976" s="11" t="s">
        <v>37</v>
      </c>
      <c r="C976" s="11">
        <v>0.03</v>
      </c>
      <c r="D976" s="11">
        <v>1.68</v>
      </c>
      <c r="E976" s="11">
        <v>0.7</v>
      </c>
      <c r="F976" s="11">
        <v>1737</v>
      </c>
      <c r="G976" s="6" t="str">
        <f>IF(COUNTIF(Table1[Customer ID],Table1[[#This Row],[Customer ID]])&gt;1,"Repeat Customer","One-Time Customer")</f>
        <v>Repeat Customer</v>
      </c>
      <c r="H976" s="11" t="s">
        <v>1749</v>
      </c>
      <c r="I976" s="11" t="s">
        <v>27</v>
      </c>
      <c r="J976" s="11" t="s">
        <v>28</v>
      </c>
      <c r="K976" s="11" t="s">
        <v>29</v>
      </c>
      <c r="L976" s="11" t="s">
        <v>30</v>
      </c>
      <c r="M976" s="11" t="s">
        <v>31</v>
      </c>
      <c r="N976" s="11" t="s">
        <v>1751</v>
      </c>
      <c r="O976" s="11">
        <v>0.6</v>
      </c>
      <c r="P976" s="6">
        <f>Table1[[#This Row],[Profit]]/Table1[[#This Row],[Sales]]</f>
        <v>-5.2579545454545462</v>
      </c>
      <c r="Q976" s="11" t="s">
        <v>33</v>
      </c>
      <c r="R976" s="11" t="s">
        <v>136</v>
      </c>
      <c r="S976" s="11" t="s">
        <v>322</v>
      </c>
      <c r="T976" s="11" t="s">
        <v>1724</v>
      </c>
      <c r="U976" s="11">
        <v>27529</v>
      </c>
      <c r="V976" s="12">
        <v>42158</v>
      </c>
      <c r="W976" s="13" t="str">
        <f>TEXT(Table1[[#This Row],[Order Date]],"mmmm")</f>
        <v>June</v>
      </c>
      <c r="X976" s="7" t="str">
        <f>TEXT(Table1[[#This Row],[Order Date]],"yyyy")</f>
        <v>2015</v>
      </c>
      <c r="Y976" s="12">
        <v>42160</v>
      </c>
      <c r="Z976" s="11">
        <v>-106.42100000000001</v>
      </c>
      <c r="AA976" s="11">
        <v>11</v>
      </c>
      <c r="AB976" s="11">
        <v>20.239999999999998</v>
      </c>
      <c r="AC976" s="11">
        <v>85866</v>
      </c>
      <c r="AD976" s="6" t="str">
        <f>IF(COUNTIF(Returns!$A$2:$A$1635,Orders!AC976)&gt;0,"Returned","Not Returned")</f>
        <v>Not Returned</v>
      </c>
    </row>
    <row r="977" spans="1:30" ht="12.75" customHeight="1" thickTop="1" thickBot="1" x14ac:dyDescent="0.25">
      <c r="A977" s="8">
        <v>18306</v>
      </c>
      <c r="B977" s="1" t="s">
        <v>56</v>
      </c>
      <c r="C977" s="1">
        <v>0.08</v>
      </c>
      <c r="D977" s="1">
        <v>175.99</v>
      </c>
      <c r="E977" s="1">
        <v>4.99</v>
      </c>
      <c r="F977" s="1">
        <v>1738</v>
      </c>
      <c r="G977" s="6" t="str">
        <f>IF(COUNTIF(Table1[Customer ID],Table1[[#This Row],[Customer ID]])&gt;1,"Repeat Customer","One-Time Customer")</f>
        <v>Repeat Customer</v>
      </c>
      <c r="H977" s="1" t="s">
        <v>1752</v>
      </c>
      <c r="I977" s="1" t="s">
        <v>49</v>
      </c>
      <c r="J977" s="1" t="s">
        <v>28</v>
      </c>
      <c r="K977" s="1" t="s">
        <v>77</v>
      </c>
      <c r="L977" s="1" t="s">
        <v>78</v>
      </c>
      <c r="M977" s="1" t="s">
        <v>59</v>
      </c>
      <c r="N977" s="1" t="s">
        <v>139</v>
      </c>
      <c r="O977" s="1">
        <v>0.59</v>
      </c>
      <c r="P977" s="6">
        <f>Table1[[#This Row],[Profit]]/Table1[[#This Row],[Sales]]</f>
        <v>-11.085510717601625</v>
      </c>
      <c r="Q977" s="1" t="s">
        <v>33</v>
      </c>
      <c r="R977" s="1" t="s">
        <v>136</v>
      </c>
      <c r="S977" s="1" t="s">
        <v>322</v>
      </c>
      <c r="T977" s="1" t="s">
        <v>1753</v>
      </c>
      <c r="U977" s="1">
        <v>28052</v>
      </c>
      <c r="V977" s="9">
        <v>42091</v>
      </c>
      <c r="W977" s="13" t="str">
        <f>TEXT(Table1[[#This Row],[Order Date]],"mmmm")</f>
        <v>March</v>
      </c>
      <c r="X977" s="7" t="str">
        <f>TEXT(Table1[[#This Row],[Order Date]],"yyyy")</f>
        <v>2015</v>
      </c>
      <c r="Y977" s="9">
        <v>42091</v>
      </c>
      <c r="Z977" s="1">
        <v>-16476.838</v>
      </c>
      <c r="AA977" s="1">
        <v>10</v>
      </c>
      <c r="AB977" s="1">
        <v>1486.34</v>
      </c>
      <c r="AC977" s="1">
        <v>85865</v>
      </c>
      <c r="AD977" s="6" t="str">
        <f>IF(COUNTIF(Returns!$A$2:$A$1635,Orders!AC977)&gt;0,"Returned","Not Returned")</f>
        <v>Not Returned</v>
      </c>
    </row>
    <row r="978" spans="1:30" ht="12.75" customHeight="1" thickTop="1" thickBot="1" x14ac:dyDescent="0.25">
      <c r="A978" s="10">
        <v>18804</v>
      </c>
      <c r="B978" s="11" t="s">
        <v>106</v>
      </c>
      <c r="C978" s="11">
        <v>0.04</v>
      </c>
      <c r="D978" s="11">
        <v>35.44</v>
      </c>
      <c r="E978" s="11">
        <v>19.989999999999998</v>
      </c>
      <c r="F978" s="11">
        <v>1738</v>
      </c>
      <c r="G978" s="6" t="str">
        <f>IF(COUNTIF(Table1[Customer ID],Table1[[#This Row],[Customer ID]])&gt;1,"Repeat Customer","One-Time Customer")</f>
        <v>Repeat Customer</v>
      </c>
      <c r="H978" s="11" t="s">
        <v>1752</v>
      </c>
      <c r="I978" s="11" t="s">
        <v>49</v>
      </c>
      <c r="J978" s="11" t="s">
        <v>28</v>
      </c>
      <c r="K978" s="11" t="s">
        <v>29</v>
      </c>
      <c r="L978" s="11" t="s">
        <v>93</v>
      </c>
      <c r="M978" s="11" t="s">
        <v>59</v>
      </c>
      <c r="N978" s="11" t="s">
        <v>1754</v>
      </c>
      <c r="O978" s="11">
        <v>0.38</v>
      </c>
      <c r="P978" s="6">
        <f>Table1[[#This Row],[Profit]]/Table1[[#This Row],[Sales]]</f>
        <v>-0.26651036282183826</v>
      </c>
      <c r="Q978" s="11" t="s">
        <v>33</v>
      </c>
      <c r="R978" s="11" t="s">
        <v>136</v>
      </c>
      <c r="S978" s="11" t="s">
        <v>322</v>
      </c>
      <c r="T978" s="11" t="s">
        <v>1753</v>
      </c>
      <c r="U978" s="11">
        <v>28052</v>
      </c>
      <c r="V978" s="12">
        <v>42169</v>
      </c>
      <c r="W978" s="13" t="str">
        <f>TEXT(Table1[[#This Row],[Order Date]],"mmmm")</f>
        <v>June</v>
      </c>
      <c r="X978" s="7" t="str">
        <f>TEXT(Table1[[#This Row],[Order Date]],"yyyy")</f>
        <v>2015</v>
      </c>
      <c r="Y978" s="12">
        <v>42176</v>
      </c>
      <c r="Z978" s="11">
        <v>-108.27250000000001</v>
      </c>
      <c r="AA978" s="11">
        <v>11</v>
      </c>
      <c r="AB978" s="11">
        <v>406.26</v>
      </c>
      <c r="AC978" s="11">
        <v>85868</v>
      </c>
      <c r="AD978" s="6" t="str">
        <f>IF(COUNTIF(Returns!$A$2:$A$1635,Orders!AC978)&gt;0,"Returned","Not Returned")</f>
        <v>Not Returned</v>
      </c>
    </row>
    <row r="979" spans="1:30" ht="12.75" customHeight="1" thickTop="1" thickBot="1" x14ac:dyDescent="0.25">
      <c r="A979" s="8">
        <v>22593</v>
      </c>
      <c r="B979" s="1" t="s">
        <v>25</v>
      </c>
      <c r="C979" s="1">
        <v>0.09</v>
      </c>
      <c r="D979" s="1">
        <v>349.45</v>
      </c>
      <c r="E979" s="1">
        <v>60</v>
      </c>
      <c r="F979" s="1">
        <v>1739</v>
      </c>
      <c r="G979" s="6" t="str">
        <f>IF(COUNTIF(Table1[Customer ID],Table1[[#This Row],[Customer ID]])&gt;1,"Repeat Customer","One-Time Customer")</f>
        <v>One-Time Customer</v>
      </c>
      <c r="H979" s="1" t="s">
        <v>1755</v>
      </c>
      <c r="I979" s="1" t="s">
        <v>39</v>
      </c>
      <c r="J979" s="1" t="s">
        <v>28</v>
      </c>
      <c r="K979" s="1" t="s">
        <v>41</v>
      </c>
      <c r="L979" s="1" t="s">
        <v>152</v>
      </c>
      <c r="M979" s="1" t="s">
        <v>43</v>
      </c>
      <c r="N979" s="1" t="s">
        <v>989</v>
      </c>
      <c r="O979" s="1"/>
      <c r="P979" s="6">
        <f>Table1[[#This Row],[Profit]]/Table1[[#This Row],[Sales]]</f>
        <v>-1.5551263750104962E-2</v>
      </c>
      <c r="Q979" s="1" t="s">
        <v>33</v>
      </c>
      <c r="R979" s="1" t="s">
        <v>136</v>
      </c>
      <c r="S979" s="1" t="s">
        <v>322</v>
      </c>
      <c r="T979" s="1" t="s">
        <v>1756</v>
      </c>
      <c r="U979" s="1">
        <v>27534</v>
      </c>
      <c r="V979" s="9">
        <v>42127</v>
      </c>
      <c r="W979" s="13" t="str">
        <f>TEXT(Table1[[#This Row],[Order Date]],"mmmm")</f>
        <v>May</v>
      </c>
      <c r="X979" s="7" t="str">
        <f>TEXT(Table1[[#This Row],[Order Date]],"yyyy")</f>
        <v>2015</v>
      </c>
      <c r="Y979" s="9">
        <v>42128</v>
      </c>
      <c r="Z979" s="1">
        <v>-90.74799999999999</v>
      </c>
      <c r="AA979" s="1">
        <v>17</v>
      </c>
      <c r="AB979" s="1">
        <v>5835.41</v>
      </c>
      <c r="AC979" s="1">
        <v>85867</v>
      </c>
      <c r="AD979" s="6" t="str">
        <f>IF(COUNTIF(Returns!$A$2:$A$1635,Orders!AC979)&gt;0,"Returned","Not Returned")</f>
        <v>Not Returned</v>
      </c>
    </row>
    <row r="980" spans="1:30" ht="12.75" customHeight="1" thickTop="1" thickBot="1" x14ac:dyDescent="0.25">
      <c r="A980" s="10">
        <v>20591</v>
      </c>
      <c r="B980" s="11" t="s">
        <v>56</v>
      </c>
      <c r="C980" s="11">
        <v>0</v>
      </c>
      <c r="D980" s="11">
        <v>55.99</v>
      </c>
      <c r="E980" s="11">
        <v>2.5</v>
      </c>
      <c r="F980" s="11">
        <v>1743</v>
      </c>
      <c r="G980" s="6" t="str">
        <f>IF(COUNTIF(Table1[Customer ID],Table1[[#This Row],[Customer ID]])&gt;1,"Repeat Customer","One-Time Customer")</f>
        <v>One-Time Customer</v>
      </c>
      <c r="H980" s="11" t="s">
        <v>1757</v>
      </c>
      <c r="I980" s="11" t="s">
        <v>49</v>
      </c>
      <c r="J980" s="11" t="s">
        <v>114</v>
      </c>
      <c r="K980" s="11" t="s">
        <v>77</v>
      </c>
      <c r="L980" s="11" t="s">
        <v>78</v>
      </c>
      <c r="M980" s="11" t="s">
        <v>51</v>
      </c>
      <c r="N980" s="11" t="s">
        <v>1758</v>
      </c>
      <c r="O980" s="11">
        <v>0.83</v>
      </c>
      <c r="P980" s="6">
        <f>Table1[[#This Row],[Profit]]/Table1[[#This Row],[Sales]]</f>
        <v>-2.323571593090211</v>
      </c>
      <c r="Q980" s="11" t="s">
        <v>33</v>
      </c>
      <c r="R980" s="11" t="s">
        <v>61</v>
      </c>
      <c r="S980" s="11" t="s">
        <v>130</v>
      </c>
      <c r="T980" s="11" t="s">
        <v>1654</v>
      </c>
      <c r="U980" s="11">
        <v>77546</v>
      </c>
      <c r="V980" s="12">
        <v>42047</v>
      </c>
      <c r="W980" s="13" t="str">
        <f>TEXT(Table1[[#This Row],[Order Date]],"mmmm")</f>
        <v>February</v>
      </c>
      <c r="X980" s="7" t="str">
        <f>TEXT(Table1[[#This Row],[Order Date]],"yyyy")</f>
        <v>2015</v>
      </c>
      <c r="Y980" s="12">
        <v>42049</v>
      </c>
      <c r="Z980" s="11">
        <v>-121.05807999999999</v>
      </c>
      <c r="AA980" s="11">
        <v>1</v>
      </c>
      <c r="AB980" s="11">
        <v>52.1</v>
      </c>
      <c r="AC980" s="11">
        <v>91025</v>
      </c>
      <c r="AD980" s="6" t="str">
        <f>IF(COUNTIF(Returns!$A$2:$A$1635,Orders!AC980)&gt;0,"Returned","Not Returned")</f>
        <v>Not Returned</v>
      </c>
    </row>
    <row r="981" spans="1:30" ht="12.75" customHeight="1" thickTop="1" thickBot="1" x14ac:dyDescent="0.25">
      <c r="A981" s="8">
        <v>2571</v>
      </c>
      <c r="B981" s="1" t="s">
        <v>37</v>
      </c>
      <c r="C981" s="1">
        <v>0.02</v>
      </c>
      <c r="D981" s="1">
        <v>4.13</v>
      </c>
      <c r="E981" s="1">
        <v>6.89</v>
      </c>
      <c r="F981" s="1">
        <v>1745</v>
      </c>
      <c r="G981" s="6" t="str">
        <f>IF(COUNTIF(Table1[Customer ID],Table1[[#This Row],[Customer ID]])&gt;1,"Repeat Customer","One-Time Customer")</f>
        <v>Repeat Customer</v>
      </c>
      <c r="H981" s="1" t="s">
        <v>1759</v>
      </c>
      <c r="I981" s="1" t="s">
        <v>49</v>
      </c>
      <c r="J981" s="1" t="s">
        <v>40</v>
      </c>
      <c r="K981" s="1" t="s">
        <v>29</v>
      </c>
      <c r="L981" s="1" t="s">
        <v>134</v>
      </c>
      <c r="M981" s="1" t="s">
        <v>59</v>
      </c>
      <c r="N981" s="1" t="s">
        <v>1760</v>
      </c>
      <c r="O981" s="1">
        <v>0.39</v>
      </c>
      <c r="P981" s="6">
        <f>Table1[[#This Row],[Profit]]/Table1[[#This Row],[Sales]]</f>
        <v>-1.127904948768258</v>
      </c>
      <c r="Q981" s="1" t="s">
        <v>33</v>
      </c>
      <c r="R981" s="1" t="s">
        <v>136</v>
      </c>
      <c r="S981" s="1" t="s">
        <v>387</v>
      </c>
      <c r="T981" s="1" t="s">
        <v>580</v>
      </c>
      <c r="U981" s="1">
        <v>30305</v>
      </c>
      <c r="V981" s="9">
        <v>42013</v>
      </c>
      <c r="W981" s="13" t="str">
        <f>TEXT(Table1[[#This Row],[Order Date]],"mmmm")</f>
        <v>January</v>
      </c>
      <c r="X981" s="7" t="str">
        <f>TEXT(Table1[[#This Row],[Order Date]],"yyyy")</f>
        <v>2015</v>
      </c>
      <c r="Y981" s="9">
        <v>42014</v>
      </c>
      <c r="Z981" s="1">
        <v>-51.736999999999995</v>
      </c>
      <c r="AA981" s="1">
        <v>9</v>
      </c>
      <c r="AB981" s="1">
        <v>45.87</v>
      </c>
      <c r="AC981" s="1">
        <v>18561</v>
      </c>
      <c r="AD981" s="6" t="str">
        <f>IF(COUNTIF(Returns!$A$2:$A$1635,Orders!AC981)&gt;0,"Returned","Not Returned")</f>
        <v>Not Returned</v>
      </c>
    </row>
    <row r="982" spans="1:30" ht="12.75" customHeight="1" thickTop="1" thickBot="1" x14ac:dyDescent="0.25">
      <c r="A982" s="10">
        <v>1863</v>
      </c>
      <c r="B982" s="11" t="s">
        <v>106</v>
      </c>
      <c r="C982" s="11">
        <v>0.04</v>
      </c>
      <c r="D982" s="11">
        <v>60.65</v>
      </c>
      <c r="E982" s="11">
        <v>12.23</v>
      </c>
      <c r="F982" s="11">
        <v>1745</v>
      </c>
      <c r="G982" s="6" t="str">
        <f>IF(COUNTIF(Table1[Customer ID],Table1[[#This Row],[Customer ID]])&gt;1,"Repeat Customer","One-Time Customer")</f>
        <v>Repeat Customer</v>
      </c>
      <c r="H982" s="11" t="s">
        <v>1759</v>
      </c>
      <c r="I982" s="11" t="s">
        <v>49</v>
      </c>
      <c r="J982" s="11" t="s">
        <v>40</v>
      </c>
      <c r="K982" s="11" t="s">
        <v>41</v>
      </c>
      <c r="L982" s="11" t="s">
        <v>50</v>
      </c>
      <c r="M982" s="11" t="s">
        <v>86</v>
      </c>
      <c r="N982" s="11" t="s">
        <v>1761</v>
      </c>
      <c r="O982" s="11">
        <v>0.64</v>
      </c>
      <c r="P982" s="6">
        <f>Table1[[#This Row],[Profit]]/Table1[[#This Row],[Sales]]</f>
        <v>0.45373797562020479</v>
      </c>
      <c r="Q982" s="11" t="s">
        <v>33</v>
      </c>
      <c r="R982" s="11" t="s">
        <v>136</v>
      </c>
      <c r="S982" s="11" t="s">
        <v>387</v>
      </c>
      <c r="T982" s="11" t="s">
        <v>580</v>
      </c>
      <c r="U982" s="11">
        <v>30305</v>
      </c>
      <c r="V982" s="12">
        <v>42049</v>
      </c>
      <c r="W982" s="13" t="str">
        <f>TEXT(Table1[[#This Row],[Order Date]],"mmmm")</f>
        <v>February</v>
      </c>
      <c r="X982" s="7" t="str">
        <f>TEXT(Table1[[#This Row],[Order Date]],"yyyy")</f>
        <v>2015</v>
      </c>
      <c r="Y982" s="12">
        <v>42051</v>
      </c>
      <c r="Z982" s="11">
        <v>116.50629999999998</v>
      </c>
      <c r="AA982" s="11">
        <v>4</v>
      </c>
      <c r="AB982" s="11">
        <v>256.77</v>
      </c>
      <c r="AC982" s="11">
        <v>13408</v>
      </c>
      <c r="AD982" s="6" t="str">
        <f>IF(COUNTIF(Returns!$A$2:$A$1635,Orders!AC982)&gt;0,"Returned","Not Returned")</f>
        <v>Not Returned</v>
      </c>
    </row>
    <row r="983" spans="1:30" ht="12.75" customHeight="1" thickTop="1" thickBot="1" x14ac:dyDescent="0.25">
      <c r="A983" s="8">
        <v>1692</v>
      </c>
      <c r="B983" s="1" t="s">
        <v>25</v>
      </c>
      <c r="C983" s="1">
        <v>0.04</v>
      </c>
      <c r="D983" s="1">
        <v>124.49</v>
      </c>
      <c r="E983" s="1">
        <v>51.94</v>
      </c>
      <c r="F983" s="1">
        <v>1745</v>
      </c>
      <c r="G983" s="6" t="str">
        <f>IF(COUNTIF(Table1[Customer ID],Table1[[#This Row],[Customer ID]])&gt;1,"Repeat Customer","One-Time Customer")</f>
        <v>Repeat Customer</v>
      </c>
      <c r="H983" s="1" t="s">
        <v>1759</v>
      </c>
      <c r="I983" s="1" t="s">
        <v>39</v>
      </c>
      <c r="J983" s="1" t="s">
        <v>114</v>
      </c>
      <c r="K983" s="1" t="s">
        <v>41</v>
      </c>
      <c r="L983" s="1" t="s">
        <v>152</v>
      </c>
      <c r="M983" s="1" t="s">
        <v>121</v>
      </c>
      <c r="N983" s="1" t="s">
        <v>462</v>
      </c>
      <c r="O983" s="1">
        <v>0.63</v>
      </c>
      <c r="P983" s="6">
        <f>Table1[[#This Row],[Profit]]/Table1[[#This Row],[Sales]]</f>
        <v>-0.40862231355848272</v>
      </c>
      <c r="Q983" s="1" t="s">
        <v>33</v>
      </c>
      <c r="R983" s="1" t="s">
        <v>136</v>
      </c>
      <c r="S983" s="1" t="s">
        <v>387</v>
      </c>
      <c r="T983" s="1" t="s">
        <v>580</v>
      </c>
      <c r="U983" s="1">
        <v>30305</v>
      </c>
      <c r="V983" s="9">
        <v>42167</v>
      </c>
      <c r="W983" s="13" t="str">
        <f>TEXT(Table1[[#This Row],[Order Date]],"mmmm")</f>
        <v>June</v>
      </c>
      <c r="X983" s="7" t="str">
        <f>TEXT(Table1[[#This Row],[Order Date]],"yyyy")</f>
        <v>2015</v>
      </c>
      <c r="Y983" s="9">
        <v>42169</v>
      </c>
      <c r="Z983" s="1">
        <v>-247.55157000000003</v>
      </c>
      <c r="AA983" s="1">
        <v>4</v>
      </c>
      <c r="AB983" s="1">
        <v>605.82000000000005</v>
      </c>
      <c r="AC983" s="1">
        <v>12224</v>
      </c>
      <c r="AD983" s="6" t="str">
        <f>IF(COUNTIF(Returns!$A$2:$A$1635,Orders!AC983)&gt;0,"Returned","Not Returned")</f>
        <v>Not Returned</v>
      </c>
    </row>
    <row r="984" spans="1:30" ht="12.75" customHeight="1" thickTop="1" thickBot="1" x14ac:dyDescent="0.25">
      <c r="A984" s="10">
        <v>1693</v>
      </c>
      <c r="B984" s="11" t="s">
        <v>25</v>
      </c>
      <c r="C984" s="11">
        <v>0.1</v>
      </c>
      <c r="D984" s="11">
        <v>35.99</v>
      </c>
      <c r="E984" s="11">
        <v>5</v>
      </c>
      <c r="F984" s="11">
        <v>1745</v>
      </c>
      <c r="G984" s="6" t="str">
        <f>IF(COUNTIF(Table1[Customer ID],Table1[[#This Row],[Customer ID]])&gt;1,"Repeat Customer","One-Time Customer")</f>
        <v>Repeat Customer</v>
      </c>
      <c r="H984" s="11" t="s">
        <v>1759</v>
      </c>
      <c r="I984" s="11" t="s">
        <v>49</v>
      </c>
      <c r="J984" s="11" t="s">
        <v>114</v>
      </c>
      <c r="K984" s="11" t="s">
        <v>77</v>
      </c>
      <c r="L984" s="11" t="s">
        <v>78</v>
      </c>
      <c r="M984" s="11" t="s">
        <v>31</v>
      </c>
      <c r="N984" s="11" t="s">
        <v>1762</v>
      </c>
      <c r="O984" s="11">
        <v>0.82</v>
      </c>
      <c r="P984" s="6">
        <f>Table1[[#This Row],[Profit]]/Table1[[#This Row],[Sales]]</f>
        <v>-0.17667892925430212</v>
      </c>
      <c r="Q984" s="11" t="s">
        <v>33</v>
      </c>
      <c r="R984" s="11" t="s">
        <v>136</v>
      </c>
      <c r="S984" s="11" t="s">
        <v>387</v>
      </c>
      <c r="T984" s="11" t="s">
        <v>580</v>
      </c>
      <c r="U984" s="11">
        <v>30305</v>
      </c>
      <c r="V984" s="12">
        <v>42167</v>
      </c>
      <c r="W984" s="13" t="str">
        <f>TEXT(Table1[[#This Row],[Order Date]],"mmmm")</f>
        <v>June</v>
      </c>
      <c r="X984" s="7" t="str">
        <f>TEXT(Table1[[#This Row],[Order Date]],"yyyy")</f>
        <v>2015</v>
      </c>
      <c r="Y984" s="12">
        <v>42167</v>
      </c>
      <c r="Z984" s="11">
        <v>-277.20924000000002</v>
      </c>
      <c r="AA984" s="11">
        <v>54</v>
      </c>
      <c r="AB984" s="11">
        <v>1569</v>
      </c>
      <c r="AC984" s="11">
        <v>12224</v>
      </c>
      <c r="AD984" s="6" t="str">
        <f>IF(COUNTIF(Returns!$A$2:$A$1635,Orders!AC984)&gt;0,"Returned","Not Returned")</f>
        <v>Not Returned</v>
      </c>
    </row>
    <row r="985" spans="1:30" ht="12.75" customHeight="1" thickTop="1" thickBot="1" x14ac:dyDescent="0.25">
      <c r="A985" s="8">
        <v>19692</v>
      </c>
      <c r="B985" s="1" t="s">
        <v>25</v>
      </c>
      <c r="C985" s="1">
        <v>0.04</v>
      </c>
      <c r="D985" s="1">
        <v>124.49</v>
      </c>
      <c r="E985" s="1">
        <v>51.94</v>
      </c>
      <c r="F985" s="1">
        <v>1748</v>
      </c>
      <c r="G985" s="6" t="str">
        <f>IF(COUNTIF(Table1[Customer ID],Table1[[#This Row],[Customer ID]])&gt;1,"Repeat Customer","One-Time Customer")</f>
        <v>One-Time Customer</v>
      </c>
      <c r="H985" s="1" t="s">
        <v>1763</v>
      </c>
      <c r="I985" s="1" t="s">
        <v>39</v>
      </c>
      <c r="J985" s="1" t="s">
        <v>114</v>
      </c>
      <c r="K985" s="1" t="s">
        <v>41</v>
      </c>
      <c r="L985" s="1" t="s">
        <v>152</v>
      </c>
      <c r="M985" s="1" t="s">
        <v>121</v>
      </c>
      <c r="N985" s="1" t="s">
        <v>462</v>
      </c>
      <c r="O985" s="1">
        <v>0.63</v>
      </c>
      <c r="P985" s="6">
        <f>Table1[[#This Row],[Profit]]/Table1[[#This Row],[Sales]]</f>
        <v>-0.6144493595668824</v>
      </c>
      <c r="Q985" s="1" t="s">
        <v>33</v>
      </c>
      <c r="R985" s="1" t="s">
        <v>61</v>
      </c>
      <c r="S985" s="1" t="s">
        <v>304</v>
      </c>
      <c r="T985" s="1" t="s">
        <v>1764</v>
      </c>
      <c r="U985" s="1">
        <v>73703</v>
      </c>
      <c r="V985" s="9">
        <v>42167</v>
      </c>
      <c r="W985" s="13" t="str">
        <f>TEXT(Table1[[#This Row],[Order Date]],"mmmm")</f>
        <v>June</v>
      </c>
      <c r="X985" s="7" t="str">
        <f>TEXT(Table1[[#This Row],[Order Date]],"yyyy")</f>
        <v>2015</v>
      </c>
      <c r="Y985" s="9">
        <v>42169</v>
      </c>
      <c r="Z985" s="1">
        <v>-93.06450000000001</v>
      </c>
      <c r="AA985" s="1">
        <v>1</v>
      </c>
      <c r="AB985" s="1">
        <v>151.46</v>
      </c>
      <c r="AC985" s="1">
        <v>87245</v>
      </c>
      <c r="AD985" s="6" t="str">
        <f>IF(COUNTIF(Returns!$A$2:$A$1635,Orders!AC985)&gt;0,"Returned","Not Returned")</f>
        <v>Not Returned</v>
      </c>
    </row>
    <row r="986" spans="1:30" ht="12.75" customHeight="1" thickTop="1" thickBot="1" x14ac:dyDescent="0.25">
      <c r="A986" s="10">
        <v>20571</v>
      </c>
      <c r="B986" s="11" t="s">
        <v>37</v>
      </c>
      <c r="C986" s="11">
        <v>0.02</v>
      </c>
      <c r="D986" s="11">
        <v>4.13</v>
      </c>
      <c r="E986" s="11">
        <v>6.89</v>
      </c>
      <c r="F986" s="11">
        <v>1749</v>
      </c>
      <c r="G986" s="6" t="str">
        <f>IF(COUNTIF(Table1[Customer ID],Table1[[#This Row],[Customer ID]])&gt;1,"Repeat Customer","One-Time Customer")</f>
        <v>Repeat Customer</v>
      </c>
      <c r="H986" s="11" t="s">
        <v>1765</v>
      </c>
      <c r="I986" s="11" t="s">
        <v>49</v>
      </c>
      <c r="J986" s="11" t="s">
        <v>40</v>
      </c>
      <c r="K986" s="11" t="s">
        <v>29</v>
      </c>
      <c r="L986" s="11" t="s">
        <v>134</v>
      </c>
      <c r="M986" s="11" t="s">
        <v>59</v>
      </c>
      <c r="N986" s="11" t="s">
        <v>1760</v>
      </c>
      <c r="O986" s="11">
        <v>0.39</v>
      </c>
      <c r="P986" s="6">
        <f>Table1[[#This Row],[Profit]]/Table1[[#This Row],[Sales]]</f>
        <v>-4.7336604514229634</v>
      </c>
      <c r="Q986" s="11" t="s">
        <v>33</v>
      </c>
      <c r="R986" s="11" t="s">
        <v>61</v>
      </c>
      <c r="S986" s="11" t="s">
        <v>304</v>
      </c>
      <c r="T986" s="11" t="s">
        <v>1766</v>
      </c>
      <c r="U986" s="11">
        <v>73505</v>
      </c>
      <c r="V986" s="12">
        <v>42013</v>
      </c>
      <c r="W986" s="13" t="str">
        <f>TEXT(Table1[[#This Row],[Order Date]],"mmmm")</f>
        <v>January</v>
      </c>
      <c r="X986" s="7" t="str">
        <f>TEXT(Table1[[#This Row],[Order Date]],"yyyy")</f>
        <v>2015</v>
      </c>
      <c r="Y986" s="12">
        <v>42014</v>
      </c>
      <c r="Z986" s="11">
        <v>-48.235999999999997</v>
      </c>
      <c r="AA986" s="11">
        <v>2</v>
      </c>
      <c r="AB986" s="11">
        <v>10.19</v>
      </c>
      <c r="AC986" s="11">
        <v>87243</v>
      </c>
      <c r="AD986" s="6" t="str">
        <f>IF(COUNTIF(Returns!$A$2:$A$1635,Orders!AC986)&gt;0,"Returned","Not Returned")</f>
        <v>Not Returned</v>
      </c>
    </row>
    <row r="987" spans="1:30" ht="12.75" customHeight="1" thickTop="1" thickBot="1" x14ac:dyDescent="0.25">
      <c r="A987" s="8">
        <v>19863</v>
      </c>
      <c r="B987" s="1" t="s">
        <v>106</v>
      </c>
      <c r="C987" s="1">
        <v>0.04</v>
      </c>
      <c r="D987" s="1">
        <v>60.65</v>
      </c>
      <c r="E987" s="1">
        <v>12.23</v>
      </c>
      <c r="F987" s="1">
        <v>1749</v>
      </c>
      <c r="G987" s="6" t="str">
        <f>IF(COUNTIF(Table1[Customer ID],Table1[[#This Row],[Customer ID]])&gt;1,"Repeat Customer","One-Time Customer")</f>
        <v>Repeat Customer</v>
      </c>
      <c r="H987" s="1" t="s">
        <v>1765</v>
      </c>
      <c r="I987" s="1" t="s">
        <v>49</v>
      </c>
      <c r="J987" s="1" t="s">
        <v>40</v>
      </c>
      <c r="K987" s="1" t="s">
        <v>41</v>
      </c>
      <c r="L987" s="1" t="s">
        <v>50</v>
      </c>
      <c r="M987" s="1" t="s">
        <v>86</v>
      </c>
      <c r="N987" s="1" t="s">
        <v>1761</v>
      </c>
      <c r="O987" s="1">
        <v>0.64</v>
      </c>
      <c r="P987" s="6">
        <f>Table1[[#This Row],[Profit]]/Table1[[#This Row],[Sales]]</f>
        <v>0.69</v>
      </c>
      <c r="Q987" s="1" t="s">
        <v>33</v>
      </c>
      <c r="R987" s="1" t="s">
        <v>61</v>
      </c>
      <c r="S987" s="1" t="s">
        <v>304</v>
      </c>
      <c r="T987" s="1" t="s">
        <v>1766</v>
      </c>
      <c r="U987" s="1">
        <v>73505</v>
      </c>
      <c r="V987" s="9">
        <v>42049</v>
      </c>
      <c r="W987" s="13" t="str">
        <f>TEXT(Table1[[#This Row],[Order Date]],"mmmm")</f>
        <v>February</v>
      </c>
      <c r="X987" s="7" t="str">
        <f>TEXT(Table1[[#This Row],[Order Date]],"yyyy")</f>
        <v>2015</v>
      </c>
      <c r="Y987" s="9">
        <v>42051</v>
      </c>
      <c r="Z987" s="1">
        <v>44.291099999999993</v>
      </c>
      <c r="AA987" s="1">
        <v>1</v>
      </c>
      <c r="AB987" s="1">
        <v>64.19</v>
      </c>
      <c r="AC987" s="1">
        <v>87244</v>
      </c>
      <c r="AD987" s="6" t="str">
        <f>IF(COUNTIF(Returns!$A$2:$A$1635,Orders!AC987)&gt;0,"Returned","Not Returned")</f>
        <v>Not Returned</v>
      </c>
    </row>
    <row r="988" spans="1:30" ht="12.75" customHeight="1" thickTop="1" thickBot="1" x14ac:dyDescent="0.25">
      <c r="A988" s="10">
        <v>19477</v>
      </c>
      <c r="B988" s="11" t="s">
        <v>106</v>
      </c>
      <c r="C988" s="11">
        <v>0.04</v>
      </c>
      <c r="D988" s="11">
        <v>8.5</v>
      </c>
      <c r="E988" s="11">
        <v>1.99</v>
      </c>
      <c r="F988" s="11">
        <v>1754</v>
      </c>
      <c r="G988" s="6" t="str">
        <f>IF(COUNTIF(Table1[Customer ID],Table1[[#This Row],[Customer ID]])&gt;1,"Repeat Customer","One-Time Customer")</f>
        <v>Repeat Customer</v>
      </c>
      <c r="H988" s="11" t="s">
        <v>1767</v>
      </c>
      <c r="I988" s="11" t="s">
        <v>49</v>
      </c>
      <c r="J988" s="11" t="s">
        <v>114</v>
      </c>
      <c r="K988" s="11" t="s">
        <v>77</v>
      </c>
      <c r="L988" s="11" t="s">
        <v>180</v>
      </c>
      <c r="M988" s="11" t="s">
        <v>51</v>
      </c>
      <c r="N988" s="11" t="s">
        <v>847</v>
      </c>
      <c r="O988" s="11">
        <v>0.49</v>
      </c>
      <c r="P988" s="6">
        <f>Table1[[#This Row],[Profit]]/Table1[[#This Row],[Sales]]</f>
        <v>0.36497596356582612</v>
      </c>
      <c r="Q988" s="11" t="s">
        <v>33</v>
      </c>
      <c r="R988" s="11" t="s">
        <v>34</v>
      </c>
      <c r="S988" s="11" t="s">
        <v>45</v>
      </c>
      <c r="T988" s="11" t="s">
        <v>1768</v>
      </c>
      <c r="U988" s="11">
        <v>90503</v>
      </c>
      <c r="V988" s="12">
        <v>42062</v>
      </c>
      <c r="W988" s="13" t="str">
        <f>TEXT(Table1[[#This Row],[Order Date]],"mmmm")</f>
        <v>February</v>
      </c>
      <c r="X988" s="7" t="str">
        <f>TEXT(Table1[[#This Row],[Order Date]],"yyyy")</f>
        <v>2015</v>
      </c>
      <c r="Y988" s="12">
        <v>42063</v>
      </c>
      <c r="Z988" s="11">
        <v>43.275199999999998</v>
      </c>
      <c r="AA988" s="11">
        <v>14</v>
      </c>
      <c r="AB988" s="11">
        <v>118.57</v>
      </c>
      <c r="AC988" s="11">
        <v>90178</v>
      </c>
      <c r="AD988" s="6" t="str">
        <f>IF(COUNTIF(Returns!$A$2:$A$1635,Orders!AC988)&gt;0,"Returned","Not Returned")</f>
        <v>Not Returned</v>
      </c>
    </row>
    <row r="989" spans="1:30" ht="12.75" customHeight="1" thickTop="1" thickBot="1" x14ac:dyDescent="0.25">
      <c r="A989" s="8">
        <v>19478</v>
      </c>
      <c r="B989" s="1" t="s">
        <v>106</v>
      </c>
      <c r="C989" s="1">
        <v>0.1</v>
      </c>
      <c r="D989" s="1">
        <v>15.99</v>
      </c>
      <c r="E989" s="1">
        <v>9.4</v>
      </c>
      <c r="F989" s="1">
        <v>1754</v>
      </c>
      <c r="G989" s="6" t="str">
        <f>IF(COUNTIF(Table1[Customer ID],Table1[[#This Row],[Customer ID]])&gt;1,"Repeat Customer","One-Time Customer")</f>
        <v>Repeat Customer</v>
      </c>
      <c r="H989" s="1" t="s">
        <v>1767</v>
      </c>
      <c r="I989" s="1" t="s">
        <v>49</v>
      </c>
      <c r="J989" s="1" t="s">
        <v>114</v>
      </c>
      <c r="K989" s="1" t="s">
        <v>77</v>
      </c>
      <c r="L989" s="1" t="s">
        <v>85</v>
      </c>
      <c r="M989" s="1" t="s">
        <v>59</v>
      </c>
      <c r="N989" s="1" t="s">
        <v>1769</v>
      </c>
      <c r="O989" s="1">
        <v>0.49</v>
      </c>
      <c r="P989" s="6">
        <f>Table1[[#This Row],[Profit]]/Table1[[#This Row],[Sales]]</f>
        <v>-0.4557017742544357</v>
      </c>
      <c r="Q989" s="1" t="s">
        <v>33</v>
      </c>
      <c r="R989" s="1" t="s">
        <v>34</v>
      </c>
      <c r="S989" s="1" t="s">
        <v>45</v>
      </c>
      <c r="T989" s="1" t="s">
        <v>1768</v>
      </c>
      <c r="U989" s="1">
        <v>90503</v>
      </c>
      <c r="V989" s="9">
        <v>42062</v>
      </c>
      <c r="W989" s="13" t="str">
        <f>TEXT(Table1[[#This Row],[Order Date]],"mmmm")</f>
        <v>February</v>
      </c>
      <c r="X989" s="7" t="str">
        <f>TEXT(Table1[[#This Row],[Order Date]],"yyyy")</f>
        <v>2015</v>
      </c>
      <c r="Y989" s="9">
        <v>42062</v>
      </c>
      <c r="Z989" s="1">
        <v>-36.214620000000004</v>
      </c>
      <c r="AA989" s="1">
        <v>5</v>
      </c>
      <c r="AB989" s="1">
        <v>79.47</v>
      </c>
      <c r="AC989" s="1">
        <v>90178</v>
      </c>
      <c r="AD989" s="6" t="str">
        <f>IF(COUNTIF(Returns!$A$2:$A$1635,Orders!AC989)&gt;0,"Returned","Not Returned")</f>
        <v>Not Returned</v>
      </c>
    </row>
    <row r="990" spans="1:30" ht="12.75" customHeight="1" thickTop="1" thickBot="1" x14ac:dyDescent="0.25">
      <c r="A990" s="10">
        <v>19479</v>
      </c>
      <c r="B990" s="11" t="s">
        <v>106</v>
      </c>
      <c r="C990" s="11">
        <v>0.09</v>
      </c>
      <c r="D990" s="11">
        <v>95.99</v>
      </c>
      <c r="E990" s="11">
        <v>8.99</v>
      </c>
      <c r="F990" s="11">
        <v>1754</v>
      </c>
      <c r="G990" s="6" t="str">
        <f>IF(COUNTIF(Table1[Customer ID],Table1[[#This Row],[Customer ID]])&gt;1,"Repeat Customer","One-Time Customer")</f>
        <v>Repeat Customer</v>
      </c>
      <c r="H990" s="11" t="s">
        <v>1767</v>
      </c>
      <c r="I990" s="11" t="s">
        <v>49</v>
      </c>
      <c r="J990" s="11" t="s">
        <v>114</v>
      </c>
      <c r="K990" s="11" t="s">
        <v>77</v>
      </c>
      <c r="L990" s="11" t="s">
        <v>78</v>
      </c>
      <c r="M990" s="11" t="s">
        <v>59</v>
      </c>
      <c r="N990" s="11" t="s">
        <v>1770</v>
      </c>
      <c r="O990" s="11">
        <v>0.56999999999999995</v>
      </c>
      <c r="P990" s="6">
        <f>Table1[[#This Row],[Profit]]/Table1[[#This Row],[Sales]]</f>
        <v>1.1211835225098842E-2</v>
      </c>
      <c r="Q990" s="11" t="s">
        <v>33</v>
      </c>
      <c r="R990" s="11" t="s">
        <v>34</v>
      </c>
      <c r="S990" s="11" t="s">
        <v>45</v>
      </c>
      <c r="T990" s="11" t="s">
        <v>1768</v>
      </c>
      <c r="U990" s="11">
        <v>90503</v>
      </c>
      <c r="V990" s="12">
        <v>42062</v>
      </c>
      <c r="W990" s="13" t="str">
        <f>TEXT(Table1[[#This Row],[Order Date]],"mmmm")</f>
        <v>February</v>
      </c>
      <c r="X990" s="7" t="str">
        <f>TEXT(Table1[[#This Row],[Order Date]],"yyyy")</f>
        <v>2015</v>
      </c>
      <c r="Y990" s="12">
        <v>42066</v>
      </c>
      <c r="Z990" s="11">
        <v>7.032960000000001</v>
      </c>
      <c r="AA990" s="11">
        <v>8</v>
      </c>
      <c r="AB990" s="11">
        <v>627.28</v>
      </c>
      <c r="AC990" s="11">
        <v>90178</v>
      </c>
      <c r="AD990" s="6" t="str">
        <f>IF(COUNTIF(Returns!$A$2:$A$1635,Orders!AC990)&gt;0,"Returned","Not Returned")</f>
        <v>Not Returned</v>
      </c>
    </row>
    <row r="991" spans="1:30" ht="12.75" customHeight="1" thickTop="1" thickBot="1" x14ac:dyDescent="0.25">
      <c r="A991" s="8">
        <v>25920</v>
      </c>
      <c r="B991" s="1" t="s">
        <v>25</v>
      </c>
      <c r="C991" s="1">
        <v>0</v>
      </c>
      <c r="D991" s="1">
        <v>115.99</v>
      </c>
      <c r="E991" s="1">
        <v>5.92</v>
      </c>
      <c r="F991" s="1">
        <v>1764</v>
      </c>
      <c r="G991" s="6" t="str">
        <f>IF(COUNTIF(Table1[Customer ID],Table1[[#This Row],[Customer ID]])&gt;1,"Repeat Customer","One-Time Customer")</f>
        <v>Repeat Customer</v>
      </c>
      <c r="H991" s="1" t="s">
        <v>1771</v>
      </c>
      <c r="I991" s="1" t="s">
        <v>49</v>
      </c>
      <c r="J991" s="1" t="s">
        <v>114</v>
      </c>
      <c r="K991" s="1" t="s">
        <v>77</v>
      </c>
      <c r="L991" s="1" t="s">
        <v>78</v>
      </c>
      <c r="M991" s="1" t="s">
        <v>59</v>
      </c>
      <c r="N991" s="1" t="s">
        <v>1772</v>
      </c>
      <c r="O991" s="1">
        <v>0.57999999999999996</v>
      </c>
      <c r="P991" s="6">
        <f>Table1[[#This Row],[Profit]]/Table1[[#This Row],[Sales]]</f>
        <v>-1.4453387566570726E-2</v>
      </c>
      <c r="Q991" s="1" t="s">
        <v>33</v>
      </c>
      <c r="R991" s="1" t="s">
        <v>136</v>
      </c>
      <c r="S991" s="1" t="s">
        <v>362</v>
      </c>
      <c r="T991" s="1" t="s">
        <v>1773</v>
      </c>
      <c r="U991" s="1">
        <v>34698</v>
      </c>
      <c r="V991" s="9">
        <v>42026</v>
      </c>
      <c r="W991" s="13" t="str">
        <f>TEXT(Table1[[#This Row],[Order Date]],"mmmm")</f>
        <v>January</v>
      </c>
      <c r="X991" s="7" t="str">
        <f>TEXT(Table1[[#This Row],[Order Date]],"yyyy")</f>
        <v>2015</v>
      </c>
      <c r="Y991" s="9">
        <v>42026</v>
      </c>
      <c r="Z991" s="1">
        <v>-16.772000000000002</v>
      </c>
      <c r="AA991" s="1">
        <v>11</v>
      </c>
      <c r="AB991" s="1">
        <v>1160.42</v>
      </c>
      <c r="AC991" s="1">
        <v>89775</v>
      </c>
      <c r="AD991" s="6" t="str">
        <f>IF(COUNTIF(Returns!$A$2:$A$1635,Orders!AC991)&gt;0,"Returned","Not Returned")</f>
        <v>Not Returned</v>
      </c>
    </row>
    <row r="992" spans="1:30" ht="12.75" customHeight="1" thickTop="1" thickBot="1" x14ac:dyDescent="0.25">
      <c r="A992" s="10">
        <v>25608</v>
      </c>
      <c r="B992" s="11" t="s">
        <v>25</v>
      </c>
      <c r="C992" s="11">
        <v>0.06</v>
      </c>
      <c r="D992" s="11">
        <v>19.98</v>
      </c>
      <c r="E992" s="11">
        <v>10.49</v>
      </c>
      <c r="F992" s="11">
        <v>1764</v>
      </c>
      <c r="G992" s="6" t="str">
        <f>IF(COUNTIF(Table1[Customer ID],Table1[[#This Row],[Customer ID]])&gt;1,"Repeat Customer","One-Time Customer")</f>
        <v>Repeat Customer</v>
      </c>
      <c r="H992" s="11" t="s">
        <v>1771</v>
      </c>
      <c r="I992" s="11" t="s">
        <v>49</v>
      </c>
      <c r="J992" s="11" t="s">
        <v>114</v>
      </c>
      <c r="K992" s="11" t="s">
        <v>41</v>
      </c>
      <c r="L992" s="11" t="s">
        <v>50</v>
      </c>
      <c r="M992" s="11" t="s">
        <v>59</v>
      </c>
      <c r="N992" s="11" t="s">
        <v>1774</v>
      </c>
      <c r="O992" s="11">
        <v>0.49</v>
      </c>
      <c r="P992" s="6">
        <f>Table1[[#This Row],[Profit]]/Table1[[#This Row],[Sales]]</f>
        <v>4.9741433684821512</v>
      </c>
      <c r="Q992" s="11" t="s">
        <v>33</v>
      </c>
      <c r="R992" s="11" t="s">
        <v>136</v>
      </c>
      <c r="S992" s="11" t="s">
        <v>362</v>
      </c>
      <c r="T992" s="11" t="s">
        <v>1773</v>
      </c>
      <c r="U992" s="11">
        <v>34698</v>
      </c>
      <c r="V992" s="12">
        <v>42064</v>
      </c>
      <c r="W992" s="13" t="str">
        <f>TEXT(Table1[[#This Row],[Order Date]],"mmmm")</f>
        <v>March</v>
      </c>
      <c r="X992" s="7" t="str">
        <f>TEXT(Table1[[#This Row],[Order Date]],"yyyy")</f>
        <v>2015</v>
      </c>
      <c r="Y992" s="12">
        <v>42066</v>
      </c>
      <c r="Z992" s="11">
        <v>514.17719999999997</v>
      </c>
      <c r="AA992" s="11">
        <v>5</v>
      </c>
      <c r="AB992" s="11">
        <v>103.37</v>
      </c>
      <c r="AC992" s="11">
        <v>89776</v>
      </c>
      <c r="AD992" s="6" t="str">
        <f>IF(COUNTIF(Returns!$A$2:$A$1635,Orders!AC992)&gt;0,"Returned","Not Returned")</f>
        <v>Not Returned</v>
      </c>
    </row>
    <row r="993" spans="1:30" ht="12.75" customHeight="1" thickTop="1" thickBot="1" x14ac:dyDescent="0.25">
      <c r="A993" s="8">
        <v>25609</v>
      </c>
      <c r="B993" s="1" t="s">
        <v>25</v>
      </c>
      <c r="C993" s="1">
        <v>0.08</v>
      </c>
      <c r="D993" s="1">
        <v>1.76</v>
      </c>
      <c r="E993" s="1">
        <v>4.8600000000000003</v>
      </c>
      <c r="F993" s="1">
        <v>1764</v>
      </c>
      <c r="G993" s="6" t="str">
        <f>IF(COUNTIF(Table1[Customer ID],Table1[[#This Row],[Customer ID]])&gt;1,"Repeat Customer","One-Time Customer")</f>
        <v>Repeat Customer</v>
      </c>
      <c r="H993" s="1" t="s">
        <v>1771</v>
      </c>
      <c r="I993" s="1" t="s">
        <v>49</v>
      </c>
      <c r="J993" s="1" t="s">
        <v>114</v>
      </c>
      <c r="K993" s="1" t="s">
        <v>41</v>
      </c>
      <c r="L993" s="1" t="s">
        <v>50</v>
      </c>
      <c r="M993" s="1" t="s">
        <v>59</v>
      </c>
      <c r="N993" s="1" t="s">
        <v>1775</v>
      </c>
      <c r="O993" s="1">
        <v>0.41</v>
      </c>
      <c r="P993" s="6">
        <f>Table1[[#This Row],[Profit]]/Table1[[#This Row],[Sales]]</f>
        <v>5.8591745400298354</v>
      </c>
      <c r="Q993" s="1" t="s">
        <v>33</v>
      </c>
      <c r="R993" s="1" t="s">
        <v>136</v>
      </c>
      <c r="S993" s="1" t="s">
        <v>362</v>
      </c>
      <c r="T993" s="1" t="s">
        <v>1773</v>
      </c>
      <c r="U993" s="1">
        <v>34698</v>
      </c>
      <c r="V993" s="9">
        <v>42064</v>
      </c>
      <c r="W993" s="13" t="str">
        <f>TEXT(Table1[[#This Row],[Order Date]],"mmmm")</f>
        <v>March</v>
      </c>
      <c r="X993" s="7" t="str">
        <f>TEXT(Table1[[#This Row],[Order Date]],"yyyy")</f>
        <v>2015</v>
      </c>
      <c r="Y993" s="9">
        <v>42065</v>
      </c>
      <c r="Z993" s="1">
        <v>235.65599999999998</v>
      </c>
      <c r="AA993" s="1">
        <v>23</v>
      </c>
      <c r="AB993" s="1">
        <v>40.22</v>
      </c>
      <c r="AC993" s="1">
        <v>89776</v>
      </c>
      <c r="AD993" s="6" t="str">
        <f>IF(COUNTIF(Returns!$A$2:$A$1635,Orders!AC993)&gt;0,"Returned","Not Returned")</f>
        <v>Not Returned</v>
      </c>
    </row>
    <row r="994" spans="1:30" ht="12.75" customHeight="1" thickTop="1" thickBot="1" x14ac:dyDescent="0.25">
      <c r="A994" s="10">
        <v>25054</v>
      </c>
      <c r="B994" s="11" t="s">
        <v>37</v>
      </c>
      <c r="C994" s="11">
        <v>0</v>
      </c>
      <c r="D994" s="11">
        <v>5.77</v>
      </c>
      <c r="E994" s="11">
        <v>4.97</v>
      </c>
      <c r="F994" s="11">
        <v>1765</v>
      </c>
      <c r="G994" s="6" t="str">
        <f>IF(COUNTIF(Table1[Customer ID],Table1[[#This Row],[Customer ID]])&gt;1,"Repeat Customer","One-Time Customer")</f>
        <v>One-Time Customer</v>
      </c>
      <c r="H994" s="11" t="s">
        <v>1776</v>
      </c>
      <c r="I994" s="11" t="s">
        <v>49</v>
      </c>
      <c r="J994" s="11" t="s">
        <v>114</v>
      </c>
      <c r="K994" s="11" t="s">
        <v>29</v>
      </c>
      <c r="L994" s="11" t="s">
        <v>109</v>
      </c>
      <c r="M994" s="11" t="s">
        <v>59</v>
      </c>
      <c r="N994" s="11" t="s">
        <v>1777</v>
      </c>
      <c r="O994" s="11">
        <v>0.35</v>
      </c>
      <c r="P994" s="6">
        <f>Table1[[#This Row],[Profit]]/Table1[[#This Row],[Sales]]</f>
        <v>6.7863818424566152E-2</v>
      </c>
      <c r="Q994" s="11" t="s">
        <v>33</v>
      </c>
      <c r="R994" s="11" t="s">
        <v>61</v>
      </c>
      <c r="S994" s="11" t="s">
        <v>506</v>
      </c>
      <c r="T994" s="11" t="s">
        <v>1778</v>
      </c>
      <c r="U994" s="11">
        <v>63141</v>
      </c>
      <c r="V994" s="12">
        <v>42128</v>
      </c>
      <c r="W994" s="13" t="str">
        <f>TEXT(Table1[[#This Row],[Order Date]],"mmmm")</f>
        <v>May</v>
      </c>
      <c r="X994" s="7" t="str">
        <f>TEXT(Table1[[#This Row],[Order Date]],"yyyy")</f>
        <v>2015</v>
      </c>
      <c r="Y994" s="12">
        <v>42129</v>
      </c>
      <c r="Z994" s="11">
        <v>3.5581000000000031</v>
      </c>
      <c r="AA994" s="11">
        <v>8</v>
      </c>
      <c r="AB994" s="11">
        <v>52.43</v>
      </c>
      <c r="AC994" s="11">
        <v>89777</v>
      </c>
      <c r="AD994" s="6" t="str">
        <f>IF(COUNTIF(Returns!$A$2:$A$1635,Orders!AC994)&gt;0,"Returned","Not Returned")</f>
        <v>Not Returned</v>
      </c>
    </row>
    <row r="995" spans="1:30" ht="12.75" customHeight="1" thickTop="1" thickBot="1" x14ac:dyDescent="0.25">
      <c r="A995" s="8">
        <v>20636</v>
      </c>
      <c r="B995" s="1" t="s">
        <v>47</v>
      </c>
      <c r="C995" s="1">
        <v>0.01</v>
      </c>
      <c r="D995" s="1">
        <v>50.98</v>
      </c>
      <c r="E995" s="1">
        <v>6.5</v>
      </c>
      <c r="F995" s="1">
        <v>1767</v>
      </c>
      <c r="G995" s="6" t="str">
        <f>IF(COUNTIF(Table1[Customer ID],Table1[[#This Row],[Customer ID]])&gt;1,"Repeat Customer","One-Time Customer")</f>
        <v>One-Time Customer</v>
      </c>
      <c r="H995" s="1" t="s">
        <v>1779</v>
      </c>
      <c r="I995" s="1" t="s">
        <v>49</v>
      </c>
      <c r="J995" s="1" t="s">
        <v>40</v>
      </c>
      <c r="K995" s="1" t="s">
        <v>77</v>
      </c>
      <c r="L995" s="1" t="s">
        <v>180</v>
      </c>
      <c r="M995" s="1" t="s">
        <v>59</v>
      </c>
      <c r="N995" s="1" t="s">
        <v>937</v>
      </c>
      <c r="O995" s="1">
        <v>0.73</v>
      </c>
      <c r="P995" s="6">
        <f>Table1[[#This Row],[Profit]]/Table1[[#This Row],[Sales]]</f>
        <v>6.5238426859216356E-3</v>
      </c>
      <c r="Q995" s="1" t="s">
        <v>33</v>
      </c>
      <c r="R995" s="1" t="s">
        <v>136</v>
      </c>
      <c r="S995" s="1" t="s">
        <v>387</v>
      </c>
      <c r="T995" s="1" t="s">
        <v>1722</v>
      </c>
      <c r="U995" s="1">
        <v>30265</v>
      </c>
      <c r="V995" s="9">
        <v>42089</v>
      </c>
      <c r="W995" s="13" t="str">
        <f>TEXT(Table1[[#This Row],[Order Date]],"mmmm")</f>
        <v>March</v>
      </c>
      <c r="X995" s="7" t="str">
        <f>TEXT(Table1[[#This Row],[Order Date]],"yyyy")</f>
        <v>2015</v>
      </c>
      <c r="Y995" s="9">
        <v>42090</v>
      </c>
      <c r="Z995" s="1">
        <v>5.3396999999999997</v>
      </c>
      <c r="AA995" s="1">
        <v>16</v>
      </c>
      <c r="AB995" s="1">
        <v>818.49</v>
      </c>
      <c r="AC995" s="1">
        <v>89211</v>
      </c>
      <c r="AD995" s="6" t="str">
        <f>IF(COUNTIF(Returns!$A$2:$A$1635,Orders!AC995)&gt;0,"Returned","Not Returned")</f>
        <v>Not Returned</v>
      </c>
    </row>
    <row r="996" spans="1:30" ht="12.75" customHeight="1" thickTop="1" thickBot="1" x14ac:dyDescent="0.25">
      <c r="A996" s="10">
        <v>24894</v>
      </c>
      <c r="B996" s="11" t="s">
        <v>56</v>
      </c>
      <c r="C996" s="11">
        <v>7.0000000000000007E-2</v>
      </c>
      <c r="D996" s="11">
        <v>60.98</v>
      </c>
      <c r="E996" s="11">
        <v>49</v>
      </c>
      <c r="F996" s="11">
        <v>1771</v>
      </c>
      <c r="G996" s="6" t="str">
        <f>IF(COUNTIF(Table1[Customer ID],Table1[[#This Row],[Customer ID]])&gt;1,"Repeat Customer","One-Time Customer")</f>
        <v>One-Time Customer</v>
      </c>
      <c r="H996" s="11" t="s">
        <v>1780</v>
      </c>
      <c r="I996" s="11" t="s">
        <v>49</v>
      </c>
      <c r="J996" s="11" t="s">
        <v>40</v>
      </c>
      <c r="K996" s="11" t="s">
        <v>29</v>
      </c>
      <c r="L996" s="11" t="s">
        <v>257</v>
      </c>
      <c r="M996" s="11" t="s">
        <v>236</v>
      </c>
      <c r="N996" s="11" t="s">
        <v>1583</v>
      </c>
      <c r="O996" s="11">
        <v>0.59</v>
      </c>
      <c r="P996" s="6">
        <f>Table1[[#This Row],[Profit]]/Table1[[#This Row],[Sales]]</f>
        <v>-1.9696467318428943</v>
      </c>
      <c r="Q996" s="11" t="s">
        <v>33</v>
      </c>
      <c r="R996" s="11" t="s">
        <v>61</v>
      </c>
      <c r="S996" s="11" t="s">
        <v>178</v>
      </c>
      <c r="T996" s="11" t="s">
        <v>1614</v>
      </c>
      <c r="U996" s="11">
        <v>61032</v>
      </c>
      <c r="V996" s="12">
        <v>42069</v>
      </c>
      <c r="W996" s="13" t="str">
        <f>TEXT(Table1[[#This Row],[Order Date]],"mmmm")</f>
        <v>March</v>
      </c>
      <c r="X996" s="7" t="str">
        <f>TEXT(Table1[[#This Row],[Order Date]],"yyyy")</f>
        <v>2015</v>
      </c>
      <c r="Y996" s="12">
        <v>42070</v>
      </c>
      <c r="Z996" s="11">
        <v>-807.89</v>
      </c>
      <c r="AA996" s="11">
        <v>7</v>
      </c>
      <c r="AB996" s="11">
        <v>410.17</v>
      </c>
      <c r="AC996" s="11">
        <v>89106</v>
      </c>
      <c r="AD996" s="6" t="str">
        <f>IF(COUNTIF(Returns!$A$2:$A$1635,Orders!AC996)&gt;0,"Returned","Not Returned")</f>
        <v>Not Returned</v>
      </c>
    </row>
    <row r="997" spans="1:30" ht="12.75" customHeight="1" thickTop="1" thickBot="1" x14ac:dyDescent="0.25">
      <c r="A997" s="8">
        <v>19826</v>
      </c>
      <c r="B997" s="1" t="s">
        <v>106</v>
      </c>
      <c r="C997" s="1">
        <v>0.09</v>
      </c>
      <c r="D997" s="1">
        <v>12.95</v>
      </c>
      <c r="E997" s="1">
        <v>4.9800000000000004</v>
      </c>
      <c r="F997" s="1">
        <v>1775</v>
      </c>
      <c r="G997" s="6" t="str">
        <f>IF(COUNTIF(Table1[Customer ID],Table1[[#This Row],[Customer ID]])&gt;1,"Repeat Customer","One-Time Customer")</f>
        <v>One-Time Customer</v>
      </c>
      <c r="H997" s="1" t="s">
        <v>1781</v>
      </c>
      <c r="I997" s="1" t="s">
        <v>49</v>
      </c>
      <c r="J997" s="1" t="s">
        <v>114</v>
      </c>
      <c r="K997" s="1" t="s">
        <v>29</v>
      </c>
      <c r="L997" s="1" t="s">
        <v>109</v>
      </c>
      <c r="M997" s="1" t="s">
        <v>59</v>
      </c>
      <c r="N997" s="1" t="s">
        <v>1504</v>
      </c>
      <c r="O997" s="1">
        <v>0.4</v>
      </c>
      <c r="P997" s="6">
        <f>Table1[[#This Row],[Profit]]/Table1[[#This Row],[Sales]]</f>
        <v>0.45964142613341247</v>
      </c>
      <c r="Q997" s="1" t="s">
        <v>33</v>
      </c>
      <c r="R997" s="1" t="s">
        <v>61</v>
      </c>
      <c r="S997" s="1" t="s">
        <v>703</v>
      </c>
      <c r="T997" s="1" t="s">
        <v>1782</v>
      </c>
      <c r="U997" s="1">
        <v>46614</v>
      </c>
      <c r="V997" s="9">
        <v>42169</v>
      </c>
      <c r="W997" s="13" t="str">
        <f>TEXT(Table1[[#This Row],[Order Date]],"mmmm")</f>
        <v>June</v>
      </c>
      <c r="X997" s="7" t="str">
        <f>TEXT(Table1[[#This Row],[Order Date]],"yyyy")</f>
        <v>2015</v>
      </c>
      <c r="Y997" s="9">
        <v>42176</v>
      </c>
      <c r="Z997" s="1">
        <v>123.89175</v>
      </c>
      <c r="AA997" s="1">
        <v>21</v>
      </c>
      <c r="AB997" s="1">
        <v>269.54000000000002</v>
      </c>
      <c r="AC997" s="1">
        <v>89944</v>
      </c>
      <c r="AD997" s="6" t="str">
        <f>IF(COUNTIF(Returns!$A$2:$A$1635,Orders!AC997)&gt;0,"Returned","Not Returned")</f>
        <v>Not Returned</v>
      </c>
    </row>
    <row r="998" spans="1:30" ht="12.75" customHeight="1" thickTop="1" thickBot="1" x14ac:dyDescent="0.25">
      <c r="A998" s="10">
        <v>20278</v>
      </c>
      <c r="B998" s="11" t="s">
        <v>37</v>
      </c>
      <c r="C998" s="11">
        <v>0.08</v>
      </c>
      <c r="D998" s="11">
        <v>5.78</v>
      </c>
      <c r="E998" s="11">
        <v>5.67</v>
      </c>
      <c r="F998" s="11">
        <v>1776</v>
      </c>
      <c r="G998" s="6" t="str">
        <f>IF(COUNTIF(Table1[Customer ID],Table1[[#This Row],[Customer ID]])&gt;1,"Repeat Customer","One-Time Customer")</f>
        <v>One-Time Customer</v>
      </c>
      <c r="H998" s="11" t="s">
        <v>1783</v>
      </c>
      <c r="I998" s="11" t="s">
        <v>49</v>
      </c>
      <c r="J998" s="11" t="s">
        <v>114</v>
      </c>
      <c r="K998" s="11" t="s">
        <v>29</v>
      </c>
      <c r="L998" s="11" t="s">
        <v>93</v>
      </c>
      <c r="M998" s="11" t="s">
        <v>59</v>
      </c>
      <c r="N998" s="11" t="s">
        <v>636</v>
      </c>
      <c r="O998" s="11">
        <v>0.36</v>
      </c>
      <c r="P998" s="6">
        <f>Table1[[#This Row],[Profit]]/Table1[[#This Row],[Sales]]</f>
        <v>-0.50575208782959569</v>
      </c>
      <c r="Q998" s="11" t="s">
        <v>33</v>
      </c>
      <c r="R998" s="11" t="s">
        <v>61</v>
      </c>
      <c r="S998" s="11" t="s">
        <v>703</v>
      </c>
      <c r="T998" s="11" t="s">
        <v>1784</v>
      </c>
      <c r="U998" s="11">
        <v>47802</v>
      </c>
      <c r="V998" s="12">
        <v>42039</v>
      </c>
      <c r="W998" s="13" t="str">
        <f>TEXT(Table1[[#This Row],[Order Date]],"mmmm")</f>
        <v>February</v>
      </c>
      <c r="X998" s="7" t="str">
        <f>TEXT(Table1[[#This Row],[Order Date]],"yyyy")</f>
        <v>2015</v>
      </c>
      <c r="Y998" s="12">
        <v>42040</v>
      </c>
      <c r="Z998" s="11">
        <v>-53.898000000000003</v>
      </c>
      <c r="AA998" s="11">
        <v>19</v>
      </c>
      <c r="AB998" s="11">
        <v>106.57</v>
      </c>
      <c r="AC998" s="11">
        <v>89941</v>
      </c>
      <c r="AD998" s="6" t="str">
        <f>IF(COUNTIF(Returns!$A$2:$A$1635,Orders!AC998)&gt;0,"Returned","Not Returned")</f>
        <v>Not Returned</v>
      </c>
    </row>
    <row r="999" spans="1:30" ht="12.75" customHeight="1" thickTop="1" thickBot="1" x14ac:dyDescent="0.25">
      <c r="A999" s="8">
        <v>20391</v>
      </c>
      <c r="B999" s="1" t="s">
        <v>106</v>
      </c>
      <c r="C999" s="1">
        <v>7.0000000000000007E-2</v>
      </c>
      <c r="D999" s="1">
        <v>5.43</v>
      </c>
      <c r="E999" s="1">
        <v>0.95</v>
      </c>
      <c r="F999" s="1">
        <v>1777</v>
      </c>
      <c r="G999" s="6" t="str">
        <f>IF(COUNTIF(Table1[Customer ID],Table1[[#This Row],[Customer ID]])&gt;1,"Repeat Customer","One-Time Customer")</f>
        <v>Repeat Customer</v>
      </c>
      <c r="H999" s="1" t="s">
        <v>1785</v>
      </c>
      <c r="I999" s="1" t="s">
        <v>49</v>
      </c>
      <c r="J999" s="1" t="s">
        <v>114</v>
      </c>
      <c r="K999" s="1" t="s">
        <v>29</v>
      </c>
      <c r="L999" s="1" t="s">
        <v>93</v>
      </c>
      <c r="M999" s="1" t="s">
        <v>31</v>
      </c>
      <c r="N999" s="1" t="s">
        <v>628</v>
      </c>
      <c r="O999" s="1">
        <v>0.36</v>
      </c>
      <c r="P999" s="6">
        <f>Table1[[#This Row],[Profit]]/Table1[[#This Row],[Sales]]</f>
        <v>0.69</v>
      </c>
      <c r="Q999" s="1" t="s">
        <v>33</v>
      </c>
      <c r="R999" s="1" t="s">
        <v>61</v>
      </c>
      <c r="S999" s="1" t="s">
        <v>703</v>
      </c>
      <c r="T999" s="1" t="s">
        <v>1786</v>
      </c>
      <c r="U999" s="1">
        <v>46383</v>
      </c>
      <c r="V999" s="9">
        <v>42116</v>
      </c>
      <c r="W999" s="13" t="str">
        <f>TEXT(Table1[[#This Row],[Order Date]],"mmmm")</f>
        <v>April</v>
      </c>
      <c r="X999" s="7" t="str">
        <f>TEXT(Table1[[#This Row],[Order Date]],"yyyy")</f>
        <v>2015</v>
      </c>
      <c r="Y999" s="9">
        <v>42120</v>
      </c>
      <c r="Z999" s="1">
        <v>26.502899999999997</v>
      </c>
      <c r="AA999" s="1">
        <v>7</v>
      </c>
      <c r="AB999" s="1">
        <v>38.409999999999997</v>
      </c>
      <c r="AC999" s="1">
        <v>89939</v>
      </c>
      <c r="AD999" s="6" t="str">
        <f>IF(COUNTIF(Returns!$A$2:$A$1635,Orders!AC999)&gt;0,"Returned","Not Returned")</f>
        <v>Not Returned</v>
      </c>
    </row>
    <row r="1000" spans="1:30" ht="12.75" customHeight="1" thickTop="1" thickBot="1" x14ac:dyDescent="0.25">
      <c r="A1000" s="10">
        <v>21163</v>
      </c>
      <c r="B1000" s="11" t="s">
        <v>106</v>
      </c>
      <c r="C1000" s="11">
        <v>0.02</v>
      </c>
      <c r="D1000" s="11">
        <v>10.06</v>
      </c>
      <c r="E1000" s="11">
        <v>2.06</v>
      </c>
      <c r="F1000" s="11">
        <v>1777</v>
      </c>
      <c r="G1000" s="6" t="str">
        <f>IF(COUNTIF(Table1[Customer ID],Table1[[#This Row],[Customer ID]])&gt;1,"Repeat Customer","One-Time Customer")</f>
        <v>Repeat Customer</v>
      </c>
      <c r="H1000" s="11" t="s">
        <v>1785</v>
      </c>
      <c r="I1000" s="11" t="s">
        <v>49</v>
      </c>
      <c r="J1000" s="11" t="s">
        <v>114</v>
      </c>
      <c r="K1000" s="11" t="s">
        <v>29</v>
      </c>
      <c r="L1000" s="11" t="s">
        <v>93</v>
      </c>
      <c r="M1000" s="11" t="s">
        <v>31</v>
      </c>
      <c r="N1000" s="11" t="s">
        <v>280</v>
      </c>
      <c r="O1000" s="11">
        <v>0.39</v>
      </c>
      <c r="P1000" s="6">
        <f>Table1[[#This Row],[Profit]]/Table1[[#This Row],[Sales]]</f>
        <v>0.69</v>
      </c>
      <c r="Q1000" s="11" t="s">
        <v>33</v>
      </c>
      <c r="R1000" s="11" t="s">
        <v>61</v>
      </c>
      <c r="S1000" s="11" t="s">
        <v>703</v>
      </c>
      <c r="T1000" s="11" t="s">
        <v>1786</v>
      </c>
      <c r="U1000" s="11">
        <v>46383</v>
      </c>
      <c r="V1000" s="12">
        <v>42007</v>
      </c>
      <c r="W1000" s="13" t="str">
        <f>TEXT(Table1[[#This Row],[Order Date]],"mmmm")</f>
        <v>January</v>
      </c>
      <c r="X1000" s="7" t="str">
        <f>TEXT(Table1[[#This Row],[Order Date]],"yyyy")</f>
        <v>2015</v>
      </c>
      <c r="Y1000" s="12">
        <v>42012</v>
      </c>
      <c r="Z1000" s="11">
        <v>90.624600000000001</v>
      </c>
      <c r="AA1000" s="11">
        <v>13</v>
      </c>
      <c r="AB1000" s="11">
        <v>131.34</v>
      </c>
      <c r="AC1000" s="11">
        <v>89940</v>
      </c>
      <c r="AD1000" s="6" t="str">
        <f>IF(COUNTIF(Returns!$A$2:$A$1635,Orders!AC1000)&gt;0,"Returned","Not Returned")</f>
        <v>Not Returned</v>
      </c>
    </row>
    <row r="1001" spans="1:30" ht="12.75" customHeight="1" thickTop="1" thickBot="1" x14ac:dyDescent="0.25">
      <c r="A1001" s="8">
        <v>20600</v>
      </c>
      <c r="B1001" s="1" t="s">
        <v>37</v>
      </c>
      <c r="C1001" s="1">
        <v>0.03</v>
      </c>
      <c r="D1001" s="1">
        <v>19.989999999999998</v>
      </c>
      <c r="E1001" s="1">
        <v>11.17</v>
      </c>
      <c r="F1001" s="1">
        <v>1777</v>
      </c>
      <c r="G1001" s="6" t="str">
        <f>IF(COUNTIF(Table1[Customer ID],Table1[[#This Row],[Customer ID]])&gt;1,"Repeat Customer","One-Time Customer")</f>
        <v>Repeat Customer</v>
      </c>
      <c r="H1001" s="1" t="s">
        <v>1785</v>
      </c>
      <c r="I1001" s="1" t="s">
        <v>49</v>
      </c>
      <c r="J1001" s="1" t="s">
        <v>28</v>
      </c>
      <c r="K1001" s="1" t="s">
        <v>41</v>
      </c>
      <c r="L1001" s="1" t="s">
        <v>50</v>
      </c>
      <c r="M1001" s="1" t="s">
        <v>236</v>
      </c>
      <c r="N1001" s="1" t="s">
        <v>508</v>
      </c>
      <c r="O1001" s="1">
        <v>0.6</v>
      </c>
      <c r="P1001" s="6">
        <f>Table1[[#This Row],[Profit]]/Table1[[#This Row],[Sales]]</f>
        <v>-8.2971265053058282E-2</v>
      </c>
      <c r="Q1001" s="1" t="s">
        <v>33</v>
      </c>
      <c r="R1001" s="1" t="s">
        <v>61</v>
      </c>
      <c r="S1001" s="1" t="s">
        <v>703</v>
      </c>
      <c r="T1001" s="1" t="s">
        <v>1786</v>
      </c>
      <c r="U1001" s="1">
        <v>46383</v>
      </c>
      <c r="V1001" s="9">
        <v>42096</v>
      </c>
      <c r="W1001" s="13" t="str">
        <f>TEXT(Table1[[#This Row],[Order Date]],"mmmm")</f>
        <v>April</v>
      </c>
      <c r="X1001" s="7" t="str">
        <f>TEXT(Table1[[#This Row],[Order Date]],"yyyy")</f>
        <v>2015</v>
      </c>
      <c r="Y1001" s="9">
        <v>42097</v>
      </c>
      <c r="Z1001" s="1">
        <v>-20.876399999999997</v>
      </c>
      <c r="AA1001" s="1">
        <v>12</v>
      </c>
      <c r="AB1001" s="1">
        <v>251.61</v>
      </c>
      <c r="AC1001" s="1">
        <v>89942</v>
      </c>
      <c r="AD1001" s="6" t="str">
        <f>IF(COUNTIF(Returns!$A$2:$A$1635,Orders!AC1001)&gt;0,"Returned","Not Returned")</f>
        <v>Not Returned</v>
      </c>
    </row>
    <row r="1002" spans="1:30" ht="12.75" customHeight="1" thickTop="1" thickBot="1" x14ac:dyDescent="0.25">
      <c r="A1002" s="10">
        <v>25498</v>
      </c>
      <c r="B1002" s="11" t="s">
        <v>25</v>
      </c>
      <c r="C1002" s="11">
        <v>0.06</v>
      </c>
      <c r="D1002" s="11">
        <v>13.99</v>
      </c>
      <c r="E1002" s="11">
        <v>7.51</v>
      </c>
      <c r="F1002" s="11">
        <v>1778</v>
      </c>
      <c r="G1002" s="6" t="str">
        <f>IF(COUNTIF(Table1[Customer ID],Table1[[#This Row],[Customer ID]])&gt;1,"Repeat Customer","One-Time Customer")</f>
        <v>Repeat Customer</v>
      </c>
      <c r="H1002" s="11" t="s">
        <v>1787</v>
      </c>
      <c r="I1002" s="11" t="s">
        <v>49</v>
      </c>
      <c r="J1002" s="11" t="s">
        <v>114</v>
      </c>
      <c r="K1002" s="11" t="s">
        <v>77</v>
      </c>
      <c r="L1002" s="11" t="s">
        <v>85</v>
      </c>
      <c r="M1002" s="11" t="s">
        <v>86</v>
      </c>
      <c r="N1002" s="11" t="s">
        <v>1366</v>
      </c>
      <c r="O1002" s="11">
        <v>0.39</v>
      </c>
      <c r="P1002" s="6">
        <f>Table1[[#This Row],[Profit]]/Table1[[#This Row],[Sales]]</f>
        <v>2.2512031667766247E-2</v>
      </c>
      <c r="Q1002" s="11" t="s">
        <v>33</v>
      </c>
      <c r="R1002" s="11" t="s">
        <v>61</v>
      </c>
      <c r="S1002" s="11" t="s">
        <v>703</v>
      </c>
      <c r="T1002" s="11" t="s">
        <v>1788</v>
      </c>
      <c r="U1002" s="11">
        <v>47906</v>
      </c>
      <c r="V1002" s="12">
        <v>42134</v>
      </c>
      <c r="W1002" s="13" t="str">
        <f>TEXT(Table1[[#This Row],[Order Date]],"mmmm")</f>
        <v>May</v>
      </c>
      <c r="X1002" s="7" t="str">
        <f>TEXT(Table1[[#This Row],[Order Date]],"yyyy")</f>
        <v>2015</v>
      </c>
      <c r="Y1002" s="12">
        <v>42136</v>
      </c>
      <c r="Z1002" s="11">
        <v>6.4832400000000021</v>
      </c>
      <c r="AA1002" s="11">
        <v>21</v>
      </c>
      <c r="AB1002" s="11">
        <v>287.99</v>
      </c>
      <c r="AC1002" s="11">
        <v>89943</v>
      </c>
      <c r="AD1002" s="6" t="str">
        <f>IF(COUNTIF(Returns!$A$2:$A$1635,Orders!AC1002)&gt;0,"Returned","Not Returned")</f>
        <v>Not Returned</v>
      </c>
    </row>
    <row r="1003" spans="1:30" ht="12.75" customHeight="1" thickTop="1" thickBot="1" x14ac:dyDescent="0.25">
      <c r="A1003" s="8">
        <v>25499</v>
      </c>
      <c r="B1003" s="1" t="s">
        <v>25</v>
      </c>
      <c r="C1003" s="1">
        <v>0.06</v>
      </c>
      <c r="D1003" s="1">
        <v>15.04</v>
      </c>
      <c r="E1003" s="1">
        <v>1.97</v>
      </c>
      <c r="F1003" s="1">
        <v>1778</v>
      </c>
      <c r="G1003" s="6" t="str">
        <f>IF(COUNTIF(Table1[Customer ID],Table1[[#This Row],[Customer ID]])&gt;1,"Repeat Customer","One-Time Customer")</f>
        <v>Repeat Customer</v>
      </c>
      <c r="H1003" s="1" t="s">
        <v>1787</v>
      </c>
      <c r="I1003" s="1" t="s">
        <v>49</v>
      </c>
      <c r="J1003" s="1" t="s">
        <v>114</v>
      </c>
      <c r="K1003" s="1" t="s">
        <v>29</v>
      </c>
      <c r="L1003" s="1" t="s">
        <v>93</v>
      </c>
      <c r="M1003" s="1" t="s">
        <v>31</v>
      </c>
      <c r="N1003" s="1" t="s">
        <v>659</v>
      </c>
      <c r="O1003" s="1">
        <v>0.39</v>
      </c>
      <c r="P1003" s="6">
        <f>Table1[[#This Row],[Profit]]/Table1[[#This Row],[Sales]]</f>
        <v>4.9765258215962449E-2</v>
      </c>
      <c r="Q1003" s="1" t="s">
        <v>33</v>
      </c>
      <c r="R1003" s="1" t="s">
        <v>61</v>
      </c>
      <c r="S1003" s="1" t="s">
        <v>703</v>
      </c>
      <c r="T1003" s="1" t="s">
        <v>1788</v>
      </c>
      <c r="U1003" s="1">
        <v>47906</v>
      </c>
      <c r="V1003" s="9">
        <v>42134</v>
      </c>
      <c r="W1003" s="13" t="str">
        <f>TEXT(Table1[[#This Row],[Order Date]],"mmmm")</f>
        <v>May</v>
      </c>
      <c r="X1003" s="7" t="str">
        <f>TEXT(Table1[[#This Row],[Order Date]],"yyyy")</f>
        <v>2015</v>
      </c>
      <c r="Y1003" s="9">
        <v>42134</v>
      </c>
      <c r="Z1003" s="1">
        <v>2.3320000000000003</v>
      </c>
      <c r="AA1003" s="1">
        <v>3</v>
      </c>
      <c r="AB1003" s="1">
        <v>46.86</v>
      </c>
      <c r="AC1003" s="1">
        <v>89943</v>
      </c>
      <c r="AD1003" s="6" t="str">
        <f>IF(COUNTIF(Returns!$A$2:$A$1635,Orders!AC1003)&gt;0,"Returned","Not Returned")</f>
        <v>Not Returned</v>
      </c>
    </row>
    <row r="1004" spans="1:30" ht="12.75" customHeight="1" thickTop="1" thickBot="1" x14ac:dyDescent="0.25">
      <c r="A1004" s="10">
        <v>19237</v>
      </c>
      <c r="B1004" s="11" t="s">
        <v>25</v>
      </c>
      <c r="C1004" s="11">
        <v>0</v>
      </c>
      <c r="D1004" s="11">
        <v>55.48</v>
      </c>
      <c r="E1004" s="11">
        <v>14.3</v>
      </c>
      <c r="F1004" s="11">
        <v>1781</v>
      </c>
      <c r="G1004" s="6" t="str">
        <f>IF(COUNTIF(Table1[Customer ID],Table1[[#This Row],[Customer ID]])&gt;1,"Repeat Customer","One-Time Customer")</f>
        <v>Repeat Customer</v>
      </c>
      <c r="H1004" s="11" t="s">
        <v>1789</v>
      </c>
      <c r="I1004" s="11" t="s">
        <v>49</v>
      </c>
      <c r="J1004" s="11" t="s">
        <v>28</v>
      </c>
      <c r="K1004" s="11" t="s">
        <v>29</v>
      </c>
      <c r="L1004" s="11" t="s">
        <v>93</v>
      </c>
      <c r="M1004" s="11" t="s">
        <v>59</v>
      </c>
      <c r="N1004" s="11" t="s">
        <v>94</v>
      </c>
      <c r="O1004" s="11">
        <v>0.37</v>
      </c>
      <c r="P1004" s="6">
        <f>Table1[[#This Row],[Profit]]/Table1[[#This Row],[Sales]]</f>
        <v>0.69</v>
      </c>
      <c r="Q1004" s="11" t="s">
        <v>33</v>
      </c>
      <c r="R1004" s="11" t="s">
        <v>34</v>
      </c>
      <c r="S1004" s="11" t="s">
        <v>45</v>
      </c>
      <c r="T1004" s="11" t="s">
        <v>1790</v>
      </c>
      <c r="U1004" s="11">
        <v>94070</v>
      </c>
      <c r="V1004" s="12">
        <v>42167</v>
      </c>
      <c r="W1004" s="13" t="str">
        <f>TEXT(Table1[[#This Row],[Order Date]],"mmmm")</f>
        <v>June</v>
      </c>
      <c r="X1004" s="7" t="str">
        <f>TEXT(Table1[[#This Row],[Order Date]],"yyyy")</f>
        <v>2015</v>
      </c>
      <c r="Y1004" s="12">
        <v>42169</v>
      </c>
      <c r="Z1004" s="11">
        <v>454.44779999999997</v>
      </c>
      <c r="AA1004" s="11">
        <v>11</v>
      </c>
      <c r="AB1004" s="11">
        <v>658.62</v>
      </c>
      <c r="AC1004" s="11">
        <v>89857</v>
      </c>
      <c r="AD1004" s="6" t="str">
        <f>IF(COUNTIF(Returns!$A$2:$A$1635,Orders!AC1004)&gt;0,"Returned","Not Returned")</f>
        <v>Not Returned</v>
      </c>
    </row>
    <row r="1005" spans="1:30" ht="12.75" customHeight="1" thickTop="1" thickBot="1" x14ac:dyDescent="0.25">
      <c r="A1005" s="8">
        <v>19419</v>
      </c>
      <c r="B1005" s="1" t="s">
        <v>106</v>
      </c>
      <c r="C1005" s="1">
        <v>0.03</v>
      </c>
      <c r="D1005" s="1">
        <v>5.08</v>
      </c>
      <c r="E1005" s="1">
        <v>2.0299999999999998</v>
      </c>
      <c r="F1005" s="1">
        <v>1781</v>
      </c>
      <c r="G1005" s="6" t="str">
        <f>IF(COUNTIF(Table1[Customer ID],Table1[[#This Row],[Customer ID]])&gt;1,"Repeat Customer","One-Time Customer")</f>
        <v>Repeat Customer</v>
      </c>
      <c r="H1005" s="1" t="s">
        <v>1789</v>
      </c>
      <c r="I1005" s="1" t="s">
        <v>49</v>
      </c>
      <c r="J1005" s="1" t="s">
        <v>40</v>
      </c>
      <c r="K1005" s="1" t="s">
        <v>41</v>
      </c>
      <c r="L1005" s="1" t="s">
        <v>50</v>
      </c>
      <c r="M1005" s="1" t="s">
        <v>31</v>
      </c>
      <c r="N1005" s="1" t="s">
        <v>1791</v>
      </c>
      <c r="O1005" s="1">
        <v>0.51</v>
      </c>
      <c r="P1005" s="6">
        <f>Table1[[#This Row],[Profit]]/Table1[[#This Row],[Sales]]</f>
        <v>0.69</v>
      </c>
      <c r="Q1005" s="1" t="s">
        <v>33</v>
      </c>
      <c r="R1005" s="1" t="s">
        <v>34</v>
      </c>
      <c r="S1005" s="1" t="s">
        <v>45</v>
      </c>
      <c r="T1005" s="1" t="s">
        <v>1790</v>
      </c>
      <c r="U1005" s="1">
        <v>94070</v>
      </c>
      <c r="V1005" s="9">
        <v>42011</v>
      </c>
      <c r="W1005" s="13" t="str">
        <f>TEXT(Table1[[#This Row],[Order Date]],"mmmm")</f>
        <v>January</v>
      </c>
      <c r="X1005" s="7" t="str">
        <f>TEXT(Table1[[#This Row],[Order Date]],"yyyy")</f>
        <v>2015</v>
      </c>
      <c r="Y1005" s="9">
        <v>42016</v>
      </c>
      <c r="Z1005" s="1">
        <v>15.1524</v>
      </c>
      <c r="AA1005" s="1">
        <v>4</v>
      </c>
      <c r="AB1005" s="1">
        <v>21.96</v>
      </c>
      <c r="AC1005" s="1">
        <v>89858</v>
      </c>
      <c r="AD1005" s="6" t="str">
        <f>IF(COUNTIF(Returns!$A$2:$A$1635,Orders!AC1005)&gt;0,"Returned","Not Returned")</f>
        <v>Not Returned</v>
      </c>
    </row>
    <row r="1006" spans="1:30" ht="12.75" customHeight="1" thickTop="1" thickBot="1" x14ac:dyDescent="0.25">
      <c r="A1006" s="10">
        <v>21283</v>
      </c>
      <c r="B1006" s="11" t="s">
        <v>25</v>
      </c>
      <c r="C1006" s="11">
        <v>0.03</v>
      </c>
      <c r="D1006" s="11">
        <v>3.28</v>
      </c>
      <c r="E1006" s="11">
        <v>3.97</v>
      </c>
      <c r="F1006" s="11">
        <v>1782</v>
      </c>
      <c r="G1006" s="6" t="str">
        <f>IF(COUNTIF(Table1[Customer ID],Table1[[#This Row],[Customer ID]])&gt;1,"Repeat Customer","One-Time Customer")</f>
        <v>One-Time Customer</v>
      </c>
      <c r="H1006" s="11" t="s">
        <v>1792</v>
      </c>
      <c r="I1006" s="11" t="s">
        <v>49</v>
      </c>
      <c r="J1006" s="11" t="s">
        <v>40</v>
      </c>
      <c r="K1006" s="11" t="s">
        <v>29</v>
      </c>
      <c r="L1006" s="11" t="s">
        <v>30</v>
      </c>
      <c r="M1006" s="11" t="s">
        <v>31</v>
      </c>
      <c r="N1006" s="11" t="s">
        <v>1793</v>
      </c>
      <c r="O1006" s="11">
        <v>0.56000000000000005</v>
      </c>
      <c r="P1006" s="6">
        <f>Table1[[#This Row],[Profit]]/Table1[[#This Row],[Sales]]</f>
        <v>-3.6937566137566136</v>
      </c>
      <c r="Q1006" s="11" t="s">
        <v>33</v>
      </c>
      <c r="R1006" s="11" t="s">
        <v>34</v>
      </c>
      <c r="S1006" s="11" t="s">
        <v>45</v>
      </c>
      <c r="T1006" s="11" t="s">
        <v>1794</v>
      </c>
      <c r="U1006" s="11">
        <v>92672</v>
      </c>
      <c r="V1006" s="12">
        <v>42010</v>
      </c>
      <c r="W1006" s="13" t="str">
        <f>TEXT(Table1[[#This Row],[Order Date]],"mmmm")</f>
        <v>January</v>
      </c>
      <c r="X1006" s="7" t="str">
        <f>TEXT(Table1[[#This Row],[Order Date]],"yyyy")</f>
        <v>2015</v>
      </c>
      <c r="Y1006" s="12">
        <v>42012</v>
      </c>
      <c r="Z1006" s="11">
        <v>-90.755600000000001</v>
      </c>
      <c r="AA1006" s="11">
        <v>7</v>
      </c>
      <c r="AB1006" s="11">
        <v>24.57</v>
      </c>
      <c r="AC1006" s="11">
        <v>89856</v>
      </c>
      <c r="AD1006" s="6" t="str">
        <f>IF(COUNTIF(Returns!$A$2:$A$1635,Orders!AC1006)&gt;0,"Returned","Not Returned")</f>
        <v>Not Returned</v>
      </c>
    </row>
    <row r="1007" spans="1:30" ht="12.75" customHeight="1" thickTop="1" thickBot="1" x14ac:dyDescent="0.25">
      <c r="A1007" s="8">
        <v>23966</v>
      </c>
      <c r="B1007" s="1" t="s">
        <v>47</v>
      </c>
      <c r="C1007" s="1">
        <v>0.04</v>
      </c>
      <c r="D1007" s="1">
        <v>205.99</v>
      </c>
      <c r="E1007" s="1">
        <v>8.99</v>
      </c>
      <c r="F1007" s="1">
        <v>1788</v>
      </c>
      <c r="G1007" s="6" t="str">
        <f>IF(COUNTIF(Table1[Customer ID],Table1[[#This Row],[Customer ID]])&gt;1,"Repeat Customer","One-Time Customer")</f>
        <v>One-Time Customer</v>
      </c>
      <c r="H1007" s="1" t="s">
        <v>1795</v>
      </c>
      <c r="I1007" s="1" t="s">
        <v>49</v>
      </c>
      <c r="J1007" s="1" t="s">
        <v>114</v>
      </c>
      <c r="K1007" s="1" t="s">
        <v>77</v>
      </c>
      <c r="L1007" s="1" t="s">
        <v>78</v>
      </c>
      <c r="M1007" s="1" t="s">
        <v>59</v>
      </c>
      <c r="N1007" s="1" t="s">
        <v>107</v>
      </c>
      <c r="O1007" s="1">
        <v>0.56000000000000005</v>
      </c>
      <c r="P1007" s="6">
        <f>Table1[[#This Row],[Profit]]/Table1[[#This Row],[Sales]]</f>
        <v>0.95285613715010964</v>
      </c>
      <c r="Q1007" s="1" t="s">
        <v>33</v>
      </c>
      <c r="R1007" s="1" t="s">
        <v>136</v>
      </c>
      <c r="S1007" s="1" t="s">
        <v>387</v>
      </c>
      <c r="T1007" s="1" t="s">
        <v>1658</v>
      </c>
      <c r="U1007" s="1">
        <v>30188</v>
      </c>
      <c r="V1007" s="9">
        <v>42025</v>
      </c>
      <c r="W1007" s="13" t="str">
        <f>TEXT(Table1[[#This Row],[Order Date]],"mmmm")</f>
        <v>January</v>
      </c>
      <c r="X1007" s="7" t="str">
        <f>TEXT(Table1[[#This Row],[Order Date]],"yyyy")</f>
        <v>2015</v>
      </c>
      <c r="Y1007" s="9">
        <v>42026</v>
      </c>
      <c r="Z1007" s="1">
        <v>960.98400000000004</v>
      </c>
      <c r="AA1007" s="1">
        <v>6</v>
      </c>
      <c r="AB1007" s="1">
        <v>1008.53</v>
      </c>
      <c r="AC1007" s="1">
        <v>88256</v>
      </c>
      <c r="AD1007" s="6" t="str">
        <f>IF(COUNTIF(Returns!$A$2:$A$1635,Orders!AC1007)&gt;0,"Returned","Not Returned")</f>
        <v>Not Returned</v>
      </c>
    </row>
    <row r="1008" spans="1:30" ht="12.75" customHeight="1" thickTop="1" thickBot="1" x14ac:dyDescent="0.25">
      <c r="A1008" s="10">
        <v>21284</v>
      </c>
      <c r="B1008" s="11" t="s">
        <v>47</v>
      </c>
      <c r="C1008" s="11">
        <v>0.04</v>
      </c>
      <c r="D1008" s="11">
        <v>880.98</v>
      </c>
      <c r="E1008" s="11">
        <v>44.55</v>
      </c>
      <c r="F1008" s="11">
        <v>1793</v>
      </c>
      <c r="G1008" s="6" t="str">
        <f>IF(COUNTIF(Table1[Customer ID],Table1[[#This Row],[Customer ID]])&gt;1,"Repeat Customer","One-Time Customer")</f>
        <v>One-Time Customer</v>
      </c>
      <c r="H1008" s="11" t="s">
        <v>1796</v>
      </c>
      <c r="I1008" s="11" t="s">
        <v>39</v>
      </c>
      <c r="J1008" s="11" t="s">
        <v>40</v>
      </c>
      <c r="K1008" s="11" t="s">
        <v>41</v>
      </c>
      <c r="L1008" s="11" t="s">
        <v>191</v>
      </c>
      <c r="M1008" s="11" t="s">
        <v>121</v>
      </c>
      <c r="N1008" s="11" t="s">
        <v>769</v>
      </c>
      <c r="O1008" s="11">
        <v>0.62</v>
      </c>
      <c r="P1008" s="6">
        <f>Table1[[#This Row],[Profit]]/Table1[[#This Row],[Sales]]</f>
        <v>-1.9668045172121857</v>
      </c>
      <c r="Q1008" s="11" t="s">
        <v>33</v>
      </c>
      <c r="R1008" s="11" t="s">
        <v>61</v>
      </c>
      <c r="S1008" s="11" t="s">
        <v>178</v>
      </c>
      <c r="T1008" s="11" t="s">
        <v>1797</v>
      </c>
      <c r="U1008" s="11">
        <v>61401</v>
      </c>
      <c r="V1008" s="12">
        <v>42010</v>
      </c>
      <c r="W1008" s="13" t="str">
        <f>TEXT(Table1[[#This Row],[Order Date]],"mmmm")</f>
        <v>January</v>
      </c>
      <c r="X1008" s="7" t="str">
        <f>TEXT(Table1[[#This Row],[Order Date]],"yyyy")</f>
        <v>2015</v>
      </c>
      <c r="Y1008" s="12">
        <v>42011</v>
      </c>
      <c r="Z1008" s="11">
        <v>-13706.464</v>
      </c>
      <c r="AA1008" s="11">
        <v>8</v>
      </c>
      <c r="AB1008" s="11">
        <v>6968.9</v>
      </c>
      <c r="AC1008" s="11">
        <v>87853</v>
      </c>
      <c r="AD1008" s="6" t="str">
        <f>IF(COUNTIF(Returns!$A$2:$A$1635,Orders!AC1008)&gt;0,"Returned","Not Returned")</f>
        <v>Not Returned</v>
      </c>
    </row>
    <row r="1009" spans="1:30" ht="12.75" customHeight="1" thickTop="1" thickBot="1" x14ac:dyDescent="0.25">
      <c r="A1009" s="8">
        <v>22986</v>
      </c>
      <c r="B1009" s="1" t="s">
        <v>47</v>
      </c>
      <c r="C1009" s="1">
        <v>0.04</v>
      </c>
      <c r="D1009" s="1">
        <v>3.68</v>
      </c>
      <c r="E1009" s="1">
        <v>1.32</v>
      </c>
      <c r="F1009" s="1">
        <v>1802</v>
      </c>
      <c r="G1009" s="6" t="str">
        <f>IF(COUNTIF(Table1[Customer ID],Table1[[#This Row],[Customer ID]])&gt;1,"Repeat Customer","One-Time Customer")</f>
        <v>One-Time Customer</v>
      </c>
      <c r="H1009" s="1" t="s">
        <v>1798</v>
      </c>
      <c r="I1009" s="1" t="s">
        <v>49</v>
      </c>
      <c r="J1009" s="1" t="s">
        <v>28</v>
      </c>
      <c r="K1009" s="1" t="s">
        <v>29</v>
      </c>
      <c r="L1009" s="1" t="s">
        <v>174</v>
      </c>
      <c r="M1009" s="1" t="s">
        <v>31</v>
      </c>
      <c r="N1009" s="1" t="s">
        <v>839</v>
      </c>
      <c r="O1009" s="1">
        <v>0.83</v>
      </c>
      <c r="P1009" s="6">
        <f>Table1[[#This Row],[Profit]]/Table1[[#This Row],[Sales]]</f>
        <v>7.2881036570598203</v>
      </c>
      <c r="Q1009" s="1" t="s">
        <v>33</v>
      </c>
      <c r="R1009" s="1" t="s">
        <v>136</v>
      </c>
      <c r="S1009" s="1" t="s">
        <v>362</v>
      </c>
      <c r="T1009" s="1" t="s">
        <v>1773</v>
      </c>
      <c r="U1009" s="1">
        <v>34698</v>
      </c>
      <c r="V1009" s="9">
        <v>42156</v>
      </c>
      <c r="W1009" s="13" t="str">
        <f>TEXT(Table1[[#This Row],[Order Date]],"mmmm")</f>
        <v>June</v>
      </c>
      <c r="X1009" s="7" t="str">
        <f>TEXT(Table1[[#This Row],[Order Date]],"yyyy")</f>
        <v>2015</v>
      </c>
      <c r="Y1009" s="9">
        <v>42157</v>
      </c>
      <c r="Z1009" s="1">
        <v>300.92579999999998</v>
      </c>
      <c r="AA1009" s="1">
        <v>11</v>
      </c>
      <c r="AB1009" s="1">
        <v>41.29</v>
      </c>
      <c r="AC1009" s="1">
        <v>91543</v>
      </c>
      <c r="AD1009" s="6" t="str">
        <f>IF(COUNTIF(Returns!$A$2:$A$1635,Orders!AC1009)&gt;0,"Returned","Not Returned")</f>
        <v>Not Returned</v>
      </c>
    </row>
    <row r="1010" spans="1:30" ht="12.75" customHeight="1" thickTop="1" thickBot="1" x14ac:dyDescent="0.25">
      <c r="A1010" s="10">
        <v>18901</v>
      </c>
      <c r="B1010" s="11" t="s">
        <v>56</v>
      </c>
      <c r="C1010" s="11">
        <v>0.01</v>
      </c>
      <c r="D1010" s="11">
        <v>8.1199999999999992</v>
      </c>
      <c r="E1010" s="11">
        <v>2.83</v>
      </c>
      <c r="F1010" s="11">
        <v>1808</v>
      </c>
      <c r="G1010" s="6" t="str">
        <f>IF(COUNTIF(Table1[Customer ID],Table1[[#This Row],[Customer ID]])&gt;1,"Repeat Customer","One-Time Customer")</f>
        <v>One-Time Customer</v>
      </c>
      <c r="H1010" s="11" t="s">
        <v>1799</v>
      </c>
      <c r="I1010" s="11" t="s">
        <v>27</v>
      </c>
      <c r="J1010" s="11" t="s">
        <v>40</v>
      </c>
      <c r="K1010" s="11" t="s">
        <v>77</v>
      </c>
      <c r="L1010" s="11" t="s">
        <v>180</v>
      </c>
      <c r="M1010" s="11" t="s">
        <v>51</v>
      </c>
      <c r="N1010" s="11" t="s">
        <v>827</v>
      </c>
      <c r="O1010" s="11">
        <v>0.77</v>
      </c>
      <c r="P1010" s="6">
        <f>Table1[[#This Row],[Profit]]/Table1[[#This Row],[Sales]]</f>
        <v>-0.45983754512635377</v>
      </c>
      <c r="Q1010" s="11" t="s">
        <v>33</v>
      </c>
      <c r="R1010" s="11" t="s">
        <v>53</v>
      </c>
      <c r="S1010" s="11" t="s">
        <v>648</v>
      </c>
      <c r="T1010" s="11" t="s">
        <v>1800</v>
      </c>
      <c r="U1010" s="11">
        <v>26101</v>
      </c>
      <c r="V1010" s="12">
        <v>42080</v>
      </c>
      <c r="W1010" s="13" t="str">
        <f>TEXT(Table1[[#This Row],[Order Date]],"mmmm")</f>
        <v>March</v>
      </c>
      <c r="X1010" s="7" t="str">
        <f>TEXT(Table1[[#This Row],[Order Date]],"yyyy")</f>
        <v>2015</v>
      </c>
      <c r="Y1010" s="12">
        <v>42081</v>
      </c>
      <c r="Z1010" s="11">
        <v>-40.76</v>
      </c>
      <c r="AA1010" s="11">
        <v>10</v>
      </c>
      <c r="AB1010" s="11">
        <v>88.64</v>
      </c>
      <c r="AC1010" s="11">
        <v>89251</v>
      </c>
      <c r="AD1010" s="6" t="str">
        <f>IF(COUNTIF(Returns!$A$2:$A$1635,Orders!AC1010)&gt;0,"Returned","Not Returned")</f>
        <v>Not Returned</v>
      </c>
    </row>
    <row r="1011" spans="1:30" ht="12.75" customHeight="1" thickTop="1" thickBot="1" x14ac:dyDescent="0.25">
      <c r="A1011" s="8">
        <v>21746</v>
      </c>
      <c r="B1011" s="1" t="s">
        <v>37</v>
      </c>
      <c r="C1011" s="1">
        <v>0.09</v>
      </c>
      <c r="D1011" s="1">
        <v>77.510000000000005</v>
      </c>
      <c r="E1011" s="1">
        <v>4</v>
      </c>
      <c r="F1011" s="1">
        <v>1814</v>
      </c>
      <c r="G1011" s="6" t="str">
        <f>IF(COUNTIF(Table1[Customer ID],Table1[[#This Row],[Customer ID]])&gt;1,"Repeat Customer","One-Time Customer")</f>
        <v>Repeat Customer</v>
      </c>
      <c r="H1011" s="1" t="s">
        <v>1801</v>
      </c>
      <c r="I1011" s="1" t="s">
        <v>27</v>
      </c>
      <c r="J1011" s="1" t="s">
        <v>40</v>
      </c>
      <c r="K1011" s="1" t="s">
        <v>77</v>
      </c>
      <c r="L1011" s="1" t="s">
        <v>180</v>
      </c>
      <c r="M1011" s="1" t="s">
        <v>59</v>
      </c>
      <c r="N1011" s="1" t="s">
        <v>1802</v>
      </c>
      <c r="O1011" s="1">
        <v>0.76</v>
      </c>
      <c r="P1011" s="6">
        <f>Table1[[#This Row],[Profit]]/Table1[[#This Row],[Sales]]</f>
        <v>-0.75854952558168143</v>
      </c>
      <c r="Q1011" s="1" t="s">
        <v>33</v>
      </c>
      <c r="R1011" s="1" t="s">
        <v>136</v>
      </c>
      <c r="S1011" s="1" t="s">
        <v>671</v>
      </c>
      <c r="T1011" s="1" t="s">
        <v>1803</v>
      </c>
      <c r="U1011" s="1">
        <v>38654</v>
      </c>
      <c r="V1011" s="9">
        <v>42147</v>
      </c>
      <c r="W1011" s="13" t="str">
        <f>TEXT(Table1[[#This Row],[Order Date]],"mmmm")</f>
        <v>May</v>
      </c>
      <c r="X1011" s="7" t="str">
        <f>TEXT(Table1[[#This Row],[Order Date]],"yyyy")</f>
        <v>2015</v>
      </c>
      <c r="Y1011" s="9">
        <v>42149</v>
      </c>
      <c r="Z1011" s="1">
        <v>-986.52399999999989</v>
      </c>
      <c r="AA1011" s="1">
        <v>17</v>
      </c>
      <c r="AB1011" s="1">
        <v>1300.54</v>
      </c>
      <c r="AC1011" s="1">
        <v>90524</v>
      </c>
      <c r="AD1011" s="6" t="str">
        <f>IF(COUNTIF(Returns!$A$2:$A$1635,Orders!AC1011)&gt;0,"Returned","Not Returned")</f>
        <v>Not Returned</v>
      </c>
    </row>
    <row r="1012" spans="1:30" ht="12.75" customHeight="1" thickTop="1" thickBot="1" x14ac:dyDescent="0.25">
      <c r="A1012" s="10">
        <v>21747</v>
      </c>
      <c r="B1012" s="11" t="s">
        <v>37</v>
      </c>
      <c r="C1012" s="11">
        <v>0</v>
      </c>
      <c r="D1012" s="11">
        <v>2.88</v>
      </c>
      <c r="E1012" s="11">
        <v>0.7</v>
      </c>
      <c r="F1012" s="11">
        <v>1814</v>
      </c>
      <c r="G1012" s="6" t="str">
        <f>IF(COUNTIF(Table1[Customer ID],Table1[[#This Row],[Customer ID]])&gt;1,"Repeat Customer","One-Time Customer")</f>
        <v>Repeat Customer</v>
      </c>
      <c r="H1012" s="11" t="s">
        <v>1801</v>
      </c>
      <c r="I1012" s="11" t="s">
        <v>49</v>
      </c>
      <c r="J1012" s="11" t="s">
        <v>40</v>
      </c>
      <c r="K1012" s="11" t="s">
        <v>29</v>
      </c>
      <c r="L1012" s="11" t="s">
        <v>30</v>
      </c>
      <c r="M1012" s="11" t="s">
        <v>31</v>
      </c>
      <c r="N1012" s="11" t="s">
        <v>365</v>
      </c>
      <c r="O1012" s="11">
        <v>0.56000000000000005</v>
      </c>
      <c r="P1012" s="6">
        <f>Table1[[#This Row],[Profit]]/Table1[[#This Row],[Sales]]</f>
        <v>-3.7221755123489224</v>
      </c>
      <c r="Q1012" s="11" t="s">
        <v>33</v>
      </c>
      <c r="R1012" s="11" t="s">
        <v>136</v>
      </c>
      <c r="S1012" s="11" t="s">
        <v>671</v>
      </c>
      <c r="T1012" s="11" t="s">
        <v>1803</v>
      </c>
      <c r="U1012" s="11">
        <v>38654</v>
      </c>
      <c r="V1012" s="12">
        <v>42147</v>
      </c>
      <c r="W1012" s="13" t="str">
        <f>TEXT(Table1[[#This Row],[Order Date]],"mmmm")</f>
        <v>May</v>
      </c>
      <c r="X1012" s="7" t="str">
        <f>TEXT(Table1[[#This Row],[Order Date]],"yyyy")</f>
        <v>2015</v>
      </c>
      <c r="Y1012" s="12">
        <v>42149</v>
      </c>
      <c r="Z1012" s="11">
        <v>-141.666</v>
      </c>
      <c r="AA1012" s="11">
        <v>13</v>
      </c>
      <c r="AB1012" s="11">
        <v>38.06</v>
      </c>
      <c r="AC1012" s="11">
        <v>90524</v>
      </c>
      <c r="AD1012" s="6" t="str">
        <f>IF(COUNTIF(Returns!$A$2:$A$1635,Orders!AC1012)&gt;0,"Returned","Not Returned")</f>
        <v>Not Returned</v>
      </c>
    </row>
    <row r="1013" spans="1:30" ht="12.75" customHeight="1" thickTop="1" thickBot="1" x14ac:dyDescent="0.25">
      <c r="A1013" s="8">
        <v>24463</v>
      </c>
      <c r="B1013" s="1" t="s">
        <v>56</v>
      </c>
      <c r="C1013" s="1">
        <v>0.06</v>
      </c>
      <c r="D1013" s="1">
        <v>90.97</v>
      </c>
      <c r="E1013" s="1">
        <v>14</v>
      </c>
      <c r="F1013" s="1">
        <v>1815</v>
      </c>
      <c r="G1013" s="6" t="str">
        <f>IF(COUNTIF(Table1[Customer ID],Table1[[#This Row],[Customer ID]])&gt;1,"Repeat Customer","One-Time Customer")</f>
        <v>One-Time Customer</v>
      </c>
      <c r="H1013" s="1" t="s">
        <v>1804</v>
      </c>
      <c r="I1013" s="1" t="s">
        <v>39</v>
      </c>
      <c r="J1013" s="1" t="s">
        <v>40</v>
      </c>
      <c r="K1013" s="1" t="s">
        <v>77</v>
      </c>
      <c r="L1013" s="1" t="s">
        <v>85</v>
      </c>
      <c r="M1013" s="1" t="s">
        <v>43</v>
      </c>
      <c r="N1013" s="1" t="s">
        <v>1805</v>
      </c>
      <c r="O1013" s="1">
        <v>0.36</v>
      </c>
      <c r="P1013" s="6">
        <f>Table1[[#This Row],[Profit]]/Table1[[#This Row],[Sales]]</f>
        <v>3.7467051885859033E-2</v>
      </c>
      <c r="Q1013" s="1" t="s">
        <v>33</v>
      </c>
      <c r="R1013" s="1" t="s">
        <v>136</v>
      </c>
      <c r="S1013" s="1" t="s">
        <v>671</v>
      </c>
      <c r="T1013" s="1" t="s">
        <v>1806</v>
      </c>
      <c r="U1013" s="1">
        <v>39208</v>
      </c>
      <c r="V1013" s="9">
        <v>42046</v>
      </c>
      <c r="W1013" s="13" t="str">
        <f>TEXT(Table1[[#This Row],[Order Date]],"mmmm")</f>
        <v>February</v>
      </c>
      <c r="X1013" s="7" t="str">
        <f>TEXT(Table1[[#This Row],[Order Date]],"yyyy")</f>
        <v>2015</v>
      </c>
      <c r="Y1013" s="9">
        <v>42047</v>
      </c>
      <c r="Z1013" s="1">
        <v>47.334000000000003</v>
      </c>
      <c r="AA1013" s="1">
        <v>14</v>
      </c>
      <c r="AB1013" s="1">
        <v>1263.3499999999999</v>
      </c>
      <c r="AC1013" s="1">
        <v>90525</v>
      </c>
      <c r="AD1013" s="6" t="str">
        <f>IF(COUNTIF(Returns!$A$2:$A$1635,Orders!AC1013)&gt;0,"Returned","Not Returned")</f>
        <v>Not Returned</v>
      </c>
    </row>
    <row r="1014" spans="1:30" ht="12.75" customHeight="1" thickTop="1" thickBot="1" x14ac:dyDescent="0.25">
      <c r="A1014" s="10">
        <v>22843</v>
      </c>
      <c r="B1014" s="11" t="s">
        <v>106</v>
      </c>
      <c r="C1014" s="11">
        <v>0.01</v>
      </c>
      <c r="D1014" s="11">
        <v>10.48</v>
      </c>
      <c r="E1014" s="11">
        <v>2.89</v>
      </c>
      <c r="F1014" s="11">
        <v>1816</v>
      </c>
      <c r="G1014" s="6" t="str">
        <f>IF(COUNTIF(Table1[Customer ID],Table1[[#This Row],[Customer ID]])&gt;1,"Repeat Customer","One-Time Customer")</f>
        <v>One-Time Customer</v>
      </c>
      <c r="H1014" s="11" t="s">
        <v>1807</v>
      </c>
      <c r="I1014" s="11" t="s">
        <v>49</v>
      </c>
      <c r="J1014" s="11" t="s">
        <v>114</v>
      </c>
      <c r="K1014" s="11" t="s">
        <v>29</v>
      </c>
      <c r="L1014" s="11" t="s">
        <v>30</v>
      </c>
      <c r="M1014" s="11" t="s">
        <v>51</v>
      </c>
      <c r="N1014" s="11" t="s">
        <v>1808</v>
      </c>
      <c r="O1014" s="11">
        <v>0.6</v>
      </c>
      <c r="P1014" s="6">
        <f>Table1[[#This Row],[Profit]]/Table1[[#This Row],[Sales]]</f>
        <v>0.2992469611621702</v>
      </c>
      <c r="Q1014" s="11" t="s">
        <v>33</v>
      </c>
      <c r="R1014" s="11" t="s">
        <v>61</v>
      </c>
      <c r="S1014" s="11" t="s">
        <v>300</v>
      </c>
      <c r="T1014" s="11" t="s">
        <v>155</v>
      </c>
      <c r="U1014" s="11">
        <v>48187</v>
      </c>
      <c r="V1014" s="12">
        <v>42040</v>
      </c>
      <c r="W1014" s="13" t="str">
        <f>TEXT(Table1[[#This Row],[Order Date]],"mmmm")</f>
        <v>February</v>
      </c>
      <c r="X1014" s="7" t="str">
        <f>TEXT(Table1[[#This Row],[Order Date]],"yyyy")</f>
        <v>2015</v>
      </c>
      <c r="Y1014" s="12">
        <v>42042</v>
      </c>
      <c r="Z1014" s="11">
        <v>60.561599999999999</v>
      </c>
      <c r="AA1014" s="11">
        <v>19</v>
      </c>
      <c r="AB1014" s="11">
        <v>202.38</v>
      </c>
      <c r="AC1014" s="11">
        <v>85990</v>
      </c>
      <c r="AD1014" s="6" t="str">
        <f>IF(COUNTIF(Returns!$A$2:$A$1635,Orders!AC1014)&gt;0,"Returned","Not Returned")</f>
        <v>Not Returned</v>
      </c>
    </row>
    <row r="1015" spans="1:30" ht="12.75" customHeight="1" thickTop="1" thickBot="1" x14ac:dyDescent="0.25">
      <c r="A1015" s="8">
        <v>24622</v>
      </c>
      <c r="B1015" s="1" t="s">
        <v>37</v>
      </c>
      <c r="C1015" s="1">
        <v>0.06</v>
      </c>
      <c r="D1015" s="1">
        <v>17.98</v>
      </c>
      <c r="E1015" s="1">
        <v>8.51</v>
      </c>
      <c r="F1015" s="1">
        <v>1818</v>
      </c>
      <c r="G1015" s="6" t="str">
        <f>IF(COUNTIF(Table1[Customer ID],Table1[[#This Row],[Customer ID]])&gt;1,"Repeat Customer","One-Time Customer")</f>
        <v>Repeat Customer</v>
      </c>
      <c r="H1015" s="1" t="s">
        <v>1809</v>
      </c>
      <c r="I1015" s="1" t="s">
        <v>49</v>
      </c>
      <c r="J1015" s="1" t="s">
        <v>114</v>
      </c>
      <c r="K1015" s="1" t="s">
        <v>77</v>
      </c>
      <c r="L1015" s="1" t="s">
        <v>85</v>
      </c>
      <c r="M1015" s="1" t="s">
        <v>86</v>
      </c>
      <c r="N1015" s="1" t="s">
        <v>104</v>
      </c>
      <c r="O1015" s="1">
        <v>0.4</v>
      </c>
      <c r="P1015" s="6">
        <f>Table1[[#This Row],[Profit]]/Table1[[#This Row],[Sales]]</f>
        <v>-0.83794054629301162</v>
      </c>
      <c r="Q1015" s="1" t="s">
        <v>33</v>
      </c>
      <c r="R1015" s="1" t="s">
        <v>61</v>
      </c>
      <c r="S1015" s="1" t="s">
        <v>300</v>
      </c>
      <c r="T1015" s="1" t="s">
        <v>1810</v>
      </c>
      <c r="U1015" s="1">
        <v>48126</v>
      </c>
      <c r="V1015" s="9">
        <v>42109</v>
      </c>
      <c r="W1015" s="13" t="str">
        <f>TEXT(Table1[[#This Row],[Order Date]],"mmmm")</f>
        <v>April</v>
      </c>
      <c r="X1015" s="7" t="str">
        <f>TEXT(Table1[[#This Row],[Order Date]],"yyyy")</f>
        <v>2015</v>
      </c>
      <c r="Y1015" s="9">
        <v>42111</v>
      </c>
      <c r="Z1015" s="1">
        <v>-47.243088</v>
      </c>
      <c r="AA1015" s="1">
        <v>3</v>
      </c>
      <c r="AB1015" s="1">
        <v>56.38</v>
      </c>
      <c r="AC1015" s="1">
        <v>85991</v>
      </c>
      <c r="AD1015" s="6" t="str">
        <f>IF(COUNTIF(Returns!$A$2:$A$1635,Orders!AC1015)&gt;0,"Returned","Not Returned")</f>
        <v>Not Returned</v>
      </c>
    </row>
    <row r="1016" spans="1:30" ht="12.75" customHeight="1" thickTop="1" thickBot="1" x14ac:dyDescent="0.25">
      <c r="A1016" s="10">
        <v>24623</v>
      </c>
      <c r="B1016" s="11" t="s">
        <v>37</v>
      </c>
      <c r="C1016" s="11">
        <v>0.1</v>
      </c>
      <c r="D1016" s="11">
        <v>9.99</v>
      </c>
      <c r="E1016" s="11">
        <v>4.78</v>
      </c>
      <c r="F1016" s="11">
        <v>1818</v>
      </c>
      <c r="G1016" s="6" t="str">
        <f>IF(COUNTIF(Table1[Customer ID],Table1[[#This Row],[Customer ID]])&gt;1,"Repeat Customer","One-Time Customer")</f>
        <v>Repeat Customer</v>
      </c>
      <c r="H1016" s="11" t="s">
        <v>1809</v>
      </c>
      <c r="I1016" s="11" t="s">
        <v>27</v>
      </c>
      <c r="J1016" s="11" t="s">
        <v>114</v>
      </c>
      <c r="K1016" s="11" t="s">
        <v>29</v>
      </c>
      <c r="L1016" s="11" t="s">
        <v>93</v>
      </c>
      <c r="M1016" s="11" t="s">
        <v>59</v>
      </c>
      <c r="N1016" s="11" t="s">
        <v>1811</v>
      </c>
      <c r="O1016" s="11">
        <v>0.4</v>
      </c>
      <c r="P1016" s="6">
        <f>Table1[[#This Row],[Profit]]/Table1[[#This Row],[Sales]]</f>
        <v>7.6840426424913968E-2</v>
      </c>
      <c r="Q1016" s="11" t="s">
        <v>33</v>
      </c>
      <c r="R1016" s="11" t="s">
        <v>61</v>
      </c>
      <c r="S1016" s="11" t="s">
        <v>300</v>
      </c>
      <c r="T1016" s="11" t="s">
        <v>1810</v>
      </c>
      <c r="U1016" s="11">
        <v>48126</v>
      </c>
      <c r="V1016" s="12">
        <v>42109</v>
      </c>
      <c r="W1016" s="13" t="str">
        <f>TEXT(Table1[[#This Row],[Order Date]],"mmmm")</f>
        <v>April</v>
      </c>
      <c r="X1016" s="7" t="str">
        <f>TEXT(Table1[[#This Row],[Order Date]],"yyyy")</f>
        <v>2015</v>
      </c>
      <c r="Y1016" s="12">
        <v>42112</v>
      </c>
      <c r="Z1016" s="11">
        <v>9.1539999999999999</v>
      </c>
      <c r="AA1016" s="11">
        <v>12</v>
      </c>
      <c r="AB1016" s="11">
        <v>119.13</v>
      </c>
      <c r="AC1016" s="11">
        <v>85991</v>
      </c>
      <c r="AD1016" s="6" t="str">
        <f>IF(COUNTIF(Returns!$A$2:$A$1635,Orders!AC1016)&gt;0,"Returned","Not Returned")</f>
        <v>Not Returned</v>
      </c>
    </row>
    <row r="1017" spans="1:30" ht="12.75" customHeight="1" thickTop="1" thickBot="1" x14ac:dyDescent="0.25">
      <c r="A1017" s="8">
        <v>4843</v>
      </c>
      <c r="B1017" s="1" t="s">
        <v>106</v>
      </c>
      <c r="C1017" s="1">
        <v>0.01</v>
      </c>
      <c r="D1017" s="1">
        <v>10.48</v>
      </c>
      <c r="E1017" s="1">
        <v>2.89</v>
      </c>
      <c r="F1017" s="1">
        <v>1821</v>
      </c>
      <c r="G1017" s="6" t="str">
        <f>IF(COUNTIF(Table1[Customer ID],Table1[[#This Row],[Customer ID]])&gt;1,"Repeat Customer","One-Time Customer")</f>
        <v>Repeat Customer</v>
      </c>
      <c r="H1017" s="1" t="s">
        <v>1812</v>
      </c>
      <c r="I1017" s="1" t="s">
        <v>49</v>
      </c>
      <c r="J1017" s="1" t="s">
        <v>114</v>
      </c>
      <c r="K1017" s="1" t="s">
        <v>29</v>
      </c>
      <c r="L1017" s="1" t="s">
        <v>30</v>
      </c>
      <c r="M1017" s="1" t="s">
        <v>51</v>
      </c>
      <c r="N1017" s="1" t="s">
        <v>1808</v>
      </c>
      <c r="O1017" s="1">
        <v>0.6</v>
      </c>
      <c r="P1017" s="6">
        <f>Table1[[#This Row],[Profit]]/Table1[[#This Row],[Sales]]</f>
        <v>5.0549097602253221E-2</v>
      </c>
      <c r="Q1017" s="1" t="s">
        <v>33</v>
      </c>
      <c r="R1017" s="1" t="s">
        <v>53</v>
      </c>
      <c r="S1017" s="1" t="s">
        <v>71</v>
      </c>
      <c r="T1017" s="1" t="s">
        <v>90</v>
      </c>
      <c r="U1017" s="1">
        <v>10177</v>
      </c>
      <c r="V1017" s="9">
        <v>42040</v>
      </c>
      <c r="W1017" s="13" t="str">
        <f>TEXT(Table1[[#This Row],[Order Date]],"mmmm")</f>
        <v>February</v>
      </c>
      <c r="X1017" s="7" t="str">
        <f>TEXT(Table1[[#This Row],[Order Date]],"yyyy")</f>
        <v>2015</v>
      </c>
      <c r="Y1017" s="9">
        <v>42042</v>
      </c>
      <c r="Z1017" s="1">
        <v>40.92</v>
      </c>
      <c r="AA1017" s="1">
        <v>76</v>
      </c>
      <c r="AB1017" s="1">
        <v>809.51</v>
      </c>
      <c r="AC1017" s="1">
        <v>34435</v>
      </c>
      <c r="AD1017" s="6" t="str">
        <f>IF(COUNTIF(Returns!$A$2:$A$1635,Orders!AC1017)&gt;0,"Returned","Not Returned")</f>
        <v>Not Returned</v>
      </c>
    </row>
    <row r="1018" spans="1:30" ht="12.75" customHeight="1" thickTop="1" thickBot="1" x14ac:dyDescent="0.25">
      <c r="A1018" s="10">
        <v>6621</v>
      </c>
      <c r="B1018" s="11" t="s">
        <v>37</v>
      </c>
      <c r="C1018" s="11">
        <v>7.0000000000000007E-2</v>
      </c>
      <c r="D1018" s="11">
        <v>18.649999999999999</v>
      </c>
      <c r="E1018" s="11">
        <v>3.77</v>
      </c>
      <c r="F1018" s="11">
        <v>1821</v>
      </c>
      <c r="G1018" s="6" t="str">
        <f>IF(COUNTIF(Table1[Customer ID],Table1[[#This Row],[Customer ID]])&gt;1,"Repeat Customer","One-Time Customer")</f>
        <v>Repeat Customer</v>
      </c>
      <c r="H1018" s="11" t="s">
        <v>1812</v>
      </c>
      <c r="I1018" s="11" t="s">
        <v>49</v>
      </c>
      <c r="J1018" s="11" t="s">
        <v>114</v>
      </c>
      <c r="K1018" s="11" t="s">
        <v>41</v>
      </c>
      <c r="L1018" s="11" t="s">
        <v>50</v>
      </c>
      <c r="M1018" s="11" t="s">
        <v>51</v>
      </c>
      <c r="N1018" s="11" t="s">
        <v>1813</v>
      </c>
      <c r="O1018" s="11">
        <v>0.39</v>
      </c>
      <c r="P1018" s="6">
        <f>Table1[[#This Row],[Profit]]/Table1[[#This Row],[Sales]]</f>
        <v>0.2326145050027966</v>
      </c>
      <c r="Q1018" s="11" t="s">
        <v>33</v>
      </c>
      <c r="R1018" s="11" t="s">
        <v>53</v>
      </c>
      <c r="S1018" s="11" t="s">
        <v>71</v>
      </c>
      <c r="T1018" s="11" t="s">
        <v>90</v>
      </c>
      <c r="U1018" s="11">
        <v>10177</v>
      </c>
      <c r="V1018" s="12">
        <v>42109</v>
      </c>
      <c r="W1018" s="13" t="str">
        <f>TEXT(Table1[[#This Row],[Order Date]],"mmmm")</f>
        <v>April</v>
      </c>
      <c r="X1018" s="7" t="str">
        <f>TEXT(Table1[[#This Row],[Order Date]],"yyyy")</f>
        <v>2015</v>
      </c>
      <c r="Y1018" s="12">
        <v>42110</v>
      </c>
      <c r="Z1018" s="11">
        <v>149.72</v>
      </c>
      <c r="AA1018" s="11">
        <v>34</v>
      </c>
      <c r="AB1018" s="11">
        <v>643.64</v>
      </c>
      <c r="AC1018" s="11">
        <v>47108</v>
      </c>
      <c r="AD1018" s="6" t="str">
        <f>IF(COUNTIF(Returns!$A$2:$A$1635,Orders!AC1018)&gt;0,"Returned","Not Returned")</f>
        <v>Not Returned</v>
      </c>
    </row>
    <row r="1019" spans="1:30" ht="12.75" customHeight="1" thickTop="1" thickBot="1" x14ac:dyDescent="0.25">
      <c r="A1019" s="8">
        <v>6622</v>
      </c>
      <c r="B1019" s="1" t="s">
        <v>37</v>
      </c>
      <c r="C1019" s="1">
        <v>0.06</v>
      </c>
      <c r="D1019" s="1">
        <v>17.98</v>
      </c>
      <c r="E1019" s="1">
        <v>8.51</v>
      </c>
      <c r="F1019" s="1">
        <v>1821</v>
      </c>
      <c r="G1019" s="6" t="str">
        <f>IF(COUNTIF(Table1[Customer ID],Table1[[#This Row],[Customer ID]])&gt;1,"Repeat Customer","One-Time Customer")</f>
        <v>Repeat Customer</v>
      </c>
      <c r="H1019" s="1" t="s">
        <v>1812</v>
      </c>
      <c r="I1019" s="1" t="s">
        <v>49</v>
      </c>
      <c r="J1019" s="1" t="s">
        <v>114</v>
      </c>
      <c r="K1019" s="1" t="s">
        <v>77</v>
      </c>
      <c r="L1019" s="1" t="s">
        <v>85</v>
      </c>
      <c r="M1019" s="1" t="s">
        <v>86</v>
      </c>
      <c r="N1019" s="1" t="s">
        <v>104</v>
      </c>
      <c r="O1019" s="1">
        <v>0.4</v>
      </c>
      <c r="P1019" s="6">
        <f>Table1[[#This Row],[Profit]]/Table1[[#This Row],[Sales]]</f>
        <v>-0.21485948180590234</v>
      </c>
      <c r="Q1019" s="1" t="s">
        <v>33</v>
      </c>
      <c r="R1019" s="1" t="s">
        <v>53</v>
      </c>
      <c r="S1019" s="1" t="s">
        <v>71</v>
      </c>
      <c r="T1019" s="1" t="s">
        <v>90</v>
      </c>
      <c r="U1019" s="1">
        <v>10177</v>
      </c>
      <c r="V1019" s="9">
        <v>42109</v>
      </c>
      <c r="W1019" s="13" t="str">
        <f>TEXT(Table1[[#This Row],[Order Date]],"mmmm")</f>
        <v>April</v>
      </c>
      <c r="X1019" s="7" t="str">
        <f>TEXT(Table1[[#This Row],[Order Date]],"yyyy")</f>
        <v>2015</v>
      </c>
      <c r="Y1019" s="9">
        <v>42111</v>
      </c>
      <c r="Z1019" s="1">
        <v>-52.492319999999999</v>
      </c>
      <c r="AA1019" s="1">
        <v>13</v>
      </c>
      <c r="AB1019" s="1">
        <v>244.31</v>
      </c>
      <c r="AC1019" s="1">
        <v>47108</v>
      </c>
      <c r="AD1019" s="6" t="str">
        <f>IF(COUNTIF(Returns!$A$2:$A$1635,Orders!AC1019)&gt;0,"Returned","Not Returned")</f>
        <v>Not Returned</v>
      </c>
    </row>
    <row r="1020" spans="1:30" ht="12.75" customHeight="1" thickTop="1" thickBot="1" x14ac:dyDescent="0.25">
      <c r="A1020" s="10">
        <v>6623</v>
      </c>
      <c r="B1020" s="11" t="s">
        <v>37</v>
      </c>
      <c r="C1020" s="11">
        <v>0.1</v>
      </c>
      <c r="D1020" s="11">
        <v>9.99</v>
      </c>
      <c r="E1020" s="11">
        <v>4.78</v>
      </c>
      <c r="F1020" s="11">
        <v>1821</v>
      </c>
      <c r="G1020" s="6" t="str">
        <f>IF(COUNTIF(Table1[Customer ID],Table1[[#This Row],[Customer ID]])&gt;1,"Repeat Customer","One-Time Customer")</f>
        <v>Repeat Customer</v>
      </c>
      <c r="H1020" s="11" t="s">
        <v>1812</v>
      </c>
      <c r="I1020" s="11" t="s">
        <v>27</v>
      </c>
      <c r="J1020" s="11" t="s">
        <v>114</v>
      </c>
      <c r="K1020" s="11" t="s">
        <v>29</v>
      </c>
      <c r="L1020" s="11" t="s">
        <v>93</v>
      </c>
      <c r="M1020" s="11" t="s">
        <v>59</v>
      </c>
      <c r="N1020" s="11" t="s">
        <v>1811</v>
      </c>
      <c r="O1020" s="11">
        <v>0.4</v>
      </c>
      <c r="P1020" s="6">
        <f>Table1[[#This Row],[Profit]]/Table1[[#This Row],[Sales]]</f>
        <v>1.7060311200651549E-2</v>
      </c>
      <c r="Q1020" s="11" t="s">
        <v>33</v>
      </c>
      <c r="R1020" s="11" t="s">
        <v>53</v>
      </c>
      <c r="S1020" s="11" t="s">
        <v>71</v>
      </c>
      <c r="T1020" s="11" t="s">
        <v>90</v>
      </c>
      <c r="U1020" s="11">
        <v>10177</v>
      </c>
      <c r="V1020" s="12">
        <v>42109</v>
      </c>
      <c r="W1020" s="13" t="str">
        <f>TEXT(Table1[[#This Row],[Order Date]],"mmmm")</f>
        <v>April</v>
      </c>
      <c r="X1020" s="7" t="str">
        <f>TEXT(Table1[[#This Row],[Order Date]],"yyyy")</f>
        <v>2015</v>
      </c>
      <c r="Y1020" s="12">
        <v>42112</v>
      </c>
      <c r="Z1020" s="11">
        <v>7.9599999999999991</v>
      </c>
      <c r="AA1020" s="11">
        <v>47</v>
      </c>
      <c r="AB1020" s="11">
        <v>466.58</v>
      </c>
      <c r="AC1020" s="11">
        <v>47108</v>
      </c>
      <c r="AD1020" s="6" t="str">
        <f>IF(COUNTIF(Returns!$A$2:$A$1635,Orders!AC1020)&gt;0,"Returned","Not Returned")</f>
        <v>Not Returned</v>
      </c>
    </row>
    <row r="1021" spans="1:30" ht="12.75" customHeight="1" thickTop="1" thickBot="1" x14ac:dyDescent="0.25">
      <c r="A1021" s="8">
        <v>6624</v>
      </c>
      <c r="B1021" s="1" t="s">
        <v>37</v>
      </c>
      <c r="C1021" s="1">
        <v>0.08</v>
      </c>
      <c r="D1021" s="1">
        <v>175.99</v>
      </c>
      <c r="E1021" s="1">
        <v>8.99</v>
      </c>
      <c r="F1021" s="1">
        <v>1821</v>
      </c>
      <c r="G1021" s="6" t="str">
        <f>IF(COUNTIF(Table1[Customer ID],Table1[[#This Row],[Customer ID]])&gt;1,"Repeat Customer","One-Time Customer")</f>
        <v>Repeat Customer</v>
      </c>
      <c r="H1021" s="1" t="s">
        <v>1812</v>
      </c>
      <c r="I1021" s="1" t="s">
        <v>27</v>
      </c>
      <c r="J1021" s="1" t="s">
        <v>114</v>
      </c>
      <c r="K1021" s="1" t="s">
        <v>77</v>
      </c>
      <c r="L1021" s="1" t="s">
        <v>78</v>
      </c>
      <c r="M1021" s="1" t="s">
        <v>59</v>
      </c>
      <c r="N1021" s="1" t="s">
        <v>168</v>
      </c>
      <c r="O1021" s="1">
        <v>0.56999999999999995</v>
      </c>
      <c r="P1021" s="6">
        <f>Table1[[#This Row],[Profit]]/Table1[[#This Row],[Sales]]</f>
        <v>-0.20041245214324069</v>
      </c>
      <c r="Q1021" s="1" t="s">
        <v>33</v>
      </c>
      <c r="R1021" s="1" t="s">
        <v>53</v>
      </c>
      <c r="S1021" s="1" t="s">
        <v>71</v>
      </c>
      <c r="T1021" s="1" t="s">
        <v>90</v>
      </c>
      <c r="U1021" s="1">
        <v>10177</v>
      </c>
      <c r="V1021" s="9">
        <v>42109</v>
      </c>
      <c r="W1021" s="13" t="str">
        <f>TEXT(Table1[[#This Row],[Order Date]],"mmmm")</f>
        <v>April</v>
      </c>
      <c r="X1021" s="7" t="str">
        <f>TEXT(Table1[[#This Row],[Order Date]],"yyyy")</f>
        <v>2015</v>
      </c>
      <c r="Y1021" s="9">
        <v>42110</v>
      </c>
      <c r="Z1021" s="1">
        <v>-459.08280000000002</v>
      </c>
      <c r="AA1021" s="1">
        <v>16</v>
      </c>
      <c r="AB1021" s="1">
        <v>2290.69</v>
      </c>
      <c r="AC1021" s="1">
        <v>47108</v>
      </c>
      <c r="AD1021" s="6" t="str">
        <f>IF(COUNTIF(Returns!$A$2:$A$1635,Orders!AC1021)&gt;0,"Returned","Not Returned")</f>
        <v>Not Returned</v>
      </c>
    </row>
    <row r="1022" spans="1:30" ht="12.75" customHeight="1" thickTop="1" thickBot="1" x14ac:dyDescent="0.25">
      <c r="A1022" s="10">
        <v>19596</v>
      </c>
      <c r="B1022" s="11" t="s">
        <v>56</v>
      </c>
      <c r="C1022" s="11">
        <v>0.1</v>
      </c>
      <c r="D1022" s="11">
        <v>52.99</v>
      </c>
      <c r="E1022" s="11">
        <v>19.989999999999998</v>
      </c>
      <c r="F1022" s="11">
        <v>1826</v>
      </c>
      <c r="G1022" s="6" t="str">
        <f>IF(COUNTIF(Table1[Customer ID],Table1[[#This Row],[Customer ID]])&gt;1,"Repeat Customer","One-Time Customer")</f>
        <v>Repeat Customer</v>
      </c>
      <c r="H1022" s="11" t="s">
        <v>1814</v>
      </c>
      <c r="I1022" s="11" t="s">
        <v>27</v>
      </c>
      <c r="J1022" s="11" t="s">
        <v>28</v>
      </c>
      <c r="K1022" s="11" t="s">
        <v>29</v>
      </c>
      <c r="L1022" s="11" t="s">
        <v>141</v>
      </c>
      <c r="M1022" s="11" t="s">
        <v>59</v>
      </c>
      <c r="N1022" s="11" t="s">
        <v>1815</v>
      </c>
      <c r="O1022" s="11">
        <v>0.81</v>
      </c>
      <c r="P1022" s="6">
        <f>Table1[[#This Row],[Profit]]/Table1[[#This Row],[Sales]]</f>
        <v>-1.5319470363458634</v>
      </c>
      <c r="Q1022" s="11" t="s">
        <v>33</v>
      </c>
      <c r="R1022" s="11" t="s">
        <v>61</v>
      </c>
      <c r="S1022" s="11" t="s">
        <v>330</v>
      </c>
      <c r="T1022" s="11" t="s">
        <v>1816</v>
      </c>
      <c r="U1022" s="11">
        <v>52722</v>
      </c>
      <c r="V1022" s="12">
        <v>42112</v>
      </c>
      <c r="W1022" s="13" t="str">
        <f>TEXT(Table1[[#This Row],[Order Date]],"mmmm")</f>
        <v>April</v>
      </c>
      <c r="X1022" s="7" t="str">
        <f>TEXT(Table1[[#This Row],[Order Date]],"yyyy")</f>
        <v>2015</v>
      </c>
      <c r="Y1022" s="12">
        <v>42113</v>
      </c>
      <c r="Z1022" s="11">
        <v>-517.16999999999996</v>
      </c>
      <c r="AA1022" s="11">
        <v>7</v>
      </c>
      <c r="AB1022" s="11">
        <v>337.59</v>
      </c>
      <c r="AC1022" s="11">
        <v>86958</v>
      </c>
      <c r="AD1022" s="6" t="str">
        <f>IF(COUNTIF(Returns!$A$2:$A$1635,Orders!AC1022)&gt;0,"Returned","Not Returned")</f>
        <v>Not Returned</v>
      </c>
    </row>
    <row r="1023" spans="1:30" ht="12.75" customHeight="1" thickTop="1" thickBot="1" x14ac:dyDescent="0.25">
      <c r="A1023" s="8">
        <v>18199</v>
      </c>
      <c r="B1023" s="1" t="s">
        <v>56</v>
      </c>
      <c r="C1023" s="1">
        <v>0</v>
      </c>
      <c r="D1023" s="1">
        <v>9.27</v>
      </c>
      <c r="E1023" s="1">
        <v>4.3899999999999997</v>
      </c>
      <c r="F1023" s="1">
        <v>1826</v>
      </c>
      <c r="G1023" s="6" t="str">
        <f>IF(COUNTIF(Table1[Customer ID],Table1[[#This Row],[Customer ID]])&gt;1,"Repeat Customer","One-Time Customer")</f>
        <v>Repeat Customer</v>
      </c>
      <c r="H1023" s="1" t="s">
        <v>1814</v>
      </c>
      <c r="I1023" s="1" t="s">
        <v>49</v>
      </c>
      <c r="J1023" s="1" t="s">
        <v>28</v>
      </c>
      <c r="K1023" s="1" t="s">
        <v>29</v>
      </c>
      <c r="L1023" s="1" t="s">
        <v>93</v>
      </c>
      <c r="M1023" s="1" t="s">
        <v>31</v>
      </c>
      <c r="N1023" s="1" t="s">
        <v>1817</v>
      </c>
      <c r="O1023" s="1">
        <v>0.38</v>
      </c>
      <c r="P1023" s="6">
        <f>Table1[[#This Row],[Profit]]/Table1[[#This Row],[Sales]]</f>
        <v>-0.71455399061032865</v>
      </c>
      <c r="Q1023" s="1" t="s">
        <v>33</v>
      </c>
      <c r="R1023" s="1" t="s">
        <v>61</v>
      </c>
      <c r="S1023" s="1" t="s">
        <v>330</v>
      </c>
      <c r="T1023" s="1" t="s">
        <v>1816</v>
      </c>
      <c r="U1023" s="1">
        <v>52722</v>
      </c>
      <c r="V1023" s="9">
        <v>42136</v>
      </c>
      <c r="W1023" s="13" t="str">
        <f>TEXT(Table1[[#This Row],[Order Date]],"mmmm")</f>
        <v>May</v>
      </c>
      <c r="X1023" s="7" t="str">
        <f>TEXT(Table1[[#This Row],[Order Date]],"yyyy")</f>
        <v>2015</v>
      </c>
      <c r="Y1023" s="9">
        <v>42138</v>
      </c>
      <c r="Z1023" s="1">
        <v>-7.61</v>
      </c>
      <c r="AA1023" s="1">
        <v>1</v>
      </c>
      <c r="AB1023" s="1">
        <v>10.65</v>
      </c>
      <c r="AC1023" s="1">
        <v>86959</v>
      </c>
      <c r="AD1023" s="6" t="str">
        <f>IF(COUNTIF(Returns!$A$2:$A$1635,Orders!AC1023)&gt;0,"Returned","Not Returned")</f>
        <v>Not Returned</v>
      </c>
    </row>
    <row r="1024" spans="1:30" ht="12.75" customHeight="1" thickTop="1" thickBot="1" x14ac:dyDescent="0.25">
      <c r="A1024" s="10">
        <v>20551</v>
      </c>
      <c r="B1024" s="11" t="s">
        <v>37</v>
      </c>
      <c r="C1024" s="11">
        <v>0</v>
      </c>
      <c r="D1024" s="11">
        <v>5.98</v>
      </c>
      <c r="E1024" s="11">
        <v>0.96</v>
      </c>
      <c r="F1024" s="11">
        <v>1827</v>
      </c>
      <c r="G1024" s="6" t="str">
        <f>IF(COUNTIF(Table1[Customer ID],Table1[[#This Row],[Customer ID]])&gt;1,"Repeat Customer","One-Time Customer")</f>
        <v>Repeat Customer</v>
      </c>
      <c r="H1024" s="11" t="s">
        <v>1818</v>
      </c>
      <c r="I1024" s="11" t="s">
        <v>49</v>
      </c>
      <c r="J1024" s="11" t="s">
        <v>28</v>
      </c>
      <c r="K1024" s="11" t="s">
        <v>29</v>
      </c>
      <c r="L1024" s="11" t="s">
        <v>30</v>
      </c>
      <c r="M1024" s="11" t="s">
        <v>31</v>
      </c>
      <c r="N1024" s="11" t="s">
        <v>1819</v>
      </c>
      <c r="O1024" s="11">
        <v>0.6</v>
      </c>
      <c r="P1024" s="6">
        <f>Table1[[#This Row],[Profit]]/Table1[[#This Row],[Sales]]</f>
        <v>0.69</v>
      </c>
      <c r="Q1024" s="11" t="s">
        <v>33</v>
      </c>
      <c r="R1024" s="11" t="s">
        <v>61</v>
      </c>
      <c r="S1024" s="11" t="s">
        <v>330</v>
      </c>
      <c r="T1024" s="11" t="s">
        <v>150</v>
      </c>
      <c r="U1024" s="11">
        <v>52601</v>
      </c>
      <c r="V1024" s="12">
        <v>42054</v>
      </c>
      <c r="W1024" s="13" t="str">
        <f>TEXT(Table1[[#This Row],[Order Date]],"mmmm")</f>
        <v>February</v>
      </c>
      <c r="X1024" s="7" t="str">
        <f>TEXT(Table1[[#This Row],[Order Date]],"yyyy")</f>
        <v>2015</v>
      </c>
      <c r="Y1024" s="12">
        <v>42055</v>
      </c>
      <c r="Z1024" s="11">
        <v>38.039699999999996</v>
      </c>
      <c r="AA1024" s="11">
        <v>9</v>
      </c>
      <c r="AB1024" s="11">
        <v>55.13</v>
      </c>
      <c r="AC1024" s="11">
        <v>86956</v>
      </c>
      <c r="AD1024" s="6" t="str">
        <f>IF(COUNTIF(Returns!$A$2:$A$1635,Orders!AC1024)&gt;0,"Returned","Not Returned")</f>
        <v>Not Returned</v>
      </c>
    </row>
    <row r="1025" spans="1:30" ht="12.75" customHeight="1" thickTop="1" thickBot="1" x14ac:dyDescent="0.25">
      <c r="A1025" s="8">
        <v>19597</v>
      </c>
      <c r="B1025" s="1" t="s">
        <v>56</v>
      </c>
      <c r="C1025" s="1">
        <v>7.0000000000000007E-2</v>
      </c>
      <c r="D1025" s="1">
        <v>100.98</v>
      </c>
      <c r="E1025" s="1">
        <v>57.38</v>
      </c>
      <c r="F1025" s="1">
        <v>1827</v>
      </c>
      <c r="G1025" s="6" t="str">
        <f>IF(COUNTIF(Table1[Customer ID],Table1[[#This Row],[Customer ID]])&gt;1,"Repeat Customer","One-Time Customer")</f>
        <v>Repeat Customer</v>
      </c>
      <c r="H1025" s="1" t="s">
        <v>1818</v>
      </c>
      <c r="I1025" s="1" t="s">
        <v>39</v>
      </c>
      <c r="J1025" s="1" t="s">
        <v>28</v>
      </c>
      <c r="K1025" s="1" t="s">
        <v>41</v>
      </c>
      <c r="L1025" s="1" t="s">
        <v>191</v>
      </c>
      <c r="M1025" s="1" t="s">
        <v>121</v>
      </c>
      <c r="N1025" s="1" t="s">
        <v>1820</v>
      </c>
      <c r="O1025" s="1">
        <v>0.78</v>
      </c>
      <c r="P1025" s="6">
        <f>Table1[[#This Row],[Profit]]/Table1[[#This Row],[Sales]]</f>
        <v>-1.9963774846739737</v>
      </c>
      <c r="Q1025" s="1" t="s">
        <v>33</v>
      </c>
      <c r="R1025" s="1" t="s">
        <v>61</v>
      </c>
      <c r="S1025" s="1" t="s">
        <v>330</v>
      </c>
      <c r="T1025" s="1" t="s">
        <v>150</v>
      </c>
      <c r="U1025" s="1">
        <v>52601</v>
      </c>
      <c r="V1025" s="9">
        <v>42112</v>
      </c>
      <c r="W1025" s="13" t="str">
        <f>TEXT(Table1[[#This Row],[Order Date]],"mmmm")</f>
        <v>April</v>
      </c>
      <c r="X1025" s="7" t="str">
        <f>TEXT(Table1[[#This Row],[Order Date]],"yyyy")</f>
        <v>2015</v>
      </c>
      <c r="Y1025" s="9">
        <v>42115</v>
      </c>
      <c r="Z1025" s="1">
        <v>-429.86</v>
      </c>
      <c r="AA1025" s="1">
        <v>2</v>
      </c>
      <c r="AB1025" s="1">
        <v>215.32</v>
      </c>
      <c r="AC1025" s="1">
        <v>86958</v>
      </c>
      <c r="AD1025" s="6" t="str">
        <f>IF(COUNTIF(Returns!$A$2:$A$1635,Orders!AC1025)&gt;0,"Returned","Not Returned")</f>
        <v>Not Returned</v>
      </c>
    </row>
    <row r="1026" spans="1:30" ht="12.75" customHeight="1" thickTop="1" thickBot="1" x14ac:dyDescent="0.25">
      <c r="A1026" s="10">
        <v>19598</v>
      </c>
      <c r="B1026" s="11" t="s">
        <v>56</v>
      </c>
      <c r="C1026" s="11">
        <v>0.03</v>
      </c>
      <c r="D1026" s="11">
        <v>85.99</v>
      </c>
      <c r="E1026" s="11">
        <v>0.99</v>
      </c>
      <c r="F1026" s="11">
        <v>1827</v>
      </c>
      <c r="G1026" s="6" t="str">
        <f>IF(COUNTIF(Table1[Customer ID],Table1[[#This Row],[Customer ID]])&gt;1,"Repeat Customer","One-Time Customer")</f>
        <v>Repeat Customer</v>
      </c>
      <c r="H1026" s="11" t="s">
        <v>1818</v>
      </c>
      <c r="I1026" s="11" t="s">
        <v>49</v>
      </c>
      <c r="J1026" s="11" t="s">
        <v>28</v>
      </c>
      <c r="K1026" s="11" t="s">
        <v>77</v>
      </c>
      <c r="L1026" s="11" t="s">
        <v>78</v>
      </c>
      <c r="M1026" s="11" t="s">
        <v>31</v>
      </c>
      <c r="N1026" s="11" t="s">
        <v>417</v>
      </c>
      <c r="O1026" s="11">
        <v>0.55000000000000004</v>
      </c>
      <c r="P1026" s="6">
        <f>Table1[[#This Row],[Profit]]/Table1[[#This Row],[Sales]]</f>
        <v>0.69</v>
      </c>
      <c r="Q1026" s="11" t="s">
        <v>33</v>
      </c>
      <c r="R1026" s="11" t="s">
        <v>61</v>
      </c>
      <c r="S1026" s="11" t="s">
        <v>330</v>
      </c>
      <c r="T1026" s="11" t="s">
        <v>150</v>
      </c>
      <c r="U1026" s="11">
        <v>52601</v>
      </c>
      <c r="V1026" s="12">
        <v>42112</v>
      </c>
      <c r="W1026" s="13" t="str">
        <f>TEXT(Table1[[#This Row],[Order Date]],"mmmm")</f>
        <v>April</v>
      </c>
      <c r="X1026" s="7" t="str">
        <f>TEXT(Table1[[#This Row],[Order Date]],"yyyy")</f>
        <v>2015</v>
      </c>
      <c r="Y1026" s="12">
        <v>42114</v>
      </c>
      <c r="Z1026" s="11">
        <v>264.16649999999998</v>
      </c>
      <c r="AA1026" s="11">
        <v>5</v>
      </c>
      <c r="AB1026" s="11">
        <v>382.85</v>
      </c>
      <c r="AC1026" s="11">
        <v>86958</v>
      </c>
      <c r="AD1026" s="6" t="str">
        <f>IF(COUNTIF(Returns!$A$2:$A$1635,Orders!AC1026)&gt;0,"Returned","Not Returned")</f>
        <v>Not Returned</v>
      </c>
    </row>
    <row r="1027" spans="1:30" ht="12.75" customHeight="1" thickTop="1" thickBot="1" x14ac:dyDescent="0.25">
      <c r="A1027" s="8">
        <v>20553</v>
      </c>
      <c r="B1027" s="1" t="s">
        <v>37</v>
      </c>
      <c r="C1027" s="1">
        <v>0.02</v>
      </c>
      <c r="D1027" s="1">
        <v>5.98</v>
      </c>
      <c r="E1027" s="1">
        <v>5.46</v>
      </c>
      <c r="F1027" s="1">
        <v>1828</v>
      </c>
      <c r="G1027" s="6" t="str">
        <f>IF(COUNTIF(Table1[Customer ID],Table1[[#This Row],[Customer ID]])&gt;1,"Repeat Customer","One-Time Customer")</f>
        <v>Repeat Customer</v>
      </c>
      <c r="H1027" s="1" t="s">
        <v>1821</v>
      </c>
      <c r="I1027" s="1" t="s">
        <v>49</v>
      </c>
      <c r="J1027" s="1" t="s">
        <v>28</v>
      </c>
      <c r="K1027" s="1" t="s">
        <v>29</v>
      </c>
      <c r="L1027" s="1" t="s">
        <v>93</v>
      </c>
      <c r="M1027" s="1" t="s">
        <v>59</v>
      </c>
      <c r="N1027" s="1" t="s">
        <v>1051</v>
      </c>
      <c r="O1027" s="1">
        <v>0.36</v>
      </c>
      <c r="P1027" s="6">
        <f>Table1[[#This Row],[Profit]]/Table1[[#This Row],[Sales]]</f>
        <v>-1.0517857142857143</v>
      </c>
      <c r="Q1027" s="1" t="s">
        <v>33</v>
      </c>
      <c r="R1027" s="1" t="s">
        <v>61</v>
      </c>
      <c r="S1027" s="1" t="s">
        <v>330</v>
      </c>
      <c r="T1027" s="1" t="s">
        <v>1822</v>
      </c>
      <c r="U1027" s="1">
        <v>50613</v>
      </c>
      <c r="V1027" s="9">
        <v>42054</v>
      </c>
      <c r="W1027" s="13" t="str">
        <f>TEXT(Table1[[#This Row],[Order Date]],"mmmm")</f>
        <v>February</v>
      </c>
      <c r="X1027" s="7" t="str">
        <f>TEXT(Table1[[#This Row],[Order Date]],"yyyy")</f>
        <v>2015</v>
      </c>
      <c r="Y1027" s="9">
        <v>42055</v>
      </c>
      <c r="Z1027" s="1">
        <v>-47.12</v>
      </c>
      <c r="AA1027" s="1">
        <v>7</v>
      </c>
      <c r="AB1027" s="1">
        <v>44.8</v>
      </c>
      <c r="AC1027" s="1">
        <v>86956</v>
      </c>
      <c r="AD1027" s="6" t="str">
        <f>IF(COUNTIF(Returns!$A$2:$A$1635,Orders!AC1027)&gt;0,"Returned","Not Returned")</f>
        <v>Not Returned</v>
      </c>
    </row>
    <row r="1028" spans="1:30" ht="12.75" customHeight="1" thickTop="1" thickBot="1" x14ac:dyDescent="0.25">
      <c r="A1028" s="10">
        <v>21383</v>
      </c>
      <c r="B1028" s="11" t="s">
        <v>106</v>
      </c>
      <c r="C1028" s="11">
        <v>0.05</v>
      </c>
      <c r="D1028" s="11">
        <v>7.1</v>
      </c>
      <c r="E1028" s="11">
        <v>6.05</v>
      </c>
      <c r="F1028" s="11">
        <v>1828</v>
      </c>
      <c r="G1028" s="6" t="str">
        <f>IF(COUNTIF(Table1[Customer ID],Table1[[#This Row],[Customer ID]])&gt;1,"Repeat Customer","One-Time Customer")</f>
        <v>Repeat Customer</v>
      </c>
      <c r="H1028" s="11" t="s">
        <v>1821</v>
      </c>
      <c r="I1028" s="11" t="s">
        <v>49</v>
      </c>
      <c r="J1028" s="11" t="s">
        <v>28</v>
      </c>
      <c r="K1028" s="11" t="s">
        <v>29</v>
      </c>
      <c r="L1028" s="11" t="s">
        <v>109</v>
      </c>
      <c r="M1028" s="11" t="s">
        <v>59</v>
      </c>
      <c r="N1028" s="11" t="s">
        <v>651</v>
      </c>
      <c r="O1028" s="11">
        <v>0.39</v>
      </c>
      <c r="P1028" s="6">
        <f>Table1[[#This Row],[Profit]]/Table1[[#This Row],[Sales]]</f>
        <v>-1.0025349044459848</v>
      </c>
      <c r="Q1028" s="11" t="s">
        <v>33</v>
      </c>
      <c r="R1028" s="11" t="s">
        <v>61</v>
      </c>
      <c r="S1028" s="11" t="s">
        <v>330</v>
      </c>
      <c r="T1028" s="11" t="s">
        <v>1822</v>
      </c>
      <c r="U1028" s="11">
        <v>50613</v>
      </c>
      <c r="V1028" s="12">
        <v>42010</v>
      </c>
      <c r="W1028" s="13" t="str">
        <f>TEXT(Table1[[#This Row],[Order Date]],"mmmm")</f>
        <v>January</v>
      </c>
      <c r="X1028" s="7" t="str">
        <f>TEXT(Table1[[#This Row],[Order Date]],"yyyy")</f>
        <v>2015</v>
      </c>
      <c r="Y1028" s="12">
        <v>42010</v>
      </c>
      <c r="Z1028" s="11">
        <v>-101.24600000000001</v>
      </c>
      <c r="AA1028" s="11">
        <v>14</v>
      </c>
      <c r="AB1028" s="11">
        <v>100.99</v>
      </c>
      <c r="AC1028" s="11">
        <v>86960</v>
      </c>
      <c r="AD1028" s="6" t="str">
        <f>IF(COUNTIF(Returns!$A$2:$A$1635,Orders!AC1028)&gt;0,"Returned","Not Returned")</f>
        <v>Not Returned</v>
      </c>
    </row>
    <row r="1029" spans="1:30" ht="12.75" customHeight="1" thickTop="1" thickBot="1" x14ac:dyDescent="0.25">
      <c r="A1029" s="8">
        <v>21384</v>
      </c>
      <c r="B1029" s="1" t="s">
        <v>106</v>
      </c>
      <c r="C1029" s="1">
        <v>0.04</v>
      </c>
      <c r="D1029" s="1">
        <v>20.95</v>
      </c>
      <c r="E1029" s="1">
        <v>4</v>
      </c>
      <c r="F1029" s="1">
        <v>1828</v>
      </c>
      <c r="G1029" s="6" t="str">
        <f>IF(COUNTIF(Table1[Customer ID],Table1[[#This Row],[Customer ID]])&gt;1,"Repeat Customer","One-Time Customer")</f>
        <v>Repeat Customer</v>
      </c>
      <c r="H1029" s="1" t="s">
        <v>1821</v>
      </c>
      <c r="I1029" s="1" t="s">
        <v>49</v>
      </c>
      <c r="J1029" s="1" t="s">
        <v>28</v>
      </c>
      <c r="K1029" s="1" t="s">
        <v>77</v>
      </c>
      <c r="L1029" s="1" t="s">
        <v>180</v>
      </c>
      <c r="M1029" s="1" t="s">
        <v>59</v>
      </c>
      <c r="N1029" s="1" t="s">
        <v>1591</v>
      </c>
      <c r="O1029" s="1">
        <v>0.6</v>
      </c>
      <c r="P1029" s="6">
        <f>Table1[[#This Row],[Profit]]/Table1[[#This Row],[Sales]]</f>
        <v>-1.3233844854286921E-2</v>
      </c>
      <c r="Q1029" s="1" t="s">
        <v>33</v>
      </c>
      <c r="R1029" s="1" t="s">
        <v>61</v>
      </c>
      <c r="S1029" s="1" t="s">
        <v>330</v>
      </c>
      <c r="T1029" s="1" t="s">
        <v>1822</v>
      </c>
      <c r="U1029" s="1">
        <v>50613</v>
      </c>
      <c r="V1029" s="9">
        <v>42010</v>
      </c>
      <c r="W1029" s="13" t="str">
        <f>TEXT(Table1[[#This Row],[Order Date]],"mmmm")</f>
        <v>January</v>
      </c>
      <c r="X1029" s="7" t="str">
        <f>TEXT(Table1[[#This Row],[Order Date]],"yyyy")</f>
        <v>2015</v>
      </c>
      <c r="Y1029" s="9">
        <v>42015</v>
      </c>
      <c r="Z1029" s="1">
        <v>-1.88</v>
      </c>
      <c r="AA1029" s="1">
        <v>7</v>
      </c>
      <c r="AB1029" s="1">
        <v>142.06</v>
      </c>
      <c r="AC1029" s="1">
        <v>86960</v>
      </c>
      <c r="AD1029" s="6" t="str">
        <f>IF(COUNTIF(Returns!$A$2:$A$1635,Orders!AC1029)&gt;0,"Returned","Not Returned")</f>
        <v>Not Returned</v>
      </c>
    </row>
    <row r="1030" spans="1:30" ht="12.75" customHeight="1" thickTop="1" thickBot="1" x14ac:dyDescent="0.25">
      <c r="A1030" s="10">
        <v>23430</v>
      </c>
      <c r="B1030" s="11" t="s">
        <v>47</v>
      </c>
      <c r="C1030" s="11">
        <v>0.01</v>
      </c>
      <c r="D1030" s="11">
        <v>10.64</v>
      </c>
      <c r="E1030" s="11">
        <v>5.16</v>
      </c>
      <c r="F1030" s="11">
        <v>1829</v>
      </c>
      <c r="G1030" s="6" t="str">
        <f>IF(COUNTIF(Table1[Customer ID],Table1[[#This Row],[Customer ID]])&gt;1,"Repeat Customer","One-Time Customer")</f>
        <v>Repeat Customer</v>
      </c>
      <c r="H1030" s="11" t="s">
        <v>1823</v>
      </c>
      <c r="I1030" s="11" t="s">
        <v>27</v>
      </c>
      <c r="J1030" s="11" t="s">
        <v>28</v>
      </c>
      <c r="K1030" s="11" t="s">
        <v>41</v>
      </c>
      <c r="L1030" s="11" t="s">
        <v>50</v>
      </c>
      <c r="M1030" s="11" t="s">
        <v>59</v>
      </c>
      <c r="N1030" s="11" t="s">
        <v>851</v>
      </c>
      <c r="O1030" s="11">
        <v>0.56999999999999995</v>
      </c>
      <c r="P1030" s="6">
        <f>Table1[[#This Row],[Profit]]/Table1[[#This Row],[Sales]]</f>
        <v>-0.19976076555023922</v>
      </c>
      <c r="Q1030" s="11" t="s">
        <v>33</v>
      </c>
      <c r="R1030" s="11" t="s">
        <v>61</v>
      </c>
      <c r="S1030" s="11" t="s">
        <v>330</v>
      </c>
      <c r="T1030" s="11" t="s">
        <v>1824</v>
      </c>
      <c r="U1030" s="11">
        <v>52402</v>
      </c>
      <c r="V1030" s="12">
        <v>42088</v>
      </c>
      <c r="W1030" s="13" t="str">
        <f>TEXT(Table1[[#This Row],[Order Date]],"mmmm")</f>
        <v>March</v>
      </c>
      <c r="X1030" s="7" t="str">
        <f>TEXT(Table1[[#This Row],[Order Date]],"yyyy")</f>
        <v>2015</v>
      </c>
      <c r="Y1030" s="12">
        <v>42090</v>
      </c>
      <c r="Z1030" s="11">
        <v>-11.69</v>
      </c>
      <c r="AA1030" s="11">
        <v>5</v>
      </c>
      <c r="AB1030" s="11">
        <v>58.52</v>
      </c>
      <c r="AC1030" s="11">
        <v>86957</v>
      </c>
      <c r="AD1030" s="6" t="str">
        <f>IF(COUNTIF(Returns!$A$2:$A$1635,Orders!AC1030)&gt;0,"Returned","Not Returned")</f>
        <v>Not Returned</v>
      </c>
    </row>
    <row r="1031" spans="1:30" ht="12.75" customHeight="1" thickTop="1" thickBot="1" x14ac:dyDescent="0.25">
      <c r="A1031" s="8">
        <v>21385</v>
      </c>
      <c r="B1031" s="1" t="s">
        <v>106</v>
      </c>
      <c r="C1031" s="1">
        <v>0.05</v>
      </c>
      <c r="D1031" s="1">
        <v>39.06</v>
      </c>
      <c r="E1031" s="1">
        <v>10.55</v>
      </c>
      <c r="F1031" s="1">
        <v>1829</v>
      </c>
      <c r="G1031" s="6" t="str">
        <f>IF(COUNTIF(Table1[Customer ID],Table1[[#This Row],[Customer ID]])&gt;1,"Repeat Customer","One-Time Customer")</f>
        <v>Repeat Customer</v>
      </c>
      <c r="H1031" s="1" t="s">
        <v>1823</v>
      </c>
      <c r="I1031" s="1" t="s">
        <v>49</v>
      </c>
      <c r="J1031" s="1" t="s">
        <v>28</v>
      </c>
      <c r="K1031" s="1" t="s">
        <v>29</v>
      </c>
      <c r="L1031" s="1" t="s">
        <v>109</v>
      </c>
      <c r="M1031" s="1" t="s">
        <v>59</v>
      </c>
      <c r="N1031" s="1" t="s">
        <v>1132</v>
      </c>
      <c r="O1031" s="1">
        <v>0.37</v>
      </c>
      <c r="P1031" s="6">
        <f>Table1[[#This Row],[Profit]]/Table1[[#This Row],[Sales]]</f>
        <v>0.69</v>
      </c>
      <c r="Q1031" s="1" t="s">
        <v>33</v>
      </c>
      <c r="R1031" s="1" t="s">
        <v>61</v>
      </c>
      <c r="S1031" s="1" t="s">
        <v>330</v>
      </c>
      <c r="T1031" s="1" t="s">
        <v>1824</v>
      </c>
      <c r="U1031" s="1">
        <v>52402</v>
      </c>
      <c r="V1031" s="9">
        <v>42010</v>
      </c>
      <c r="W1031" s="13" t="str">
        <f>TEXT(Table1[[#This Row],[Order Date]],"mmmm")</f>
        <v>January</v>
      </c>
      <c r="X1031" s="7" t="str">
        <f>TEXT(Table1[[#This Row],[Order Date]],"yyyy")</f>
        <v>2015</v>
      </c>
      <c r="Y1031" s="9">
        <v>42017</v>
      </c>
      <c r="Z1031" s="1">
        <v>250.98059999999998</v>
      </c>
      <c r="AA1031" s="1">
        <v>9</v>
      </c>
      <c r="AB1031" s="1">
        <v>363.74</v>
      </c>
      <c r="AC1031" s="1">
        <v>86960</v>
      </c>
      <c r="AD1031" s="6" t="str">
        <f>IF(COUNTIF(Returns!$A$2:$A$1635,Orders!AC1031)&gt;0,"Returned","Not Returned")</f>
        <v>Not Returned</v>
      </c>
    </row>
    <row r="1032" spans="1:30" ht="12.75" customHeight="1" thickTop="1" thickBot="1" x14ac:dyDescent="0.25">
      <c r="A1032" s="10">
        <v>21386</v>
      </c>
      <c r="B1032" s="11" t="s">
        <v>106</v>
      </c>
      <c r="C1032" s="11">
        <v>0.04</v>
      </c>
      <c r="D1032" s="11">
        <v>3.52</v>
      </c>
      <c r="E1032" s="11">
        <v>6.83</v>
      </c>
      <c r="F1032" s="11">
        <v>1829</v>
      </c>
      <c r="G1032" s="6" t="str">
        <f>IF(COUNTIF(Table1[Customer ID],Table1[[#This Row],[Customer ID]])&gt;1,"Repeat Customer","One-Time Customer")</f>
        <v>Repeat Customer</v>
      </c>
      <c r="H1032" s="11" t="s">
        <v>1823</v>
      </c>
      <c r="I1032" s="11" t="s">
        <v>49</v>
      </c>
      <c r="J1032" s="11" t="s">
        <v>28</v>
      </c>
      <c r="K1032" s="11" t="s">
        <v>29</v>
      </c>
      <c r="L1032" s="11" t="s">
        <v>109</v>
      </c>
      <c r="M1032" s="11" t="s">
        <v>59</v>
      </c>
      <c r="N1032" s="11" t="s">
        <v>1825</v>
      </c>
      <c r="O1032" s="11">
        <v>0.38</v>
      </c>
      <c r="P1032" s="6">
        <f>Table1[[#This Row],[Profit]]/Table1[[#This Row],[Sales]]</f>
        <v>-3.6254237288135593</v>
      </c>
      <c r="Q1032" s="11" t="s">
        <v>33</v>
      </c>
      <c r="R1032" s="11" t="s">
        <v>61</v>
      </c>
      <c r="S1032" s="11" t="s">
        <v>330</v>
      </c>
      <c r="T1032" s="11" t="s">
        <v>1824</v>
      </c>
      <c r="U1032" s="11">
        <v>52402</v>
      </c>
      <c r="V1032" s="12">
        <v>42010</v>
      </c>
      <c r="W1032" s="13" t="str">
        <f>TEXT(Table1[[#This Row],[Order Date]],"mmmm")</f>
        <v>January</v>
      </c>
      <c r="X1032" s="7" t="str">
        <f>TEXT(Table1[[#This Row],[Order Date]],"yyyy")</f>
        <v>2015</v>
      </c>
      <c r="Y1032" s="12">
        <v>42019</v>
      </c>
      <c r="Z1032" s="11">
        <v>-57.753</v>
      </c>
      <c r="AA1032" s="11">
        <v>4</v>
      </c>
      <c r="AB1032" s="11">
        <v>15.93</v>
      </c>
      <c r="AC1032" s="11">
        <v>86960</v>
      </c>
      <c r="AD1032" s="6" t="str">
        <f>IF(COUNTIF(Returns!$A$2:$A$1635,Orders!AC1032)&gt;0,"Returned","Not Returned")</f>
        <v>Not Returned</v>
      </c>
    </row>
    <row r="1033" spans="1:30" ht="12.75" customHeight="1" thickTop="1" thickBot="1" x14ac:dyDescent="0.25">
      <c r="A1033" s="8">
        <v>21387</v>
      </c>
      <c r="B1033" s="1" t="s">
        <v>106</v>
      </c>
      <c r="C1033" s="1">
        <v>0.02</v>
      </c>
      <c r="D1033" s="1">
        <v>15.51</v>
      </c>
      <c r="E1033" s="1">
        <v>17.78</v>
      </c>
      <c r="F1033" s="1">
        <v>1829</v>
      </c>
      <c r="G1033" s="6" t="str">
        <f>IF(COUNTIF(Table1[Customer ID],Table1[[#This Row],[Customer ID]])&gt;1,"Repeat Customer","One-Time Customer")</f>
        <v>Repeat Customer</v>
      </c>
      <c r="H1033" s="1" t="s">
        <v>1823</v>
      </c>
      <c r="I1033" s="1" t="s">
        <v>49</v>
      </c>
      <c r="J1033" s="1" t="s">
        <v>28</v>
      </c>
      <c r="K1033" s="1" t="s">
        <v>29</v>
      </c>
      <c r="L1033" s="1" t="s">
        <v>141</v>
      </c>
      <c r="M1033" s="1" t="s">
        <v>59</v>
      </c>
      <c r="N1033" s="1" t="s">
        <v>691</v>
      </c>
      <c r="O1033" s="1">
        <v>0.59</v>
      </c>
      <c r="P1033" s="6">
        <f>Table1[[#This Row],[Profit]]/Table1[[#This Row],[Sales]]</f>
        <v>-2.2542293233082704</v>
      </c>
      <c r="Q1033" s="1" t="s">
        <v>33</v>
      </c>
      <c r="R1033" s="1" t="s">
        <v>61</v>
      </c>
      <c r="S1033" s="1" t="s">
        <v>330</v>
      </c>
      <c r="T1033" s="1" t="s">
        <v>1824</v>
      </c>
      <c r="U1033" s="1">
        <v>52402</v>
      </c>
      <c r="V1033" s="9">
        <v>42010</v>
      </c>
      <c r="W1033" s="13" t="str">
        <f>TEXT(Table1[[#This Row],[Order Date]],"mmmm")</f>
        <v>January</v>
      </c>
      <c r="X1033" s="7" t="str">
        <f>TEXT(Table1[[#This Row],[Order Date]],"yyyy")</f>
        <v>2015</v>
      </c>
      <c r="Y1033" s="9">
        <v>42017</v>
      </c>
      <c r="Z1033" s="1">
        <v>-47.97</v>
      </c>
      <c r="AA1033" s="1">
        <v>1</v>
      </c>
      <c r="AB1033" s="1">
        <v>21.28</v>
      </c>
      <c r="AC1033" s="1">
        <v>86960</v>
      </c>
      <c r="AD1033" s="6" t="str">
        <f>IF(COUNTIF(Returns!$A$2:$A$1635,Orders!AC1033)&gt;0,"Returned","Not Returned")</f>
        <v>Not Returned</v>
      </c>
    </row>
    <row r="1034" spans="1:30" ht="12.75" customHeight="1" thickTop="1" thickBot="1" x14ac:dyDescent="0.25">
      <c r="A1034" s="10">
        <v>23589</v>
      </c>
      <c r="B1034" s="11" t="s">
        <v>25</v>
      </c>
      <c r="C1034" s="11">
        <v>0.01</v>
      </c>
      <c r="D1034" s="11">
        <v>155.99</v>
      </c>
      <c r="E1034" s="11">
        <v>8.99</v>
      </c>
      <c r="F1034" s="11">
        <v>1836</v>
      </c>
      <c r="G1034" s="6" t="str">
        <f>IF(COUNTIF(Table1[Customer ID],Table1[[#This Row],[Customer ID]])&gt;1,"Repeat Customer","One-Time Customer")</f>
        <v>One-Time Customer</v>
      </c>
      <c r="H1034" s="11" t="s">
        <v>1826</v>
      </c>
      <c r="I1034" s="11" t="s">
        <v>27</v>
      </c>
      <c r="J1034" s="11" t="s">
        <v>28</v>
      </c>
      <c r="K1034" s="11" t="s">
        <v>77</v>
      </c>
      <c r="L1034" s="11" t="s">
        <v>78</v>
      </c>
      <c r="M1034" s="11" t="s">
        <v>59</v>
      </c>
      <c r="N1034" s="11" t="s">
        <v>996</v>
      </c>
      <c r="O1034" s="11">
        <v>0.57999999999999996</v>
      </c>
      <c r="P1034" s="6">
        <f>Table1[[#This Row],[Profit]]/Table1[[#This Row],[Sales]]</f>
        <v>-0.324162999570898</v>
      </c>
      <c r="Q1034" s="11" t="s">
        <v>33</v>
      </c>
      <c r="R1034" s="11" t="s">
        <v>34</v>
      </c>
      <c r="S1034" s="11" t="s">
        <v>45</v>
      </c>
      <c r="T1034" s="11" t="s">
        <v>276</v>
      </c>
      <c r="U1034" s="11">
        <v>94110</v>
      </c>
      <c r="V1034" s="12">
        <v>42113</v>
      </c>
      <c r="W1034" s="13" t="str">
        <f>TEXT(Table1[[#This Row],[Order Date]],"mmmm")</f>
        <v>April</v>
      </c>
      <c r="X1034" s="7" t="str">
        <f>TEXT(Table1[[#This Row],[Order Date]],"yyyy")</f>
        <v>2015</v>
      </c>
      <c r="Y1034" s="12">
        <v>42114</v>
      </c>
      <c r="Z1034" s="11">
        <v>-219.07908</v>
      </c>
      <c r="AA1034" s="11">
        <v>5</v>
      </c>
      <c r="AB1034" s="11">
        <v>675.83</v>
      </c>
      <c r="AC1034" s="11">
        <v>86600</v>
      </c>
      <c r="AD1034" s="6" t="str">
        <f>IF(COUNTIF(Returns!$A$2:$A$1635,Orders!AC1034)&gt;0,"Returned","Not Returned")</f>
        <v>Not Returned</v>
      </c>
    </row>
    <row r="1035" spans="1:30" ht="12.75" customHeight="1" thickTop="1" thickBot="1" x14ac:dyDescent="0.25">
      <c r="A1035" s="8">
        <v>23590</v>
      </c>
      <c r="B1035" s="1" t="s">
        <v>25</v>
      </c>
      <c r="C1035" s="1">
        <v>0.01</v>
      </c>
      <c r="D1035" s="1">
        <v>5.98</v>
      </c>
      <c r="E1035" s="1">
        <v>5.46</v>
      </c>
      <c r="F1035" s="1">
        <v>1837</v>
      </c>
      <c r="G1035" s="6" t="str">
        <f>IF(COUNTIF(Table1[Customer ID],Table1[[#This Row],[Customer ID]])&gt;1,"Repeat Customer","One-Time Customer")</f>
        <v>One-Time Customer</v>
      </c>
      <c r="H1035" s="1" t="s">
        <v>1827</v>
      </c>
      <c r="I1035" s="1" t="s">
        <v>49</v>
      </c>
      <c r="J1035" s="1" t="s">
        <v>28</v>
      </c>
      <c r="K1035" s="1" t="s">
        <v>29</v>
      </c>
      <c r="L1035" s="1" t="s">
        <v>93</v>
      </c>
      <c r="M1035" s="1" t="s">
        <v>59</v>
      </c>
      <c r="N1035" s="1" t="s">
        <v>1051</v>
      </c>
      <c r="O1035" s="1">
        <v>0.36</v>
      </c>
      <c r="P1035" s="6">
        <f>Table1[[#This Row],[Profit]]/Table1[[#This Row],[Sales]]</f>
        <v>-0.6742285714285714</v>
      </c>
      <c r="Q1035" s="1" t="s">
        <v>33</v>
      </c>
      <c r="R1035" s="1" t="s">
        <v>34</v>
      </c>
      <c r="S1035" s="1" t="s">
        <v>45</v>
      </c>
      <c r="T1035" s="1" t="s">
        <v>46</v>
      </c>
      <c r="U1035" s="1">
        <v>91776</v>
      </c>
      <c r="V1035" s="9">
        <v>42113</v>
      </c>
      <c r="W1035" s="13" t="str">
        <f>TEXT(Table1[[#This Row],[Order Date]],"mmmm")</f>
        <v>April</v>
      </c>
      <c r="X1035" s="7" t="str">
        <f>TEXT(Table1[[#This Row],[Order Date]],"yyyy")</f>
        <v>2015</v>
      </c>
      <c r="Y1035" s="9">
        <v>42115</v>
      </c>
      <c r="Z1035" s="1">
        <v>-18.878399999999999</v>
      </c>
      <c r="AA1035" s="1">
        <v>4</v>
      </c>
      <c r="AB1035" s="1">
        <v>28</v>
      </c>
      <c r="AC1035" s="1">
        <v>86600</v>
      </c>
      <c r="AD1035" s="6" t="str">
        <f>IF(COUNTIF(Returns!$A$2:$A$1635,Orders!AC1035)&gt;0,"Returned","Not Returned")</f>
        <v>Not Returned</v>
      </c>
    </row>
    <row r="1036" spans="1:30" ht="12.75" customHeight="1" thickTop="1" thickBot="1" x14ac:dyDescent="0.25">
      <c r="A1036" s="10">
        <v>18141</v>
      </c>
      <c r="B1036" s="11" t="s">
        <v>37</v>
      </c>
      <c r="C1036" s="11">
        <v>7.0000000000000007E-2</v>
      </c>
      <c r="D1036" s="11">
        <v>40.98</v>
      </c>
      <c r="E1036" s="11">
        <v>2.99</v>
      </c>
      <c r="F1036" s="11">
        <v>1840</v>
      </c>
      <c r="G1036" s="6" t="str">
        <f>IF(COUNTIF(Table1[Customer ID],Table1[[#This Row],[Customer ID]])&gt;1,"Repeat Customer","One-Time Customer")</f>
        <v>One-Time Customer</v>
      </c>
      <c r="H1036" s="11" t="s">
        <v>1828</v>
      </c>
      <c r="I1036" s="11" t="s">
        <v>49</v>
      </c>
      <c r="J1036" s="11" t="s">
        <v>40</v>
      </c>
      <c r="K1036" s="11" t="s">
        <v>29</v>
      </c>
      <c r="L1036" s="11" t="s">
        <v>109</v>
      </c>
      <c r="M1036" s="11" t="s">
        <v>59</v>
      </c>
      <c r="N1036" s="11" t="s">
        <v>1066</v>
      </c>
      <c r="O1036" s="11">
        <v>0.36</v>
      </c>
      <c r="P1036" s="6">
        <f>Table1[[#This Row],[Profit]]/Table1[[#This Row],[Sales]]</f>
        <v>0.69</v>
      </c>
      <c r="Q1036" s="11" t="s">
        <v>33</v>
      </c>
      <c r="R1036" s="11" t="s">
        <v>53</v>
      </c>
      <c r="S1036" s="11" t="s">
        <v>193</v>
      </c>
      <c r="T1036" s="11" t="s">
        <v>1829</v>
      </c>
      <c r="U1036" s="11">
        <v>1469</v>
      </c>
      <c r="V1036" s="12">
        <v>42093</v>
      </c>
      <c r="W1036" s="13" t="str">
        <f>TEXT(Table1[[#This Row],[Order Date]],"mmmm")</f>
        <v>March</v>
      </c>
      <c r="X1036" s="7" t="str">
        <f>TEXT(Table1[[#This Row],[Order Date]],"yyyy")</f>
        <v>2015</v>
      </c>
      <c r="Y1036" s="12">
        <v>42095</v>
      </c>
      <c r="Z1036" s="11">
        <v>369.20519999999999</v>
      </c>
      <c r="AA1036" s="11">
        <v>13</v>
      </c>
      <c r="AB1036" s="11">
        <v>535.08000000000004</v>
      </c>
      <c r="AC1036" s="11">
        <v>86599</v>
      </c>
      <c r="AD1036" s="6" t="str">
        <f>IF(COUNTIF(Returns!$A$2:$A$1635,Orders!AC1036)&gt;0,"Returned","Not Returned")</f>
        <v>Not Returned</v>
      </c>
    </row>
    <row r="1037" spans="1:30" ht="12.75" customHeight="1" thickTop="1" thickBot="1" x14ac:dyDescent="0.25">
      <c r="A1037" s="8">
        <v>19139</v>
      </c>
      <c r="B1037" s="1" t="s">
        <v>25</v>
      </c>
      <c r="C1037" s="1">
        <v>0.09</v>
      </c>
      <c r="D1037" s="1">
        <v>35.99</v>
      </c>
      <c r="E1037" s="1">
        <v>1.1000000000000001</v>
      </c>
      <c r="F1037" s="1">
        <v>1849</v>
      </c>
      <c r="G1037" s="6" t="str">
        <f>IF(COUNTIF(Table1[Customer ID],Table1[[#This Row],[Customer ID]])&gt;1,"Repeat Customer","One-Time Customer")</f>
        <v>Repeat Customer</v>
      </c>
      <c r="H1037" s="1" t="s">
        <v>1830</v>
      </c>
      <c r="I1037" s="1" t="s">
        <v>49</v>
      </c>
      <c r="J1037" s="1" t="s">
        <v>114</v>
      </c>
      <c r="K1037" s="1" t="s">
        <v>77</v>
      </c>
      <c r="L1037" s="1" t="s">
        <v>78</v>
      </c>
      <c r="M1037" s="1" t="s">
        <v>59</v>
      </c>
      <c r="N1037" s="1" t="s">
        <v>935</v>
      </c>
      <c r="O1037" s="1">
        <v>0.55000000000000004</v>
      </c>
      <c r="P1037" s="6">
        <f>Table1[[#This Row],[Profit]]/Table1[[#This Row],[Sales]]</f>
        <v>8.6884288985676447E-2</v>
      </c>
      <c r="Q1037" s="1" t="s">
        <v>33</v>
      </c>
      <c r="R1037" s="1" t="s">
        <v>136</v>
      </c>
      <c r="S1037" s="1" t="s">
        <v>1278</v>
      </c>
      <c r="T1037" s="1" t="s">
        <v>1831</v>
      </c>
      <c r="U1037" s="1">
        <v>36330</v>
      </c>
      <c r="V1037" s="9">
        <v>42095</v>
      </c>
      <c r="W1037" s="13" t="str">
        <f>TEXT(Table1[[#This Row],[Order Date]],"mmmm")</f>
        <v>April</v>
      </c>
      <c r="X1037" s="7" t="str">
        <f>TEXT(Table1[[#This Row],[Order Date]],"yyyy")</f>
        <v>2015</v>
      </c>
      <c r="Y1037" s="9">
        <v>42097</v>
      </c>
      <c r="Z1037" s="1">
        <v>19.350000000000001</v>
      </c>
      <c r="AA1037" s="1">
        <v>8</v>
      </c>
      <c r="AB1037" s="1">
        <v>222.71</v>
      </c>
      <c r="AC1037" s="1">
        <v>89697</v>
      </c>
      <c r="AD1037" s="6" t="str">
        <f>IF(COUNTIF(Returns!$A$2:$A$1635,Orders!AC1037)&gt;0,"Returned","Not Returned")</f>
        <v>Not Returned</v>
      </c>
    </row>
    <row r="1038" spans="1:30" ht="12.75" customHeight="1" thickTop="1" thickBot="1" x14ac:dyDescent="0.25">
      <c r="A1038" s="10">
        <v>19140</v>
      </c>
      <c r="B1038" s="11" t="s">
        <v>25</v>
      </c>
      <c r="C1038" s="11">
        <v>0.01</v>
      </c>
      <c r="D1038" s="11">
        <v>125.99</v>
      </c>
      <c r="E1038" s="11">
        <v>2.5</v>
      </c>
      <c r="F1038" s="11">
        <v>1849</v>
      </c>
      <c r="G1038" s="6" t="str">
        <f>IF(COUNTIF(Table1[Customer ID],Table1[[#This Row],[Customer ID]])&gt;1,"Repeat Customer","One-Time Customer")</f>
        <v>Repeat Customer</v>
      </c>
      <c r="H1038" s="11" t="s">
        <v>1830</v>
      </c>
      <c r="I1038" s="11" t="s">
        <v>49</v>
      </c>
      <c r="J1038" s="11" t="s">
        <v>114</v>
      </c>
      <c r="K1038" s="11" t="s">
        <v>77</v>
      </c>
      <c r="L1038" s="11" t="s">
        <v>78</v>
      </c>
      <c r="M1038" s="11" t="s">
        <v>59</v>
      </c>
      <c r="N1038" s="11" t="s">
        <v>1148</v>
      </c>
      <c r="O1038" s="11">
        <v>0.6</v>
      </c>
      <c r="P1038" s="6">
        <f>Table1[[#This Row],[Profit]]/Table1[[#This Row],[Sales]]</f>
        <v>-4.3888717576637033</v>
      </c>
      <c r="Q1038" s="11" t="s">
        <v>33</v>
      </c>
      <c r="R1038" s="11" t="s">
        <v>136</v>
      </c>
      <c r="S1038" s="11" t="s">
        <v>1278</v>
      </c>
      <c r="T1038" s="11" t="s">
        <v>1831</v>
      </c>
      <c r="U1038" s="11">
        <v>36330</v>
      </c>
      <c r="V1038" s="12">
        <v>42095</v>
      </c>
      <c r="W1038" s="13" t="str">
        <f>TEXT(Table1[[#This Row],[Order Date]],"mmmm")</f>
        <v>April</v>
      </c>
      <c r="X1038" s="7" t="str">
        <f>TEXT(Table1[[#This Row],[Order Date]],"yyyy")</f>
        <v>2015</v>
      </c>
      <c r="Y1038" s="12">
        <v>42096</v>
      </c>
      <c r="Z1038" s="11">
        <v>-967.83399999999995</v>
      </c>
      <c r="AA1038" s="11">
        <v>2</v>
      </c>
      <c r="AB1038" s="11">
        <v>220.52</v>
      </c>
      <c r="AC1038" s="11">
        <v>89697</v>
      </c>
      <c r="AD1038" s="6" t="str">
        <f>IF(COUNTIF(Returns!$A$2:$A$1635,Orders!AC1038)&gt;0,"Returned","Not Returned")</f>
        <v>Not Returned</v>
      </c>
    </row>
    <row r="1039" spans="1:30" ht="12.75" customHeight="1" thickTop="1" thickBot="1" x14ac:dyDescent="0.25">
      <c r="A1039" s="8">
        <v>19141</v>
      </c>
      <c r="B1039" s="1" t="s">
        <v>37</v>
      </c>
      <c r="C1039" s="1">
        <v>0.06</v>
      </c>
      <c r="D1039" s="1">
        <v>6.48</v>
      </c>
      <c r="E1039" s="1">
        <v>5.14</v>
      </c>
      <c r="F1039" s="1">
        <v>1852</v>
      </c>
      <c r="G1039" s="6" t="str">
        <f>IF(COUNTIF(Table1[Customer ID],Table1[[#This Row],[Customer ID]])&gt;1,"Repeat Customer","One-Time Customer")</f>
        <v>One-Time Customer</v>
      </c>
      <c r="H1039" s="1" t="s">
        <v>1832</v>
      </c>
      <c r="I1039" s="1" t="s">
        <v>27</v>
      </c>
      <c r="J1039" s="1" t="s">
        <v>40</v>
      </c>
      <c r="K1039" s="1" t="s">
        <v>29</v>
      </c>
      <c r="L1039" s="1" t="s">
        <v>93</v>
      </c>
      <c r="M1039" s="1" t="s">
        <v>59</v>
      </c>
      <c r="N1039" s="1" t="s">
        <v>938</v>
      </c>
      <c r="O1039" s="1">
        <v>0.37</v>
      </c>
      <c r="P1039" s="6">
        <f>Table1[[#This Row],[Profit]]/Table1[[#This Row],[Sales]]</f>
        <v>-0.41630084869768802</v>
      </c>
      <c r="Q1039" s="1" t="s">
        <v>33</v>
      </c>
      <c r="R1039" s="1" t="s">
        <v>34</v>
      </c>
      <c r="S1039" s="1" t="s">
        <v>45</v>
      </c>
      <c r="T1039" s="1" t="s">
        <v>1833</v>
      </c>
      <c r="U1039" s="1">
        <v>92008</v>
      </c>
      <c r="V1039" s="9">
        <v>42082</v>
      </c>
      <c r="W1039" s="13" t="str">
        <f>TEXT(Table1[[#This Row],[Order Date]],"mmmm")</f>
        <v>March</v>
      </c>
      <c r="X1039" s="7" t="str">
        <f>TEXT(Table1[[#This Row],[Order Date]],"yyyy")</f>
        <v>2015</v>
      </c>
      <c r="Y1039" s="9">
        <v>42084</v>
      </c>
      <c r="Z1039" s="1">
        <v>-28.45</v>
      </c>
      <c r="AA1039" s="1">
        <v>10</v>
      </c>
      <c r="AB1039" s="1">
        <v>68.34</v>
      </c>
      <c r="AC1039" s="1">
        <v>86847</v>
      </c>
      <c r="AD1039" s="6" t="str">
        <f>IF(COUNTIF(Returns!$A$2:$A$1635,Orders!AC1039)&gt;0,"Returned","Not Returned")</f>
        <v>Not Returned</v>
      </c>
    </row>
    <row r="1040" spans="1:30" ht="12.75" customHeight="1" thickTop="1" thickBot="1" x14ac:dyDescent="0.25">
      <c r="A1040" s="10">
        <v>19142</v>
      </c>
      <c r="B1040" s="11" t="s">
        <v>37</v>
      </c>
      <c r="C1040" s="11">
        <v>0.02</v>
      </c>
      <c r="D1040" s="11">
        <v>30.73</v>
      </c>
      <c r="E1040" s="11">
        <v>4</v>
      </c>
      <c r="F1040" s="11">
        <v>1854</v>
      </c>
      <c r="G1040" s="6" t="str">
        <f>IF(COUNTIF(Table1[Customer ID],Table1[[#This Row],[Customer ID]])&gt;1,"Repeat Customer","One-Time Customer")</f>
        <v>One-Time Customer</v>
      </c>
      <c r="H1040" s="11" t="s">
        <v>1834</v>
      </c>
      <c r="I1040" s="11" t="s">
        <v>49</v>
      </c>
      <c r="J1040" s="11" t="s">
        <v>40</v>
      </c>
      <c r="K1040" s="11" t="s">
        <v>77</v>
      </c>
      <c r="L1040" s="11" t="s">
        <v>180</v>
      </c>
      <c r="M1040" s="11" t="s">
        <v>59</v>
      </c>
      <c r="N1040" s="11" t="s">
        <v>288</v>
      </c>
      <c r="O1040" s="11">
        <v>0.75</v>
      </c>
      <c r="P1040" s="6">
        <f>Table1[[#This Row],[Profit]]/Table1[[#This Row],[Sales]]</f>
        <v>0.13936655049595956</v>
      </c>
      <c r="Q1040" s="11" t="s">
        <v>33</v>
      </c>
      <c r="R1040" s="11" t="s">
        <v>53</v>
      </c>
      <c r="S1040" s="11" t="s">
        <v>228</v>
      </c>
      <c r="T1040" s="11" t="s">
        <v>687</v>
      </c>
      <c r="U1040" s="11">
        <v>6478</v>
      </c>
      <c r="V1040" s="12">
        <v>42082</v>
      </c>
      <c r="W1040" s="13" t="str">
        <f>TEXT(Table1[[#This Row],[Order Date]],"mmmm")</f>
        <v>March</v>
      </c>
      <c r="X1040" s="7" t="str">
        <f>TEXT(Table1[[#This Row],[Order Date]],"yyyy")</f>
        <v>2015</v>
      </c>
      <c r="Y1040" s="12">
        <v>42085</v>
      </c>
      <c r="Z1040" s="11">
        <v>72.78</v>
      </c>
      <c r="AA1040" s="11">
        <v>16</v>
      </c>
      <c r="AB1040" s="11">
        <v>522.22</v>
      </c>
      <c r="AC1040" s="11">
        <v>86847</v>
      </c>
      <c r="AD1040" s="6" t="str">
        <f>IF(COUNTIF(Returns!$A$2:$A$1635,Orders!AC1040)&gt;0,"Returned","Not Returned")</f>
        <v>Not Returned</v>
      </c>
    </row>
    <row r="1041" spans="1:30" ht="12.75" customHeight="1" thickTop="1" thickBot="1" x14ac:dyDescent="0.25">
      <c r="A1041" s="8">
        <v>20036</v>
      </c>
      <c r="B1041" s="1" t="s">
        <v>47</v>
      </c>
      <c r="C1041" s="1">
        <v>0.09</v>
      </c>
      <c r="D1041" s="1">
        <v>5.98</v>
      </c>
      <c r="E1041" s="1">
        <v>1.49</v>
      </c>
      <c r="F1041" s="1">
        <v>1860</v>
      </c>
      <c r="G1041" s="6" t="str">
        <f>IF(COUNTIF(Table1[Customer ID],Table1[[#This Row],[Customer ID]])&gt;1,"Repeat Customer","One-Time Customer")</f>
        <v>One-Time Customer</v>
      </c>
      <c r="H1041" s="1" t="s">
        <v>1835</v>
      </c>
      <c r="I1041" s="1" t="s">
        <v>49</v>
      </c>
      <c r="J1041" s="1" t="s">
        <v>40</v>
      </c>
      <c r="K1041" s="1" t="s">
        <v>29</v>
      </c>
      <c r="L1041" s="1" t="s">
        <v>109</v>
      </c>
      <c r="M1041" s="1" t="s">
        <v>59</v>
      </c>
      <c r="N1041" s="1" t="s">
        <v>1020</v>
      </c>
      <c r="O1041" s="1">
        <v>0.39</v>
      </c>
      <c r="P1041" s="6">
        <f>Table1[[#This Row],[Profit]]/Table1[[#This Row],[Sales]]</f>
        <v>0.47230988932524098</v>
      </c>
      <c r="Q1041" s="1" t="s">
        <v>33</v>
      </c>
      <c r="R1041" s="1" t="s">
        <v>53</v>
      </c>
      <c r="S1041" s="1" t="s">
        <v>193</v>
      </c>
      <c r="T1041" s="1" t="s">
        <v>1836</v>
      </c>
      <c r="U1041" s="1">
        <v>1570</v>
      </c>
      <c r="V1041" s="9">
        <v>42170</v>
      </c>
      <c r="W1041" s="13" t="str">
        <f>TEXT(Table1[[#This Row],[Order Date]],"mmmm")</f>
        <v>June</v>
      </c>
      <c r="X1041" s="7" t="str">
        <f>TEXT(Table1[[#This Row],[Order Date]],"yyyy")</f>
        <v>2015</v>
      </c>
      <c r="Y1041" s="9">
        <v>42172</v>
      </c>
      <c r="Z1041" s="1">
        <v>13.2294</v>
      </c>
      <c r="AA1041" s="1">
        <v>5</v>
      </c>
      <c r="AB1041" s="1">
        <v>28.01</v>
      </c>
      <c r="AC1041" s="1">
        <v>86846</v>
      </c>
      <c r="AD1041" s="6" t="str">
        <f>IF(COUNTIF(Returns!$A$2:$A$1635,Orders!AC1041)&gt;0,"Returned","Not Returned")</f>
        <v>Not Returned</v>
      </c>
    </row>
    <row r="1042" spans="1:30" ht="12.75" customHeight="1" thickTop="1" thickBot="1" x14ac:dyDescent="0.25">
      <c r="A1042" s="10">
        <v>18879</v>
      </c>
      <c r="B1042" s="11" t="s">
        <v>37</v>
      </c>
      <c r="C1042" s="11">
        <v>0.08</v>
      </c>
      <c r="D1042" s="11">
        <v>8.09</v>
      </c>
      <c r="E1042" s="11">
        <v>7.96</v>
      </c>
      <c r="F1042" s="11">
        <v>1869</v>
      </c>
      <c r="G1042" s="6" t="str">
        <f>IF(COUNTIF(Table1[Customer ID],Table1[[#This Row],[Customer ID]])&gt;1,"Repeat Customer","One-Time Customer")</f>
        <v>One-Time Customer</v>
      </c>
      <c r="H1042" s="11" t="s">
        <v>1837</v>
      </c>
      <c r="I1042" s="11" t="s">
        <v>49</v>
      </c>
      <c r="J1042" s="11" t="s">
        <v>114</v>
      </c>
      <c r="K1042" s="11" t="s">
        <v>41</v>
      </c>
      <c r="L1042" s="11" t="s">
        <v>50</v>
      </c>
      <c r="M1042" s="11" t="s">
        <v>59</v>
      </c>
      <c r="N1042" s="11" t="s">
        <v>157</v>
      </c>
      <c r="O1042" s="11">
        <v>0.49</v>
      </c>
      <c r="P1042" s="6">
        <f>Table1[[#This Row],[Profit]]/Table1[[#This Row],[Sales]]</f>
        <v>-1.1054138145612944</v>
      </c>
      <c r="Q1042" s="11" t="s">
        <v>33</v>
      </c>
      <c r="R1042" s="11" t="s">
        <v>34</v>
      </c>
      <c r="S1042" s="11" t="s">
        <v>366</v>
      </c>
      <c r="T1042" s="11" t="s">
        <v>1838</v>
      </c>
      <c r="U1042" s="11">
        <v>88310</v>
      </c>
      <c r="V1042" s="12">
        <v>42127</v>
      </c>
      <c r="W1042" s="13" t="str">
        <f>TEXT(Table1[[#This Row],[Order Date]],"mmmm")</f>
        <v>May</v>
      </c>
      <c r="X1042" s="7" t="str">
        <f>TEXT(Table1[[#This Row],[Order Date]],"yyyy")</f>
        <v>2015</v>
      </c>
      <c r="Y1042" s="12">
        <v>42128</v>
      </c>
      <c r="Z1042" s="11">
        <v>-88.82</v>
      </c>
      <c r="AA1042" s="11">
        <v>10</v>
      </c>
      <c r="AB1042" s="11">
        <v>80.349999999999994</v>
      </c>
      <c r="AC1042" s="11">
        <v>89209</v>
      </c>
      <c r="AD1042" s="6" t="str">
        <f>IF(COUNTIF(Returns!$A$2:$A$1635,Orders!AC1042)&gt;0,"Returned","Not Returned")</f>
        <v>Not Returned</v>
      </c>
    </row>
    <row r="1043" spans="1:30" ht="12.75" customHeight="1" thickTop="1" thickBot="1" x14ac:dyDescent="0.25">
      <c r="A1043" s="8">
        <v>19415</v>
      </c>
      <c r="B1043" s="1" t="s">
        <v>56</v>
      </c>
      <c r="C1043" s="1">
        <v>0.03</v>
      </c>
      <c r="D1043" s="1">
        <v>90.48</v>
      </c>
      <c r="E1043" s="1">
        <v>19.989999999999998</v>
      </c>
      <c r="F1043" s="1">
        <v>1873</v>
      </c>
      <c r="G1043" s="6" t="str">
        <f>IF(COUNTIF(Table1[Customer ID],Table1[[#This Row],[Customer ID]])&gt;1,"Repeat Customer","One-Time Customer")</f>
        <v>Repeat Customer</v>
      </c>
      <c r="H1043" s="1" t="s">
        <v>1839</v>
      </c>
      <c r="I1043" s="1" t="s">
        <v>49</v>
      </c>
      <c r="J1043" s="1" t="s">
        <v>28</v>
      </c>
      <c r="K1043" s="1" t="s">
        <v>29</v>
      </c>
      <c r="L1043" s="1" t="s">
        <v>69</v>
      </c>
      <c r="M1043" s="1" t="s">
        <v>59</v>
      </c>
      <c r="N1043" s="1" t="s">
        <v>1840</v>
      </c>
      <c r="O1043" s="1">
        <v>0.4</v>
      </c>
      <c r="P1043" s="6">
        <f>Table1[[#This Row],[Profit]]/Table1[[#This Row],[Sales]]</f>
        <v>0.15401745410773396</v>
      </c>
      <c r="Q1043" s="1" t="s">
        <v>33</v>
      </c>
      <c r="R1043" s="1" t="s">
        <v>136</v>
      </c>
      <c r="S1043" s="1" t="s">
        <v>362</v>
      </c>
      <c r="T1043" s="1" t="s">
        <v>1841</v>
      </c>
      <c r="U1043" s="1">
        <v>33403</v>
      </c>
      <c r="V1043" s="9">
        <v>42021</v>
      </c>
      <c r="W1043" s="13" t="str">
        <f>TEXT(Table1[[#This Row],[Order Date]],"mmmm")</f>
        <v>January</v>
      </c>
      <c r="X1043" s="7" t="str">
        <f>TEXT(Table1[[#This Row],[Order Date]],"yyyy")</f>
        <v>2015</v>
      </c>
      <c r="Y1043" s="9">
        <v>42023</v>
      </c>
      <c r="Z1043" s="1">
        <v>15.353999999999999</v>
      </c>
      <c r="AA1043" s="1">
        <v>1</v>
      </c>
      <c r="AB1043" s="1">
        <v>99.69</v>
      </c>
      <c r="AC1043" s="1">
        <v>90099</v>
      </c>
      <c r="AD1043" s="6" t="str">
        <f>IF(COUNTIF(Returns!$A$2:$A$1635,Orders!AC1043)&gt;0,"Returned","Not Returned")</f>
        <v>Not Returned</v>
      </c>
    </row>
    <row r="1044" spans="1:30" ht="12.75" customHeight="1" thickTop="1" thickBot="1" x14ac:dyDescent="0.25">
      <c r="A1044" s="10">
        <v>19416</v>
      </c>
      <c r="B1044" s="11" t="s">
        <v>56</v>
      </c>
      <c r="C1044" s="11">
        <v>0.06</v>
      </c>
      <c r="D1044" s="11">
        <v>22.84</v>
      </c>
      <c r="E1044" s="11">
        <v>8.18</v>
      </c>
      <c r="F1044" s="11">
        <v>1873</v>
      </c>
      <c r="G1044" s="6" t="str">
        <f>IF(COUNTIF(Table1[Customer ID],Table1[[#This Row],[Customer ID]])&gt;1,"Repeat Customer","One-Time Customer")</f>
        <v>Repeat Customer</v>
      </c>
      <c r="H1044" s="11" t="s">
        <v>1839</v>
      </c>
      <c r="I1044" s="11" t="s">
        <v>49</v>
      </c>
      <c r="J1044" s="11" t="s">
        <v>28</v>
      </c>
      <c r="K1044" s="11" t="s">
        <v>29</v>
      </c>
      <c r="L1044" s="11" t="s">
        <v>93</v>
      </c>
      <c r="M1044" s="11" t="s">
        <v>59</v>
      </c>
      <c r="N1044" s="11" t="s">
        <v>1842</v>
      </c>
      <c r="O1044" s="11">
        <v>0.39</v>
      </c>
      <c r="P1044" s="6">
        <f>Table1[[#This Row],[Profit]]/Table1[[#This Row],[Sales]]</f>
        <v>-2.3471965374778669</v>
      </c>
      <c r="Q1044" s="11" t="s">
        <v>33</v>
      </c>
      <c r="R1044" s="11" t="s">
        <v>136</v>
      </c>
      <c r="S1044" s="11" t="s">
        <v>362</v>
      </c>
      <c r="T1044" s="11" t="s">
        <v>1841</v>
      </c>
      <c r="U1044" s="11">
        <v>33403</v>
      </c>
      <c r="V1044" s="12">
        <v>42021</v>
      </c>
      <c r="W1044" s="13" t="str">
        <f>TEXT(Table1[[#This Row],[Order Date]],"mmmm")</f>
        <v>January</v>
      </c>
      <c r="X1044" s="7" t="str">
        <f>TEXT(Table1[[#This Row],[Order Date]],"yyyy")</f>
        <v>2015</v>
      </c>
      <c r="Y1044" s="12">
        <v>42021</v>
      </c>
      <c r="Z1044" s="11">
        <v>-357.92399999999998</v>
      </c>
      <c r="AA1044" s="11">
        <v>7</v>
      </c>
      <c r="AB1044" s="11">
        <v>152.49</v>
      </c>
      <c r="AC1044" s="11">
        <v>90099</v>
      </c>
      <c r="AD1044" s="6" t="str">
        <f>IF(COUNTIF(Returns!$A$2:$A$1635,Orders!AC1044)&gt;0,"Returned","Not Returned")</f>
        <v>Not Returned</v>
      </c>
    </row>
    <row r="1045" spans="1:30" ht="12.75" customHeight="1" thickTop="1" thickBot="1" x14ac:dyDescent="0.25">
      <c r="A1045" s="8">
        <v>20844</v>
      </c>
      <c r="B1045" s="1" t="s">
        <v>47</v>
      </c>
      <c r="C1045" s="1">
        <v>0.09</v>
      </c>
      <c r="D1045" s="1">
        <v>95.99</v>
      </c>
      <c r="E1045" s="1">
        <v>4.9000000000000004</v>
      </c>
      <c r="F1045" s="1">
        <v>1875</v>
      </c>
      <c r="G1045" s="6" t="str">
        <f>IF(COUNTIF(Table1[Customer ID],Table1[[#This Row],[Customer ID]])&gt;1,"Repeat Customer","One-Time Customer")</f>
        <v>One-Time Customer</v>
      </c>
      <c r="H1045" s="1" t="s">
        <v>1843</v>
      </c>
      <c r="I1045" s="1" t="s">
        <v>49</v>
      </c>
      <c r="J1045" s="1" t="s">
        <v>114</v>
      </c>
      <c r="K1045" s="1" t="s">
        <v>77</v>
      </c>
      <c r="L1045" s="1" t="s">
        <v>78</v>
      </c>
      <c r="M1045" s="1" t="s">
        <v>59</v>
      </c>
      <c r="N1045" s="1" t="s">
        <v>254</v>
      </c>
      <c r="O1045" s="1">
        <v>0.56000000000000005</v>
      </c>
      <c r="P1045" s="6">
        <f>Table1[[#This Row],[Profit]]/Table1[[#This Row],[Sales]]</f>
        <v>0.10694310210444272</v>
      </c>
      <c r="Q1045" s="1" t="s">
        <v>33</v>
      </c>
      <c r="R1045" s="1" t="s">
        <v>136</v>
      </c>
      <c r="S1045" s="1" t="s">
        <v>137</v>
      </c>
      <c r="T1045" s="1" t="s">
        <v>1844</v>
      </c>
      <c r="U1045" s="1">
        <v>23320</v>
      </c>
      <c r="V1045" s="9">
        <v>42033</v>
      </c>
      <c r="W1045" s="13" t="str">
        <f>TEXT(Table1[[#This Row],[Order Date]],"mmmm")</f>
        <v>January</v>
      </c>
      <c r="X1045" s="7" t="str">
        <f>TEXT(Table1[[#This Row],[Order Date]],"yyyy")</f>
        <v>2015</v>
      </c>
      <c r="Y1045" s="9">
        <v>42035</v>
      </c>
      <c r="Z1045" s="1">
        <v>34.302</v>
      </c>
      <c r="AA1045" s="1">
        <v>4</v>
      </c>
      <c r="AB1045" s="1">
        <v>320.75</v>
      </c>
      <c r="AC1045" s="1">
        <v>90899</v>
      </c>
      <c r="AD1045" s="6" t="str">
        <f>IF(COUNTIF(Returns!$A$2:$A$1635,Orders!AC1045)&gt;0,"Returned","Not Returned")</f>
        <v>Not Returned</v>
      </c>
    </row>
    <row r="1046" spans="1:30" ht="12.75" customHeight="1" thickTop="1" thickBot="1" x14ac:dyDescent="0.25">
      <c r="A1046" s="10">
        <v>18284</v>
      </c>
      <c r="B1046" s="11" t="s">
        <v>37</v>
      </c>
      <c r="C1046" s="11">
        <v>0.09</v>
      </c>
      <c r="D1046" s="11">
        <v>5.78</v>
      </c>
      <c r="E1046" s="11">
        <v>5.67</v>
      </c>
      <c r="F1046" s="11">
        <v>1882</v>
      </c>
      <c r="G1046" s="6" t="str">
        <f>IF(COUNTIF(Table1[Customer ID],Table1[[#This Row],[Customer ID]])&gt;1,"Repeat Customer","One-Time Customer")</f>
        <v>One-Time Customer</v>
      </c>
      <c r="H1046" s="11" t="s">
        <v>1845</v>
      </c>
      <c r="I1046" s="11" t="s">
        <v>49</v>
      </c>
      <c r="J1046" s="11" t="s">
        <v>40</v>
      </c>
      <c r="K1046" s="11" t="s">
        <v>29</v>
      </c>
      <c r="L1046" s="11" t="s">
        <v>93</v>
      </c>
      <c r="M1046" s="11" t="s">
        <v>59</v>
      </c>
      <c r="N1046" s="11" t="s">
        <v>636</v>
      </c>
      <c r="O1046" s="11">
        <v>0.36</v>
      </c>
      <c r="P1046" s="6">
        <f>Table1[[#This Row],[Profit]]/Table1[[#This Row],[Sales]]</f>
        <v>-0.70132158590308369</v>
      </c>
      <c r="Q1046" s="11" t="s">
        <v>33</v>
      </c>
      <c r="R1046" s="11" t="s">
        <v>53</v>
      </c>
      <c r="S1046" s="11" t="s">
        <v>54</v>
      </c>
      <c r="T1046" s="11" t="s">
        <v>1846</v>
      </c>
      <c r="U1046" s="11">
        <v>7036</v>
      </c>
      <c r="V1046" s="12">
        <v>42064</v>
      </c>
      <c r="W1046" s="13" t="str">
        <f>TEXT(Table1[[#This Row],[Order Date]],"mmmm")</f>
        <v>March</v>
      </c>
      <c r="X1046" s="7" t="str">
        <f>TEXT(Table1[[#This Row],[Order Date]],"yyyy")</f>
        <v>2015</v>
      </c>
      <c r="Y1046" s="12">
        <v>42066</v>
      </c>
      <c r="Z1046" s="11">
        <v>-7.96</v>
      </c>
      <c r="AA1046" s="11">
        <v>1</v>
      </c>
      <c r="AB1046" s="11">
        <v>11.35</v>
      </c>
      <c r="AC1046" s="11">
        <v>87378</v>
      </c>
      <c r="AD1046" s="6" t="str">
        <f>IF(COUNTIF(Returns!$A$2:$A$1635,Orders!AC1046)&gt;0,"Returned","Not Returned")</f>
        <v>Not Returned</v>
      </c>
    </row>
    <row r="1047" spans="1:30" ht="12.75" customHeight="1" thickTop="1" thickBot="1" x14ac:dyDescent="0.25">
      <c r="A1047" s="8">
        <v>18283</v>
      </c>
      <c r="B1047" s="1" t="s">
        <v>37</v>
      </c>
      <c r="C1047" s="1">
        <v>0.05</v>
      </c>
      <c r="D1047" s="1">
        <v>535.64</v>
      </c>
      <c r="E1047" s="1">
        <v>14.7</v>
      </c>
      <c r="F1047" s="1">
        <v>1885</v>
      </c>
      <c r="G1047" s="6" t="str">
        <f>IF(COUNTIF(Table1[Customer ID],Table1[[#This Row],[Customer ID]])&gt;1,"Repeat Customer","One-Time Customer")</f>
        <v>One-Time Customer</v>
      </c>
      <c r="H1047" s="1" t="s">
        <v>1847</v>
      </c>
      <c r="I1047" s="1" t="s">
        <v>39</v>
      </c>
      <c r="J1047" s="1" t="s">
        <v>40</v>
      </c>
      <c r="K1047" s="1" t="s">
        <v>77</v>
      </c>
      <c r="L1047" s="1" t="s">
        <v>85</v>
      </c>
      <c r="M1047" s="1" t="s">
        <v>43</v>
      </c>
      <c r="N1047" s="1" t="s">
        <v>1848</v>
      </c>
      <c r="O1047" s="1">
        <v>0.59</v>
      </c>
      <c r="P1047" s="6">
        <f>Table1[[#This Row],[Profit]]/Table1[[#This Row],[Sales]]</f>
        <v>0.62702764223015739</v>
      </c>
      <c r="Q1047" s="1" t="s">
        <v>33</v>
      </c>
      <c r="R1047" s="1" t="s">
        <v>53</v>
      </c>
      <c r="S1047" s="1" t="s">
        <v>469</v>
      </c>
      <c r="T1047" s="1" t="s">
        <v>1849</v>
      </c>
      <c r="U1047" s="1">
        <v>2806</v>
      </c>
      <c r="V1047" s="9">
        <v>42064</v>
      </c>
      <c r="W1047" s="13" t="str">
        <f>TEXT(Table1[[#This Row],[Order Date]],"mmmm")</f>
        <v>March</v>
      </c>
      <c r="X1047" s="7" t="str">
        <f>TEXT(Table1[[#This Row],[Order Date]],"yyyy")</f>
        <v>2015</v>
      </c>
      <c r="Y1047" s="9">
        <v>42066</v>
      </c>
      <c r="Z1047" s="1">
        <v>4407.4399999999996</v>
      </c>
      <c r="AA1047" s="1">
        <v>15</v>
      </c>
      <c r="AB1047" s="1">
        <v>7029.1</v>
      </c>
      <c r="AC1047" s="1">
        <v>87378</v>
      </c>
      <c r="AD1047" s="6" t="str">
        <f>IF(COUNTIF(Returns!$A$2:$A$1635,Orders!AC1047)&gt;0,"Returned","Not Returned")</f>
        <v>Not Returned</v>
      </c>
    </row>
    <row r="1048" spans="1:30" ht="12.75" customHeight="1" thickTop="1" thickBot="1" x14ac:dyDescent="0.25">
      <c r="A1048" s="10">
        <v>19918</v>
      </c>
      <c r="B1048" s="11" t="s">
        <v>106</v>
      </c>
      <c r="C1048" s="11">
        <v>0.09</v>
      </c>
      <c r="D1048" s="11">
        <v>78.8</v>
      </c>
      <c r="E1048" s="11">
        <v>35</v>
      </c>
      <c r="F1048" s="11">
        <v>1889</v>
      </c>
      <c r="G1048" s="6" t="str">
        <f>IF(COUNTIF(Table1[Customer ID],Table1[[#This Row],[Customer ID]])&gt;1,"Repeat Customer","One-Time Customer")</f>
        <v>One-Time Customer</v>
      </c>
      <c r="H1048" s="11" t="s">
        <v>1850</v>
      </c>
      <c r="I1048" s="11" t="s">
        <v>49</v>
      </c>
      <c r="J1048" s="11" t="s">
        <v>40</v>
      </c>
      <c r="K1048" s="11" t="s">
        <v>29</v>
      </c>
      <c r="L1048" s="11" t="s">
        <v>141</v>
      </c>
      <c r="M1048" s="11" t="s">
        <v>236</v>
      </c>
      <c r="N1048" s="11" t="s">
        <v>1851</v>
      </c>
      <c r="O1048" s="11">
        <v>0.83</v>
      </c>
      <c r="P1048" s="6">
        <f>Table1[[#This Row],[Profit]]/Table1[[#This Row],[Sales]]</f>
        <v>-0.9675632917366761</v>
      </c>
      <c r="Q1048" s="11" t="s">
        <v>33</v>
      </c>
      <c r="R1048" s="11" t="s">
        <v>53</v>
      </c>
      <c r="S1048" s="11" t="s">
        <v>154</v>
      </c>
      <c r="T1048" s="11" t="s">
        <v>1739</v>
      </c>
      <c r="U1048" s="11">
        <v>45429</v>
      </c>
      <c r="V1048" s="12">
        <v>42111</v>
      </c>
      <c r="W1048" s="13" t="str">
        <f>TEXT(Table1[[#This Row],[Order Date]],"mmmm")</f>
        <v>April</v>
      </c>
      <c r="X1048" s="7" t="str">
        <f>TEXT(Table1[[#This Row],[Order Date]],"yyyy")</f>
        <v>2015</v>
      </c>
      <c r="Y1048" s="12">
        <v>42115</v>
      </c>
      <c r="Z1048" s="11">
        <v>-1025.0172</v>
      </c>
      <c r="AA1048" s="11">
        <v>14</v>
      </c>
      <c r="AB1048" s="11">
        <v>1059.3800000000001</v>
      </c>
      <c r="AC1048" s="11">
        <v>90631</v>
      </c>
      <c r="AD1048" s="6" t="str">
        <f>IF(COUNTIF(Returns!$A$2:$A$1635,Orders!AC1048)&gt;0,"Returned","Not Returned")</f>
        <v>Not Returned</v>
      </c>
    </row>
    <row r="1049" spans="1:30" ht="12.75" customHeight="1" thickTop="1" thickBot="1" x14ac:dyDescent="0.25">
      <c r="A1049" s="8">
        <v>23886</v>
      </c>
      <c r="B1049" s="1" t="s">
        <v>37</v>
      </c>
      <c r="C1049" s="1">
        <v>0.03</v>
      </c>
      <c r="D1049" s="1">
        <v>320.64</v>
      </c>
      <c r="E1049" s="1">
        <v>29.2</v>
      </c>
      <c r="F1049" s="1">
        <v>1891</v>
      </c>
      <c r="G1049" s="6" t="str">
        <f>IF(COUNTIF(Table1[Customer ID],Table1[[#This Row],[Customer ID]])&gt;1,"Repeat Customer","One-Time Customer")</f>
        <v>One-Time Customer</v>
      </c>
      <c r="H1049" s="1" t="s">
        <v>1852</v>
      </c>
      <c r="I1049" s="1" t="s">
        <v>39</v>
      </c>
      <c r="J1049" s="1" t="s">
        <v>40</v>
      </c>
      <c r="K1049" s="1" t="s">
        <v>41</v>
      </c>
      <c r="L1049" s="1" t="s">
        <v>152</v>
      </c>
      <c r="M1049" s="1" t="s">
        <v>121</v>
      </c>
      <c r="N1049" s="1" t="s">
        <v>1853</v>
      </c>
      <c r="O1049" s="1">
        <v>0.66</v>
      </c>
      <c r="P1049" s="6">
        <f>Table1[[#This Row],[Profit]]/Table1[[#This Row],[Sales]]</f>
        <v>0.19241641041254379</v>
      </c>
      <c r="Q1049" s="1" t="s">
        <v>33</v>
      </c>
      <c r="R1049" s="1" t="s">
        <v>53</v>
      </c>
      <c r="S1049" s="1" t="s">
        <v>154</v>
      </c>
      <c r="T1049" s="1" t="s">
        <v>1854</v>
      </c>
      <c r="U1049" s="1">
        <v>45801</v>
      </c>
      <c r="V1049" s="9">
        <v>42099</v>
      </c>
      <c r="W1049" s="13" t="str">
        <f>TEXT(Table1[[#This Row],[Order Date]],"mmmm")</f>
        <v>April</v>
      </c>
      <c r="X1049" s="7" t="str">
        <f>TEXT(Table1[[#This Row],[Order Date]],"yyyy")</f>
        <v>2015</v>
      </c>
      <c r="Y1049" s="9">
        <v>42101</v>
      </c>
      <c r="Z1049" s="1">
        <v>429.75435600000003</v>
      </c>
      <c r="AA1049" s="1">
        <v>7</v>
      </c>
      <c r="AB1049" s="1">
        <v>2233.46</v>
      </c>
      <c r="AC1049" s="1">
        <v>90630</v>
      </c>
      <c r="AD1049" s="6" t="str">
        <f>IF(COUNTIF(Returns!$A$2:$A$1635,Orders!AC1049)&gt;0,"Returned","Not Returned")</f>
        <v>Not Returned</v>
      </c>
    </row>
    <row r="1050" spans="1:30" ht="12.75" customHeight="1" thickTop="1" thickBot="1" x14ac:dyDescent="0.25">
      <c r="A1050" s="10">
        <v>22858</v>
      </c>
      <c r="B1050" s="11" t="s">
        <v>106</v>
      </c>
      <c r="C1050" s="11">
        <v>0.03</v>
      </c>
      <c r="D1050" s="11">
        <v>180.98</v>
      </c>
      <c r="E1050" s="11">
        <v>26.2</v>
      </c>
      <c r="F1050" s="11">
        <v>1893</v>
      </c>
      <c r="G1050" s="6" t="str">
        <f>IF(COUNTIF(Table1[Customer ID],Table1[[#This Row],[Customer ID]])&gt;1,"Repeat Customer","One-Time Customer")</f>
        <v>One-Time Customer</v>
      </c>
      <c r="H1050" s="11" t="s">
        <v>1855</v>
      </c>
      <c r="I1050" s="11" t="s">
        <v>39</v>
      </c>
      <c r="J1050" s="11" t="s">
        <v>114</v>
      </c>
      <c r="K1050" s="11" t="s">
        <v>41</v>
      </c>
      <c r="L1050" s="11" t="s">
        <v>42</v>
      </c>
      <c r="M1050" s="11" t="s">
        <v>43</v>
      </c>
      <c r="N1050" s="11" t="s">
        <v>241</v>
      </c>
      <c r="O1050" s="11">
        <v>0.59</v>
      </c>
      <c r="P1050" s="6">
        <f>Table1[[#This Row],[Profit]]/Table1[[#This Row],[Sales]]</f>
        <v>0.63357447358222452</v>
      </c>
      <c r="Q1050" s="11" t="s">
        <v>33</v>
      </c>
      <c r="R1050" s="11" t="s">
        <v>61</v>
      </c>
      <c r="S1050" s="11" t="s">
        <v>506</v>
      </c>
      <c r="T1050" s="11" t="s">
        <v>1856</v>
      </c>
      <c r="U1050" s="11">
        <v>63119</v>
      </c>
      <c r="V1050" s="12">
        <v>42120</v>
      </c>
      <c r="W1050" s="13" t="str">
        <f>TEXT(Table1[[#This Row],[Order Date]],"mmmm")</f>
        <v>April</v>
      </c>
      <c r="X1050" s="7" t="str">
        <f>TEXT(Table1[[#This Row],[Order Date]],"yyyy")</f>
        <v>2015</v>
      </c>
      <c r="Y1050" s="12">
        <v>42124</v>
      </c>
      <c r="Z1050" s="11">
        <v>588.54</v>
      </c>
      <c r="AA1050" s="11">
        <v>5</v>
      </c>
      <c r="AB1050" s="11">
        <v>928.92</v>
      </c>
      <c r="AC1050" s="11">
        <v>91262</v>
      </c>
      <c r="AD1050" s="6" t="str">
        <f>IF(COUNTIF(Returns!$A$2:$A$1635,Orders!AC1050)&gt;0,"Returned","Not Returned")</f>
        <v>Not Returned</v>
      </c>
    </row>
    <row r="1051" spans="1:30" ht="12.75" customHeight="1" thickTop="1" thickBot="1" x14ac:dyDescent="0.25">
      <c r="A1051" s="8">
        <v>23260</v>
      </c>
      <c r="B1051" s="1" t="s">
        <v>47</v>
      </c>
      <c r="C1051" s="1">
        <v>0</v>
      </c>
      <c r="D1051" s="1">
        <v>300.98</v>
      </c>
      <c r="E1051" s="1">
        <v>164.73</v>
      </c>
      <c r="F1051" s="1">
        <v>1894</v>
      </c>
      <c r="G1051" s="6" t="str">
        <f>IF(COUNTIF(Table1[Customer ID],Table1[[#This Row],[Customer ID]])&gt;1,"Repeat Customer","One-Time Customer")</f>
        <v>Repeat Customer</v>
      </c>
      <c r="H1051" s="1" t="s">
        <v>1857</v>
      </c>
      <c r="I1051" s="1" t="s">
        <v>39</v>
      </c>
      <c r="J1051" s="1" t="s">
        <v>40</v>
      </c>
      <c r="K1051" s="1" t="s">
        <v>41</v>
      </c>
      <c r="L1051" s="1" t="s">
        <v>42</v>
      </c>
      <c r="M1051" s="1" t="s">
        <v>43</v>
      </c>
      <c r="N1051" s="1" t="s">
        <v>1489</v>
      </c>
      <c r="O1051" s="1">
        <v>0.56000000000000005</v>
      </c>
      <c r="P1051" s="6">
        <f>Table1[[#This Row],[Profit]]/Table1[[#This Row],[Sales]]</f>
        <v>0.69</v>
      </c>
      <c r="Q1051" s="1" t="s">
        <v>33</v>
      </c>
      <c r="R1051" s="1" t="s">
        <v>61</v>
      </c>
      <c r="S1051" s="1" t="s">
        <v>1858</v>
      </c>
      <c r="T1051" s="1" t="s">
        <v>1859</v>
      </c>
      <c r="U1051" s="1">
        <v>54915</v>
      </c>
      <c r="V1051" s="9">
        <v>42059</v>
      </c>
      <c r="W1051" s="13" t="str">
        <f>TEXT(Table1[[#This Row],[Order Date]],"mmmm")</f>
        <v>February</v>
      </c>
      <c r="X1051" s="7" t="str">
        <f>TEXT(Table1[[#This Row],[Order Date]],"yyyy")</f>
        <v>2015</v>
      </c>
      <c r="Y1051" s="9">
        <v>42060</v>
      </c>
      <c r="Z1051" s="1">
        <v>2653.2914999999998</v>
      </c>
      <c r="AA1051" s="1">
        <v>12</v>
      </c>
      <c r="AB1051" s="1">
        <v>3845.35</v>
      </c>
      <c r="AC1051" s="1">
        <v>91261</v>
      </c>
      <c r="AD1051" s="6" t="str">
        <f>IF(COUNTIF(Returns!$A$2:$A$1635,Orders!AC1051)&gt;0,"Returned","Not Returned")</f>
        <v>Not Returned</v>
      </c>
    </row>
    <row r="1052" spans="1:30" ht="12.75" customHeight="1" thickTop="1" thickBot="1" x14ac:dyDescent="0.25">
      <c r="A1052" s="10">
        <v>23261</v>
      </c>
      <c r="B1052" s="11" t="s">
        <v>47</v>
      </c>
      <c r="C1052" s="11">
        <v>0.09</v>
      </c>
      <c r="D1052" s="11">
        <v>2.94</v>
      </c>
      <c r="E1052" s="11">
        <v>0.96</v>
      </c>
      <c r="F1052" s="11">
        <v>1894</v>
      </c>
      <c r="G1052" s="6" t="str">
        <f>IF(COUNTIF(Table1[Customer ID],Table1[[#This Row],[Customer ID]])&gt;1,"Repeat Customer","One-Time Customer")</f>
        <v>Repeat Customer</v>
      </c>
      <c r="H1052" s="11" t="s">
        <v>1857</v>
      </c>
      <c r="I1052" s="11" t="s">
        <v>49</v>
      </c>
      <c r="J1052" s="11" t="s">
        <v>40</v>
      </c>
      <c r="K1052" s="11" t="s">
        <v>29</v>
      </c>
      <c r="L1052" s="11" t="s">
        <v>30</v>
      </c>
      <c r="M1052" s="11" t="s">
        <v>31</v>
      </c>
      <c r="N1052" s="11" t="s">
        <v>599</v>
      </c>
      <c r="O1052" s="11">
        <v>0.57999999999999996</v>
      </c>
      <c r="P1052" s="6">
        <f>Table1[[#This Row],[Profit]]/Table1[[#This Row],[Sales]]</f>
        <v>-0.48806366047745359</v>
      </c>
      <c r="Q1052" s="11" t="s">
        <v>33</v>
      </c>
      <c r="R1052" s="11" t="s">
        <v>61</v>
      </c>
      <c r="S1052" s="11" t="s">
        <v>1858</v>
      </c>
      <c r="T1052" s="11" t="s">
        <v>1859</v>
      </c>
      <c r="U1052" s="11">
        <v>54915</v>
      </c>
      <c r="V1052" s="12">
        <v>42059</v>
      </c>
      <c r="W1052" s="13" t="str">
        <f>TEXT(Table1[[#This Row],[Order Date]],"mmmm")</f>
        <v>February</v>
      </c>
      <c r="X1052" s="7" t="str">
        <f>TEXT(Table1[[#This Row],[Order Date]],"yyyy")</f>
        <v>2015</v>
      </c>
      <c r="Y1052" s="12">
        <v>42061</v>
      </c>
      <c r="Z1052" s="11">
        <v>-1.84</v>
      </c>
      <c r="AA1052" s="11">
        <v>1</v>
      </c>
      <c r="AB1052" s="11">
        <v>3.77</v>
      </c>
      <c r="AC1052" s="11">
        <v>91261</v>
      </c>
      <c r="AD1052" s="6" t="str">
        <f>IF(COUNTIF(Returns!$A$2:$A$1635,Orders!AC1052)&gt;0,"Returned","Not Returned")</f>
        <v>Not Returned</v>
      </c>
    </row>
    <row r="1053" spans="1:30" ht="12.75" customHeight="1" thickTop="1" thickBot="1" x14ac:dyDescent="0.25">
      <c r="A1053" s="8">
        <v>23237</v>
      </c>
      <c r="B1053" s="1" t="s">
        <v>25</v>
      </c>
      <c r="C1053" s="1">
        <v>0.01</v>
      </c>
      <c r="D1053" s="1">
        <v>26.17</v>
      </c>
      <c r="E1053" s="1">
        <v>1.39</v>
      </c>
      <c r="F1053" s="1">
        <v>1894</v>
      </c>
      <c r="G1053" s="6" t="str">
        <f>IF(COUNTIF(Table1[Customer ID],Table1[[#This Row],[Customer ID]])&gt;1,"Repeat Customer","One-Time Customer")</f>
        <v>Repeat Customer</v>
      </c>
      <c r="H1053" s="1" t="s">
        <v>1857</v>
      </c>
      <c r="I1053" s="1" t="s">
        <v>49</v>
      </c>
      <c r="J1053" s="1" t="s">
        <v>114</v>
      </c>
      <c r="K1053" s="1" t="s">
        <v>29</v>
      </c>
      <c r="L1053" s="1" t="s">
        <v>69</v>
      </c>
      <c r="M1053" s="1" t="s">
        <v>59</v>
      </c>
      <c r="N1053" s="1" t="s">
        <v>1860</v>
      </c>
      <c r="O1053" s="1">
        <v>0.38</v>
      </c>
      <c r="P1053" s="6">
        <f>Table1[[#This Row],[Profit]]/Table1[[#This Row],[Sales]]</f>
        <v>0.69</v>
      </c>
      <c r="Q1053" s="1" t="s">
        <v>33</v>
      </c>
      <c r="R1053" s="1" t="s">
        <v>61</v>
      </c>
      <c r="S1053" s="1" t="s">
        <v>1858</v>
      </c>
      <c r="T1053" s="1" t="s">
        <v>1859</v>
      </c>
      <c r="U1053" s="1">
        <v>54915</v>
      </c>
      <c r="V1053" s="9">
        <v>42081</v>
      </c>
      <c r="W1053" s="13" t="str">
        <f>TEXT(Table1[[#This Row],[Order Date]],"mmmm")</f>
        <v>March</v>
      </c>
      <c r="X1053" s="7" t="str">
        <f>TEXT(Table1[[#This Row],[Order Date]],"yyyy")</f>
        <v>2015</v>
      </c>
      <c r="Y1053" s="9">
        <v>42082</v>
      </c>
      <c r="Z1053" s="1">
        <v>237.04259999999999</v>
      </c>
      <c r="AA1053" s="1">
        <v>13</v>
      </c>
      <c r="AB1053" s="1">
        <v>343.54</v>
      </c>
      <c r="AC1053" s="1">
        <v>91263</v>
      </c>
      <c r="AD1053" s="6" t="str">
        <f>IF(COUNTIF(Returns!$A$2:$A$1635,Orders!AC1053)&gt;0,"Returned","Not Returned")</f>
        <v>Not Returned</v>
      </c>
    </row>
    <row r="1054" spans="1:30" ht="12.75" customHeight="1" thickTop="1" thickBot="1" x14ac:dyDescent="0.25">
      <c r="A1054" s="10">
        <v>19048</v>
      </c>
      <c r="B1054" s="11" t="s">
        <v>106</v>
      </c>
      <c r="C1054" s="11">
        <v>7.0000000000000007E-2</v>
      </c>
      <c r="D1054" s="11">
        <v>172.99</v>
      </c>
      <c r="E1054" s="11">
        <v>19.989999999999998</v>
      </c>
      <c r="F1054" s="11">
        <v>1906</v>
      </c>
      <c r="G1054" s="6" t="str">
        <f>IF(COUNTIF(Table1[Customer ID],Table1[[#This Row],[Customer ID]])&gt;1,"Repeat Customer","One-Time Customer")</f>
        <v>One-Time Customer</v>
      </c>
      <c r="H1054" s="11" t="s">
        <v>1861</v>
      </c>
      <c r="I1054" s="11" t="s">
        <v>49</v>
      </c>
      <c r="J1054" s="11" t="s">
        <v>28</v>
      </c>
      <c r="K1054" s="11" t="s">
        <v>29</v>
      </c>
      <c r="L1054" s="11" t="s">
        <v>109</v>
      </c>
      <c r="M1054" s="11" t="s">
        <v>59</v>
      </c>
      <c r="N1054" s="11" t="s">
        <v>1862</v>
      </c>
      <c r="O1054" s="11">
        <v>0.39</v>
      </c>
      <c r="P1054" s="6">
        <f>Table1[[#This Row],[Profit]]/Table1[[#This Row],[Sales]]</f>
        <v>0.69</v>
      </c>
      <c r="Q1054" s="11" t="s">
        <v>33</v>
      </c>
      <c r="R1054" s="11" t="s">
        <v>53</v>
      </c>
      <c r="S1054" s="11" t="s">
        <v>154</v>
      </c>
      <c r="T1054" s="11" t="s">
        <v>1854</v>
      </c>
      <c r="U1054" s="11">
        <v>45801</v>
      </c>
      <c r="V1054" s="12">
        <v>42141</v>
      </c>
      <c r="W1054" s="13" t="str">
        <f>TEXT(Table1[[#This Row],[Order Date]],"mmmm")</f>
        <v>May</v>
      </c>
      <c r="X1054" s="7" t="str">
        <f>TEXT(Table1[[#This Row],[Order Date]],"yyyy")</f>
        <v>2015</v>
      </c>
      <c r="Y1054" s="12">
        <v>42141</v>
      </c>
      <c r="Z1054" s="11">
        <v>2502.6851999999999</v>
      </c>
      <c r="AA1054" s="11">
        <v>22</v>
      </c>
      <c r="AB1054" s="11">
        <v>3627.08</v>
      </c>
      <c r="AC1054" s="11">
        <v>86500</v>
      </c>
      <c r="AD1054" s="6" t="str">
        <f>IF(COUNTIF(Returns!$A$2:$A$1635,Orders!AC1054)&gt;0,"Returned","Not Returned")</f>
        <v>Not Returned</v>
      </c>
    </row>
    <row r="1055" spans="1:30" ht="12.75" customHeight="1" thickTop="1" thickBot="1" x14ac:dyDescent="0.25">
      <c r="A1055" s="8">
        <v>19049</v>
      </c>
      <c r="B1055" s="1" t="s">
        <v>106</v>
      </c>
      <c r="C1055" s="1">
        <v>0.09</v>
      </c>
      <c r="D1055" s="1">
        <v>7.64</v>
      </c>
      <c r="E1055" s="1">
        <v>1.39</v>
      </c>
      <c r="F1055" s="1">
        <v>1907</v>
      </c>
      <c r="G1055" s="6" t="str">
        <f>IF(COUNTIF(Table1[Customer ID],Table1[[#This Row],[Customer ID]])&gt;1,"Repeat Customer","One-Time Customer")</f>
        <v>One-Time Customer</v>
      </c>
      <c r="H1055" s="1" t="s">
        <v>1863</v>
      </c>
      <c r="I1055" s="1" t="s">
        <v>49</v>
      </c>
      <c r="J1055" s="1" t="s">
        <v>28</v>
      </c>
      <c r="K1055" s="1" t="s">
        <v>29</v>
      </c>
      <c r="L1055" s="1" t="s">
        <v>69</v>
      </c>
      <c r="M1055" s="1" t="s">
        <v>59</v>
      </c>
      <c r="N1055" s="1" t="s">
        <v>1239</v>
      </c>
      <c r="O1055" s="1">
        <v>0.36</v>
      </c>
      <c r="P1055" s="6">
        <f>Table1[[#This Row],[Profit]]/Table1[[#This Row],[Sales]]</f>
        <v>8.249400479616309E-2</v>
      </c>
      <c r="Q1055" s="1" t="s">
        <v>33</v>
      </c>
      <c r="R1055" s="1" t="s">
        <v>53</v>
      </c>
      <c r="S1055" s="1" t="s">
        <v>154</v>
      </c>
      <c r="T1055" s="1" t="s">
        <v>1864</v>
      </c>
      <c r="U1055" s="1">
        <v>44052</v>
      </c>
      <c r="V1055" s="9">
        <v>42141</v>
      </c>
      <c r="W1055" s="13" t="str">
        <f>TEXT(Table1[[#This Row],[Order Date]],"mmmm")</f>
        <v>May</v>
      </c>
      <c r="X1055" s="7" t="str">
        <f>TEXT(Table1[[#This Row],[Order Date]],"yyyy")</f>
        <v>2015</v>
      </c>
      <c r="Y1055" s="9">
        <v>42150</v>
      </c>
      <c r="Z1055" s="1">
        <v>0.68800000000000017</v>
      </c>
      <c r="AA1055" s="1">
        <v>1</v>
      </c>
      <c r="AB1055" s="1">
        <v>8.34</v>
      </c>
      <c r="AC1055" s="1">
        <v>86500</v>
      </c>
      <c r="AD1055" s="6" t="str">
        <f>IF(COUNTIF(Returns!$A$2:$A$1635,Orders!AC1055)&gt;0,"Returned","Not Returned")</f>
        <v>Not Returned</v>
      </c>
    </row>
    <row r="1056" spans="1:30" ht="12.75" customHeight="1" thickTop="1" thickBot="1" x14ac:dyDescent="0.25">
      <c r="A1056" s="10">
        <v>23812</v>
      </c>
      <c r="B1056" s="11" t="s">
        <v>37</v>
      </c>
      <c r="C1056" s="11">
        <v>0.02</v>
      </c>
      <c r="D1056" s="11">
        <v>29.17</v>
      </c>
      <c r="E1056" s="11">
        <v>6.27</v>
      </c>
      <c r="F1056" s="11">
        <v>1910</v>
      </c>
      <c r="G1056" s="6" t="str">
        <f>IF(COUNTIF(Table1[Customer ID],Table1[[#This Row],[Customer ID]])&gt;1,"Repeat Customer","One-Time Customer")</f>
        <v>One-Time Customer</v>
      </c>
      <c r="H1056" s="11" t="s">
        <v>1865</v>
      </c>
      <c r="I1056" s="11" t="s">
        <v>49</v>
      </c>
      <c r="J1056" s="11" t="s">
        <v>40</v>
      </c>
      <c r="K1056" s="11" t="s">
        <v>29</v>
      </c>
      <c r="L1056" s="11" t="s">
        <v>109</v>
      </c>
      <c r="M1056" s="11" t="s">
        <v>59</v>
      </c>
      <c r="N1056" s="11" t="s">
        <v>525</v>
      </c>
      <c r="O1056" s="11">
        <v>0.37</v>
      </c>
      <c r="P1056" s="6">
        <f>Table1[[#This Row],[Profit]]/Table1[[#This Row],[Sales]]</f>
        <v>0.58284902084649393</v>
      </c>
      <c r="Q1056" s="11" t="s">
        <v>33</v>
      </c>
      <c r="R1056" s="11" t="s">
        <v>136</v>
      </c>
      <c r="S1056" s="11" t="s">
        <v>387</v>
      </c>
      <c r="T1056" s="11" t="s">
        <v>1866</v>
      </c>
      <c r="U1056" s="11">
        <v>30269</v>
      </c>
      <c r="V1056" s="12">
        <v>42005</v>
      </c>
      <c r="W1056" s="13" t="str">
        <f>TEXT(Table1[[#This Row],[Order Date]],"mmmm")</f>
        <v>January</v>
      </c>
      <c r="X1056" s="7" t="str">
        <f>TEXT(Table1[[#This Row],[Order Date]],"yyyy")</f>
        <v>2015</v>
      </c>
      <c r="Y1056" s="12">
        <v>42006</v>
      </c>
      <c r="Z1056" s="11">
        <v>36.905999999999999</v>
      </c>
      <c r="AA1056" s="11">
        <v>2</v>
      </c>
      <c r="AB1056" s="11">
        <v>63.32</v>
      </c>
      <c r="AC1056" s="11">
        <v>91371</v>
      </c>
      <c r="AD1056" s="6" t="str">
        <f>IF(COUNTIF(Returns!$A$2:$A$1635,Orders!AC1056)&gt;0,"Returned","Not Returned")</f>
        <v>Not Returned</v>
      </c>
    </row>
    <row r="1057" spans="1:30" ht="12.75" customHeight="1" thickTop="1" thickBot="1" x14ac:dyDescent="0.25">
      <c r="A1057" s="8">
        <v>18962</v>
      </c>
      <c r="B1057" s="1" t="s">
        <v>47</v>
      </c>
      <c r="C1057" s="1">
        <v>0.03</v>
      </c>
      <c r="D1057" s="1">
        <v>11.99</v>
      </c>
      <c r="E1057" s="1">
        <v>5.99</v>
      </c>
      <c r="F1057" s="1">
        <v>1916</v>
      </c>
      <c r="G1057" s="6" t="str">
        <f>IF(COUNTIF(Table1[Customer ID],Table1[[#This Row],[Customer ID]])&gt;1,"Repeat Customer","One-Time Customer")</f>
        <v>Repeat Customer</v>
      </c>
      <c r="H1057" s="1" t="s">
        <v>1867</v>
      </c>
      <c r="I1057" s="1" t="s">
        <v>49</v>
      </c>
      <c r="J1057" s="1" t="s">
        <v>40</v>
      </c>
      <c r="K1057" s="1" t="s">
        <v>77</v>
      </c>
      <c r="L1057" s="1" t="s">
        <v>85</v>
      </c>
      <c r="M1057" s="1" t="s">
        <v>86</v>
      </c>
      <c r="N1057" s="1" t="s">
        <v>1868</v>
      </c>
      <c r="O1057" s="1">
        <v>0.36</v>
      </c>
      <c r="P1057" s="6">
        <f>Table1[[#This Row],[Profit]]/Table1[[#This Row],[Sales]]</f>
        <v>-2.5803846153846157</v>
      </c>
      <c r="Q1057" s="1" t="s">
        <v>33</v>
      </c>
      <c r="R1057" s="1" t="s">
        <v>136</v>
      </c>
      <c r="S1057" s="1" t="s">
        <v>958</v>
      </c>
      <c r="T1057" s="1" t="s">
        <v>1869</v>
      </c>
      <c r="U1057" s="1">
        <v>72209</v>
      </c>
      <c r="V1057" s="9">
        <v>42062</v>
      </c>
      <c r="W1057" s="13" t="str">
        <f>TEXT(Table1[[#This Row],[Order Date]],"mmmm")</f>
        <v>February</v>
      </c>
      <c r="X1057" s="7" t="str">
        <f>TEXT(Table1[[#This Row],[Order Date]],"yyyy")</f>
        <v>2015</v>
      </c>
      <c r="Y1057" s="9">
        <v>42063</v>
      </c>
      <c r="Z1057" s="1">
        <v>-216.02980000000002</v>
      </c>
      <c r="AA1057" s="1">
        <v>7</v>
      </c>
      <c r="AB1057" s="1">
        <v>83.72</v>
      </c>
      <c r="AC1057" s="1">
        <v>85893</v>
      </c>
      <c r="AD1057" s="6" t="str">
        <f>IF(COUNTIF(Returns!$A$2:$A$1635,Orders!AC1057)&gt;0,"Returned","Not Returned")</f>
        <v>Not Returned</v>
      </c>
    </row>
    <row r="1058" spans="1:30" ht="12.75" customHeight="1" thickTop="1" thickBot="1" x14ac:dyDescent="0.25">
      <c r="A1058" s="10">
        <v>18016</v>
      </c>
      <c r="B1058" s="11" t="s">
        <v>25</v>
      </c>
      <c r="C1058" s="11">
        <v>0.01</v>
      </c>
      <c r="D1058" s="11">
        <v>125.99</v>
      </c>
      <c r="E1058" s="11">
        <v>8.99</v>
      </c>
      <c r="F1058" s="11">
        <v>1916</v>
      </c>
      <c r="G1058" s="6" t="str">
        <f>IF(COUNTIF(Table1[Customer ID],Table1[[#This Row],[Customer ID]])&gt;1,"Repeat Customer","One-Time Customer")</f>
        <v>Repeat Customer</v>
      </c>
      <c r="H1058" s="11" t="s">
        <v>1867</v>
      </c>
      <c r="I1058" s="11" t="s">
        <v>49</v>
      </c>
      <c r="J1058" s="11" t="s">
        <v>40</v>
      </c>
      <c r="K1058" s="11" t="s">
        <v>77</v>
      </c>
      <c r="L1058" s="11" t="s">
        <v>78</v>
      </c>
      <c r="M1058" s="11" t="s">
        <v>59</v>
      </c>
      <c r="N1058" s="11" t="s">
        <v>856</v>
      </c>
      <c r="O1058" s="11">
        <v>0.55000000000000004</v>
      </c>
      <c r="P1058" s="6">
        <f>Table1[[#This Row],[Profit]]/Table1[[#This Row],[Sales]]</f>
        <v>-4.4957684093965035E-2</v>
      </c>
      <c r="Q1058" s="11" t="s">
        <v>33</v>
      </c>
      <c r="R1058" s="11" t="s">
        <v>136</v>
      </c>
      <c r="S1058" s="11" t="s">
        <v>958</v>
      </c>
      <c r="T1058" s="11" t="s">
        <v>1869</v>
      </c>
      <c r="U1058" s="11">
        <v>72209</v>
      </c>
      <c r="V1058" s="12">
        <v>42110</v>
      </c>
      <c r="W1058" s="13" t="str">
        <f>TEXT(Table1[[#This Row],[Order Date]],"mmmm")</f>
        <v>April</v>
      </c>
      <c r="X1058" s="7" t="str">
        <f>TEXT(Table1[[#This Row],[Order Date]],"yyyy")</f>
        <v>2015</v>
      </c>
      <c r="Y1058" s="12">
        <v>42112</v>
      </c>
      <c r="Z1058" s="11">
        <v>-45.471999999999994</v>
      </c>
      <c r="AA1058" s="11">
        <v>9</v>
      </c>
      <c r="AB1058" s="11">
        <v>1011.44</v>
      </c>
      <c r="AC1058" s="11">
        <v>85895</v>
      </c>
      <c r="AD1058" s="6" t="str">
        <f>IF(COUNTIF(Returns!$A$2:$A$1635,Orders!AC1058)&gt;0,"Returned","Not Returned")</f>
        <v>Not Returned</v>
      </c>
    </row>
    <row r="1059" spans="1:30" ht="12.75" customHeight="1" thickTop="1" thickBot="1" x14ac:dyDescent="0.25">
      <c r="A1059" s="8">
        <v>21000</v>
      </c>
      <c r="B1059" s="1" t="s">
        <v>56</v>
      </c>
      <c r="C1059" s="1">
        <v>0.08</v>
      </c>
      <c r="D1059" s="1">
        <v>18.7</v>
      </c>
      <c r="E1059" s="1">
        <v>8.99</v>
      </c>
      <c r="F1059" s="1">
        <v>1917</v>
      </c>
      <c r="G1059" s="6" t="str">
        <f>IF(COUNTIF(Table1[Customer ID],Table1[[#This Row],[Customer ID]])&gt;1,"Repeat Customer","One-Time Customer")</f>
        <v>Repeat Customer</v>
      </c>
      <c r="H1059" s="1" t="s">
        <v>1870</v>
      </c>
      <c r="I1059" s="1" t="s">
        <v>49</v>
      </c>
      <c r="J1059" s="1" t="s">
        <v>40</v>
      </c>
      <c r="K1059" s="1" t="s">
        <v>41</v>
      </c>
      <c r="L1059" s="1" t="s">
        <v>50</v>
      </c>
      <c r="M1059" s="1" t="s">
        <v>51</v>
      </c>
      <c r="N1059" s="1" t="s">
        <v>1871</v>
      </c>
      <c r="O1059" s="1">
        <v>0.47</v>
      </c>
      <c r="P1059" s="6">
        <f>Table1[[#This Row],[Profit]]/Table1[[#This Row],[Sales]]</f>
        <v>0.12203282159872951</v>
      </c>
      <c r="Q1059" s="1" t="s">
        <v>33</v>
      </c>
      <c r="R1059" s="1" t="s">
        <v>136</v>
      </c>
      <c r="S1059" s="1" t="s">
        <v>958</v>
      </c>
      <c r="T1059" s="1" t="s">
        <v>1872</v>
      </c>
      <c r="U1059" s="1">
        <v>72113</v>
      </c>
      <c r="V1059" s="9">
        <v>42090</v>
      </c>
      <c r="W1059" s="13" t="str">
        <f>TEXT(Table1[[#This Row],[Order Date]],"mmmm")</f>
        <v>March</v>
      </c>
      <c r="X1059" s="7" t="str">
        <f>TEXT(Table1[[#This Row],[Order Date]],"yyyy")</f>
        <v>2015</v>
      </c>
      <c r="Y1059" s="9">
        <v>42091</v>
      </c>
      <c r="Z1059" s="1">
        <v>16.136400000000002</v>
      </c>
      <c r="AA1059" s="1">
        <v>7</v>
      </c>
      <c r="AB1059" s="1">
        <v>132.22999999999999</v>
      </c>
      <c r="AC1059" s="1">
        <v>85894</v>
      </c>
      <c r="AD1059" s="6" t="str">
        <f>IF(COUNTIF(Returns!$A$2:$A$1635,Orders!AC1059)&gt;0,"Returned","Not Returned")</f>
        <v>Not Returned</v>
      </c>
    </row>
    <row r="1060" spans="1:30" ht="12.75" customHeight="1" thickTop="1" thickBot="1" x14ac:dyDescent="0.25">
      <c r="A1060" s="10">
        <v>19967</v>
      </c>
      <c r="B1060" s="11" t="s">
        <v>25</v>
      </c>
      <c r="C1060" s="11">
        <v>0.08</v>
      </c>
      <c r="D1060" s="11">
        <v>22.23</v>
      </c>
      <c r="E1060" s="11">
        <v>3.63</v>
      </c>
      <c r="F1060" s="11">
        <v>1917</v>
      </c>
      <c r="G1060" s="6" t="str">
        <f>IF(COUNTIF(Table1[Customer ID],Table1[[#This Row],[Customer ID]])&gt;1,"Repeat Customer","One-Time Customer")</f>
        <v>Repeat Customer</v>
      </c>
      <c r="H1060" s="11" t="s">
        <v>1870</v>
      </c>
      <c r="I1060" s="11" t="s">
        <v>49</v>
      </c>
      <c r="J1060" s="11" t="s">
        <v>40</v>
      </c>
      <c r="K1060" s="11" t="s">
        <v>41</v>
      </c>
      <c r="L1060" s="11" t="s">
        <v>50</v>
      </c>
      <c r="M1060" s="11" t="s">
        <v>51</v>
      </c>
      <c r="N1060" s="11" t="s">
        <v>1873</v>
      </c>
      <c r="O1060" s="11">
        <v>0.52</v>
      </c>
      <c r="P1060" s="6">
        <f>Table1[[#This Row],[Profit]]/Table1[[#This Row],[Sales]]</f>
        <v>-0.14077877620881471</v>
      </c>
      <c r="Q1060" s="11" t="s">
        <v>33</v>
      </c>
      <c r="R1060" s="11" t="s">
        <v>136</v>
      </c>
      <c r="S1060" s="11" t="s">
        <v>958</v>
      </c>
      <c r="T1060" s="11" t="s">
        <v>1872</v>
      </c>
      <c r="U1060" s="11">
        <v>72113</v>
      </c>
      <c r="V1060" s="12">
        <v>42064</v>
      </c>
      <c r="W1060" s="13" t="str">
        <f>TEXT(Table1[[#This Row],[Order Date]],"mmmm")</f>
        <v>March</v>
      </c>
      <c r="X1060" s="7" t="str">
        <f>TEXT(Table1[[#This Row],[Order Date]],"yyyy")</f>
        <v>2015</v>
      </c>
      <c r="Y1060" s="12">
        <v>42066</v>
      </c>
      <c r="Z1060" s="11">
        <v>-29.61</v>
      </c>
      <c r="AA1060" s="11">
        <v>10</v>
      </c>
      <c r="AB1060" s="11">
        <v>210.33</v>
      </c>
      <c r="AC1060" s="11">
        <v>85897</v>
      </c>
      <c r="AD1060" s="6" t="str">
        <f>IF(COUNTIF(Returns!$A$2:$A$1635,Orders!AC1060)&gt;0,"Returned","Not Returned")</f>
        <v>Not Returned</v>
      </c>
    </row>
    <row r="1061" spans="1:30" ht="12.75" customHeight="1" thickTop="1" thickBot="1" x14ac:dyDescent="0.25">
      <c r="A1061" s="8">
        <v>22246</v>
      </c>
      <c r="B1061" s="1" t="s">
        <v>106</v>
      </c>
      <c r="C1061" s="1">
        <v>0.1</v>
      </c>
      <c r="D1061" s="1">
        <v>10.44</v>
      </c>
      <c r="E1061" s="1">
        <v>5.75</v>
      </c>
      <c r="F1061" s="1">
        <v>1918</v>
      </c>
      <c r="G1061" s="6" t="str">
        <f>IF(COUNTIF(Table1[Customer ID],Table1[[#This Row],[Customer ID]])&gt;1,"Repeat Customer","One-Time Customer")</f>
        <v>One-Time Customer</v>
      </c>
      <c r="H1061" s="1" t="s">
        <v>1874</v>
      </c>
      <c r="I1061" s="1" t="s">
        <v>27</v>
      </c>
      <c r="J1061" s="1" t="s">
        <v>40</v>
      </c>
      <c r="K1061" s="1" t="s">
        <v>29</v>
      </c>
      <c r="L1061" s="1" t="s">
        <v>109</v>
      </c>
      <c r="M1061" s="1" t="s">
        <v>59</v>
      </c>
      <c r="N1061" s="1" t="s">
        <v>1875</v>
      </c>
      <c r="O1061" s="1">
        <v>0.39</v>
      </c>
      <c r="P1061" s="6">
        <f>Table1[[#This Row],[Profit]]/Table1[[#This Row],[Sales]]</f>
        <v>0.74817900499880974</v>
      </c>
      <c r="Q1061" s="1" t="s">
        <v>33</v>
      </c>
      <c r="R1061" s="1" t="s">
        <v>136</v>
      </c>
      <c r="S1061" s="1" t="s">
        <v>958</v>
      </c>
      <c r="T1061" s="1" t="s">
        <v>1876</v>
      </c>
      <c r="U1061" s="1">
        <v>72450</v>
      </c>
      <c r="V1061" s="9">
        <v>42098</v>
      </c>
      <c r="W1061" s="13" t="str">
        <f>TEXT(Table1[[#This Row],[Order Date]],"mmmm")</f>
        <v>April</v>
      </c>
      <c r="X1061" s="7" t="str">
        <f>TEXT(Table1[[#This Row],[Order Date]],"yyyy")</f>
        <v>2015</v>
      </c>
      <c r="Y1061" s="9">
        <v>42105</v>
      </c>
      <c r="Z1061" s="1">
        <v>125.72399999999999</v>
      </c>
      <c r="AA1061" s="1">
        <v>17</v>
      </c>
      <c r="AB1061" s="1">
        <v>168.04</v>
      </c>
      <c r="AC1061" s="1">
        <v>85898</v>
      </c>
      <c r="AD1061" s="6" t="str">
        <f>IF(COUNTIF(Returns!$A$2:$A$1635,Orders!AC1061)&gt;0,"Returned","Not Returned")</f>
        <v>Not Returned</v>
      </c>
    </row>
    <row r="1062" spans="1:30" ht="12.75" customHeight="1" thickTop="1" thickBot="1" x14ac:dyDescent="0.25">
      <c r="A1062" s="10">
        <v>24971</v>
      </c>
      <c r="B1062" s="11" t="s">
        <v>25</v>
      </c>
      <c r="C1062" s="11">
        <v>0</v>
      </c>
      <c r="D1062" s="11">
        <v>195.99</v>
      </c>
      <c r="E1062" s="11">
        <v>8.99</v>
      </c>
      <c r="F1062" s="11">
        <v>1919</v>
      </c>
      <c r="G1062" s="6" t="str">
        <f>IF(COUNTIF(Table1[Customer ID],Table1[[#This Row],[Customer ID]])&gt;1,"Repeat Customer","One-Time Customer")</f>
        <v>One-Time Customer</v>
      </c>
      <c r="H1062" s="11" t="s">
        <v>1877</v>
      </c>
      <c r="I1062" s="11" t="s">
        <v>49</v>
      </c>
      <c r="J1062" s="11" t="s">
        <v>40</v>
      </c>
      <c r="K1062" s="11" t="s">
        <v>77</v>
      </c>
      <c r="L1062" s="11" t="s">
        <v>78</v>
      </c>
      <c r="M1062" s="11" t="s">
        <v>59</v>
      </c>
      <c r="N1062" s="11" t="s">
        <v>734</v>
      </c>
      <c r="O1062" s="11">
        <v>0.6</v>
      </c>
      <c r="P1062" s="6">
        <f>Table1[[#This Row],[Profit]]/Table1[[#This Row],[Sales]]</f>
        <v>0.13011450511365566</v>
      </c>
      <c r="Q1062" s="11" t="s">
        <v>33</v>
      </c>
      <c r="R1062" s="11" t="s">
        <v>136</v>
      </c>
      <c r="S1062" s="11" t="s">
        <v>958</v>
      </c>
      <c r="T1062" s="11" t="s">
        <v>1878</v>
      </c>
      <c r="U1062" s="11">
        <v>71603</v>
      </c>
      <c r="V1062" s="12">
        <v>42059</v>
      </c>
      <c r="W1062" s="13" t="str">
        <f>TEXT(Table1[[#This Row],[Order Date]],"mmmm")</f>
        <v>February</v>
      </c>
      <c r="X1062" s="7" t="str">
        <f>TEXT(Table1[[#This Row],[Order Date]],"yyyy")</f>
        <v>2015</v>
      </c>
      <c r="Y1062" s="12">
        <v>42060</v>
      </c>
      <c r="Z1062" s="11">
        <v>114.88199999999999</v>
      </c>
      <c r="AA1062" s="11">
        <v>5</v>
      </c>
      <c r="AB1062" s="11">
        <v>882.93</v>
      </c>
      <c r="AC1062" s="11">
        <v>85896</v>
      </c>
      <c r="AD1062" s="6" t="str">
        <f>IF(COUNTIF(Returns!$A$2:$A$1635,Orders!AC1062)&gt;0,"Returned","Not Returned")</f>
        <v>Not Returned</v>
      </c>
    </row>
    <row r="1063" spans="1:30" ht="12.75" customHeight="1" thickTop="1" thickBot="1" x14ac:dyDescent="0.25">
      <c r="A1063" s="8">
        <v>21563</v>
      </c>
      <c r="B1063" s="1" t="s">
        <v>25</v>
      </c>
      <c r="C1063" s="1">
        <v>0.02</v>
      </c>
      <c r="D1063" s="1">
        <v>259.70999999999998</v>
      </c>
      <c r="E1063" s="1">
        <v>66.67</v>
      </c>
      <c r="F1063" s="1">
        <v>1927</v>
      </c>
      <c r="G1063" s="6" t="str">
        <f>IF(COUNTIF(Table1[Customer ID],Table1[[#This Row],[Customer ID]])&gt;1,"Repeat Customer","One-Time Customer")</f>
        <v>One-Time Customer</v>
      </c>
      <c r="H1063" s="1" t="s">
        <v>1879</v>
      </c>
      <c r="I1063" s="1" t="s">
        <v>39</v>
      </c>
      <c r="J1063" s="1" t="s">
        <v>40</v>
      </c>
      <c r="K1063" s="1" t="s">
        <v>41</v>
      </c>
      <c r="L1063" s="1" t="s">
        <v>152</v>
      </c>
      <c r="M1063" s="1" t="s">
        <v>121</v>
      </c>
      <c r="N1063" s="1" t="s">
        <v>342</v>
      </c>
      <c r="O1063" s="1">
        <v>0.65</v>
      </c>
      <c r="P1063" s="6">
        <f>Table1[[#This Row],[Profit]]/Table1[[#This Row],[Sales]]</f>
        <v>-8.2224055999772349E-3</v>
      </c>
      <c r="Q1063" s="1" t="s">
        <v>33</v>
      </c>
      <c r="R1063" s="1" t="s">
        <v>136</v>
      </c>
      <c r="S1063" s="1" t="s">
        <v>932</v>
      </c>
      <c r="T1063" s="1" t="s">
        <v>1576</v>
      </c>
      <c r="U1063" s="1">
        <v>29611</v>
      </c>
      <c r="V1063" s="9">
        <v>42041</v>
      </c>
      <c r="W1063" s="13" t="str">
        <f>TEXT(Table1[[#This Row],[Order Date]],"mmmm")</f>
        <v>February</v>
      </c>
      <c r="X1063" s="7" t="str">
        <f>TEXT(Table1[[#This Row],[Order Date]],"yyyy")</f>
        <v>2015</v>
      </c>
      <c r="Y1063" s="9">
        <v>42041</v>
      </c>
      <c r="Z1063" s="1">
        <v>-14.448</v>
      </c>
      <c r="AA1063" s="1">
        <v>8</v>
      </c>
      <c r="AB1063" s="1">
        <v>1757.15</v>
      </c>
      <c r="AC1063" s="1">
        <v>88579</v>
      </c>
      <c r="AD1063" s="6" t="str">
        <f>IF(COUNTIF(Returns!$A$2:$A$1635,Orders!AC1063)&gt;0,"Returned","Not Returned")</f>
        <v>Not Returned</v>
      </c>
    </row>
    <row r="1064" spans="1:30" ht="12.75" customHeight="1" thickTop="1" thickBot="1" x14ac:dyDescent="0.25">
      <c r="A1064" s="10">
        <v>22686</v>
      </c>
      <c r="B1064" s="11" t="s">
        <v>37</v>
      </c>
      <c r="C1064" s="11">
        <v>0.1</v>
      </c>
      <c r="D1064" s="11">
        <v>1889.99</v>
      </c>
      <c r="E1064" s="11">
        <v>19.989999999999998</v>
      </c>
      <c r="F1064" s="11">
        <v>1928</v>
      </c>
      <c r="G1064" s="6" t="str">
        <f>IF(COUNTIF(Table1[Customer ID],Table1[[#This Row],[Customer ID]])&gt;1,"Repeat Customer","One-Time Customer")</f>
        <v>One-Time Customer</v>
      </c>
      <c r="H1064" s="11" t="s">
        <v>1880</v>
      </c>
      <c r="I1064" s="11" t="s">
        <v>49</v>
      </c>
      <c r="J1064" s="11" t="s">
        <v>40</v>
      </c>
      <c r="K1064" s="11" t="s">
        <v>29</v>
      </c>
      <c r="L1064" s="11" t="s">
        <v>109</v>
      </c>
      <c r="M1064" s="11" t="s">
        <v>59</v>
      </c>
      <c r="N1064" s="11" t="s">
        <v>1881</v>
      </c>
      <c r="O1064" s="11">
        <v>0.36</v>
      </c>
      <c r="P1064" s="6">
        <f>Table1[[#This Row],[Profit]]/Table1[[#This Row],[Sales]]</f>
        <v>-2.3821414973908758E-2</v>
      </c>
      <c r="Q1064" s="11" t="s">
        <v>33</v>
      </c>
      <c r="R1064" s="11" t="s">
        <v>136</v>
      </c>
      <c r="S1064" s="11" t="s">
        <v>932</v>
      </c>
      <c r="T1064" s="11" t="s">
        <v>1882</v>
      </c>
      <c r="U1064" s="11">
        <v>29651</v>
      </c>
      <c r="V1064" s="12">
        <v>42025</v>
      </c>
      <c r="W1064" s="13" t="str">
        <f>TEXT(Table1[[#This Row],[Order Date]],"mmmm")</f>
        <v>January</v>
      </c>
      <c r="X1064" s="7" t="str">
        <f>TEXT(Table1[[#This Row],[Order Date]],"yyyy")</f>
        <v>2015</v>
      </c>
      <c r="Y1064" s="12">
        <v>42025</v>
      </c>
      <c r="Z1064" s="11">
        <v>-42.545999999999999</v>
      </c>
      <c r="AA1064" s="11">
        <v>1</v>
      </c>
      <c r="AB1064" s="11">
        <v>1786.04</v>
      </c>
      <c r="AC1064" s="11">
        <v>88580</v>
      </c>
      <c r="AD1064" s="6" t="str">
        <f>IF(COUNTIF(Returns!$A$2:$A$1635,Orders!AC1064)&gt;0,"Returned","Not Returned")</f>
        <v>Not Returned</v>
      </c>
    </row>
    <row r="1065" spans="1:30" ht="12.75" customHeight="1" thickTop="1" thickBot="1" x14ac:dyDescent="0.25">
      <c r="A1065" s="8">
        <v>18159</v>
      </c>
      <c r="B1065" s="1" t="s">
        <v>106</v>
      </c>
      <c r="C1065" s="1">
        <v>0.06</v>
      </c>
      <c r="D1065" s="1">
        <v>3.58</v>
      </c>
      <c r="E1065" s="1">
        <v>1.63</v>
      </c>
      <c r="F1065" s="1">
        <v>1933</v>
      </c>
      <c r="G1065" s="6" t="str">
        <f>IF(COUNTIF(Table1[Customer ID],Table1[[#This Row],[Customer ID]])&gt;1,"Repeat Customer","One-Time Customer")</f>
        <v>One-Time Customer</v>
      </c>
      <c r="H1065" s="1" t="s">
        <v>1883</v>
      </c>
      <c r="I1065" s="1" t="s">
        <v>49</v>
      </c>
      <c r="J1065" s="1" t="s">
        <v>28</v>
      </c>
      <c r="K1065" s="1" t="s">
        <v>29</v>
      </c>
      <c r="L1065" s="1" t="s">
        <v>66</v>
      </c>
      <c r="M1065" s="1" t="s">
        <v>31</v>
      </c>
      <c r="N1065" s="1" t="s">
        <v>67</v>
      </c>
      <c r="O1065" s="1">
        <v>0.36</v>
      </c>
      <c r="P1065" s="6">
        <f>Table1[[#This Row],[Profit]]/Table1[[#This Row],[Sales]]</f>
        <v>0.40276179516685851</v>
      </c>
      <c r="Q1065" s="1" t="s">
        <v>33</v>
      </c>
      <c r="R1065" s="1" t="s">
        <v>61</v>
      </c>
      <c r="S1065" s="1" t="s">
        <v>130</v>
      </c>
      <c r="T1065" s="1" t="s">
        <v>1884</v>
      </c>
      <c r="U1065" s="1">
        <v>75043</v>
      </c>
      <c r="V1065" s="9">
        <v>42113</v>
      </c>
      <c r="W1065" s="13" t="str">
        <f>TEXT(Table1[[#This Row],[Order Date]],"mmmm")</f>
        <v>April</v>
      </c>
      <c r="X1065" s="7" t="str">
        <f>TEXT(Table1[[#This Row],[Order Date]],"yyyy")</f>
        <v>2015</v>
      </c>
      <c r="Y1065" s="9">
        <v>42117</v>
      </c>
      <c r="Z1065" s="1">
        <v>14</v>
      </c>
      <c r="AA1065" s="1">
        <v>10</v>
      </c>
      <c r="AB1065" s="1">
        <v>34.76</v>
      </c>
      <c r="AC1065" s="1">
        <v>86687</v>
      </c>
      <c r="AD1065" s="6" t="str">
        <f>IF(COUNTIF(Returns!$A$2:$A$1635,Orders!AC1065)&gt;0,"Returned","Not Returned")</f>
        <v>Not Returned</v>
      </c>
    </row>
    <row r="1066" spans="1:30" ht="12.75" customHeight="1" thickTop="1" thickBot="1" x14ac:dyDescent="0.25">
      <c r="A1066" s="10">
        <v>19697</v>
      </c>
      <c r="B1066" s="11" t="s">
        <v>106</v>
      </c>
      <c r="C1066" s="11">
        <v>0.04</v>
      </c>
      <c r="D1066" s="11">
        <v>180.98</v>
      </c>
      <c r="E1066" s="11">
        <v>30</v>
      </c>
      <c r="F1066" s="11">
        <v>1934</v>
      </c>
      <c r="G1066" s="6" t="str">
        <f>IF(COUNTIF(Table1[Customer ID],Table1[[#This Row],[Customer ID]])&gt;1,"Repeat Customer","One-Time Customer")</f>
        <v>One-Time Customer</v>
      </c>
      <c r="H1066" s="11" t="s">
        <v>1885</v>
      </c>
      <c r="I1066" s="11" t="s">
        <v>39</v>
      </c>
      <c r="J1066" s="11" t="s">
        <v>40</v>
      </c>
      <c r="K1066" s="11" t="s">
        <v>41</v>
      </c>
      <c r="L1066" s="11" t="s">
        <v>42</v>
      </c>
      <c r="M1066" s="11" t="s">
        <v>43</v>
      </c>
      <c r="N1066" s="11" t="s">
        <v>1886</v>
      </c>
      <c r="O1066" s="11">
        <v>0.69</v>
      </c>
      <c r="P1066" s="6">
        <f>Table1[[#This Row],[Profit]]/Table1[[#This Row],[Sales]]</f>
        <v>9.434345232796236E-2</v>
      </c>
      <c r="Q1066" s="11" t="s">
        <v>33</v>
      </c>
      <c r="R1066" s="11" t="s">
        <v>61</v>
      </c>
      <c r="S1066" s="11" t="s">
        <v>130</v>
      </c>
      <c r="T1066" s="11" t="s">
        <v>883</v>
      </c>
      <c r="U1066" s="11">
        <v>78626</v>
      </c>
      <c r="V1066" s="12">
        <v>42154</v>
      </c>
      <c r="W1066" s="13" t="str">
        <f>TEXT(Table1[[#This Row],[Order Date]],"mmmm")</f>
        <v>May</v>
      </c>
      <c r="X1066" s="7" t="str">
        <f>TEXT(Table1[[#This Row],[Order Date]],"yyyy")</f>
        <v>2015</v>
      </c>
      <c r="Y1066" s="12">
        <v>42154</v>
      </c>
      <c r="Z1066" s="11">
        <v>52.988000000000056</v>
      </c>
      <c r="AA1066" s="11">
        <v>3</v>
      </c>
      <c r="AB1066" s="11">
        <v>561.65</v>
      </c>
      <c r="AC1066" s="11">
        <v>86688</v>
      </c>
      <c r="AD1066" s="6" t="str">
        <f>IF(COUNTIF(Returns!$A$2:$A$1635,Orders!AC1066)&gt;0,"Returned","Not Returned")</f>
        <v>Not Returned</v>
      </c>
    </row>
    <row r="1067" spans="1:30" ht="12.75" customHeight="1" thickTop="1" thickBot="1" x14ac:dyDescent="0.25">
      <c r="A1067" s="8">
        <v>19780</v>
      </c>
      <c r="B1067" s="1" t="s">
        <v>47</v>
      </c>
      <c r="C1067" s="1">
        <v>0.01</v>
      </c>
      <c r="D1067" s="1">
        <v>42.98</v>
      </c>
      <c r="E1067" s="1">
        <v>4.62</v>
      </c>
      <c r="F1067" s="1">
        <v>1935</v>
      </c>
      <c r="G1067" s="6" t="str">
        <f>IF(COUNTIF(Table1[Customer ID],Table1[[#This Row],[Customer ID]])&gt;1,"Repeat Customer","One-Time Customer")</f>
        <v>Repeat Customer</v>
      </c>
      <c r="H1067" s="1" t="s">
        <v>1887</v>
      </c>
      <c r="I1067" s="1" t="s">
        <v>27</v>
      </c>
      <c r="J1067" s="1" t="s">
        <v>28</v>
      </c>
      <c r="K1067" s="1" t="s">
        <v>29</v>
      </c>
      <c r="L1067" s="1" t="s">
        <v>257</v>
      </c>
      <c r="M1067" s="1" t="s">
        <v>59</v>
      </c>
      <c r="N1067" s="1" t="s">
        <v>1888</v>
      </c>
      <c r="O1067" s="1">
        <v>0.56000000000000005</v>
      </c>
      <c r="P1067" s="6">
        <f>Table1[[#This Row],[Profit]]/Table1[[#This Row],[Sales]]</f>
        <v>0.69</v>
      </c>
      <c r="Q1067" s="1" t="s">
        <v>33</v>
      </c>
      <c r="R1067" s="1" t="s">
        <v>61</v>
      </c>
      <c r="S1067" s="1" t="s">
        <v>130</v>
      </c>
      <c r="T1067" s="1" t="s">
        <v>1889</v>
      </c>
      <c r="U1067" s="1">
        <v>75051</v>
      </c>
      <c r="V1067" s="9">
        <v>42102</v>
      </c>
      <c r="W1067" s="13" t="str">
        <f>TEXT(Table1[[#This Row],[Order Date]],"mmmm")</f>
        <v>April</v>
      </c>
      <c r="X1067" s="7" t="str">
        <f>TEXT(Table1[[#This Row],[Order Date]],"yyyy")</f>
        <v>2015</v>
      </c>
      <c r="Y1067" s="9">
        <v>42104</v>
      </c>
      <c r="Z1067" s="1">
        <v>285.47370000000001</v>
      </c>
      <c r="AA1067" s="1">
        <v>9</v>
      </c>
      <c r="AB1067" s="1">
        <v>413.73</v>
      </c>
      <c r="AC1067" s="1">
        <v>86686</v>
      </c>
      <c r="AD1067" s="6" t="str">
        <f>IF(COUNTIF(Returns!$A$2:$A$1635,Orders!AC1067)&gt;0,"Returned","Not Returned")</f>
        <v>Not Returned</v>
      </c>
    </row>
    <row r="1068" spans="1:30" ht="12.75" customHeight="1" thickTop="1" thickBot="1" x14ac:dyDescent="0.25">
      <c r="A1068" s="10">
        <v>19698</v>
      </c>
      <c r="B1068" s="11" t="s">
        <v>106</v>
      </c>
      <c r="C1068" s="11">
        <v>0.06</v>
      </c>
      <c r="D1068" s="11">
        <v>3.25</v>
      </c>
      <c r="E1068" s="11">
        <v>49</v>
      </c>
      <c r="F1068" s="11">
        <v>1935</v>
      </c>
      <c r="G1068" s="6" t="str">
        <f>IF(COUNTIF(Table1[Customer ID],Table1[[#This Row],[Customer ID]])&gt;1,"Repeat Customer","One-Time Customer")</f>
        <v>Repeat Customer</v>
      </c>
      <c r="H1068" s="11" t="s">
        <v>1887</v>
      </c>
      <c r="I1068" s="11" t="s">
        <v>49</v>
      </c>
      <c r="J1068" s="11" t="s">
        <v>40</v>
      </c>
      <c r="K1068" s="11" t="s">
        <v>29</v>
      </c>
      <c r="L1068" s="11" t="s">
        <v>257</v>
      </c>
      <c r="M1068" s="11" t="s">
        <v>236</v>
      </c>
      <c r="N1068" s="11" t="s">
        <v>1890</v>
      </c>
      <c r="O1068" s="11">
        <v>0.56000000000000005</v>
      </c>
      <c r="P1068" s="6">
        <f>Table1[[#This Row],[Profit]]/Table1[[#This Row],[Sales]]</f>
        <v>0.18899280575539584</v>
      </c>
      <c r="Q1068" s="11" t="s">
        <v>33</v>
      </c>
      <c r="R1068" s="11" t="s">
        <v>61</v>
      </c>
      <c r="S1068" s="11" t="s">
        <v>130</v>
      </c>
      <c r="T1068" s="11" t="s">
        <v>1889</v>
      </c>
      <c r="U1068" s="11">
        <v>75051</v>
      </c>
      <c r="V1068" s="12">
        <v>42154</v>
      </c>
      <c r="W1068" s="13" t="str">
        <f>TEXT(Table1[[#This Row],[Order Date]],"mmmm")</f>
        <v>May</v>
      </c>
      <c r="X1068" s="7" t="str">
        <f>TEXT(Table1[[#This Row],[Order Date]],"yyyy")</f>
        <v>2015</v>
      </c>
      <c r="Y1068" s="12">
        <v>42160</v>
      </c>
      <c r="Z1068" s="11">
        <v>10.50800000000001</v>
      </c>
      <c r="AA1068" s="11">
        <v>2</v>
      </c>
      <c r="AB1068" s="11">
        <v>55.6</v>
      </c>
      <c r="AC1068" s="11">
        <v>86688</v>
      </c>
      <c r="AD1068" s="6" t="str">
        <f>IF(COUNTIF(Returns!$A$2:$A$1635,Orders!AC1068)&gt;0,"Returned","Not Returned")</f>
        <v>Not Returned</v>
      </c>
    </row>
    <row r="1069" spans="1:30" ht="12.75" customHeight="1" thickTop="1" thickBot="1" x14ac:dyDescent="0.25">
      <c r="A1069" s="8">
        <v>19699</v>
      </c>
      <c r="B1069" s="1" t="s">
        <v>106</v>
      </c>
      <c r="C1069" s="1">
        <v>0.01</v>
      </c>
      <c r="D1069" s="1">
        <v>110.98</v>
      </c>
      <c r="E1069" s="1">
        <v>13.99</v>
      </c>
      <c r="F1069" s="1">
        <v>1935</v>
      </c>
      <c r="G1069" s="6" t="str">
        <f>IF(COUNTIF(Table1[Customer ID],Table1[[#This Row],[Customer ID]])&gt;1,"Repeat Customer","One-Time Customer")</f>
        <v>Repeat Customer</v>
      </c>
      <c r="H1069" s="1" t="s">
        <v>1887</v>
      </c>
      <c r="I1069" s="1" t="s">
        <v>49</v>
      </c>
      <c r="J1069" s="1" t="s">
        <v>40</v>
      </c>
      <c r="K1069" s="1" t="s">
        <v>41</v>
      </c>
      <c r="L1069" s="1" t="s">
        <v>50</v>
      </c>
      <c r="M1069" s="1" t="s">
        <v>86</v>
      </c>
      <c r="N1069" s="1" t="s">
        <v>1891</v>
      </c>
      <c r="O1069" s="1">
        <v>0.69</v>
      </c>
      <c r="P1069" s="6">
        <f>Table1[[#This Row],[Profit]]/Table1[[#This Row],[Sales]]</f>
        <v>0.69</v>
      </c>
      <c r="Q1069" s="1" t="s">
        <v>33</v>
      </c>
      <c r="R1069" s="1" t="s">
        <v>61</v>
      </c>
      <c r="S1069" s="1" t="s">
        <v>130</v>
      </c>
      <c r="T1069" s="1" t="s">
        <v>1889</v>
      </c>
      <c r="U1069" s="1">
        <v>75051</v>
      </c>
      <c r="V1069" s="9">
        <v>42154</v>
      </c>
      <c r="W1069" s="13" t="str">
        <f>TEXT(Table1[[#This Row],[Order Date]],"mmmm")</f>
        <v>May</v>
      </c>
      <c r="X1069" s="7" t="str">
        <f>TEXT(Table1[[#This Row],[Order Date]],"yyyy")</f>
        <v>2015</v>
      </c>
      <c r="Y1069" s="9">
        <v>42159</v>
      </c>
      <c r="Z1069" s="1">
        <v>1448.7309</v>
      </c>
      <c r="AA1069" s="1">
        <v>19</v>
      </c>
      <c r="AB1069" s="1">
        <v>2099.61</v>
      </c>
      <c r="AC1069" s="1">
        <v>86688</v>
      </c>
      <c r="AD1069" s="6" t="str">
        <f>IF(COUNTIF(Returns!$A$2:$A$1635,Orders!AC1069)&gt;0,"Returned","Not Returned")</f>
        <v>Not Returned</v>
      </c>
    </row>
    <row r="1070" spans="1:30" ht="12.75" customHeight="1" thickTop="1" thickBot="1" x14ac:dyDescent="0.25">
      <c r="A1070" s="10">
        <v>19700</v>
      </c>
      <c r="B1070" s="11" t="s">
        <v>106</v>
      </c>
      <c r="C1070" s="11">
        <v>0.05</v>
      </c>
      <c r="D1070" s="11">
        <v>3.95</v>
      </c>
      <c r="E1070" s="11">
        <v>2</v>
      </c>
      <c r="F1070" s="11">
        <v>1935</v>
      </c>
      <c r="G1070" s="6" t="str">
        <f>IF(COUNTIF(Table1[Customer ID],Table1[[#This Row],[Customer ID]])&gt;1,"Repeat Customer","One-Time Customer")</f>
        <v>Repeat Customer</v>
      </c>
      <c r="H1070" s="11" t="s">
        <v>1887</v>
      </c>
      <c r="I1070" s="11" t="s">
        <v>27</v>
      </c>
      <c r="J1070" s="11" t="s">
        <v>40</v>
      </c>
      <c r="K1070" s="11" t="s">
        <v>29</v>
      </c>
      <c r="L1070" s="11" t="s">
        <v>66</v>
      </c>
      <c r="M1070" s="11" t="s">
        <v>31</v>
      </c>
      <c r="N1070" s="11" t="s">
        <v>1353</v>
      </c>
      <c r="O1070" s="11">
        <v>0.53</v>
      </c>
      <c r="P1070" s="6">
        <f>Table1[[#This Row],[Profit]]/Table1[[#This Row],[Sales]]</f>
        <v>1.0393374741200834E-2</v>
      </c>
      <c r="Q1070" s="11" t="s">
        <v>33</v>
      </c>
      <c r="R1070" s="11" t="s">
        <v>61</v>
      </c>
      <c r="S1070" s="11" t="s">
        <v>130</v>
      </c>
      <c r="T1070" s="11" t="s">
        <v>1889</v>
      </c>
      <c r="U1070" s="11">
        <v>75051</v>
      </c>
      <c r="V1070" s="12">
        <v>42154</v>
      </c>
      <c r="W1070" s="13" t="str">
        <f>TEXT(Table1[[#This Row],[Order Date]],"mmmm")</f>
        <v>May</v>
      </c>
      <c r="X1070" s="7" t="str">
        <f>TEXT(Table1[[#This Row],[Order Date]],"yyyy")</f>
        <v>2015</v>
      </c>
      <c r="Y1070" s="12">
        <v>42162</v>
      </c>
      <c r="Z1070" s="11">
        <v>1.0040000000000004</v>
      </c>
      <c r="AA1070" s="11">
        <v>23</v>
      </c>
      <c r="AB1070" s="11">
        <v>96.6</v>
      </c>
      <c r="AC1070" s="11">
        <v>86688</v>
      </c>
      <c r="AD1070" s="6" t="str">
        <f>IF(COUNTIF(Returns!$A$2:$A$1635,Orders!AC1070)&gt;0,"Returned","Not Returned")</f>
        <v>Not Returned</v>
      </c>
    </row>
    <row r="1071" spans="1:30" ht="12.75" customHeight="1" thickTop="1" thickBot="1" x14ac:dyDescent="0.25">
      <c r="A1071" s="8">
        <v>23551</v>
      </c>
      <c r="B1071" s="1" t="s">
        <v>56</v>
      </c>
      <c r="C1071" s="1">
        <v>0.1</v>
      </c>
      <c r="D1071" s="1">
        <v>152.47999999999999</v>
      </c>
      <c r="E1071" s="1">
        <v>4</v>
      </c>
      <c r="F1071" s="1">
        <v>1938</v>
      </c>
      <c r="G1071" s="6" t="str">
        <f>IF(COUNTIF(Table1[Customer ID],Table1[[#This Row],[Customer ID]])&gt;1,"Repeat Customer","One-Time Customer")</f>
        <v>One-Time Customer</v>
      </c>
      <c r="H1071" s="1" t="s">
        <v>1892</v>
      </c>
      <c r="I1071" s="1" t="s">
        <v>27</v>
      </c>
      <c r="J1071" s="1" t="s">
        <v>28</v>
      </c>
      <c r="K1071" s="1" t="s">
        <v>77</v>
      </c>
      <c r="L1071" s="1" t="s">
        <v>180</v>
      </c>
      <c r="M1071" s="1" t="s">
        <v>59</v>
      </c>
      <c r="N1071" s="1" t="s">
        <v>609</v>
      </c>
      <c r="O1071" s="1">
        <v>0.79</v>
      </c>
      <c r="P1071" s="6">
        <f>Table1[[#This Row],[Profit]]/Table1[[#This Row],[Sales]]</f>
        <v>-0.93356862604582846</v>
      </c>
      <c r="Q1071" s="1" t="s">
        <v>33</v>
      </c>
      <c r="R1071" s="1" t="s">
        <v>61</v>
      </c>
      <c r="S1071" s="1" t="s">
        <v>183</v>
      </c>
      <c r="T1071" s="1" t="s">
        <v>1893</v>
      </c>
      <c r="U1071" s="1">
        <v>66801</v>
      </c>
      <c r="V1071" s="9">
        <v>42085</v>
      </c>
      <c r="W1071" s="13" t="str">
        <f>TEXT(Table1[[#This Row],[Order Date]],"mmmm")</f>
        <v>March</v>
      </c>
      <c r="X1071" s="7" t="str">
        <f>TEXT(Table1[[#This Row],[Order Date]],"yyyy")</f>
        <v>2015</v>
      </c>
      <c r="Y1071" s="9">
        <v>42086</v>
      </c>
      <c r="Z1071" s="1">
        <v>-521.09</v>
      </c>
      <c r="AA1071" s="1">
        <v>4</v>
      </c>
      <c r="AB1071" s="1">
        <v>558.16999999999996</v>
      </c>
      <c r="AC1071" s="1">
        <v>88870</v>
      </c>
      <c r="AD1071" s="6" t="str">
        <f>IF(COUNTIF(Returns!$A$2:$A$1635,Orders!AC1071)&gt;0,"Returned","Not Returned")</f>
        <v>Not Returned</v>
      </c>
    </row>
    <row r="1072" spans="1:30" ht="12.75" customHeight="1" thickTop="1" thickBot="1" x14ac:dyDescent="0.25">
      <c r="A1072" s="10">
        <v>23550</v>
      </c>
      <c r="B1072" s="11" t="s">
        <v>56</v>
      </c>
      <c r="C1072" s="11">
        <v>0.08</v>
      </c>
      <c r="D1072" s="11">
        <v>6.84</v>
      </c>
      <c r="E1072" s="11">
        <v>8.3699999999999992</v>
      </c>
      <c r="F1072" s="11">
        <v>1940</v>
      </c>
      <c r="G1072" s="6" t="str">
        <f>IF(COUNTIF(Table1[Customer ID],Table1[[#This Row],[Customer ID]])&gt;1,"Repeat Customer","One-Time Customer")</f>
        <v>Repeat Customer</v>
      </c>
      <c r="H1072" s="11" t="s">
        <v>1894</v>
      </c>
      <c r="I1072" s="11" t="s">
        <v>49</v>
      </c>
      <c r="J1072" s="11" t="s">
        <v>28</v>
      </c>
      <c r="K1072" s="11" t="s">
        <v>29</v>
      </c>
      <c r="L1072" s="11" t="s">
        <v>174</v>
      </c>
      <c r="M1072" s="11" t="s">
        <v>51</v>
      </c>
      <c r="N1072" s="11" t="s">
        <v>1697</v>
      </c>
      <c r="O1072" s="11">
        <v>0.57999999999999996</v>
      </c>
      <c r="P1072" s="6">
        <f>Table1[[#This Row],[Profit]]/Table1[[#This Row],[Sales]]</f>
        <v>-3.514898688915375</v>
      </c>
      <c r="Q1072" s="11" t="s">
        <v>33</v>
      </c>
      <c r="R1072" s="11" t="s">
        <v>34</v>
      </c>
      <c r="S1072" s="11" t="s">
        <v>212</v>
      </c>
      <c r="T1072" s="11" t="s">
        <v>1895</v>
      </c>
      <c r="U1072" s="11">
        <v>84020</v>
      </c>
      <c r="V1072" s="12">
        <v>42085</v>
      </c>
      <c r="W1072" s="13" t="str">
        <f>TEXT(Table1[[#This Row],[Order Date]],"mmmm")</f>
        <v>March</v>
      </c>
      <c r="X1072" s="7" t="str">
        <f>TEXT(Table1[[#This Row],[Order Date]],"yyyy")</f>
        <v>2015</v>
      </c>
      <c r="Y1072" s="12">
        <v>42087</v>
      </c>
      <c r="Z1072" s="11">
        <v>-29.49</v>
      </c>
      <c r="AA1072" s="11">
        <v>1</v>
      </c>
      <c r="AB1072" s="11">
        <v>8.39</v>
      </c>
      <c r="AC1072" s="11">
        <v>88870</v>
      </c>
      <c r="AD1072" s="6" t="str">
        <f>IF(COUNTIF(Returns!$A$2:$A$1635,Orders!AC1072)&gt;0,"Returned","Not Returned")</f>
        <v>Not Returned</v>
      </c>
    </row>
    <row r="1073" spans="1:30" ht="12.75" customHeight="1" thickTop="1" thickBot="1" x14ac:dyDescent="0.25">
      <c r="A1073" s="8">
        <v>25531</v>
      </c>
      <c r="B1073" s="1" t="s">
        <v>106</v>
      </c>
      <c r="C1073" s="1">
        <v>0</v>
      </c>
      <c r="D1073" s="1">
        <v>78.650000000000006</v>
      </c>
      <c r="E1073" s="1">
        <v>13.99</v>
      </c>
      <c r="F1073" s="1">
        <v>1940</v>
      </c>
      <c r="G1073" s="6" t="str">
        <f>IF(COUNTIF(Table1[Customer ID],Table1[[#This Row],[Customer ID]])&gt;1,"Repeat Customer","One-Time Customer")</f>
        <v>Repeat Customer</v>
      </c>
      <c r="H1073" s="1" t="s">
        <v>1894</v>
      </c>
      <c r="I1073" s="1" t="s">
        <v>49</v>
      </c>
      <c r="J1073" s="1" t="s">
        <v>28</v>
      </c>
      <c r="K1073" s="1" t="s">
        <v>29</v>
      </c>
      <c r="L1073" s="1" t="s">
        <v>257</v>
      </c>
      <c r="M1073" s="1" t="s">
        <v>86</v>
      </c>
      <c r="N1073" s="1" t="s">
        <v>1896</v>
      </c>
      <c r="O1073" s="1">
        <v>0.52</v>
      </c>
      <c r="P1073" s="6">
        <f>Table1[[#This Row],[Profit]]/Table1[[#This Row],[Sales]]</f>
        <v>0.69</v>
      </c>
      <c r="Q1073" s="1" t="s">
        <v>33</v>
      </c>
      <c r="R1073" s="1" t="s">
        <v>34</v>
      </c>
      <c r="S1073" s="1" t="s">
        <v>212</v>
      </c>
      <c r="T1073" s="1" t="s">
        <v>1895</v>
      </c>
      <c r="U1073" s="1">
        <v>84020</v>
      </c>
      <c r="V1073" s="9">
        <v>42113</v>
      </c>
      <c r="W1073" s="13" t="str">
        <f>TEXT(Table1[[#This Row],[Order Date]],"mmmm")</f>
        <v>April</v>
      </c>
      <c r="X1073" s="7" t="str">
        <f>TEXT(Table1[[#This Row],[Order Date]],"yyyy")</f>
        <v>2015</v>
      </c>
      <c r="Y1073" s="9">
        <v>42120</v>
      </c>
      <c r="Z1073" s="1">
        <v>386.00669999999991</v>
      </c>
      <c r="AA1073" s="1">
        <v>7</v>
      </c>
      <c r="AB1073" s="1">
        <v>559.42999999999995</v>
      </c>
      <c r="AC1073" s="1">
        <v>88871</v>
      </c>
      <c r="AD1073" s="6" t="str">
        <f>IF(COUNTIF(Returns!$A$2:$A$1635,Orders!AC1073)&gt;0,"Returned","Not Returned")</f>
        <v>Not Returned</v>
      </c>
    </row>
    <row r="1074" spans="1:30" ht="12.75" customHeight="1" thickTop="1" thickBot="1" x14ac:dyDescent="0.25">
      <c r="A1074" s="10">
        <v>25532</v>
      </c>
      <c r="B1074" s="11" t="s">
        <v>106</v>
      </c>
      <c r="C1074" s="11">
        <v>0.08</v>
      </c>
      <c r="D1074" s="11">
        <v>122.99</v>
      </c>
      <c r="E1074" s="11">
        <v>70.2</v>
      </c>
      <c r="F1074" s="11">
        <v>1940</v>
      </c>
      <c r="G1074" s="6" t="str">
        <f>IF(COUNTIF(Table1[Customer ID],Table1[[#This Row],[Customer ID]])&gt;1,"Repeat Customer","One-Time Customer")</f>
        <v>Repeat Customer</v>
      </c>
      <c r="H1074" s="11" t="s">
        <v>1894</v>
      </c>
      <c r="I1074" s="11" t="s">
        <v>39</v>
      </c>
      <c r="J1074" s="11" t="s">
        <v>28</v>
      </c>
      <c r="K1074" s="11" t="s">
        <v>41</v>
      </c>
      <c r="L1074" s="11" t="s">
        <v>42</v>
      </c>
      <c r="M1074" s="11" t="s">
        <v>43</v>
      </c>
      <c r="N1074" s="11" t="s">
        <v>147</v>
      </c>
      <c r="O1074" s="11">
        <v>0.74</v>
      </c>
      <c r="P1074" s="6">
        <f>Table1[[#This Row],[Profit]]/Table1[[#This Row],[Sales]]</f>
        <v>-1.5355029099398283</v>
      </c>
      <c r="Q1074" s="11" t="s">
        <v>33</v>
      </c>
      <c r="R1074" s="11" t="s">
        <v>34</v>
      </c>
      <c r="S1074" s="11" t="s">
        <v>212</v>
      </c>
      <c r="T1074" s="11" t="s">
        <v>1895</v>
      </c>
      <c r="U1074" s="11">
        <v>84020</v>
      </c>
      <c r="V1074" s="12">
        <v>42113</v>
      </c>
      <c r="W1074" s="13" t="str">
        <f>TEXT(Table1[[#This Row],[Order Date]],"mmmm")</f>
        <v>April</v>
      </c>
      <c r="X1074" s="7" t="str">
        <f>TEXT(Table1[[#This Row],[Order Date]],"yyyy")</f>
        <v>2015</v>
      </c>
      <c r="Y1074" s="12">
        <v>42118</v>
      </c>
      <c r="Z1074" s="11">
        <v>-1867.97</v>
      </c>
      <c r="AA1074" s="11">
        <v>10</v>
      </c>
      <c r="AB1074" s="11">
        <v>1216.52</v>
      </c>
      <c r="AC1074" s="11">
        <v>88871</v>
      </c>
      <c r="AD1074" s="6" t="str">
        <f>IF(COUNTIF(Returns!$A$2:$A$1635,Orders!AC1074)&gt;0,"Returned","Not Returned")</f>
        <v>Not Returned</v>
      </c>
    </row>
    <row r="1075" spans="1:30" ht="12.75" customHeight="1" thickTop="1" thickBot="1" x14ac:dyDescent="0.25">
      <c r="A1075" s="8">
        <v>20371</v>
      </c>
      <c r="B1075" s="1" t="s">
        <v>56</v>
      </c>
      <c r="C1075" s="1">
        <v>0.08</v>
      </c>
      <c r="D1075" s="1">
        <v>90.98</v>
      </c>
      <c r="E1075" s="1">
        <v>56.2</v>
      </c>
      <c r="F1075" s="1">
        <v>1946</v>
      </c>
      <c r="G1075" s="6" t="str">
        <f>IF(COUNTIF(Table1[Customer ID],Table1[[#This Row],[Customer ID]])&gt;1,"Repeat Customer","One-Time Customer")</f>
        <v>Repeat Customer</v>
      </c>
      <c r="H1075" s="1" t="s">
        <v>1897</v>
      </c>
      <c r="I1075" s="1" t="s">
        <v>49</v>
      </c>
      <c r="J1075" s="1" t="s">
        <v>114</v>
      </c>
      <c r="K1075" s="1" t="s">
        <v>41</v>
      </c>
      <c r="L1075" s="1" t="s">
        <v>50</v>
      </c>
      <c r="M1075" s="1" t="s">
        <v>86</v>
      </c>
      <c r="N1075" s="1" t="s">
        <v>1061</v>
      </c>
      <c r="O1075" s="1">
        <v>0.74</v>
      </c>
      <c r="P1075" s="6">
        <f>Table1[[#This Row],[Profit]]/Table1[[#This Row],[Sales]]</f>
        <v>-1.8150096375524398</v>
      </c>
      <c r="Q1075" s="1" t="s">
        <v>33</v>
      </c>
      <c r="R1075" s="1" t="s">
        <v>53</v>
      </c>
      <c r="S1075" s="1" t="s">
        <v>234</v>
      </c>
      <c r="T1075" s="1" t="s">
        <v>1898</v>
      </c>
      <c r="U1075" s="1">
        <v>15228</v>
      </c>
      <c r="V1075" s="9">
        <v>42030</v>
      </c>
      <c r="W1075" s="13" t="str">
        <f>TEXT(Table1[[#This Row],[Order Date]],"mmmm")</f>
        <v>January</v>
      </c>
      <c r="X1075" s="7" t="str">
        <f>TEXT(Table1[[#This Row],[Order Date]],"yyyy")</f>
        <v>2015</v>
      </c>
      <c r="Y1075" s="9">
        <v>42032</v>
      </c>
      <c r="Z1075" s="1">
        <v>-1920.9336000000001</v>
      </c>
      <c r="AA1075" s="1">
        <v>12</v>
      </c>
      <c r="AB1075" s="1">
        <v>1058.3599999999999</v>
      </c>
      <c r="AC1075" s="1">
        <v>86331</v>
      </c>
      <c r="AD1075" s="6" t="str">
        <f>IF(COUNTIF(Returns!$A$2:$A$1635,Orders!AC1075)&gt;0,"Returned","Not Returned")</f>
        <v>Not Returned</v>
      </c>
    </row>
    <row r="1076" spans="1:30" ht="12.75" customHeight="1" thickTop="1" thickBot="1" x14ac:dyDescent="0.25">
      <c r="A1076" s="10">
        <v>20372</v>
      </c>
      <c r="B1076" s="11" t="s">
        <v>56</v>
      </c>
      <c r="C1076" s="11">
        <v>7.0000000000000007E-2</v>
      </c>
      <c r="D1076" s="11">
        <v>5.98</v>
      </c>
      <c r="E1076" s="11">
        <v>5.35</v>
      </c>
      <c r="F1076" s="11">
        <v>1946</v>
      </c>
      <c r="G1076" s="6" t="str">
        <f>IF(COUNTIF(Table1[Customer ID],Table1[[#This Row],[Customer ID]])&gt;1,"Repeat Customer","One-Time Customer")</f>
        <v>Repeat Customer</v>
      </c>
      <c r="H1076" s="11" t="s">
        <v>1897</v>
      </c>
      <c r="I1076" s="11" t="s">
        <v>49</v>
      </c>
      <c r="J1076" s="11" t="s">
        <v>114</v>
      </c>
      <c r="K1076" s="11" t="s">
        <v>29</v>
      </c>
      <c r="L1076" s="11" t="s">
        <v>93</v>
      </c>
      <c r="M1076" s="11" t="s">
        <v>59</v>
      </c>
      <c r="N1076" s="11" t="s">
        <v>1437</v>
      </c>
      <c r="O1076" s="11">
        <v>0.4</v>
      </c>
      <c r="P1076" s="6">
        <f>Table1[[#This Row],[Profit]]/Table1[[#This Row],[Sales]]</f>
        <v>-2.0303222282905518</v>
      </c>
      <c r="Q1076" s="11" t="s">
        <v>33</v>
      </c>
      <c r="R1076" s="11" t="s">
        <v>53</v>
      </c>
      <c r="S1076" s="11" t="s">
        <v>234</v>
      </c>
      <c r="T1076" s="11" t="s">
        <v>1898</v>
      </c>
      <c r="U1076" s="11">
        <v>15228</v>
      </c>
      <c r="V1076" s="12">
        <v>42030</v>
      </c>
      <c r="W1076" s="13" t="str">
        <f>TEXT(Table1[[#This Row],[Order Date]],"mmmm")</f>
        <v>January</v>
      </c>
      <c r="X1076" s="7" t="str">
        <f>TEXT(Table1[[#This Row],[Order Date]],"yyyy")</f>
        <v>2015</v>
      </c>
      <c r="Y1076" s="12">
        <v>42032</v>
      </c>
      <c r="Z1076" s="11">
        <v>-37.175200000000004</v>
      </c>
      <c r="AA1076" s="11">
        <v>3</v>
      </c>
      <c r="AB1076" s="11">
        <v>18.309999999999999</v>
      </c>
      <c r="AC1076" s="11">
        <v>86331</v>
      </c>
      <c r="AD1076" s="6" t="str">
        <f>IF(COUNTIF(Returns!$A$2:$A$1635,Orders!AC1076)&gt;0,"Returned","Not Returned")</f>
        <v>Not Returned</v>
      </c>
    </row>
    <row r="1077" spans="1:30" ht="12.75" customHeight="1" thickTop="1" thickBot="1" x14ac:dyDescent="0.25">
      <c r="A1077" s="8">
        <v>21762</v>
      </c>
      <c r="B1077" s="1" t="s">
        <v>106</v>
      </c>
      <c r="C1077" s="1">
        <v>0.05</v>
      </c>
      <c r="D1077" s="1">
        <v>424.21</v>
      </c>
      <c r="E1077" s="1">
        <v>110.2</v>
      </c>
      <c r="F1077" s="1">
        <v>1949</v>
      </c>
      <c r="G1077" s="6" t="str">
        <f>IF(COUNTIF(Table1[Customer ID],Table1[[#This Row],[Customer ID]])&gt;1,"Repeat Customer","One-Time Customer")</f>
        <v>One-Time Customer</v>
      </c>
      <c r="H1077" s="1" t="s">
        <v>1899</v>
      </c>
      <c r="I1077" s="1" t="s">
        <v>39</v>
      </c>
      <c r="J1077" s="1" t="s">
        <v>58</v>
      </c>
      <c r="K1077" s="1" t="s">
        <v>41</v>
      </c>
      <c r="L1077" s="1" t="s">
        <v>152</v>
      </c>
      <c r="M1077" s="1" t="s">
        <v>121</v>
      </c>
      <c r="N1077" s="1" t="s">
        <v>1900</v>
      </c>
      <c r="O1077" s="1">
        <v>0.67</v>
      </c>
      <c r="P1077" s="6">
        <f>Table1[[#This Row],[Profit]]/Table1[[#This Row],[Sales]]</f>
        <v>-4.3240787644725061E-2</v>
      </c>
      <c r="Q1077" s="1" t="s">
        <v>33</v>
      </c>
      <c r="R1077" s="1" t="s">
        <v>34</v>
      </c>
      <c r="S1077" s="1" t="s">
        <v>82</v>
      </c>
      <c r="T1077" s="1" t="s">
        <v>1901</v>
      </c>
      <c r="U1077" s="1">
        <v>59715</v>
      </c>
      <c r="V1077" s="9">
        <v>42036</v>
      </c>
      <c r="W1077" s="13" t="str">
        <f>TEXT(Table1[[#This Row],[Order Date]],"mmmm")</f>
        <v>February</v>
      </c>
      <c r="X1077" s="7" t="str">
        <f>TEXT(Table1[[#This Row],[Order Date]],"yyyy")</f>
        <v>2015</v>
      </c>
      <c r="Y1077" s="9">
        <v>42040</v>
      </c>
      <c r="Z1077" s="1">
        <v>-213.40280000000001</v>
      </c>
      <c r="AA1077" s="1">
        <v>12</v>
      </c>
      <c r="AB1077" s="1">
        <v>4935.22</v>
      </c>
      <c r="AC1077" s="1">
        <v>90415</v>
      </c>
      <c r="AD1077" s="6" t="str">
        <f>IF(COUNTIF(Returns!$A$2:$A$1635,Orders!AC1077)&gt;0,"Returned","Not Returned")</f>
        <v>Not Returned</v>
      </c>
    </row>
    <row r="1078" spans="1:30" ht="12.75" customHeight="1" thickTop="1" thickBot="1" x14ac:dyDescent="0.25">
      <c r="A1078" s="10">
        <v>24793</v>
      </c>
      <c r="B1078" s="11" t="s">
        <v>37</v>
      </c>
      <c r="C1078" s="11">
        <v>0.01</v>
      </c>
      <c r="D1078" s="11">
        <v>6.68</v>
      </c>
      <c r="E1078" s="11">
        <v>4.91</v>
      </c>
      <c r="F1078" s="11">
        <v>1950</v>
      </c>
      <c r="G1078" s="6" t="str">
        <f>IF(COUNTIF(Table1[Customer ID],Table1[[#This Row],[Customer ID]])&gt;1,"Repeat Customer","One-Time Customer")</f>
        <v>One-Time Customer</v>
      </c>
      <c r="H1078" s="11" t="s">
        <v>1902</v>
      </c>
      <c r="I1078" s="11" t="s">
        <v>49</v>
      </c>
      <c r="J1078" s="11" t="s">
        <v>58</v>
      </c>
      <c r="K1078" s="11" t="s">
        <v>29</v>
      </c>
      <c r="L1078" s="11" t="s">
        <v>93</v>
      </c>
      <c r="M1078" s="11" t="s">
        <v>59</v>
      </c>
      <c r="N1078" s="11" t="s">
        <v>1903</v>
      </c>
      <c r="O1078" s="11">
        <v>0.37</v>
      </c>
      <c r="P1078" s="6">
        <f>Table1[[#This Row],[Profit]]/Table1[[#This Row],[Sales]]</f>
        <v>-0.30335097001763667</v>
      </c>
      <c r="Q1078" s="11" t="s">
        <v>33</v>
      </c>
      <c r="R1078" s="11" t="s">
        <v>34</v>
      </c>
      <c r="S1078" s="11" t="s">
        <v>82</v>
      </c>
      <c r="T1078" s="11" t="s">
        <v>1904</v>
      </c>
      <c r="U1078" s="11">
        <v>59750</v>
      </c>
      <c r="V1078" s="12">
        <v>42010</v>
      </c>
      <c r="W1078" s="13" t="str">
        <f>TEXT(Table1[[#This Row],[Order Date]],"mmmm")</f>
        <v>January</v>
      </c>
      <c r="X1078" s="7" t="str">
        <f>TEXT(Table1[[#This Row],[Order Date]],"yyyy")</f>
        <v>2015</v>
      </c>
      <c r="Y1078" s="12">
        <v>42012</v>
      </c>
      <c r="Z1078" s="11">
        <v>-15.48</v>
      </c>
      <c r="AA1078" s="11">
        <v>7</v>
      </c>
      <c r="AB1078" s="11">
        <v>51.03</v>
      </c>
      <c r="AC1078" s="11">
        <v>90414</v>
      </c>
      <c r="AD1078" s="6" t="str">
        <f>IF(COUNTIF(Returns!$A$2:$A$1635,Orders!AC1078)&gt;0,"Returned","Not Returned")</f>
        <v>Not Returned</v>
      </c>
    </row>
    <row r="1079" spans="1:30" ht="12.75" customHeight="1" thickTop="1" thickBot="1" x14ac:dyDescent="0.25">
      <c r="A1079" s="8">
        <v>23378</v>
      </c>
      <c r="B1079" s="1" t="s">
        <v>25</v>
      </c>
      <c r="C1079" s="1">
        <v>0.09</v>
      </c>
      <c r="D1079" s="1">
        <v>40.98</v>
      </c>
      <c r="E1079" s="1">
        <v>6.5</v>
      </c>
      <c r="F1079" s="1">
        <v>1956</v>
      </c>
      <c r="G1079" s="6" t="str">
        <f>IF(COUNTIF(Table1[Customer ID],Table1[[#This Row],[Customer ID]])&gt;1,"Repeat Customer","One-Time Customer")</f>
        <v>One-Time Customer</v>
      </c>
      <c r="H1079" s="1" t="s">
        <v>1905</v>
      </c>
      <c r="I1079" s="1" t="s">
        <v>49</v>
      </c>
      <c r="J1079" s="1" t="s">
        <v>114</v>
      </c>
      <c r="K1079" s="1" t="s">
        <v>77</v>
      </c>
      <c r="L1079" s="1" t="s">
        <v>180</v>
      </c>
      <c r="M1079" s="1" t="s">
        <v>59</v>
      </c>
      <c r="N1079" s="1" t="s">
        <v>1270</v>
      </c>
      <c r="O1079" s="1">
        <v>0.74</v>
      </c>
      <c r="P1079" s="6">
        <f>Table1[[#This Row],[Profit]]/Table1[[#This Row],[Sales]]</f>
        <v>-6.7270487742833812E-2</v>
      </c>
      <c r="Q1079" s="1" t="s">
        <v>33</v>
      </c>
      <c r="R1079" s="1" t="s">
        <v>34</v>
      </c>
      <c r="S1079" s="1" t="s">
        <v>255</v>
      </c>
      <c r="T1079" s="1" t="s">
        <v>337</v>
      </c>
      <c r="U1079" s="1">
        <v>80027</v>
      </c>
      <c r="V1079" s="9">
        <v>42174</v>
      </c>
      <c r="W1079" s="13" t="str">
        <f>TEXT(Table1[[#This Row],[Order Date]],"mmmm")</f>
        <v>June</v>
      </c>
      <c r="X1079" s="7" t="str">
        <f>TEXT(Table1[[#This Row],[Order Date]],"yyyy")</f>
        <v>2015</v>
      </c>
      <c r="Y1079" s="9">
        <v>42176</v>
      </c>
      <c r="Z1079" s="1">
        <v>-50.244999999999997</v>
      </c>
      <c r="AA1079" s="1">
        <v>19</v>
      </c>
      <c r="AB1079" s="1">
        <v>746.91</v>
      </c>
      <c r="AC1079" s="1">
        <v>89820</v>
      </c>
      <c r="AD1079" s="6" t="str">
        <f>IF(COUNTIF(Returns!$A$2:$A$1635,Orders!AC1079)&gt;0,"Returned","Not Returned")</f>
        <v>Not Returned</v>
      </c>
    </row>
    <row r="1080" spans="1:30" ht="12.75" customHeight="1" thickTop="1" thickBot="1" x14ac:dyDescent="0.25">
      <c r="A1080" s="10">
        <v>21638</v>
      </c>
      <c r="B1080" s="11" t="s">
        <v>25</v>
      </c>
      <c r="C1080" s="11">
        <v>0.09</v>
      </c>
      <c r="D1080" s="11">
        <v>77.510000000000005</v>
      </c>
      <c r="E1080" s="11">
        <v>4</v>
      </c>
      <c r="F1080" s="11">
        <v>1957</v>
      </c>
      <c r="G1080" s="6" t="str">
        <f>IF(COUNTIF(Table1[Customer ID],Table1[[#This Row],[Customer ID]])&gt;1,"Repeat Customer","One-Time Customer")</f>
        <v>One-Time Customer</v>
      </c>
      <c r="H1080" s="11" t="s">
        <v>1906</v>
      </c>
      <c r="I1080" s="11" t="s">
        <v>49</v>
      </c>
      <c r="J1080" s="11" t="s">
        <v>114</v>
      </c>
      <c r="K1080" s="11" t="s">
        <v>77</v>
      </c>
      <c r="L1080" s="11" t="s">
        <v>180</v>
      </c>
      <c r="M1080" s="11" t="s">
        <v>59</v>
      </c>
      <c r="N1080" s="11" t="s">
        <v>1802</v>
      </c>
      <c r="O1080" s="11">
        <v>0.76</v>
      </c>
      <c r="P1080" s="6">
        <f>Table1[[#This Row],[Profit]]/Table1[[#This Row],[Sales]]</f>
        <v>-4.9968297405447268</v>
      </c>
      <c r="Q1080" s="11" t="s">
        <v>33</v>
      </c>
      <c r="R1080" s="11" t="s">
        <v>61</v>
      </c>
      <c r="S1080" s="11" t="s">
        <v>506</v>
      </c>
      <c r="T1080" s="11" t="s">
        <v>1564</v>
      </c>
      <c r="U1080" s="11">
        <v>63130</v>
      </c>
      <c r="V1080" s="12">
        <v>42101</v>
      </c>
      <c r="W1080" s="13" t="str">
        <f>TEXT(Table1[[#This Row],[Order Date]],"mmmm")</f>
        <v>April</v>
      </c>
      <c r="X1080" s="7" t="str">
        <f>TEXT(Table1[[#This Row],[Order Date]],"yyyy")</f>
        <v>2015</v>
      </c>
      <c r="Y1080" s="12">
        <v>42103</v>
      </c>
      <c r="Z1080" s="11">
        <v>-387.1044</v>
      </c>
      <c r="AA1080" s="11">
        <v>1</v>
      </c>
      <c r="AB1080" s="11">
        <v>77.47</v>
      </c>
      <c r="AC1080" s="11">
        <v>89818</v>
      </c>
      <c r="AD1080" s="6" t="str">
        <f>IF(COUNTIF(Returns!$A$2:$A$1635,Orders!AC1080)&gt;0,"Returned","Not Returned")</f>
        <v>Not Returned</v>
      </c>
    </row>
    <row r="1081" spans="1:30" ht="12.75" customHeight="1" thickTop="1" thickBot="1" x14ac:dyDescent="0.25">
      <c r="A1081" s="8">
        <v>24640</v>
      </c>
      <c r="B1081" s="1" t="s">
        <v>106</v>
      </c>
      <c r="C1081" s="1">
        <v>0.09</v>
      </c>
      <c r="D1081" s="1">
        <v>30.98</v>
      </c>
      <c r="E1081" s="1">
        <v>6.5</v>
      </c>
      <c r="F1081" s="1">
        <v>1958</v>
      </c>
      <c r="G1081" s="6" t="str">
        <f>IF(COUNTIF(Table1[Customer ID],Table1[[#This Row],[Customer ID]])&gt;1,"Repeat Customer","One-Time Customer")</f>
        <v>One-Time Customer</v>
      </c>
      <c r="H1081" s="1" t="s">
        <v>1907</v>
      </c>
      <c r="I1081" s="1" t="s">
        <v>27</v>
      </c>
      <c r="J1081" s="1" t="s">
        <v>114</v>
      </c>
      <c r="K1081" s="1" t="s">
        <v>77</v>
      </c>
      <c r="L1081" s="1" t="s">
        <v>180</v>
      </c>
      <c r="M1081" s="1" t="s">
        <v>59</v>
      </c>
      <c r="N1081" s="1" t="s">
        <v>1908</v>
      </c>
      <c r="O1081" s="1">
        <v>0.64</v>
      </c>
      <c r="P1081" s="6">
        <f>Table1[[#This Row],[Profit]]/Table1[[#This Row],[Sales]]</f>
        <v>-0.2739062347068611</v>
      </c>
      <c r="Q1081" s="1" t="s">
        <v>33</v>
      </c>
      <c r="R1081" s="1" t="s">
        <v>34</v>
      </c>
      <c r="S1081" s="1" t="s">
        <v>102</v>
      </c>
      <c r="T1081" s="1" t="s">
        <v>906</v>
      </c>
      <c r="U1081" s="1">
        <v>97068</v>
      </c>
      <c r="V1081" s="9">
        <v>42173</v>
      </c>
      <c r="W1081" s="13" t="str">
        <f>TEXT(Table1[[#This Row],[Order Date]],"mmmm")</f>
        <v>June</v>
      </c>
      <c r="X1081" s="7" t="str">
        <f>TEXT(Table1[[#This Row],[Order Date]],"yyyy")</f>
        <v>2015</v>
      </c>
      <c r="Y1081" s="9">
        <v>42177</v>
      </c>
      <c r="Z1081" s="1">
        <v>-55.97</v>
      </c>
      <c r="AA1081" s="1">
        <v>7</v>
      </c>
      <c r="AB1081" s="1">
        <v>204.34</v>
      </c>
      <c r="AC1081" s="1">
        <v>89819</v>
      </c>
      <c r="AD1081" s="6" t="str">
        <f>IF(COUNTIF(Returns!$A$2:$A$1635,Orders!AC1081)&gt;0,"Returned","Not Returned")</f>
        <v>Not Returned</v>
      </c>
    </row>
    <row r="1082" spans="1:30" ht="12.75" customHeight="1" thickTop="1" thickBot="1" x14ac:dyDescent="0.25">
      <c r="A1082" s="10">
        <v>3956</v>
      </c>
      <c r="B1082" s="11" t="s">
        <v>47</v>
      </c>
      <c r="C1082" s="11">
        <v>0</v>
      </c>
      <c r="D1082" s="11">
        <v>20.28</v>
      </c>
      <c r="E1082" s="11">
        <v>14.39</v>
      </c>
      <c r="F1082" s="11">
        <v>1959</v>
      </c>
      <c r="G1082" s="6" t="str">
        <f>IF(COUNTIF(Table1[Customer ID],Table1[[#This Row],[Customer ID]])&gt;1,"Repeat Customer","One-Time Customer")</f>
        <v>Repeat Customer</v>
      </c>
      <c r="H1082" s="11" t="s">
        <v>1909</v>
      </c>
      <c r="I1082" s="11" t="s">
        <v>49</v>
      </c>
      <c r="J1082" s="11" t="s">
        <v>28</v>
      </c>
      <c r="K1082" s="11" t="s">
        <v>41</v>
      </c>
      <c r="L1082" s="11" t="s">
        <v>50</v>
      </c>
      <c r="M1082" s="11" t="s">
        <v>59</v>
      </c>
      <c r="N1082" s="11" t="s">
        <v>1910</v>
      </c>
      <c r="O1082" s="11">
        <v>0.47</v>
      </c>
      <c r="P1082" s="6">
        <f>Table1[[#This Row],[Profit]]/Table1[[#This Row],[Sales]]</f>
        <v>-0.321526402640264</v>
      </c>
      <c r="Q1082" s="11" t="s">
        <v>33</v>
      </c>
      <c r="R1082" s="11" t="s">
        <v>136</v>
      </c>
      <c r="S1082" s="11" t="s">
        <v>362</v>
      </c>
      <c r="T1082" s="11" t="s">
        <v>447</v>
      </c>
      <c r="U1082" s="11">
        <v>33916</v>
      </c>
      <c r="V1082" s="12">
        <v>42026</v>
      </c>
      <c r="W1082" s="13" t="str">
        <f>TEXT(Table1[[#This Row],[Order Date]],"mmmm")</f>
        <v>January</v>
      </c>
      <c r="X1082" s="7" t="str">
        <f>TEXT(Table1[[#This Row],[Order Date]],"yyyy")</f>
        <v>2015</v>
      </c>
      <c r="Y1082" s="12">
        <v>42026</v>
      </c>
      <c r="Z1082" s="11">
        <v>-66.247299999999996</v>
      </c>
      <c r="AA1082" s="11">
        <v>9</v>
      </c>
      <c r="AB1082" s="11">
        <v>206.04</v>
      </c>
      <c r="AC1082" s="11">
        <v>28225</v>
      </c>
      <c r="AD1082" s="6" t="str">
        <f>IF(COUNTIF(Returns!$A$2:$A$1635,Orders!AC1082)&gt;0,"Returned","Not Returned")</f>
        <v>Not Returned</v>
      </c>
    </row>
    <row r="1083" spans="1:30" ht="12.75" customHeight="1" thickTop="1" thickBot="1" x14ac:dyDescent="0.25">
      <c r="A1083" s="8">
        <v>3684</v>
      </c>
      <c r="B1083" s="1" t="s">
        <v>106</v>
      </c>
      <c r="C1083" s="1">
        <v>0.02</v>
      </c>
      <c r="D1083" s="1">
        <v>9.99</v>
      </c>
      <c r="E1083" s="1">
        <v>11.59</v>
      </c>
      <c r="F1083" s="1">
        <v>1959</v>
      </c>
      <c r="G1083" s="6" t="str">
        <f>IF(COUNTIF(Table1[Customer ID],Table1[[#This Row],[Customer ID]])&gt;1,"Repeat Customer","One-Time Customer")</f>
        <v>Repeat Customer</v>
      </c>
      <c r="H1083" s="1" t="s">
        <v>1909</v>
      </c>
      <c r="I1083" s="1" t="s">
        <v>49</v>
      </c>
      <c r="J1083" s="1" t="s">
        <v>40</v>
      </c>
      <c r="K1083" s="1" t="s">
        <v>29</v>
      </c>
      <c r="L1083" s="1" t="s">
        <v>93</v>
      </c>
      <c r="M1083" s="1" t="s">
        <v>59</v>
      </c>
      <c r="N1083" s="1" t="s">
        <v>1911</v>
      </c>
      <c r="O1083" s="1">
        <v>0.4</v>
      </c>
      <c r="P1083" s="6">
        <f>Table1[[#This Row],[Profit]]/Table1[[#This Row],[Sales]]</f>
        <v>-0.3600136721214926</v>
      </c>
      <c r="Q1083" s="1" t="s">
        <v>33</v>
      </c>
      <c r="R1083" s="1" t="s">
        <v>136</v>
      </c>
      <c r="S1083" s="1" t="s">
        <v>362</v>
      </c>
      <c r="T1083" s="1" t="s">
        <v>447</v>
      </c>
      <c r="U1083" s="1">
        <v>33916</v>
      </c>
      <c r="V1083" s="9">
        <v>42112</v>
      </c>
      <c r="W1083" s="13" t="str">
        <f>TEXT(Table1[[#This Row],[Order Date]],"mmmm")</f>
        <v>April</v>
      </c>
      <c r="X1083" s="7" t="str">
        <f>TEXT(Table1[[#This Row],[Order Date]],"yyyy")</f>
        <v>2015</v>
      </c>
      <c r="Y1083" s="9">
        <v>42121</v>
      </c>
      <c r="Z1083" s="1">
        <v>-171.15770000000001</v>
      </c>
      <c r="AA1083" s="1">
        <v>43</v>
      </c>
      <c r="AB1083" s="1">
        <v>475.42</v>
      </c>
      <c r="AC1083" s="1">
        <v>26342</v>
      </c>
      <c r="AD1083" s="6" t="str">
        <f>IF(COUNTIF(Returns!$A$2:$A$1635,Orders!AC1083)&gt;0,"Returned","Not Returned")</f>
        <v>Not Returned</v>
      </c>
    </row>
    <row r="1084" spans="1:30" ht="12.75" customHeight="1" thickTop="1" thickBot="1" x14ac:dyDescent="0.25">
      <c r="A1084" s="10">
        <v>3685</v>
      </c>
      <c r="B1084" s="11" t="s">
        <v>106</v>
      </c>
      <c r="C1084" s="11">
        <v>0.02</v>
      </c>
      <c r="D1084" s="11">
        <v>48.04</v>
      </c>
      <c r="E1084" s="11">
        <v>5.79</v>
      </c>
      <c r="F1084" s="11">
        <v>1959</v>
      </c>
      <c r="G1084" s="6" t="str">
        <f>IF(COUNTIF(Table1[Customer ID],Table1[[#This Row],[Customer ID]])&gt;1,"Repeat Customer","One-Time Customer")</f>
        <v>Repeat Customer</v>
      </c>
      <c r="H1084" s="11" t="s">
        <v>1909</v>
      </c>
      <c r="I1084" s="11" t="s">
        <v>49</v>
      </c>
      <c r="J1084" s="11" t="s">
        <v>40</v>
      </c>
      <c r="K1084" s="11" t="s">
        <v>29</v>
      </c>
      <c r="L1084" s="11" t="s">
        <v>93</v>
      </c>
      <c r="M1084" s="11" t="s">
        <v>59</v>
      </c>
      <c r="N1084" s="11" t="s">
        <v>864</v>
      </c>
      <c r="O1084" s="11">
        <v>0.37</v>
      </c>
      <c r="P1084" s="6">
        <f>Table1[[#This Row],[Profit]]/Table1[[#This Row],[Sales]]</f>
        <v>0.1734565774337144</v>
      </c>
      <c r="Q1084" s="11" t="s">
        <v>33</v>
      </c>
      <c r="R1084" s="11" t="s">
        <v>136</v>
      </c>
      <c r="S1084" s="11" t="s">
        <v>362</v>
      </c>
      <c r="T1084" s="11" t="s">
        <v>447</v>
      </c>
      <c r="U1084" s="11">
        <v>33916</v>
      </c>
      <c r="V1084" s="12">
        <v>42112</v>
      </c>
      <c r="W1084" s="13" t="str">
        <f>TEXT(Table1[[#This Row],[Order Date]],"mmmm")</f>
        <v>April</v>
      </c>
      <c r="X1084" s="7" t="str">
        <f>TEXT(Table1[[#This Row],[Order Date]],"yyyy")</f>
        <v>2015</v>
      </c>
      <c r="Y1084" s="12">
        <v>42117</v>
      </c>
      <c r="Z1084" s="11">
        <v>624.23900000000003</v>
      </c>
      <c r="AA1084" s="11">
        <v>74</v>
      </c>
      <c r="AB1084" s="11">
        <v>3598.82</v>
      </c>
      <c r="AC1084" s="11">
        <v>26342</v>
      </c>
      <c r="AD1084" s="6" t="str">
        <f>IF(COUNTIF(Returns!$A$2:$A$1635,Orders!AC1084)&gt;0,"Returned","Not Returned")</f>
        <v>Not Returned</v>
      </c>
    </row>
    <row r="1085" spans="1:30" ht="12.75" customHeight="1" thickTop="1" thickBot="1" x14ac:dyDescent="0.25">
      <c r="A1085" s="8">
        <v>3686</v>
      </c>
      <c r="B1085" s="1" t="s">
        <v>106</v>
      </c>
      <c r="C1085" s="1">
        <v>0.04</v>
      </c>
      <c r="D1085" s="1">
        <v>6.68</v>
      </c>
      <c r="E1085" s="1">
        <v>4.91</v>
      </c>
      <c r="F1085" s="1">
        <v>1959</v>
      </c>
      <c r="G1085" s="6" t="str">
        <f>IF(COUNTIF(Table1[Customer ID],Table1[[#This Row],[Customer ID]])&gt;1,"Repeat Customer","One-Time Customer")</f>
        <v>Repeat Customer</v>
      </c>
      <c r="H1085" s="1" t="s">
        <v>1909</v>
      </c>
      <c r="I1085" s="1" t="s">
        <v>49</v>
      </c>
      <c r="J1085" s="1" t="s">
        <v>40</v>
      </c>
      <c r="K1085" s="1" t="s">
        <v>29</v>
      </c>
      <c r="L1085" s="1" t="s">
        <v>93</v>
      </c>
      <c r="M1085" s="1" t="s">
        <v>59</v>
      </c>
      <c r="N1085" s="1" t="s">
        <v>1903</v>
      </c>
      <c r="O1085" s="1">
        <v>0.37</v>
      </c>
      <c r="P1085" s="6">
        <f>Table1[[#This Row],[Profit]]/Table1[[#This Row],[Sales]]</f>
        <v>-0.34750363901018921</v>
      </c>
      <c r="Q1085" s="1" t="s">
        <v>33</v>
      </c>
      <c r="R1085" s="1" t="s">
        <v>136</v>
      </c>
      <c r="S1085" s="1" t="s">
        <v>362</v>
      </c>
      <c r="T1085" s="1" t="s">
        <v>447</v>
      </c>
      <c r="U1085" s="1">
        <v>33916</v>
      </c>
      <c r="V1085" s="9">
        <v>42112</v>
      </c>
      <c r="W1085" s="13" t="str">
        <f>TEXT(Table1[[#This Row],[Order Date]],"mmmm")</f>
        <v>April</v>
      </c>
      <c r="X1085" s="7" t="str">
        <f>TEXT(Table1[[#This Row],[Order Date]],"yyyy")</f>
        <v>2015</v>
      </c>
      <c r="Y1085" s="9">
        <v>42119</v>
      </c>
      <c r="Z1085" s="1">
        <v>-14.3241</v>
      </c>
      <c r="AA1085" s="1">
        <v>5</v>
      </c>
      <c r="AB1085" s="1">
        <v>41.22</v>
      </c>
      <c r="AC1085" s="1">
        <v>26342</v>
      </c>
      <c r="AD1085" s="6" t="str">
        <f>IF(COUNTIF(Returns!$A$2:$A$1635,Orders!AC1085)&gt;0,"Returned","Not Returned")</f>
        <v>Not Returned</v>
      </c>
    </row>
    <row r="1086" spans="1:30" ht="12.75" customHeight="1" thickTop="1" thickBot="1" x14ac:dyDescent="0.25">
      <c r="A1086" s="10">
        <v>21685</v>
      </c>
      <c r="B1086" s="11" t="s">
        <v>106</v>
      </c>
      <c r="C1086" s="11">
        <v>0.02</v>
      </c>
      <c r="D1086" s="11">
        <v>48.04</v>
      </c>
      <c r="E1086" s="11">
        <v>5.79</v>
      </c>
      <c r="F1086" s="11">
        <v>1962</v>
      </c>
      <c r="G1086" s="6" t="str">
        <f>IF(COUNTIF(Table1[Customer ID],Table1[[#This Row],[Customer ID]])&gt;1,"Repeat Customer","One-Time Customer")</f>
        <v>Repeat Customer</v>
      </c>
      <c r="H1086" s="11" t="s">
        <v>1912</v>
      </c>
      <c r="I1086" s="11" t="s">
        <v>49</v>
      </c>
      <c r="J1086" s="11" t="s">
        <v>40</v>
      </c>
      <c r="K1086" s="11" t="s">
        <v>29</v>
      </c>
      <c r="L1086" s="11" t="s">
        <v>93</v>
      </c>
      <c r="M1086" s="11" t="s">
        <v>59</v>
      </c>
      <c r="N1086" s="11" t="s">
        <v>864</v>
      </c>
      <c r="O1086" s="11">
        <v>0.37</v>
      </c>
      <c r="P1086" s="6">
        <f>Table1[[#This Row],[Profit]]/Table1[[#This Row],[Sales]]</f>
        <v>0.69</v>
      </c>
      <c r="Q1086" s="11" t="s">
        <v>33</v>
      </c>
      <c r="R1086" s="11" t="s">
        <v>61</v>
      </c>
      <c r="S1086" s="11" t="s">
        <v>300</v>
      </c>
      <c r="T1086" s="11" t="s">
        <v>1913</v>
      </c>
      <c r="U1086" s="11">
        <v>48601</v>
      </c>
      <c r="V1086" s="12">
        <v>42112</v>
      </c>
      <c r="W1086" s="13" t="str">
        <f>TEXT(Table1[[#This Row],[Order Date]],"mmmm")</f>
        <v>April</v>
      </c>
      <c r="X1086" s="7" t="str">
        <f>TEXT(Table1[[#This Row],[Order Date]],"yyyy")</f>
        <v>2015</v>
      </c>
      <c r="Y1086" s="12">
        <v>42117</v>
      </c>
      <c r="Z1086" s="11">
        <v>604.01909999999998</v>
      </c>
      <c r="AA1086" s="11">
        <v>18</v>
      </c>
      <c r="AB1086" s="11">
        <v>875.39</v>
      </c>
      <c r="AC1086" s="11">
        <v>88857</v>
      </c>
      <c r="AD1086" s="6" t="str">
        <f>IF(COUNTIF(Returns!$A$2:$A$1635,Orders!AC1086)&gt;0,"Returned","Not Returned")</f>
        <v>Not Returned</v>
      </c>
    </row>
    <row r="1087" spans="1:30" ht="12.75" customHeight="1" thickTop="1" thickBot="1" x14ac:dyDescent="0.25">
      <c r="A1087" s="8">
        <v>21686</v>
      </c>
      <c r="B1087" s="1" t="s">
        <v>106</v>
      </c>
      <c r="C1087" s="1">
        <v>0.04</v>
      </c>
      <c r="D1087" s="1">
        <v>6.68</v>
      </c>
      <c r="E1087" s="1">
        <v>4.91</v>
      </c>
      <c r="F1087" s="1">
        <v>1962</v>
      </c>
      <c r="G1087" s="6" t="str">
        <f>IF(COUNTIF(Table1[Customer ID],Table1[[#This Row],[Customer ID]])&gt;1,"Repeat Customer","One-Time Customer")</f>
        <v>Repeat Customer</v>
      </c>
      <c r="H1087" s="1" t="s">
        <v>1912</v>
      </c>
      <c r="I1087" s="1" t="s">
        <v>49</v>
      </c>
      <c r="J1087" s="1" t="s">
        <v>40</v>
      </c>
      <c r="K1087" s="1" t="s">
        <v>29</v>
      </c>
      <c r="L1087" s="1" t="s">
        <v>93</v>
      </c>
      <c r="M1087" s="1" t="s">
        <v>59</v>
      </c>
      <c r="N1087" s="1" t="s">
        <v>1903</v>
      </c>
      <c r="O1087" s="1">
        <v>0.37</v>
      </c>
      <c r="P1087" s="6">
        <f>Table1[[#This Row],[Profit]]/Table1[[#This Row],[Sales]]</f>
        <v>-1.4116019417475727</v>
      </c>
      <c r="Q1087" s="1" t="s">
        <v>33</v>
      </c>
      <c r="R1087" s="1" t="s">
        <v>61</v>
      </c>
      <c r="S1087" s="1" t="s">
        <v>300</v>
      </c>
      <c r="T1087" s="1" t="s">
        <v>1913</v>
      </c>
      <c r="U1087" s="1">
        <v>48601</v>
      </c>
      <c r="V1087" s="9">
        <v>42112</v>
      </c>
      <c r="W1087" s="13" t="str">
        <f>TEXT(Table1[[#This Row],[Order Date]],"mmmm")</f>
        <v>April</v>
      </c>
      <c r="X1087" s="7" t="str">
        <f>TEXT(Table1[[#This Row],[Order Date]],"yyyy")</f>
        <v>2015</v>
      </c>
      <c r="Y1087" s="9">
        <v>42119</v>
      </c>
      <c r="Z1087" s="1">
        <v>-11.631599999999999</v>
      </c>
      <c r="AA1087" s="1">
        <v>1</v>
      </c>
      <c r="AB1087" s="1">
        <v>8.24</v>
      </c>
      <c r="AC1087" s="1">
        <v>88857</v>
      </c>
      <c r="AD1087" s="6" t="str">
        <f>IF(COUNTIF(Returns!$A$2:$A$1635,Orders!AC1087)&gt;0,"Returned","Not Returned")</f>
        <v>Not Returned</v>
      </c>
    </row>
    <row r="1088" spans="1:30" ht="12.75" customHeight="1" thickTop="1" thickBot="1" x14ac:dyDescent="0.25">
      <c r="A1088" s="10">
        <v>22488</v>
      </c>
      <c r="B1088" s="11" t="s">
        <v>56</v>
      </c>
      <c r="C1088" s="11">
        <v>0.01</v>
      </c>
      <c r="D1088" s="11">
        <v>78.650000000000006</v>
      </c>
      <c r="E1088" s="11">
        <v>13.99</v>
      </c>
      <c r="F1088" s="11">
        <v>1967</v>
      </c>
      <c r="G1088" s="6" t="str">
        <f>IF(COUNTIF(Table1[Customer ID],Table1[[#This Row],[Customer ID]])&gt;1,"Repeat Customer","One-Time Customer")</f>
        <v>One-Time Customer</v>
      </c>
      <c r="H1088" s="11" t="s">
        <v>1914</v>
      </c>
      <c r="I1088" s="11" t="s">
        <v>27</v>
      </c>
      <c r="J1088" s="11" t="s">
        <v>58</v>
      </c>
      <c r="K1088" s="11" t="s">
        <v>29</v>
      </c>
      <c r="L1088" s="11" t="s">
        <v>257</v>
      </c>
      <c r="M1088" s="11" t="s">
        <v>86</v>
      </c>
      <c r="N1088" s="11" t="s">
        <v>1896</v>
      </c>
      <c r="O1088" s="11">
        <v>0.52</v>
      </c>
      <c r="P1088" s="6">
        <f>Table1[[#This Row],[Profit]]/Table1[[#This Row],[Sales]]</f>
        <v>0.69</v>
      </c>
      <c r="Q1088" s="11" t="s">
        <v>33</v>
      </c>
      <c r="R1088" s="11" t="s">
        <v>61</v>
      </c>
      <c r="S1088" s="11" t="s">
        <v>330</v>
      </c>
      <c r="T1088" s="11" t="s">
        <v>1573</v>
      </c>
      <c r="U1088" s="11">
        <v>52732</v>
      </c>
      <c r="V1088" s="12">
        <v>42081</v>
      </c>
      <c r="W1088" s="13" t="str">
        <f>TEXT(Table1[[#This Row],[Order Date]],"mmmm")</f>
        <v>March</v>
      </c>
      <c r="X1088" s="7" t="str">
        <f>TEXT(Table1[[#This Row],[Order Date]],"yyyy")</f>
        <v>2015</v>
      </c>
      <c r="Y1088" s="12">
        <v>42082</v>
      </c>
      <c r="Z1088" s="11">
        <v>442.36589999999995</v>
      </c>
      <c r="AA1088" s="11">
        <v>8</v>
      </c>
      <c r="AB1088" s="11">
        <v>641.11</v>
      </c>
      <c r="AC1088" s="11">
        <v>89456</v>
      </c>
      <c r="AD1088" s="6" t="str">
        <f>IF(COUNTIF(Returns!$A$2:$A$1635,Orders!AC1088)&gt;0,"Returned","Not Returned")</f>
        <v>Not Returned</v>
      </c>
    </row>
    <row r="1089" spans="1:30" ht="12.75" customHeight="1" thickTop="1" thickBot="1" x14ac:dyDescent="0.25">
      <c r="A1089" s="8">
        <v>26220</v>
      </c>
      <c r="B1089" s="1" t="s">
        <v>56</v>
      </c>
      <c r="C1089" s="1">
        <v>0.02</v>
      </c>
      <c r="D1089" s="1">
        <v>11.58</v>
      </c>
      <c r="E1089" s="1">
        <v>5.72</v>
      </c>
      <c r="F1089" s="1">
        <v>1971</v>
      </c>
      <c r="G1089" s="6" t="str">
        <f>IF(COUNTIF(Table1[Customer ID],Table1[[#This Row],[Customer ID]])&gt;1,"Repeat Customer","One-Time Customer")</f>
        <v>One-Time Customer</v>
      </c>
      <c r="H1089" s="1" t="s">
        <v>1915</v>
      </c>
      <c r="I1089" s="1" t="s">
        <v>49</v>
      </c>
      <c r="J1089" s="1" t="s">
        <v>28</v>
      </c>
      <c r="K1089" s="1" t="s">
        <v>29</v>
      </c>
      <c r="L1089" s="1" t="s">
        <v>69</v>
      </c>
      <c r="M1089" s="1" t="s">
        <v>59</v>
      </c>
      <c r="N1089" s="1" t="s">
        <v>686</v>
      </c>
      <c r="O1089" s="1">
        <v>0.35</v>
      </c>
      <c r="P1089" s="6">
        <f>Table1[[#This Row],[Profit]]/Table1[[#This Row],[Sales]]</f>
        <v>-7.3211950394588499</v>
      </c>
      <c r="Q1089" s="1" t="s">
        <v>33</v>
      </c>
      <c r="R1089" s="1" t="s">
        <v>136</v>
      </c>
      <c r="S1089" s="1" t="s">
        <v>671</v>
      </c>
      <c r="T1089" s="1" t="s">
        <v>1916</v>
      </c>
      <c r="U1089" s="1">
        <v>38801</v>
      </c>
      <c r="V1089" s="9">
        <v>42022</v>
      </c>
      <c r="W1089" s="13" t="str">
        <f>TEXT(Table1[[#This Row],[Order Date]],"mmmm")</f>
        <v>January</v>
      </c>
      <c r="X1089" s="7" t="str">
        <f>TEXT(Table1[[#This Row],[Order Date]],"yyyy")</f>
        <v>2015</v>
      </c>
      <c r="Y1089" s="9">
        <v>42023</v>
      </c>
      <c r="Z1089" s="1">
        <v>-259.75599999999997</v>
      </c>
      <c r="AA1089" s="1">
        <v>3</v>
      </c>
      <c r="AB1089" s="1">
        <v>35.479999999999997</v>
      </c>
      <c r="AC1089" s="1">
        <v>91550</v>
      </c>
      <c r="AD1089" s="6" t="str">
        <f>IF(COUNTIF(Returns!$A$2:$A$1635,Orders!AC1089)&gt;0,"Returned","Not Returned")</f>
        <v>Not Returned</v>
      </c>
    </row>
    <row r="1090" spans="1:30" ht="12.75" customHeight="1" thickTop="1" thickBot="1" x14ac:dyDescent="0.25">
      <c r="A1090" s="10">
        <v>26223</v>
      </c>
      <c r="B1090" s="11" t="s">
        <v>56</v>
      </c>
      <c r="C1090" s="11">
        <v>0.05</v>
      </c>
      <c r="D1090" s="11">
        <v>350.99</v>
      </c>
      <c r="E1090" s="11">
        <v>39</v>
      </c>
      <c r="F1090" s="11">
        <v>1972</v>
      </c>
      <c r="G1090" s="6" t="str">
        <f>IF(COUNTIF(Table1[Customer ID],Table1[[#This Row],[Customer ID]])&gt;1,"Repeat Customer","One-Time Customer")</f>
        <v>Repeat Customer</v>
      </c>
      <c r="H1090" s="11" t="s">
        <v>1917</v>
      </c>
      <c r="I1090" s="11" t="s">
        <v>39</v>
      </c>
      <c r="J1090" s="11" t="s">
        <v>28</v>
      </c>
      <c r="K1090" s="11" t="s">
        <v>41</v>
      </c>
      <c r="L1090" s="11" t="s">
        <v>42</v>
      </c>
      <c r="M1090" s="11" t="s">
        <v>43</v>
      </c>
      <c r="N1090" s="11" t="s">
        <v>1269</v>
      </c>
      <c r="O1090" s="11">
        <v>0.55000000000000004</v>
      </c>
      <c r="P1090" s="6">
        <f>Table1[[#This Row],[Profit]]/Table1[[#This Row],[Sales]]</f>
        <v>0.69</v>
      </c>
      <c r="Q1090" s="11" t="s">
        <v>33</v>
      </c>
      <c r="R1090" s="11" t="s">
        <v>53</v>
      </c>
      <c r="S1090" s="11" t="s">
        <v>234</v>
      </c>
      <c r="T1090" s="11" t="s">
        <v>1918</v>
      </c>
      <c r="U1090" s="11">
        <v>19090</v>
      </c>
      <c r="V1090" s="12">
        <v>42022</v>
      </c>
      <c r="W1090" s="13" t="str">
        <f>TEXT(Table1[[#This Row],[Order Date]],"mmmm")</f>
        <v>January</v>
      </c>
      <c r="X1090" s="7" t="str">
        <f>TEXT(Table1[[#This Row],[Order Date]],"yyyy")</f>
        <v>2015</v>
      </c>
      <c r="Y1090" s="12">
        <v>42024</v>
      </c>
      <c r="Z1090" s="11">
        <v>1469.7275999999999</v>
      </c>
      <c r="AA1090" s="11">
        <v>6</v>
      </c>
      <c r="AB1090" s="11">
        <v>2130.04</v>
      </c>
      <c r="AC1090" s="11">
        <v>91550</v>
      </c>
      <c r="AD1090" s="6" t="str">
        <f>IF(COUNTIF(Returns!$A$2:$A$1635,Orders!AC1090)&gt;0,"Returned","Not Returned")</f>
        <v>Not Returned</v>
      </c>
    </row>
    <row r="1091" spans="1:30" ht="12.75" customHeight="1" thickTop="1" thickBot="1" x14ac:dyDescent="0.25">
      <c r="A1091" s="8">
        <v>26224</v>
      </c>
      <c r="B1091" s="1" t="s">
        <v>56</v>
      </c>
      <c r="C1091" s="1">
        <v>0.04</v>
      </c>
      <c r="D1091" s="1">
        <v>15.99</v>
      </c>
      <c r="E1091" s="1">
        <v>9.4</v>
      </c>
      <c r="F1091" s="1">
        <v>1972</v>
      </c>
      <c r="G1091" s="6" t="str">
        <f>IF(COUNTIF(Table1[Customer ID],Table1[[#This Row],[Customer ID]])&gt;1,"Repeat Customer","One-Time Customer")</f>
        <v>Repeat Customer</v>
      </c>
      <c r="H1091" s="1" t="s">
        <v>1917</v>
      </c>
      <c r="I1091" s="1" t="s">
        <v>27</v>
      </c>
      <c r="J1091" s="1" t="s">
        <v>28</v>
      </c>
      <c r="K1091" s="1" t="s">
        <v>77</v>
      </c>
      <c r="L1091" s="1" t="s">
        <v>85</v>
      </c>
      <c r="M1091" s="1" t="s">
        <v>59</v>
      </c>
      <c r="N1091" s="1" t="s">
        <v>1769</v>
      </c>
      <c r="O1091" s="1">
        <v>0.49</v>
      </c>
      <c r="P1091" s="6">
        <f>Table1[[#This Row],[Profit]]/Table1[[#This Row],[Sales]]</f>
        <v>-1.009094927536232</v>
      </c>
      <c r="Q1091" s="1" t="s">
        <v>33</v>
      </c>
      <c r="R1091" s="1" t="s">
        <v>53</v>
      </c>
      <c r="S1091" s="1" t="s">
        <v>234</v>
      </c>
      <c r="T1091" s="1" t="s">
        <v>1918</v>
      </c>
      <c r="U1091" s="1">
        <v>19090</v>
      </c>
      <c r="V1091" s="9">
        <v>42022</v>
      </c>
      <c r="W1091" s="13" t="str">
        <f>TEXT(Table1[[#This Row],[Order Date]],"mmmm")</f>
        <v>January</v>
      </c>
      <c r="X1091" s="7" t="str">
        <f>TEXT(Table1[[#This Row],[Order Date]],"yyyy")</f>
        <v>2015</v>
      </c>
      <c r="Y1091" s="9">
        <v>42024</v>
      </c>
      <c r="Z1091" s="1">
        <v>-83.553060000000002</v>
      </c>
      <c r="AA1091" s="1">
        <v>5</v>
      </c>
      <c r="AB1091" s="1">
        <v>82.8</v>
      </c>
      <c r="AC1091" s="1">
        <v>91550</v>
      </c>
      <c r="AD1091" s="6" t="str">
        <f>IF(COUNTIF(Returns!$A$2:$A$1635,Orders!AC1091)&gt;0,"Returned","Not Returned")</f>
        <v>Not Returned</v>
      </c>
    </row>
    <row r="1092" spans="1:30" ht="12.75" customHeight="1" thickTop="1" thickBot="1" x14ac:dyDescent="0.25">
      <c r="A1092" s="10">
        <v>18795</v>
      </c>
      <c r="B1092" s="11" t="s">
        <v>56</v>
      </c>
      <c r="C1092" s="11">
        <v>0.09</v>
      </c>
      <c r="D1092" s="11">
        <v>20.48</v>
      </c>
      <c r="E1092" s="11">
        <v>6.32</v>
      </c>
      <c r="F1092" s="11">
        <v>1974</v>
      </c>
      <c r="G1092" s="6" t="str">
        <f>IF(COUNTIF(Table1[Customer ID],Table1[[#This Row],[Customer ID]])&gt;1,"Repeat Customer","One-Time Customer")</f>
        <v>Repeat Customer</v>
      </c>
      <c r="H1092" s="11" t="s">
        <v>1919</v>
      </c>
      <c r="I1092" s="11" t="s">
        <v>49</v>
      </c>
      <c r="J1092" s="11" t="s">
        <v>114</v>
      </c>
      <c r="K1092" s="11" t="s">
        <v>29</v>
      </c>
      <c r="L1092" s="11" t="s">
        <v>257</v>
      </c>
      <c r="M1092" s="11" t="s">
        <v>59</v>
      </c>
      <c r="N1092" s="11" t="s">
        <v>1920</v>
      </c>
      <c r="O1092" s="11">
        <v>0.57999999999999996</v>
      </c>
      <c r="P1092" s="6">
        <f>Table1[[#This Row],[Profit]]/Table1[[#This Row],[Sales]]</f>
        <v>-0.17057160169662697</v>
      </c>
      <c r="Q1092" s="11" t="s">
        <v>33</v>
      </c>
      <c r="R1092" s="11" t="s">
        <v>61</v>
      </c>
      <c r="S1092" s="11" t="s">
        <v>300</v>
      </c>
      <c r="T1092" s="11" t="s">
        <v>1921</v>
      </c>
      <c r="U1092" s="11">
        <v>48127</v>
      </c>
      <c r="V1092" s="12">
        <v>42144</v>
      </c>
      <c r="W1092" s="13" t="str">
        <f>TEXT(Table1[[#This Row],[Order Date]],"mmmm")</f>
        <v>May</v>
      </c>
      <c r="X1092" s="7" t="str">
        <f>TEXT(Table1[[#This Row],[Order Date]],"yyyy")</f>
        <v>2015</v>
      </c>
      <c r="Y1092" s="12">
        <v>42145</v>
      </c>
      <c r="Z1092" s="11">
        <v>-16.89</v>
      </c>
      <c r="AA1092" s="11">
        <v>5</v>
      </c>
      <c r="AB1092" s="11">
        <v>99.02</v>
      </c>
      <c r="AC1092" s="11">
        <v>89040</v>
      </c>
      <c r="AD1092" s="6" t="str">
        <f>IF(COUNTIF(Returns!$A$2:$A$1635,Orders!AC1092)&gt;0,"Returned","Not Returned")</f>
        <v>Not Returned</v>
      </c>
    </row>
    <row r="1093" spans="1:30" ht="12.75" customHeight="1" thickTop="1" thickBot="1" x14ac:dyDescent="0.25">
      <c r="A1093" s="8">
        <v>18796</v>
      </c>
      <c r="B1093" s="1" t="s">
        <v>56</v>
      </c>
      <c r="C1093" s="1">
        <v>0.06</v>
      </c>
      <c r="D1093" s="1">
        <v>15.67</v>
      </c>
      <c r="E1093" s="1">
        <v>1.39</v>
      </c>
      <c r="F1093" s="1">
        <v>1974</v>
      </c>
      <c r="G1093" s="6" t="str">
        <f>IF(COUNTIF(Table1[Customer ID],Table1[[#This Row],[Customer ID]])&gt;1,"Repeat Customer","One-Time Customer")</f>
        <v>Repeat Customer</v>
      </c>
      <c r="H1093" s="1" t="s">
        <v>1919</v>
      </c>
      <c r="I1093" s="1" t="s">
        <v>49</v>
      </c>
      <c r="J1093" s="1" t="s">
        <v>114</v>
      </c>
      <c r="K1093" s="1" t="s">
        <v>29</v>
      </c>
      <c r="L1093" s="1" t="s">
        <v>69</v>
      </c>
      <c r="M1093" s="1" t="s">
        <v>59</v>
      </c>
      <c r="N1093" s="1" t="s">
        <v>1700</v>
      </c>
      <c r="O1093" s="1">
        <v>0.38</v>
      </c>
      <c r="P1093" s="6">
        <f>Table1[[#This Row],[Profit]]/Table1[[#This Row],[Sales]]</f>
        <v>0.54978448275862069</v>
      </c>
      <c r="Q1093" s="1" t="s">
        <v>33</v>
      </c>
      <c r="R1093" s="1" t="s">
        <v>61</v>
      </c>
      <c r="S1093" s="1" t="s">
        <v>300</v>
      </c>
      <c r="T1093" s="1" t="s">
        <v>1921</v>
      </c>
      <c r="U1093" s="1">
        <v>48127</v>
      </c>
      <c r="V1093" s="9">
        <v>42144</v>
      </c>
      <c r="W1093" s="13" t="str">
        <f>TEXT(Table1[[#This Row],[Order Date]],"mmmm")</f>
        <v>May</v>
      </c>
      <c r="X1093" s="7" t="str">
        <f>TEXT(Table1[[#This Row],[Order Date]],"yyyy")</f>
        <v>2015</v>
      </c>
      <c r="Y1093" s="9">
        <v>42145</v>
      </c>
      <c r="Z1093" s="1">
        <v>25.51</v>
      </c>
      <c r="AA1093" s="1">
        <v>3</v>
      </c>
      <c r="AB1093" s="1">
        <v>46.4</v>
      </c>
      <c r="AC1093" s="1">
        <v>89040</v>
      </c>
      <c r="AD1093" s="6" t="str">
        <f>IF(COUNTIF(Returns!$A$2:$A$1635,Orders!AC1093)&gt;0,"Returned","Not Returned")</f>
        <v>Not Returned</v>
      </c>
    </row>
    <row r="1094" spans="1:30" ht="12.75" customHeight="1" thickTop="1" thickBot="1" x14ac:dyDescent="0.25">
      <c r="A1094" s="10">
        <v>25731</v>
      </c>
      <c r="B1094" s="11" t="s">
        <v>47</v>
      </c>
      <c r="C1094" s="11">
        <v>0.05</v>
      </c>
      <c r="D1094" s="11">
        <v>70.98</v>
      </c>
      <c r="E1094" s="11">
        <v>46.74</v>
      </c>
      <c r="F1094" s="11">
        <v>1976</v>
      </c>
      <c r="G1094" s="6" t="str">
        <f>IF(COUNTIF(Table1[Customer ID],Table1[[#This Row],[Customer ID]])&gt;1,"Repeat Customer","One-Time Customer")</f>
        <v>Repeat Customer</v>
      </c>
      <c r="H1094" s="11" t="s">
        <v>1922</v>
      </c>
      <c r="I1094" s="11" t="s">
        <v>39</v>
      </c>
      <c r="J1094" s="11" t="s">
        <v>114</v>
      </c>
      <c r="K1094" s="11" t="s">
        <v>41</v>
      </c>
      <c r="L1094" s="11" t="s">
        <v>191</v>
      </c>
      <c r="M1094" s="11" t="s">
        <v>121</v>
      </c>
      <c r="N1094" s="11" t="s">
        <v>867</v>
      </c>
      <c r="O1094" s="11">
        <v>0.56000000000000005</v>
      </c>
      <c r="P1094" s="6">
        <f>Table1[[#This Row],[Profit]]/Table1[[#This Row],[Sales]]</f>
        <v>-1.5424061213758589</v>
      </c>
      <c r="Q1094" s="11" t="s">
        <v>33</v>
      </c>
      <c r="R1094" s="11" t="s">
        <v>61</v>
      </c>
      <c r="S1094" s="11" t="s">
        <v>300</v>
      </c>
      <c r="T1094" s="11" t="s">
        <v>1923</v>
      </c>
      <c r="U1094" s="11">
        <v>48823</v>
      </c>
      <c r="V1094" s="12">
        <v>42014</v>
      </c>
      <c r="W1094" s="13" t="str">
        <f>TEXT(Table1[[#This Row],[Order Date]],"mmmm")</f>
        <v>January</v>
      </c>
      <c r="X1094" s="7" t="str">
        <f>TEXT(Table1[[#This Row],[Order Date]],"yyyy")</f>
        <v>2015</v>
      </c>
      <c r="Y1094" s="12">
        <v>42015</v>
      </c>
      <c r="Z1094" s="11">
        <v>-850.65239999999994</v>
      </c>
      <c r="AA1094" s="11">
        <v>8</v>
      </c>
      <c r="AB1094" s="11">
        <v>551.51</v>
      </c>
      <c r="AC1094" s="11">
        <v>89039</v>
      </c>
      <c r="AD1094" s="6" t="str">
        <f>IF(COUNTIF(Returns!$A$2:$A$1635,Orders!AC1094)&gt;0,"Returned","Not Returned")</f>
        <v>Not Returned</v>
      </c>
    </row>
    <row r="1095" spans="1:30" ht="12.75" customHeight="1" thickTop="1" thickBot="1" x14ac:dyDescent="0.25">
      <c r="A1095" s="8">
        <v>25732</v>
      </c>
      <c r="B1095" s="1" t="s">
        <v>47</v>
      </c>
      <c r="C1095" s="1">
        <v>0.05</v>
      </c>
      <c r="D1095" s="1">
        <v>11.55</v>
      </c>
      <c r="E1095" s="1">
        <v>2.36</v>
      </c>
      <c r="F1095" s="1">
        <v>1976</v>
      </c>
      <c r="G1095" s="6" t="str">
        <f>IF(COUNTIF(Table1[Customer ID],Table1[[#This Row],[Customer ID]])&gt;1,"Repeat Customer","One-Time Customer")</f>
        <v>Repeat Customer</v>
      </c>
      <c r="H1095" s="1" t="s">
        <v>1922</v>
      </c>
      <c r="I1095" s="1" t="s">
        <v>49</v>
      </c>
      <c r="J1095" s="1" t="s">
        <v>114</v>
      </c>
      <c r="K1095" s="1" t="s">
        <v>29</v>
      </c>
      <c r="L1095" s="1" t="s">
        <v>30</v>
      </c>
      <c r="M1095" s="1" t="s">
        <v>31</v>
      </c>
      <c r="N1095" s="1" t="s">
        <v>312</v>
      </c>
      <c r="O1095" s="1">
        <v>0.55000000000000004</v>
      </c>
      <c r="P1095" s="6">
        <f>Table1[[#This Row],[Profit]]/Table1[[#This Row],[Sales]]</f>
        <v>0.69</v>
      </c>
      <c r="Q1095" s="1" t="s">
        <v>33</v>
      </c>
      <c r="R1095" s="1" t="s">
        <v>61</v>
      </c>
      <c r="S1095" s="1" t="s">
        <v>300</v>
      </c>
      <c r="T1095" s="1" t="s">
        <v>1923</v>
      </c>
      <c r="U1095" s="1">
        <v>48823</v>
      </c>
      <c r="V1095" s="9">
        <v>42014</v>
      </c>
      <c r="W1095" s="13" t="str">
        <f>TEXT(Table1[[#This Row],[Order Date]],"mmmm")</f>
        <v>January</v>
      </c>
      <c r="X1095" s="7" t="str">
        <f>TEXT(Table1[[#This Row],[Order Date]],"yyyy")</f>
        <v>2015</v>
      </c>
      <c r="Y1095" s="9">
        <v>42016</v>
      </c>
      <c r="Z1095" s="1">
        <v>98.525099999999981</v>
      </c>
      <c r="AA1095" s="1">
        <v>12</v>
      </c>
      <c r="AB1095" s="1">
        <v>142.79</v>
      </c>
      <c r="AC1095" s="1">
        <v>89039</v>
      </c>
      <c r="AD1095" s="6" t="str">
        <f>IF(COUNTIF(Returns!$A$2:$A$1635,Orders!AC1095)&gt;0,"Returned","Not Returned")</f>
        <v>Not Returned</v>
      </c>
    </row>
    <row r="1096" spans="1:30" ht="12.75" customHeight="1" thickTop="1" thickBot="1" x14ac:dyDescent="0.25">
      <c r="A1096" s="10">
        <v>24887</v>
      </c>
      <c r="B1096" s="11" t="s">
        <v>47</v>
      </c>
      <c r="C1096" s="11">
        <v>0.06</v>
      </c>
      <c r="D1096" s="11">
        <v>40.99</v>
      </c>
      <c r="E1096" s="11">
        <v>17.48</v>
      </c>
      <c r="F1096" s="11">
        <v>1976</v>
      </c>
      <c r="G1096" s="6" t="str">
        <f>IF(COUNTIF(Table1[Customer ID],Table1[[#This Row],[Customer ID]])&gt;1,"Repeat Customer","One-Time Customer")</f>
        <v>Repeat Customer</v>
      </c>
      <c r="H1096" s="11" t="s">
        <v>1922</v>
      </c>
      <c r="I1096" s="11" t="s">
        <v>49</v>
      </c>
      <c r="J1096" s="11" t="s">
        <v>114</v>
      </c>
      <c r="K1096" s="11" t="s">
        <v>29</v>
      </c>
      <c r="L1096" s="11" t="s">
        <v>93</v>
      </c>
      <c r="M1096" s="11" t="s">
        <v>59</v>
      </c>
      <c r="N1096" s="11" t="s">
        <v>1106</v>
      </c>
      <c r="O1096" s="11">
        <v>0.36</v>
      </c>
      <c r="P1096" s="6">
        <f>Table1[[#This Row],[Profit]]/Table1[[#This Row],[Sales]]</f>
        <v>0.36615505571887602</v>
      </c>
      <c r="Q1096" s="11" t="s">
        <v>33</v>
      </c>
      <c r="R1096" s="11" t="s">
        <v>61</v>
      </c>
      <c r="S1096" s="11" t="s">
        <v>300</v>
      </c>
      <c r="T1096" s="11" t="s">
        <v>1923</v>
      </c>
      <c r="U1096" s="11">
        <v>48823</v>
      </c>
      <c r="V1096" s="12">
        <v>42086</v>
      </c>
      <c r="W1096" s="13" t="str">
        <f>TEXT(Table1[[#This Row],[Order Date]],"mmmm")</f>
        <v>March</v>
      </c>
      <c r="X1096" s="7" t="str">
        <f>TEXT(Table1[[#This Row],[Order Date]],"yyyy")</f>
        <v>2015</v>
      </c>
      <c r="Y1096" s="12">
        <v>42088</v>
      </c>
      <c r="Z1096" s="11">
        <v>214.23</v>
      </c>
      <c r="AA1096" s="11">
        <v>14</v>
      </c>
      <c r="AB1096" s="11">
        <v>585.08000000000004</v>
      </c>
      <c r="AC1096" s="11">
        <v>89041</v>
      </c>
      <c r="AD1096" s="6" t="str">
        <f>IF(COUNTIF(Returns!$A$2:$A$1635,Orders!AC1096)&gt;0,"Returned","Not Returned")</f>
        <v>Not Returned</v>
      </c>
    </row>
    <row r="1097" spans="1:30" ht="12.75" customHeight="1" thickTop="1" thickBot="1" x14ac:dyDescent="0.25">
      <c r="A1097" s="8">
        <v>21692</v>
      </c>
      <c r="B1097" s="1" t="s">
        <v>37</v>
      </c>
      <c r="C1097" s="1">
        <v>0.05</v>
      </c>
      <c r="D1097" s="1">
        <v>20.99</v>
      </c>
      <c r="E1097" s="1">
        <v>3.3</v>
      </c>
      <c r="F1097" s="1">
        <v>1979</v>
      </c>
      <c r="G1097" s="6" t="str">
        <f>IF(COUNTIF(Table1[Customer ID],Table1[[#This Row],[Customer ID]])&gt;1,"Repeat Customer","One-Time Customer")</f>
        <v>One-Time Customer</v>
      </c>
      <c r="H1097" s="1" t="s">
        <v>1924</v>
      </c>
      <c r="I1097" s="1" t="s">
        <v>49</v>
      </c>
      <c r="J1097" s="1" t="s">
        <v>28</v>
      </c>
      <c r="K1097" s="1" t="s">
        <v>77</v>
      </c>
      <c r="L1097" s="1" t="s">
        <v>78</v>
      </c>
      <c r="M1097" s="1" t="s">
        <v>51</v>
      </c>
      <c r="N1097" s="1" t="s">
        <v>895</v>
      </c>
      <c r="O1097" s="1">
        <v>0.81</v>
      </c>
      <c r="P1097" s="6">
        <f>Table1[[#This Row],[Profit]]/Table1[[#This Row],[Sales]]</f>
        <v>0.30080274914089378</v>
      </c>
      <c r="Q1097" s="1" t="s">
        <v>33</v>
      </c>
      <c r="R1097" s="1" t="s">
        <v>34</v>
      </c>
      <c r="S1097" s="1" t="s">
        <v>255</v>
      </c>
      <c r="T1097" s="1" t="s">
        <v>1925</v>
      </c>
      <c r="U1097" s="1">
        <v>80122</v>
      </c>
      <c r="V1097" s="9">
        <v>42129</v>
      </c>
      <c r="W1097" s="13" t="str">
        <f>TEXT(Table1[[#This Row],[Order Date]],"mmmm")</f>
        <v>May</v>
      </c>
      <c r="X1097" s="7" t="str">
        <f>TEXT(Table1[[#This Row],[Order Date]],"yyyy")</f>
        <v>2015</v>
      </c>
      <c r="Y1097" s="9">
        <v>42130</v>
      </c>
      <c r="Z1097" s="1">
        <v>21.883400000000023</v>
      </c>
      <c r="AA1097" s="1">
        <v>4</v>
      </c>
      <c r="AB1097" s="1">
        <v>72.75</v>
      </c>
      <c r="AC1097" s="1">
        <v>87757</v>
      </c>
      <c r="AD1097" s="6" t="str">
        <f>IF(COUNTIF(Returns!$A$2:$A$1635,Orders!AC1097)&gt;0,"Returned","Not Returned")</f>
        <v>Not Returned</v>
      </c>
    </row>
    <row r="1098" spans="1:30" ht="12.75" customHeight="1" thickTop="1" thickBot="1" x14ac:dyDescent="0.25">
      <c r="A1098" s="10">
        <v>24935</v>
      </c>
      <c r="B1098" s="11" t="s">
        <v>37</v>
      </c>
      <c r="C1098" s="11">
        <v>0.1</v>
      </c>
      <c r="D1098" s="11">
        <v>7.37</v>
      </c>
      <c r="E1098" s="11">
        <v>5.53</v>
      </c>
      <c r="F1098" s="11">
        <v>1984</v>
      </c>
      <c r="G1098" s="6" t="str">
        <f>IF(COUNTIF(Table1[Customer ID],Table1[[#This Row],[Customer ID]])&gt;1,"Repeat Customer","One-Time Customer")</f>
        <v>One-Time Customer</v>
      </c>
      <c r="H1098" s="11" t="s">
        <v>1926</v>
      </c>
      <c r="I1098" s="11" t="s">
        <v>49</v>
      </c>
      <c r="J1098" s="11" t="s">
        <v>114</v>
      </c>
      <c r="K1098" s="11" t="s">
        <v>77</v>
      </c>
      <c r="L1098" s="11" t="s">
        <v>180</v>
      </c>
      <c r="M1098" s="11" t="s">
        <v>51</v>
      </c>
      <c r="N1098" s="11" t="s">
        <v>306</v>
      </c>
      <c r="O1098" s="11">
        <v>0.69</v>
      </c>
      <c r="P1098" s="6">
        <f>Table1[[#This Row],[Profit]]/Table1[[#This Row],[Sales]]</f>
        <v>1.077496008613968</v>
      </c>
      <c r="Q1098" s="11" t="s">
        <v>33</v>
      </c>
      <c r="R1098" s="11" t="s">
        <v>136</v>
      </c>
      <c r="S1098" s="11" t="s">
        <v>932</v>
      </c>
      <c r="T1098" s="11" t="s">
        <v>933</v>
      </c>
      <c r="U1098" s="11">
        <v>29915</v>
      </c>
      <c r="V1098" s="12">
        <v>42140</v>
      </c>
      <c r="W1098" s="13" t="str">
        <f>TEXT(Table1[[#This Row],[Order Date]],"mmmm")</f>
        <v>May</v>
      </c>
      <c r="X1098" s="7" t="str">
        <f>TEXT(Table1[[#This Row],[Order Date]],"yyyy")</f>
        <v>2015</v>
      </c>
      <c r="Y1098" s="12">
        <v>42140</v>
      </c>
      <c r="Z1098" s="11">
        <v>290.202</v>
      </c>
      <c r="AA1098" s="11">
        <v>38</v>
      </c>
      <c r="AB1098" s="11">
        <v>269.33</v>
      </c>
      <c r="AC1098" s="11">
        <v>91258</v>
      </c>
      <c r="AD1098" s="6" t="str">
        <f>IF(COUNTIF(Returns!$A$2:$A$1635,Orders!AC1098)&gt;0,"Returned","Not Returned")</f>
        <v>Not Returned</v>
      </c>
    </row>
    <row r="1099" spans="1:30" ht="12.75" customHeight="1" thickTop="1" thickBot="1" x14ac:dyDescent="0.25">
      <c r="A1099" s="8">
        <v>20568</v>
      </c>
      <c r="B1099" s="1" t="s">
        <v>37</v>
      </c>
      <c r="C1099" s="1">
        <v>0.01</v>
      </c>
      <c r="D1099" s="1">
        <v>15.31</v>
      </c>
      <c r="E1099" s="1">
        <v>8.7799999999999994</v>
      </c>
      <c r="F1099" s="1">
        <v>1986</v>
      </c>
      <c r="G1099" s="6" t="str">
        <f>IF(COUNTIF(Table1[Customer ID],Table1[[#This Row],[Customer ID]])&gt;1,"Repeat Customer","One-Time Customer")</f>
        <v>Repeat Customer</v>
      </c>
      <c r="H1099" s="1" t="s">
        <v>1927</v>
      </c>
      <c r="I1099" s="1" t="s">
        <v>49</v>
      </c>
      <c r="J1099" s="1" t="s">
        <v>40</v>
      </c>
      <c r="K1099" s="1" t="s">
        <v>29</v>
      </c>
      <c r="L1099" s="1" t="s">
        <v>141</v>
      </c>
      <c r="M1099" s="1" t="s">
        <v>59</v>
      </c>
      <c r="N1099" s="1" t="s">
        <v>1928</v>
      </c>
      <c r="O1099" s="1">
        <v>0.56999999999999995</v>
      </c>
      <c r="P1099" s="6">
        <f>Table1[[#This Row],[Profit]]/Table1[[#This Row],[Sales]]</f>
        <v>3.2217506631299755E-2</v>
      </c>
      <c r="Q1099" s="1" t="s">
        <v>33</v>
      </c>
      <c r="R1099" s="1" t="s">
        <v>61</v>
      </c>
      <c r="S1099" s="1" t="s">
        <v>130</v>
      </c>
      <c r="T1099" s="1" t="s">
        <v>1929</v>
      </c>
      <c r="U1099" s="1">
        <v>79701</v>
      </c>
      <c r="V1099" s="9">
        <v>42130</v>
      </c>
      <c r="W1099" s="13" t="str">
        <f>TEXT(Table1[[#This Row],[Order Date]],"mmmm")</f>
        <v>May</v>
      </c>
      <c r="X1099" s="7" t="str">
        <f>TEXT(Table1[[#This Row],[Order Date]],"yyyy")</f>
        <v>2015</v>
      </c>
      <c r="Y1099" s="9">
        <v>42131</v>
      </c>
      <c r="Z1099" s="1">
        <v>12.146000000000008</v>
      </c>
      <c r="AA1099" s="1">
        <v>23</v>
      </c>
      <c r="AB1099" s="1">
        <v>377</v>
      </c>
      <c r="AC1099" s="1">
        <v>90888</v>
      </c>
      <c r="AD1099" s="6" t="str">
        <f>IF(COUNTIF(Returns!$A$2:$A$1635,Orders!AC1099)&gt;0,"Returned","Not Returned")</f>
        <v>Not Returned</v>
      </c>
    </row>
    <row r="1100" spans="1:30" ht="12.75" customHeight="1" thickTop="1" thickBot="1" x14ac:dyDescent="0.25">
      <c r="A1100" s="10">
        <v>20569</v>
      </c>
      <c r="B1100" s="11" t="s">
        <v>37</v>
      </c>
      <c r="C1100" s="11">
        <v>0.05</v>
      </c>
      <c r="D1100" s="11">
        <v>7.99</v>
      </c>
      <c r="E1100" s="11">
        <v>5.03</v>
      </c>
      <c r="F1100" s="11">
        <v>1986</v>
      </c>
      <c r="G1100" s="6" t="str">
        <f>IF(COUNTIF(Table1[Customer ID],Table1[[#This Row],[Customer ID]])&gt;1,"Repeat Customer","One-Time Customer")</f>
        <v>Repeat Customer</v>
      </c>
      <c r="H1100" s="11" t="s">
        <v>1927</v>
      </c>
      <c r="I1100" s="11" t="s">
        <v>27</v>
      </c>
      <c r="J1100" s="11" t="s">
        <v>40</v>
      </c>
      <c r="K1100" s="11" t="s">
        <v>77</v>
      </c>
      <c r="L1100" s="11" t="s">
        <v>78</v>
      </c>
      <c r="M1100" s="11" t="s">
        <v>86</v>
      </c>
      <c r="N1100" s="11" t="s">
        <v>430</v>
      </c>
      <c r="O1100" s="11">
        <v>0.6</v>
      </c>
      <c r="P1100" s="6">
        <f>Table1[[#This Row],[Profit]]/Table1[[#This Row],[Sales]]</f>
        <v>0.13228657827401741</v>
      </c>
      <c r="Q1100" s="11" t="s">
        <v>33</v>
      </c>
      <c r="R1100" s="11" t="s">
        <v>61</v>
      </c>
      <c r="S1100" s="11" t="s">
        <v>130</v>
      </c>
      <c r="T1100" s="11" t="s">
        <v>1929</v>
      </c>
      <c r="U1100" s="11">
        <v>79701</v>
      </c>
      <c r="V1100" s="12">
        <v>42130</v>
      </c>
      <c r="W1100" s="13" t="str">
        <f>TEXT(Table1[[#This Row],[Order Date]],"mmmm")</f>
        <v>May</v>
      </c>
      <c r="X1100" s="7" t="str">
        <f>TEXT(Table1[[#This Row],[Order Date]],"yyyy")</f>
        <v>2015</v>
      </c>
      <c r="Y1100" s="12">
        <v>42132</v>
      </c>
      <c r="Z1100" s="11">
        <v>5.6870000000000083</v>
      </c>
      <c r="AA1100" s="11">
        <v>4</v>
      </c>
      <c r="AB1100" s="11">
        <v>42.99</v>
      </c>
      <c r="AC1100" s="11">
        <v>90888</v>
      </c>
      <c r="AD1100" s="6" t="str">
        <f>IF(COUNTIF(Returns!$A$2:$A$1635,Orders!AC1100)&gt;0,"Returned","Not Returned")</f>
        <v>Not Returned</v>
      </c>
    </row>
    <row r="1101" spans="1:30" ht="12.75" customHeight="1" thickTop="1" thickBot="1" x14ac:dyDescent="0.25">
      <c r="A1101" s="8">
        <v>19336</v>
      </c>
      <c r="B1101" s="1" t="s">
        <v>25</v>
      </c>
      <c r="C1101" s="1">
        <v>0.05</v>
      </c>
      <c r="D1101" s="1">
        <v>20.98</v>
      </c>
      <c r="E1101" s="1">
        <v>21.2</v>
      </c>
      <c r="F1101" s="1">
        <v>1988</v>
      </c>
      <c r="G1101" s="6" t="str">
        <f>IF(COUNTIF(Table1[Customer ID],Table1[[#This Row],[Customer ID]])&gt;1,"Repeat Customer","One-Time Customer")</f>
        <v>One-Time Customer</v>
      </c>
      <c r="H1101" s="1" t="s">
        <v>1930</v>
      </c>
      <c r="I1101" s="1" t="s">
        <v>49</v>
      </c>
      <c r="J1101" s="1" t="s">
        <v>40</v>
      </c>
      <c r="K1101" s="1" t="s">
        <v>41</v>
      </c>
      <c r="L1101" s="1" t="s">
        <v>50</v>
      </c>
      <c r="M1101" s="1" t="s">
        <v>86</v>
      </c>
      <c r="N1101" s="1" t="s">
        <v>1931</v>
      </c>
      <c r="O1101" s="1">
        <v>0.78</v>
      </c>
      <c r="P1101" s="6">
        <f>Table1[[#This Row],[Profit]]/Table1[[#This Row],[Sales]]</f>
        <v>-2.7569188613183133</v>
      </c>
      <c r="Q1101" s="1" t="s">
        <v>33</v>
      </c>
      <c r="R1101" s="1" t="s">
        <v>34</v>
      </c>
      <c r="S1101" s="1" t="s">
        <v>212</v>
      </c>
      <c r="T1101" s="1" t="s">
        <v>1895</v>
      </c>
      <c r="U1101" s="1">
        <v>84020</v>
      </c>
      <c r="V1101" s="9">
        <v>42007</v>
      </c>
      <c r="W1101" s="13" t="str">
        <f>TEXT(Table1[[#This Row],[Order Date]],"mmmm")</f>
        <v>January</v>
      </c>
      <c r="X1101" s="7" t="str">
        <f>TEXT(Table1[[#This Row],[Order Date]],"yyyy")</f>
        <v>2015</v>
      </c>
      <c r="Y1101" s="9">
        <v>42008</v>
      </c>
      <c r="Z1101" s="1">
        <v>-181.102</v>
      </c>
      <c r="AA1101" s="1">
        <v>3</v>
      </c>
      <c r="AB1101" s="1">
        <v>65.69</v>
      </c>
      <c r="AC1101" s="1">
        <v>89999</v>
      </c>
      <c r="AD1101" s="6" t="str">
        <f>IF(COUNTIF(Returns!$A$2:$A$1635,Orders!AC1101)&gt;0,"Returned","Not Returned")</f>
        <v>Not Returned</v>
      </c>
    </row>
    <row r="1102" spans="1:30" ht="12.75" customHeight="1" thickTop="1" thickBot="1" x14ac:dyDescent="0.25">
      <c r="A1102" s="10">
        <v>22600</v>
      </c>
      <c r="B1102" s="11" t="s">
        <v>37</v>
      </c>
      <c r="C1102" s="11">
        <v>0.04</v>
      </c>
      <c r="D1102" s="11">
        <v>355.98</v>
      </c>
      <c r="E1102" s="11">
        <v>58.92</v>
      </c>
      <c r="F1102" s="11">
        <v>1989</v>
      </c>
      <c r="G1102" s="6" t="str">
        <f>IF(COUNTIF(Table1[Customer ID],Table1[[#This Row],[Customer ID]])&gt;1,"Repeat Customer","One-Time Customer")</f>
        <v>Repeat Customer</v>
      </c>
      <c r="H1102" s="11" t="s">
        <v>1932</v>
      </c>
      <c r="I1102" s="11" t="s">
        <v>39</v>
      </c>
      <c r="J1102" s="11" t="s">
        <v>40</v>
      </c>
      <c r="K1102" s="11" t="s">
        <v>41</v>
      </c>
      <c r="L1102" s="11" t="s">
        <v>42</v>
      </c>
      <c r="M1102" s="11" t="s">
        <v>43</v>
      </c>
      <c r="N1102" s="11" t="s">
        <v>1294</v>
      </c>
      <c r="O1102" s="11">
        <v>0.64</v>
      </c>
      <c r="P1102" s="6">
        <f>Table1[[#This Row],[Profit]]/Table1[[#This Row],[Sales]]</f>
        <v>0.3212745750870567</v>
      </c>
      <c r="Q1102" s="11" t="s">
        <v>33</v>
      </c>
      <c r="R1102" s="11" t="s">
        <v>34</v>
      </c>
      <c r="S1102" s="11" t="s">
        <v>212</v>
      </c>
      <c r="T1102" s="11" t="s">
        <v>1933</v>
      </c>
      <c r="U1102" s="11">
        <v>84117</v>
      </c>
      <c r="V1102" s="12">
        <v>42025</v>
      </c>
      <c r="W1102" s="13" t="str">
        <f>TEXT(Table1[[#This Row],[Order Date]],"mmmm")</f>
        <v>January</v>
      </c>
      <c r="X1102" s="7" t="str">
        <f>TEXT(Table1[[#This Row],[Order Date]],"yyyy")</f>
        <v>2015</v>
      </c>
      <c r="Y1102" s="12">
        <v>42026</v>
      </c>
      <c r="Z1102" s="11">
        <v>882.93000000000006</v>
      </c>
      <c r="AA1102" s="11">
        <v>8</v>
      </c>
      <c r="AB1102" s="11">
        <v>2748.21</v>
      </c>
      <c r="AC1102" s="11">
        <v>90000</v>
      </c>
      <c r="AD1102" s="6" t="str">
        <f>IF(COUNTIF(Returns!$A$2:$A$1635,Orders!AC1102)&gt;0,"Returned","Not Returned")</f>
        <v>Not Returned</v>
      </c>
    </row>
    <row r="1103" spans="1:30" ht="12.75" customHeight="1" thickTop="1" thickBot="1" x14ac:dyDescent="0.25">
      <c r="A1103" s="8">
        <v>22601</v>
      </c>
      <c r="B1103" s="1" t="s">
        <v>37</v>
      </c>
      <c r="C1103" s="1">
        <v>0.09</v>
      </c>
      <c r="D1103" s="1">
        <v>19.98</v>
      </c>
      <c r="E1103" s="1">
        <v>8.68</v>
      </c>
      <c r="F1103" s="1">
        <v>1989</v>
      </c>
      <c r="G1103" s="6" t="str">
        <f>IF(COUNTIF(Table1[Customer ID],Table1[[#This Row],[Customer ID]])&gt;1,"Repeat Customer","One-Time Customer")</f>
        <v>Repeat Customer</v>
      </c>
      <c r="H1103" s="1" t="s">
        <v>1932</v>
      </c>
      <c r="I1103" s="1" t="s">
        <v>49</v>
      </c>
      <c r="J1103" s="1" t="s">
        <v>40</v>
      </c>
      <c r="K1103" s="1" t="s">
        <v>29</v>
      </c>
      <c r="L1103" s="1" t="s">
        <v>93</v>
      </c>
      <c r="M1103" s="1" t="s">
        <v>59</v>
      </c>
      <c r="N1103" s="1" t="s">
        <v>1223</v>
      </c>
      <c r="O1103" s="1">
        <v>0.37</v>
      </c>
      <c r="P1103" s="6">
        <f>Table1[[#This Row],[Profit]]/Table1[[#This Row],[Sales]]</f>
        <v>7.1685803197767989E-2</v>
      </c>
      <c r="Q1103" s="1" t="s">
        <v>33</v>
      </c>
      <c r="R1103" s="1" t="s">
        <v>34</v>
      </c>
      <c r="S1103" s="1" t="s">
        <v>212</v>
      </c>
      <c r="T1103" s="1" t="s">
        <v>1933</v>
      </c>
      <c r="U1103" s="1">
        <v>84117</v>
      </c>
      <c r="V1103" s="9">
        <v>42025</v>
      </c>
      <c r="W1103" s="13" t="str">
        <f>TEXT(Table1[[#This Row],[Order Date]],"mmmm")</f>
        <v>January</v>
      </c>
      <c r="X1103" s="7" t="str">
        <f>TEXT(Table1[[#This Row],[Order Date]],"yyyy")</f>
        <v>2015</v>
      </c>
      <c r="Y1103" s="9">
        <v>42026</v>
      </c>
      <c r="Z1103" s="1">
        <v>6.6803999999999988</v>
      </c>
      <c r="AA1103" s="1">
        <v>5</v>
      </c>
      <c r="AB1103" s="1">
        <v>93.19</v>
      </c>
      <c r="AC1103" s="1">
        <v>90000</v>
      </c>
      <c r="AD1103" s="6" t="str">
        <f>IF(COUNTIF(Returns!$A$2:$A$1635,Orders!AC1103)&gt;0,"Returned","Not Returned")</f>
        <v>Not Returned</v>
      </c>
    </row>
    <row r="1104" spans="1:30" ht="12.75" customHeight="1" thickTop="1" thickBot="1" x14ac:dyDescent="0.25">
      <c r="A1104" s="10">
        <v>20554</v>
      </c>
      <c r="B1104" s="11" t="s">
        <v>25</v>
      </c>
      <c r="C1104" s="11">
        <v>0.01</v>
      </c>
      <c r="D1104" s="11">
        <v>30.98</v>
      </c>
      <c r="E1104" s="11">
        <v>6.5</v>
      </c>
      <c r="F1104" s="11">
        <v>1989</v>
      </c>
      <c r="G1104" s="6" t="str">
        <f>IF(COUNTIF(Table1[Customer ID],Table1[[#This Row],[Customer ID]])&gt;1,"Repeat Customer","One-Time Customer")</f>
        <v>Repeat Customer</v>
      </c>
      <c r="H1104" s="11" t="s">
        <v>1932</v>
      </c>
      <c r="I1104" s="11" t="s">
        <v>49</v>
      </c>
      <c r="J1104" s="11" t="s">
        <v>28</v>
      </c>
      <c r="K1104" s="11" t="s">
        <v>77</v>
      </c>
      <c r="L1104" s="11" t="s">
        <v>180</v>
      </c>
      <c r="M1104" s="11" t="s">
        <v>59</v>
      </c>
      <c r="N1104" s="11" t="s">
        <v>1908</v>
      </c>
      <c r="O1104" s="11">
        <v>0.64</v>
      </c>
      <c r="P1104" s="6">
        <f>Table1[[#This Row],[Profit]]/Table1[[#This Row],[Sales]]</f>
        <v>0.12739081377108732</v>
      </c>
      <c r="Q1104" s="11" t="s">
        <v>33</v>
      </c>
      <c r="R1104" s="11" t="s">
        <v>34</v>
      </c>
      <c r="S1104" s="11" t="s">
        <v>212</v>
      </c>
      <c r="T1104" s="11" t="s">
        <v>1933</v>
      </c>
      <c r="U1104" s="11">
        <v>84117</v>
      </c>
      <c r="V1104" s="12">
        <v>42139</v>
      </c>
      <c r="W1104" s="13" t="str">
        <f>TEXT(Table1[[#This Row],[Order Date]],"mmmm")</f>
        <v>May</v>
      </c>
      <c r="X1104" s="7" t="str">
        <f>TEXT(Table1[[#This Row],[Order Date]],"yyyy")</f>
        <v>2015</v>
      </c>
      <c r="Y1104" s="12">
        <v>42140</v>
      </c>
      <c r="Z1104" s="11">
        <v>46.29</v>
      </c>
      <c r="AA1104" s="11">
        <v>11</v>
      </c>
      <c r="AB1104" s="11">
        <v>363.37</v>
      </c>
      <c r="AC1104" s="11">
        <v>90001</v>
      </c>
      <c r="AD1104" s="6" t="str">
        <f>IF(COUNTIF(Returns!$A$2:$A$1635,Orders!AC1104)&gt;0,"Returned","Not Returned")</f>
        <v>Not Returned</v>
      </c>
    </row>
    <row r="1105" spans="1:30" ht="12.75" customHeight="1" thickTop="1" thickBot="1" x14ac:dyDescent="0.25">
      <c r="A1105" s="8">
        <v>20555</v>
      </c>
      <c r="B1105" s="1" t="s">
        <v>25</v>
      </c>
      <c r="C1105" s="1">
        <v>0.01</v>
      </c>
      <c r="D1105" s="1">
        <v>40.99</v>
      </c>
      <c r="E1105" s="1">
        <v>19.989999999999998</v>
      </c>
      <c r="F1105" s="1">
        <v>1989</v>
      </c>
      <c r="G1105" s="6" t="str">
        <f>IF(COUNTIF(Table1[Customer ID],Table1[[#This Row],[Customer ID]])&gt;1,"Repeat Customer","One-Time Customer")</f>
        <v>Repeat Customer</v>
      </c>
      <c r="H1105" s="1" t="s">
        <v>1932</v>
      </c>
      <c r="I1105" s="1" t="s">
        <v>49</v>
      </c>
      <c r="J1105" s="1" t="s">
        <v>28</v>
      </c>
      <c r="K1105" s="1" t="s">
        <v>29</v>
      </c>
      <c r="L1105" s="1" t="s">
        <v>93</v>
      </c>
      <c r="M1105" s="1" t="s">
        <v>59</v>
      </c>
      <c r="N1105" s="1" t="s">
        <v>1934</v>
      </c>
      <c r="O1105" s="1">
        <v>0.36</v>
      </c>
      <c r="P1105" s="6">
        <f>Table1[[#This Row],[Profit]]/Table1[[#This Row],[Sales]]</f>
        <v>0.36981799271970878</v>
      </c>
      <c r="Q1105" s="1" t="s">
        <v>33</v>
      </c>
      <c r="R1105" s="1" t="s">
        <v>34</v>
      </c>
      <c r="S1105" s="1" t="s">
        <v>212</v>
      </c>
      <c r="T1105" s="1" t="s">
        <v>1933</v>
      </c>
      <c r="U1105" s="1">
        <v>84117</v>
      </c>
      <c r="V1105" s="9">
        <v>42139</v>
      </c>
      <c r="W1105" s="13" t="str">
        <f>TEXT(Table1[[#This Row],[Order Date]],"mmmm")</f>
        <v>May</v>
      </c>
      <c r="X1105" s="7" t="str">
        <f>TEXT(Table1[[#This Row],[Order Date]],"yyyy")</f>
        <v>2015</v>
      </c>
      <c r="Y1105" s="9">
        <v>42142</v>
      </c>
      <c r="Z1105" s="1">
        <v>177.79</v>
      </c>
      <c r="AA1105" s="1">
        <v>11</v>
      </c>
      <c r="AB1105" s="1">
        <v>480.75</v>
      </c>
      <c r="AC1105" s="1">
        <v>90001</v>
      </c>
      <c r="AD1105" s="6" t="str">
        <f>IF(COUNTIF(Returns!$A$2:$A$1635,Orders!AC1105)&gt;0,"Returned","Not Returned")</f>
        <v>Not Returned</v>
      </c>
    </row>
    <row r="1106" spans="1:30" ht="12.75" customHeight="1" thickTop="1" thickBot="1" x14ac:dyDescent="0.25">
      <c r="A1106" s="10">
        <v>21723</v>
      </c>
      <c r="B1106" s="11" t="s">
        <v>56</v>
      </c>
      <c r="C1106" s="11">
        <v>0.1</v>
      </c>
      <c r="D1106" s="11">
        <v>1.6</v>
      </c>
      <c r="E1106" s="11">
        <v>1.29</v>
      </c>
      <c r="F1106" s="11">
        <v>1989</v>
      </c>
      <c r="G1106" s="6" t="str">
        <f>IF(COUNTIF(Table1[Customer ID],Table1[[#This Row],[Customer ID]])&gt;1,"Repeat Customer","One-Time Customer")</f>
        <v>Repeat Customer</v>
      </c>
      <c r="H1106" s="11" t="s">
        <v>1932</v>
      </c>
      <c r="I1106" s="11" t="s">
        <v>49</v>
      </c>
      <c r="J1106" s="11" t="s">
        <v>40</v>
      </c>
      <c r="K1106" s="11" t="s">
        <v>29</v>
      </c>
      <c r="L1106" s="11" t="s">
        <v>30</v>
      </c>
      <c r="M1106" s="11" t="s">
        <v>31</v>
      </c>
      <c r="N1106" s="11" t="s">
        <v>1935</v>
      </c>
      <c r="O1106" s="11">
        <v>0.42</v>
      </c>
      <c r="P1106" s="6">
        <f>Table1[[#This Row],[Profit]]/Table1[[#This Row],[Sales]]</f>
        <v>-0.88805687203791484</v>
      </c>
      <c r="Q1106" s="11" t="s">
        <v>33</v>
      </c>
      <c r="R1106" s="11" t="s">
        <v>34</v>
      </c>
      <c r="S1106" s="11" t="s">
        <v>212</v>
      </c>
      <c r="T1106" s="11" t="s">
        <v>1933</v>
      </c>
      <c r="U1106" s="11">
        <v>84117</v>
      </c>
      <c r="V1106" s="12">
        <v>42124</v>
      </c>
      <c r="W1106" s="13" t="str">
        <f>TEXT(Table1[[#This Row],[Order Date]],"mmmm")</f>
        <v>April</v>
      </c>
      <c r="X1106" s="7" t="str">
        <f>TEXT(Table1[[#This Row],[Order Date]],"yyyy")</f>
        <v>2015</v>
      </c>
      <c r="Y1106" s="12">
        <v>42124</v>
      </c>
      <c r="Z1106" s="11">
        <v>-14.990400000000001</v>
      </c>
      <c r="AA1106" s="11">
        <v>11</v>
      </c>
      <c r="AB1106" s="11">
        <v>16.88</v>
      </c>
      <c r="AC1106" s="11">
        <v>90003</v>
      </c>
      <c r="AD1106" s="6" t="str">
        <f>IF(COUNTIF(Returns!$A$2:$A$1635,Orders!AC1106)&gt;0,"Returned","Not Returned")</f>
        <v>Not Returned</v>
      </c>
    </row>
    <row r="1107" spans="1:30" ht="12.75" customHeight="1" thickTop="1" thickBot="1" x14ac:dyDescent="0.25">
      <c r="A1107" s="8">
        <v>25417</v>
      </c>
      <c r="B1107" s="1" t="s">
        <v>56</v>
      </c>
      <c r="C1107" s="1">
        <v>0</v>
      </c>
      <c r="D1107" s="1">
        <v>47.9</v>
      </c>
      <c r="E1107" s="1">
        <v>5.86</v>
      </c>
      <c r="F1107" s="1">
        <v>1991</v>
      </c>
      <c r="G1107" s="6" t="str">
        <f>IF(COUNTIF(Table1[Customer ID],Table1[[#This Row],[Customer ID]])&gt;1,"Repeat Customer","One-Time Customer")</f>
        <v>One-Time Customer</v>
      </c>
      <c r="H1107" s="1" t="s">
        <v>1936</v>
      </c>
      <c r="I1107" s="1" t="s">
        <v>49</v>
      </c>
      <c r="J1107" s="1" t="s">
        <v>40</v>
      </c>
      <c r="K1107" s="1" t="s">
        <v>29</v>
      </c>
      <c r="L1107" s="1" t="s">
        <v>93</v>
      </c>
      <c r="M1107" s="1" t="s">
        <v>59</v>
      </c>
      <c r="N1107" s="1" t="s">
        <v>1937</v>
      </c>
      <c r="O1107" s="1">
        <v>0.37</v>
      </c>
      <c r="P1107" s="6">
        <f>Table1[[#This Row],[Profit]]/Table1[[#This Row],[Sales]]</f>
        <v>0.69</v>
      </c>
      <c r="Q1107" s="1" t="s">
        <v>33</v>
      </c>
      <c r="R1107" s="1" t="s">
        <v>34</v>
      </c>
      <c r="S1107" s="1" t="s">
        <v>212</v>
      </c>
      <c r="T1107" s="1" t="s">
        <v>1938</v>
      </c>
      <c r="U1107" s="1">
        <v>84118</v>
      </c>
      <c r="V1107" s="9">
        <v>42057</v>
      </c>
      <c r="W1107" s="13" t="str">
        <f>TEXT(Table1[[#This Row],[Order Date]],"mmmm")</f>
        <v>February</v>
      </c>
      <c r="X1107" s="7" t="str">
        <f>TEXT(Table1[[#This Row],[Order Date]],"yyyy")</f>
        <v>2015</v>
      </c>
      <c r="Y1107" s="9">
        <v>42059</v>
      </c>
      <c r="Z1107" s="1">
        <v>638.38109999999995</v>
      </c>
      <c r="AA1107" s="1">
        <v>18</v>
      </c>
      <c r="AB1107" s="1">
        <v>925.19</v>
      </c>
      <c r="AC1107" s="1">
        <v>90002</v>
      </c>
      <c r="AD1107" s="6" t="str">
        <f>IF(COUNTIF(Returns!$A$2:$A$1635,Orders!AC1107)&gt;0,"Returned","Not Returned")</f>
        <v>Not Returned</v>
      </c>
    </row>
    <row r="1108" spans="1:30" ht="12.75" customHeight="1" thickTop="1" thickBot="1" x14ac:dyDescent="0.25">
      <c r="A1108" s="10">
        <v>19797</v>
      </c>
      <c r="B1108" s="11" t="s">
        <v>37</v>
      </c>
      <c r="C1108" s="11">
        <v>0.1</v>
      </c>
      <c r="D1108" s="11">
        <v>125.99</v>
      </c>
      <c r="E1108" s="11">
        <v>8.99</v>
      </c>
      <c r="F1108" s="11">
        <v>1997</v>
      </c>
      <c r="G1108" s="6" t="str">
        <f>IF(COUNTIF(Table1[Customer ID],Table1[[#This Row],[Customer ID]])&gt;1,"Repeat Customer","One-Time Customer")</f>
        <v>Repeat Customer</v>
      </c>
      <c r="H1108" s="11" t="s">
        <v>1939</v>
      </c>
      <c r="I1108" s="11" t="s">
        <v>49</v>
      </c>
      <c r="J1108" s="11" t="s">
        <v>114</v>
      </c>
      <c r="K1108" s="11" t="s">
        <v>77</v>
      </c>
      <c r="L1108" s="11" t="s">
        <v>78</v>
      </c>
      <c r="M1108" s="11" t="s">
        <v>59</v>
      </c>
      <c r="N1108" s="11" t="s">
        <v>898</v>
      </c>
      <c r="O1108" s="11">
        <v>0.56999999999999995</v>
      </c>
      <c r="P1108" s="6">
        <f>Table1[[#This Row],[Profit]]/Table1[[#This Row],[Sales]]</f>
        <v>4.319483188959037E-2</v>
      </c>
      <c r="Q1108" s="11" t="s">
        <v>33</v>
      </c>
      <c r="R1108" s="11" t="s">
        <v>136</v>
      </c>
      <c r="S1108" s="11" t="s">
        <v>932</v>
      </c>
      <c r="T1108" s="11" t="s">
        <v>933</v>
      </c>
      <c r="U1108" s="11">
        <v>29915</v>
      </c>
      <c r="V1108" s="12">
        <v>42029</v>
      </c>
      <c r="W1108" s="13" t="str">
        <f>TEXT(Table1[[#This Row],[Order Date]],"mmmm")</f>
        <v>January</v>
      </c>
      <c r="X1108" s="7" t="str">
        <f>TEXT(Table1[[#This Row],[Order Date]],"yyyy")</f>
        <v>2015</v>
      </c>
      <c r="Y1108" s="12">
        <v>42032</v>
      </c>
      <c r="Z1108" s="11">
        <v>17.652000000000001</v>
      </c>
      <c r="AA1108" s="11">
        <v>4</v>
      </c>
      <c r="AB1108" s="11">
        <v>408.66</v>
      </c>
      <c r="AC1108" s="11">
        <v>90333</v>
      </c>
      <c r="AD1108" s="6" t="str">
        <f>IF(COUNTIF(Returns!$A$2:$A$1635,Orders!AC1108)&gt;0,"Returned","Not Returned")</f>
        <v>Not Returned</v>
      </c>
    </row>
    <row r="1109" spans="1:30" ht="12.75" customHeight="1" thickTop="1" thickBot="1" x14ac:dyDescent="0.25">
      <c r="A1109" s="8">
        <v>19581</v>
      </c>
      <c r="B1109" s="1" t="s">
        <v>56</v>
      </c>
      <c r="C1109" s="1">
        <v>0.01</v>
      </c>
      <c r="D1109" s="1">
        <v>16.48</v>
      </c>
      <c r="E1109" s="1">
        <v>1.99</v>
      </c>
      <c r="F1109" s="1">
        <v>1997</v>
      </c>
      <c r="G1109" s="6" t="str">
        <f>IF(COUNTIF(Table1[Customer ID],Table1[[#This Row],[Customer ID]])&gt;1,"Repeat Customer","One-Time Customer")</f>
        <v>Repeat Customer</v>
      </c>
      <c r="H1109" s="1" t="s">
        <v>1939</v>
      </c>
      <c r="I1109" s="1" t="s">
        <v>49</v>
      </c>
      <c r="J1109" s="1" t="s">
        <v>114</v>
      </c>
      <c r="K1109" s="1" t="s">
        <v>77</v>
      </c>
      <c r="L1109" s="1" t="s">
        <v>180</v>
      </c>
      <c r="M1109" s="1" t="s">
        <v>51</v>
      </c>
      <c r="N1109" s="1" t="s">
        <v>1472</v>
      </c>
      <c r="O1109" s="1">
        <v>0.42</v>
      </c>
      <c r="P1109" s="6">
        <f>Table1[[#This Row],[Profit]]/Table1[[#This Row],[Sales]]</f>
        <v>6.0170340844382979</v>
      </c>
      <c r="Q1109" s="1" t="s">
        <v>33</v>
      </c>
      <c r="R1109" s="1" t="s">
        <v>136</v>
      </c>
      <c r="S1109" s="1" t="s">
        <v>932</v>
      </c>
      <c r="T1109" s="1" t="s">
        <v>933</v>
      </c>
      <c r="U1109" s="1">
        <v>29915</v>
      </c>
      <c r="V1109" s="9">
        <v>42131</v>
      </c>
      <c r="W1109" s="13" t="str">
        <f>TEXT(Table1[[#This Row],[Order Date]],"mmmm")</f>
        <v>May</v>
      </c>
      <c r="X1109" s="7" t="str">
        <f>TEXT(Table1[[#This Row],[Order Date]],"yyyy")</f>
        <v>2015</v>
      </c>
      <c r="Y1109" s="9">
        <v>42132</v>
      </c>
      <c r="Z1109" s="1">
        <v>739.67399999999998</v>
      </c>
      <c r="AA1109" s="1">
        <v>7</v>
      </c>
      <c r="AB1109" s="1">
        <v>122.93</v>
      </c>
      <c r="AC1109" s="1">
        <v>90334</v>
      </c>
      <c r="AD1109" s="6" t="str">
        <f>IF(COUNTIF(Returns!$A$2:$A$1635,Orders!AC1109)&gt;0,"Returned","Not Returned")</f>
        <v>Not Returned</v>
      </c>
    </row>
    <row r="1110" spans="1:30" ht="12.75" customHeight="1" thickTop="1" thickBot="1" x14ac:dyDescent="0.25">
      <c r="A1110" s="10">
        <v>21003</v>
      </c>
      <c r="B1110" s="11" t="s">
        <v>106</v>
      </c>
      <c r="C1110" s="11">
        <v>0</v>
      </c>
      <c r="D1110" s="11">
        <v>24.92</v>
      </c>
      <c r="E1110" s="11">
        <v>12.98</v>
      </c>
      <c r="F1110" s="11">
        <v>1997</v>
      </c>
      <c r="G1110" s="6" t="str">
        <f>IF(COUNTIF(Table1[Customer ID],Table1[[#This Row],[Customer ID]])&gt;1,"Repeat Customer","One-Time Customer")</f>
        <v>Repeat Customer</v>
      </c>
      <c r="H1110" s="11" t="s">
        <v>1939</v>
      </c>
      <c r="I1110" s="11" t="s">
        <v>49</v>
      </c>
      <c r="J1110" s="11" t="s">
        <v>114</v>
      </c>
      <c r="K1110" s="11" t="s">
        <v>29</v>
      </c>
      <c r="L1110" s="11" t="s">
        <v>109</v>
      </c>
      <c r="M1110" s="11" t="s">
        <v>59</v>
      </c>
      <c r="N1110" s="11" t="s">
        <v>1940</v>
      </c>
      <c r="O1110" s="11">
        <v>0.39</v>
      </c>
      <c r="P1110" s="6">
        <f>Table1[[#This Row],[Profit]]/Table1[[#This Row],[Sales]]</f>
        <v>-0.70900183710961429</v>
      </c>
      <c r="Q1110" s="11" t="s">
        <v>33</v>
      </c>
      <c r="R1110" s="11" t="s">
        <v>136</v>
      </c>
      <c r="S1110" s="11" t="s">
        <v>932</v>
      </c>
      <c r="T1110" s="11" t="s">
        <v>933</v>
      </c>
      <c r="U1110" s="11">
        <v>29915</v>
      </c>
      <c r="V1110" s="12">
        <v>42157</v>
      </c>
      <c r="W1110" s="13" t="str">
        <f>TEXT(Table1[[#This Row],[Order Date]],"mmmm")</f>
        <v>June</v>
      </c>
      <c r="X1110" s="7" t="str">
        <f>TEXT(Table1[[#This Row],[Order Date]],"yyyy")</f>
        <v>2015</v>
      </c>
      <c r="Y1110" s="12">
        <v>42157</v>
      </c>
      <c r="Z1110" s="11">
        <v>-23.155999999999999</v>
      </c>
      <c r="AA1110" s="11">
        <v>1</v>
      </c>
      <c r="AB1110" s="11">
        <v>32.659999999999997</v>
      </c>
      <c r="AC1110" s="11">
        <v>90335</v>
      </c>
      <c r="AD1110" s="6" t="str">
        <f>IF(COUNTIF(Returns!$A$2:$A$1635,Orders!AC1110)&gt;0,"Returned","Not Returned")</f>
        <v>Not Returned</v>
      </c>
    </row>
    <row r="1111" spans="1:30" ht="12.75" customHeight="1" thickTop="1" thickBot="1" x14ac:dyDescent="0.25">
      <c r="A1111" s="8">
        <v>20392</v>
      </c>
      <c r="B1111" s="1" t="s">
        <v>37</v>
      </c>
      <c r="C1111" s="1">
        <v>0.06</v>
      </c>
      <c r="D1111" s="1">
        <v>4.42</v>
      </c>
      <c r="E1111" s="1">
        <v>4.99</v>
      </c>
      <c r="F1111" s="1">
        <v>1998</v>
      </c>
      <c r="G1111" s="6" t="str">
        <f>IF(COUNTIF(Table1[Customer ID],Table1[[#This Row],[Customer ID]])&gt;1,"Repeat Customer","One-Time Customer")</f>
        <v>One-Time Customer</v>
      </c>
      <c r="H1111" s="1" t="s">
        <v>1941</v>
      </c>
      <c r="I1111" s="1" t="s">
        <v>49</v>
      </c>
      <c r="J1111" s="1" t="s">
        <v>28</v>
      </c>
      <c r="K1111" s="1" t="s">
        <v>29</v>
      </c>
      <c r="L1111" s="1" t="s">
        <v>69</v>
      </c>
      <c r="M1111" s="1" t="s">
        <v>59</v>
      </c>
      <c r="N1111" s="1" t="s">
        <v>70</v>
      </c>
      <c r="O1111" s="1">
        <v>0.38</v>
      </c>
      <c r="P1111" s="6">
        <f>Table1[[#This Row],[Profit]]/Table1[[#This Row],[Sales]]</f>
        <v>-0.7026936026936027</v>
      </c>
      <c r="Q1111" s="1" t="s">
        <v>33</v>
      </c>
      <c r="R1111" s="1" t="s">
        <v>53</v>
      </c>
      <c r="S1111" s="1" t="s">
        <v>71</v>
      </c>
      <c r="T1111" s="1" t="s">
        <v>1942</v>
      </c>
      <c r="U1111" s="1">
        <v>11758</v>
      </c>
      <c r="V1111" s="9">
        <v>42158</v>
      </c>
      <c r="W1111" s="13" t="str">
        <f>TEXT(Table1[[#This Row],[Order Date]],"mmmm")</f>
        <v>June</v>
      </c>
      <c r="X1111" s="7" t="str">
        <f>TEXT(Table1[[#This Row],[Order Date]],"yyyy")</f>
        <v>2015</v>
      </c>
      <c r="Y1111" s="9">
        <v>42160</v>
      </c>
      <c r="Z1111" s="1">
        <v>-10.435</v>
      </c>
      <c r="AA1111" s="1">
        <v>3</v>
      </c>
      <c r="AB1111" s="1">
        <v>14.85</v>
      </c>
      <c r="AC1111" s="1">
        <v>90568</v>
      </c>
      <c r="AD1111" s="6" t="str">
        <f>IF(COUNTIF(Returns!$A$2:$A$1635,Orders!AC1111)&gt;0,"Returned","Not Returned")</f>
        <v>Not Returned</v>
      </c>
    </row>
    <row r="1112" spans="1:30" ht="12.75" customHeight="1" thickTop="1" thickBot="1" x14ac:dyDescent="0.25">
      <c r="A1112" s="10">
        <v>24075</v>
      </c>
      <c r="B1112" s="11" t="s">
        <v>56</v>
      </c>
      <c r="C1112" s="11">
        <v>0.06</v>
      </c>
      <c r="D1112" s="11">
        <v>4.24</v>
      </c>
      <c r="E1112" s="11">
        <v>5.41</v>
      </c>
      <c r="F1112" s="11">
        <v>2004</v>
      </c>
      <c r="G1112" s="6" t="str">
        <f>IF(COUNTIF(Table1[Customer ID],Table1[[#This Row],[Customer ID]])&gt;1,"Repeat Customer","One-Time Customer")</f>
        <v>Repeat Customer</v>
      </c>
      <c r="H1112" s="11" t="s">
        <v>1943</v>
      </c>
      <c r="I1112" s="11" t="s">
        <v>49</v>
      </c>
      <c r="J1112" s="11" t="s">
        <v>40</v>
      </c>
      <c r="K1112" s="11" t="s">
        <v>29</v>
      </c>
      <c r="L1112" s="11" t="s">
        <v>109</v>
      </c>
      <c r="M1112" s="11" t="s">
        <v>59</v>
      </c>
      <c r="N1112" s="11" t="s">
        <v>110</v>
      </c>
      <c r="O1112" s="11">
        <v>0.35</v>
      </c>
      <c r="P1112" s="6">
        <f>Table1[[#This Row],[Profit]]/Table1[[#This Row],[Sales]]</f>
        <v>-1.7537039999999999</v>
      </c>
      <c r="Q1112" s="11" t="s">
        <v>33</v>
      </c>
      <c r="R1112" s="11" t="s">
        <v>34</v>
      </c>
      <c r="S1112" s="11" t="s">
        <v>82</v>
      </c>
      <c r="T1112" s="11" t="s">
        <v>1901</v>
      </c>
      <c r="U1112" s="11">
        <v>59715</v>
      </c>
      <c r="V1112" s="12">
        <v>42111</v>
      </c>
      <c r="W1112" s="13" t="str">
        <f>TEXT(Table1[[#This Row],[Order Date]],"mmmm")</f>
        <v>April</v>
      </c>
      <c r="X1112" s="7" t="str">
        <f>TEXT(Table1[[#This Row],[Order Date]],"yyyy")</f>
        <v>2015</v>
      </c>
      <c r="Y1112" s="12">
        <v>42113</v>
      </c>
      <c r="Z1112" s="11">
        <v>-78.916679999999999</v>
      </c>
      <c r="AA1112" s="11">
        <v>10</v>
      </c>
      <c r="AB1112" s="11">
        <v>45</v>
      </c>
      <c r="AC1112" s="11">
        <v>91277</v>
      </c>
      <c r="AD1112" s="6" t="str">
        <f>IF(COUNTIF(Returns!$A$2:$A$1635,Orders!AC1112)&gt;0,"Returned","Not Returned")</f>
        <v>Not Returned</v>
      </c>
    </row>
    <row r="1113" spans="1:30" ht="12.75" customHeight="1" thickTop="1" thickBot="1" x14ac:dyDescent="0.25">
      <c r="A1113" s="8">
        <v>24076</v>
      </c>
      <c r="B1113" s="1" t="s">
        <v>56</v>
      </c>
      <c r="C1113" s="1">
        <v>0.04</v>
      </c>
      <c r="D1113" s="1">
        <v>6783.02</v>
      </c>
      <c r="E1113" s="1">
        <v>24.49</v>
      </c>
      <c r="F1113" s="1">
        <v>2004</v>
      </c>
      <c r="G1113" s="6" t="str">
        <f>IF(COUNTIF(Table1[Customer ID],Table1[[#This Row],[Customer ID]])&gt;1,"Repeat Customer","One-Time Customer")</f>
        <v>Repeat Customer</v>
      </c>
      <c r="H1113" s="1" t="s">
        <v>1943</v>
      </c>
      <c r="I1113" s="1" t="s">
        <v>49</v>
      </c>
      <c r="J1113" s="1" t="s">
        <v>40</v>
      </c>
      <c r="K1113" s="1" t="s">
        <v>77</v>
      </c>
      <c r="L1113" s="1" t="s">
        <v>85</v>
      </c>
      <c r="M1113" s="1" t="s">
        <v>236</v>
      </c>
      <c r="N1113" s="1" t="s">
        <v>1277</v>
      </c>
      <c r="O1113" s="1">
        <v>0.39</v>
      </c>
      <c r="P1113" s="6">
        <f>Table1[[#This Row],[Profit]]/Table1[[#This Row],[Sales]]</f>
        <v>-2.0646206248373056</v>
      </c>
      <c r="Q1113" s="1" t="s">
        <v>33</v>
      </c>
      <c r="R1113" s="1" t="s">
        <v>34</v>
      </c>
      <c r="S1113" s="1" t="s">
        <v>82</v>
      </c>
      <c r="T1113" s="1" t="s">
        <v>1901</v>
      </c>
      <c r="U1113" s="1">
        <v>59715</v>
      </c>
      <c r="V1113" s="9">
        <v>42111</v>
      </c>
      <c r="W1113" s="13" t="str">
        <f>TEXT(Table1[[#This Row],[Order Date]],"mmmm")</f>
        <v>April</v>
      </c>
      <c r="X1113" s="7" t="str">
        <f>TEXT(Table1[[#This Row],[Order Date]],"yyyy")</f>
        <v>2015</v>
      </c>
      <c r="Y1113" s="9">
        <v>42113</v>
      </c>
      <c r="Z1113" s="1">
        <v>-13562.637407999999</v>
      </c>
      <c r="AA1113" s="1">
        <v>1</v>
      </c>
      <c r="AB1113" s="1">
        <v>6569.07</v>
      </c>
      <c r="AC1113" s="1">
        <v>91277</v>
      </c>
      <c r="AD1113" s="6" t="str">
        <f>IF(COUNTIF(Returns!$A$2:$A$1635,Orders!AC1113)&gt;0,"Returned","Not Returned")</f>
        <v>Not Returned</v>
      </c>
    </row>
    <row r="1114" spans="1:30" ht="12.75" customHeight="1" thickTop="1" thickBot="1" x14ac:dyDescent="0.25">
      <c r="A1114" s="10">
        <v>25251</v>
      </c>
      <c r="B1114" s="11" t="s">
        <v>37</v>
      </c>
      <c r="C1114" s="11">
        <v>0.03</v>
      </c>
      <c r="D1114" s="11">
        <v>5.78</v>
      </c>
      <c r="E1114" s="11">
        <v>5.37</v>
      </c>
      <c r="F1114" s="11">
        <v>2006</v>
      </c>
      <c r="G1114" s="6" t="str">
        <f>IF(COUNTIF(Table1[Customer ID],Table1[[#This Row],[Customer ID]])&gt;1,"Repeat Customer","One-Time Customer")</f>
        <v>One-Time Customer</v>
      </c>
      <c r="H1114" s="11" t="s">
        <v>1944</v>
      </c>
      <c r="I1114" s="11" t="s">
        <v>49</v>
      </c>
      <c r="J1114" s="11" t="s">
        <v>40</v>
      </c>
      <c r="K1114" s="11" t="s">
        <v>29</v>
      </c>
      <c r="L1114" s="11" t="s">
        <v>93</v>
      </c>
      <c r="M1114" s="11" t="s">
        <v>59</v>
      </c>
      <c r="N1114" s="11" t="s">
        <v>1945</v>
      </c>
      <c r="O1114" s="11">
        <v>0.36</v>
      </c>
      <c r="P1114" s="6">
        <f>Table1[[#This Row],[Profit]]/Table1[[#This Row],[Sales]]</f>
        <v>-0.71809113579687145</v>
      </c>
      <c r="Q1114" s="11" t="s">
        <v>33</v>
      </c>
      <c r="R1114" s="11" t="s">
        <v>34</v>
      </c>
      <c r="S1114" s="11" t="s">
        <v>255</v>
      </c>
      <c r="T1114" s="11" t="s">
        <v>1946</v>
      </c>
      <c r="U1114" s="11">
        <v>81301</v>
      </c>
      <c r="V1114" s="12">
        <v>42068</v>
      </c>
      <c r="W1114" s="13" t="str">
        <f>TEXT(Table1[[#This Row],[Order Date]],"mmmm")</f>
        <v>March</v>
      </c>
      <c r="X1114" s="7" t="str">
        <f>TEXT(Table1[[#This Row],[Order Date]],"yyyy")</f>
        <v>2015</v>
      </c>
      <c r="Y1114" s="12">
        <v>42069</v>
      </c>
      <c r="Z1114" s="11">
        <v>-63.35</v>
      </c>
      <c r="AA1114" s="11">
        <v>15</v>
      </c>
      <c r="AB1114" s="11">
        <v>88.22</v>
      </c>
      <c r="AC1114" s="11">
        <v>88798</v>
      </c>
      <c r="AD1114" s="6" t="str">
        <f>IF(COUNTIF(Returns!$A$2:$A$1635,Orders!AC1114)&gt;0,"Returned","Not Returned")</f>
        <v>Not Returned</v>
      </c>
    </row>
    <row r="1115" spans="1:30" ht="12.75" customHeight="1" thickTop="1" thickBot="1" x14ac:dyDescent="0.25">
      <c r="A1115" s="8">
        <v>20006</v>
      </c>
      <c r="B1115" s="1" t="s">
        <v>56</v>
      </c>
      <c r="C1115" s="1">
        <v>0.1</v>
      </c>
      <c r="D1115" s="1">
        <v>10.48</v>
      </c>
      <c r="E1115" s="1">
        <v>2.89</v>
      </c>
      <c r="F1115" s="1">
        <v>2016</v>
      </c>
      <c r="G1115" s="6" t="str">
        <f>IF(COUNTIF(Table1[Customer ID],Table1[[#This Row],[Customer ID]])&gt;1,"Repeat Customer","One-Time Customer")</f>
        <v>One-Time Customer</v>
      </c>
      <c r="H1115" s="1" t="s">
        <v>1947</v>
      </c>
      <c r="I1115" s="1" t="s">
        <v>49</v>
      </c>
      <c r="J1115" s="1" t="s">
        <v>28</v>
      </c>
      <c r="K1115" s="1" t="s">
        <v>29</v>
      </c>
      <c r="L1115" s="1" t="s">
        <v>30</v>
      </c>
      <c r="M1115" s="1" t="s">
        <v>51</v>
      </c>
      <c r="N1115" s="1" t="s">
        <v>1808</v>
      </c>
      <c r="O1115" s="1">
        <v>0.6</v>
      </c>
      <c r="P1115" s="6">
        <f>Table1[[#This Row],[Profit]]/Table1[[#This Row],[Sales]]</f>
        <v>-0.22099776619508563</v>
      </c>
      <c r="Q1115" s="1" t="s">
        <v>33</v>
      </c>
      <c r="R1115" s="1" t="s">
        <v>61</v>
      </c>
      <c r="S1115" s="1" t="s">
        <v>300</v>
      </c>
      <c r="T1115" s="1" t="s">
        <v>731</v>
      </c>
      <c r="U1115" s="1">
        <v>48195</v>
      </c>
      <c r="V1115" s="9">
        <v>42173</v>
      </c>
      <c r="W1115" s="13" t="str">
        <f>TEXT(Table1[[#This Row],[Order Date]],"mmmm")</f>
        <v>June</v>
      </c>
      <c r="X1115" s="7" t="str">
        <f>TEXT(Table1[[#This Row],[Order Date]],"yyyy")</f>
        <v>2015</v>
      </c>
      <c r="Y1115" s="9">
        <v>42174</v>
      </c>
      <c r="Z1115" s="1">
        <v>-8.9039999999999999</v>
      </c>
      <c r="AA1115" s="1">
        <v>4</v>
      </c>
      <c r="AB1115" s="1">
        <v>40.29</v>
      </c>
      <c r="AC1115" s="1">
        <v>86874</v>
      </c>
      <c r="AD1115" s="6" t="str">
        <f>IF(COUNTIF(Returns!$A$2:$A$1635,Orders!AC1115)&gt;0,"Returned","Not Returned")</f>
        <v>Not Returned</v>
      </c>
    </row>
    <row r="1116" spans="1:30" ht="12.75" customHeight="1" thickTop="1" thickBot="1" x14ac:dyDescent="0.25">
      <c r="A1116" s="10">
        <v>18989</v>
      </c>
      <c r="B1116" s="11" t="s">
        <v>25</v>
      </c>
      <c r="C1116" s="11">
        <v>7.0000000000000007E-2</v>
      </c>
      <c r="D1116" s="11">
        <v>39.479999999999997</v>
      </c>
      <c r="E1116" s="11">
        <v>1.99</v>
      </c>
      <c r="F1116" s="11">
        <v>2014</v>
      </c>
      <c r="G1116" s="6" t="str">
        <f>IF(COUNTIF(Table1[Customer ID],Table1[[#This Row],[Customer ID]])&gt;1,"Repeat Customer","One-Time Customer")</f>
        <v>Repeat Customer</v>
      </c>
      <c r="H1116" s="11" t="s">
        <v>1948</v>
      </c>
      <c r="I1116" s="11" t="s">
        <v>49</v>
      </c>
      <c r="J1116" s="11" t="s">
        <v>40</v>
      </c>
      <c r="K1116" s="11" t="s">
        <v>77</v>
      </c>
      <c r="L1116" s="11" t="s">
        <v>180</v>
      </c>
      <c r="M1116" s="11" t="s">
        <v>51</v>
      </c>
      <c r="N1116" s="11" t="s">
        <v>705</v>
      </c>
      <c r="O1116" s="11">
        <v>0.54</v>
      </c>
      <c r="P1116" s="6">
        <f>Table1[[#This Row],[Profit]]/Table1[[#This Row],[Sales]]</f>
        <v>0.58650095855093531</v>
      </c>
      <c r="Q1116" s="11" t="s">
        <v>33</v>
      </c>
      <c r="R1116" s="11" t="s">
        <v>61</v>
      </c>
      <c r="S1116" s="11" t="s">
        <v>330</v>
      </c>
      <c r="T1116" s="11" t="s">
        <v>1949</v>
      </c>
      <c r="U1116" s="11">
        <v>51503</v>
      </c>
      <c r="V1116" s="12">
        <v>42085</v>
      </c>
      <c r="W1116" s="13" t="str">
        <f>TEXT(Table1[[#This Row],[Order Date]],"mmmm")</f>
        <v>March</v>
      </c>
      <c r="X1116" s="7" t="str">
        <f>TEXT(Table1[[#This Row],[Order Date]],"yyyy")</f>
        <v>2015</v>
      </c>
      <c r="Y1116" s="12">
        <v>42087</v>
      </c>
      <c r="Z1116" s="11">
        <v>88.72</v>
      </c>
      <c r="AA1116" s="11">
        <v>4</v>
      </c>
      <c r="AB1116" s="11">
        <v>151.27000000000001</v>
      </c>
      <c r="AC1116" s="11">
        <v>88367</v>
      </c>
      <c r="AD1116" s="6" t="str">
        <f>IF(COUNTIF(Returns!$A$2:$A$1635,Orders!AC1116)&gt;0,"Returned","Not Returned")</f>
        <v>Not Returned</v>
      </c>
    </row>
    <row r="1117" spans="1:30" ht="12.75" customHeight="1" thickTop="1" thickBot="1" x14ac:dyDescent="0.25">
      <c r="A1117" s="8">
        <v>18990</v>
      </c>
      <c r="B1117" s="1" t="s">
        <v>25</v>
      </c>
      <c r="C1117" s="1">
        <v>0</v>
      </c>
      <c r="D1117" s="1">
        <v>4.91</v>
      </c>
      <c r="E1117" s="1">
        <v>0.5</v>
      </c>
      <c r="F1117" s="1">
        <v>2014</v>
      </c>
      <c r="G1117" s="6" t="str">
        <f>IF(COUNTIF(Table1[Customer ID],Table1[[#This Row],[Customer ID]])&gt;1,"Repeat Customer","One-Time Customer")</f>
        <v>Repeat Customer</v>
      </c>
      <c r="H1117" s="1" t="s">
        <v>1948</v>
      </c>
      <c r="I1117" s="1" t="s">
        <v>49</v>
      </c>
      <c r="J1117" s="1" t="s">
        <v>40</v>
      </c>
      <c r="K1117" s="1" t="s">
        <v>29</v>
      </c>
      <c r="L1117" s="1" t="s">
        <v>134</v>
      </c>
      <c r="M1117" s="1" t="s">
        <v>59</v>
      </c>
      <c r="N1117" s="1" t="s">
        <v>163</v>
      </c>
      <c r="O1117" s="1">
        <v>0.36</v>
      </c>
      <c r="P1117" s="6">
        <f>Table1[[#This Row],[Profit]]/Table1[[#This Row],[Sales]]</f>
        <v>0.69</v>
      </c>
      <c r="Q1117" s="1" t="s">
        <v>33</v>
      </c>
      <c r="R1117" s="1" t="s">
        <v>61</v>
      </c>
      <c r="S1117" s="1" t="s">
        <v>330</v>
      </c>
      <c r="T1117" s="1" t="s">
        <v>1949</v>
      </c>
      <c r="U1117" s="1">
        <v>51503</v>
      </c>
      <c r="V1117" s="9">
        <v>42085</v>
      </c>
      <c r="W1117" s="13" t="str">
        <f>TEXT(Table1[[#This Row],[Order Date]],"mmmm")</f>
        <v>March</v>
      </c>
      <c r="X1117" s="7" t="str">
        <f>TEXT(Table1[[#This Row],[Order Date]],"yyyy")</f>
        <v>2015</v>
      </c>
      <c r="Y1117" s="9">
        <v>42087</v>
      </c>
      <c r="Z1117" s="1">
        <v>7.2518999999999991</v>
      </c>
      <c r="AA1117" s="1">
        <v>2</v>
      </c>
      <c r="AB1117" s="1">
        <v>10.51</v>
      </c>
      <c r="AC1117" s="1">
        <v>88367</v>
      </c>
      <c r="AD1117" s="6" t="str">
        <f>IF(COUNTIF(Returns!$A$2:$A$1635,Orders!AC1117)&gt;0,"Returned","Not Returned")</f>
        <v>Not Returned</v>
      </c>
    </row>
    <row r="1118" spans="1:30" ht="12.75" customHeight="1" thickTop="1" thickBot="1" x14ac:dyDescent="0.25">
      <c r="A1118" s="10">
        <v>21573</v>
      </c>
      <c r="B1118" s="11" t="s">
        <v>47</v>
      </c>
      <c r="C1118" s="11">
        <v>0.06</v>
      </c>
      <c r="D1118" s="11">
        <v>6.48</v>
      </c>
      <c r="E1118" s="11">
        <v>7.49</v>
      </c>
      <c r="F1118" s="11">
        <v>2014</v>
      </c>
      <c r="G1118" s="6" t="str">
        <f>IF(COUNTIF(Table1[Customer ID],Table1[[#This Row],[Customer ID]])&gt;1,"Repeat Customer","One-Time Customer")</f>
        <v>Repeat Customer</v>
      </c>
      <c r="H1118" s="11" t="s">
        <v>1948</v>
      </c>
      <c r="I1118" s="11" t="s">
        <v>49</v>
      </c>
      <c r="J1118" s="11" t="s">
        <v>40</v>
      </c>
      <c r="K1118" s="11" t="s">
        <v>29</v>
      </c>
      <c r="L1118" s="11" t="s">
        <v>93</v>
      </c>
      <c r="M1118" s="11" t="s">
        <v>59</v>
      </c>
      <c r="N1118" s="11" t="s">
        <v>1950</v>
      </c>
      <c r="O1118" s="11">
        <v>0.37</v>
      </c>
      <c r="P1118" s="6">
        <f>Table1[[#This Row],[Profit]]/Table1[[#This Row],[Sales]]</f>
        <v>-2.5555852128653407</v>
      </c>
      <c r="Q1118" s="11" t="s">
        <v>33</v>
      </c>
      <c r="R1118" s="11" t="s">
        <v>61</v>
      </c>
      <c r="S1118" s="11" t="s">
        <v>330</v>
      </c>
      <c r="T1118" s="11" t="s">
        <v>1949</v>
      </c>
      <c r="U1118" s="11">
        <v>51503</v>
      </c>
      <c r="V1118" s="12">
        <v>42098</v>
      </c>
      <c r="W1118" s="13" t="str">
        <f>TEXT(Table1[[#This Row],[Order Date]],"mmmm")</f>
        <v>April</v>
      </c>
      <c r="X1118" s="7" t="str">
        <f>TEXT(Table1[[#This Row],[Order Date]],"yyyy")</f>
        <v>2015</v>
      </c>
      <c r="Y1118" s="12">
        <v>42098</v>
      </c>
      <c r="Z1118" s="11">
        <v>-191.49</v>
      </c>
      <c r="AA1118" s="11">
        <v>12</v>
      </c>
      <c r="AB1118" s="11">
        <v>74.930000000000007</v>
      </c>
      <c r="AC1118" s="11">
        <v>88368</v>
      </c>
      <c r="AD1118" s="6" t="str">
        <f>IF(COUNTIF(Returns!$A$2:$A$1635,Orders!AC1118)&gt;0,"Returned","Not Returned")</f>
        <v>Not Returned</v>
      </c>
    </row>
    <row r="1119" spans="1:30" ht="12.75" customHeight="1" thickTop="1" thickBot="1" x14ac:dyDescent="0.25">
      <c r="A1119" s="8">
        <v>25557</v>
      </c>
      <c r="B1119" s="1" t="s">
        <v>47</v>
      </c>
      <c r="C1119" s="1">
        <v>0.02</v>
      </c>
      <c r="D1119" s="1">
        <v>120.98</v>
      </c>
      <c r="E1119" s="1">
        <v>58.64</v>
      </c>
      <c r="F1119" s="1">
        <v>2020</v>
      </c>
      <c r="G1119" s="6" t="str">
        <f>IF(COUNTIF(Table1[Customer ID],Table1[[#This Row],[Customer ID]])&gt;1,"Repeat Customer","One-Time Customer")</f>
        <v>One-Time Customer</v>
      </c>
      <c r="H1119" s="1" t="s">
        <v>1951</v>
      </c>
      <c r="I1119" s="1" t="s">
        <v>39</v>
      </c>
      <c r="J1119" s="1" t="s">
        <v>40</v>
      </c>
      <c r="K1119" s="1" t="s">
        <v>41</v>
      </c>
      <c r="L1119" s="1" t="s">
        <v>191</v>
      </c>
      <c r="M1119" s="1" t="s">
        <v>121</v>
      </c>
      <c r="N1119" s="1" t="s">
        <v>1952</v>
      </c>
      <c r="O1119" s="1">
        <v>0.75</v>
      </c>
      <c r="P1119" s="6">
        <f>Table1[[#This Row],[Profit]]/Table1[[#This Row],[Sales]]</f>
        <v>-0.97046659713054073</v>
      </c>
      <c r="Q1119" s="1" t="s">
        <v>33</v>
      </c>
      <c r="R1119" s="1" t="s">
        <v>53</v>
      </c>
      <c r="S1119" s="1" t="s">
        <v>234</v>
      </c>
      <c r="T1119" s="1" t="s">
        <v>1953</v>
      </c>
      <c r="U1119" s="1">
        <v>15239</v>
      </c>
      <c r="V1119" s="9">
        <v>42048</v>
      </c>
      <c r="W1119" s="13" t="str">
        <f>TEXT(Table1[[#This Row],[Order Date]],"mmmm")</f>
        <v>February</v>
      </c>
      <c r="X1119" s="7" t="str">
        <f>TEXT(Table1[[#This Row],[Order Date]],"yyyy")</f>
        <v>2015</v>
      </c>
      <c r="Y1119" s="9">
        <v>42050</v>
      </c>
      <c r="Z1119" s="1">
        <v>-1330.5</v>
      </c>
      <c r="AA1119" s="1">
        <v>11</v>
      </c>
      <c r="AB1119" s="1">
        <v>1370.99</v>
      </c>
      <c r="AC1119" s="1">
        <v>86933</v>
      </c>
      <c r="AD1119" s="6" t="str">
        <f>IF(COUNTIF(Returns!$A$2:$A$1635,Orders!AC1119)&gt;0,"Returned","Not Returned")</f>
        <v>Not Returned</v>
      </c>
    </row>
    <row r="1120" spans="1:30" ht="12.75" customHeight="1" thickTop="1" thickBot="1" x14ac:dyDescent="0.25">
      <c r="A1120" s="10">
        <v>22145</v>
      </c>
      <c r="B1120" s="11" t="s">
        <v>47</v>
      </c>
      <c r="C1120" s="11">
        <v>0.04</v>
      </c>
      <c r="D1120" s="11">
        <v>120.97</v>
      </c>
      <c r="E1120" s="11">
        <v>7.11</v>
      </c>
      <c r="F1120" s="11">
        <v>2030</v>
      </c>
      <c r="G1120" s="6" t="str">
        <f>IF(COUNTIF(Table1[Customer ID],Table1[[#This Row],[Customer ID]])&gt;1,"Repeat Customer","One-Time Customer")</f>
        <v>Repeat Customer</v>
      </c>
      <c r="H1120" s="11" t="s">
        <v>1954</v>
      </c>
      <c r="I1120" s="11" t="s">
        <v>49</v>
      </c>
      <c r="J1120" s="11" t="s">
        <v>28</v>
      </c>
      <c r="K1120" s="11" t="s">
        <v>77</v>
      </c>
      <c r="L1120" s="11" t="s">
        <v>85</v>
      </c>
      <c r="M1120" s="11" t="s">
        <v>86</v>
      </c>
      <c r="N1120" s="11" t="s">
        <v>1955</v>
      </c>
      <c r="O1120" s="11">
        <v>0.36</v>
      </c>
      <c r="P1120" s="6">
        <f>Table1[[#This Row],[Profit]]/Table1[[#This Row],[Sales]]</f>
        <v>0.69</v>
      </c>
      <c r="Q1120" s="11" t="s">
        <v>33</v>
      </c>
      <c r="R1120" s="11" t="s">
        <v>61</v>
      </c>
      <c r="S1120" s="11" t="s">
        <v>130</v>
      </c>
      <c r="T1120" s="11" t="s">
        <v>1576</v>
      </c>
      <c r="U1120" s="11">
        <v>75401</v>
      </c>
      <c r="V1120" s="12">
        <v>42080</v>
      </c>
      <c r="W1120" s="13" t="str">
        <f>TEXT(Table1[[#This Row],[Order Date]],"mmmm")</f>
        <v>March</v>
      </c>
      <c r="X1120" s="7" t="str">
        <f>TEXT(Table1[[#This Row],[Order Date]],"yyyy")</f>
        <v>2015</v>
      </c>
      <c r="Y1120" s="12">
        <v>42080</v>
      </c>
      <c r="Z1120" s="11">
        <v>1320.5495999999998</v>
      </c>
      <c r="AA1120" s="11">
        <v>16</v>
      </c>
      <c r="AB1120" s="11">
        <v>1913.84</v>
      </c>
      <c r="AC1120" s="11">
        <v>91059</v>
      </c>
      <c r="AD1120" s="6" t="str">
        <f>IF(COUNTIF(Returns!$A$2:$A$1635,Orders!AC1120)&gt;0,"Returned","Not Returned")</f>
        <v>Not Returned</v>
      </c>
    </row>
    <row r="1121" spans="1:30" ht="12.75" customHeight="1" thickTop="1" thickBot="1" x14ac:dyDescent="0.25">
      <c r="A1121" s="8">
        <v>22146</v>
      </c>
      <c r="B1121" s="1" t="s">
        <v>47</v>
      </c>
      <c r="C1121" s="1">
        <v>0</v>
      </c>
      <c r="D1121" s="1">
        <v>195.99</v>
      </c>
      <c r="E1121" s="1">
        <v>4.2</v>
      </c>
      <c r="F1121" s="1">
        <v>2030</v>
      </c>
      <c r="G1121" s="6" t="str">
        <f>IF(COUNTIF(Table1[Customer ID],Table1[[#This Row],[Customer ID]])&gt;1,"Repeat Customer","One-Time Customer")</f>
        <v>Repeat Customer</v>
      </c>
      <c r="H1121" s="1" t="s">
        <v>1954</v>
      </c>
      <c r="I1121" s="1" t="s">
        <v>49</v>
      </c>
      <c r="J1121" s="1" t="s">
        <v>28</v>
      </c>
      <c r="K1121" s="1" t="s">
        <v>77</v>
      </c>
      <c r="L1121" s="1" t="s">
        <v>78</v>
      </c>
      <c r="M1121" s="1" t="s">
        <v>59</v>
      </c>
      <c r="N1121" s="1" t="s">
        <v>1956</v>
      </c>
      <c r="O1121" s="1">
        <v>0.6</v>
      </c>
      <c r="P1121" s="6">
        <f>Table1[[#This Row],[Profit]]/Table1[[#This Row],[Sales]]</f>
        <v>0.58894217196856014</v>
      </c>
      <c r="Q1121" s="1" t="s">
        <v>33</v>
      </c>
      <c r="R1121" s="1" t="s">
        <v>61</v>
      </c>
      <c r="S1121" s="1" t="s">
        <v>130</v>
      </c>
      <c r="T1121" s="1" t="s">
        <v>1576</v>
      </c>
      <c r="U1121" s="1">
        <v>75401</v>
      </c>
      <c r="V1121" s="9">
        <v>42080</v>
      </c>
      <c r="W1121" s="13" t="str">
        <f>TEXT(Table1[[#This Row],[Order Date]],"mmmm")</f>
        <v>March</v>
      </c>
      <c r="X1121" s="7" t="str">
        <f>TEXT(Table1[[#This Row],[Order Date]],"yyyy")</f>
        <v>2015</v>
      </c>
      <c r="Y1121" s="9">
        <v>42082</v>
      </c>
      <c r="Z1121" s="1">
        <v>1585.5030000000002</v>
      </c>
      <c r="AA1121" s="1">
        <v>16</v>
      </c>
      <c r="AB1121" s="1">
        <v>2692.12</v>
      </c>
      <c r="AC1121" s="1">
        <v>91059</v>
      </c>
      <c r="AD1121" s="6" t="str">
        <f>IF(COUNTIF(Returns!$A$2:$A$1635,Orders!AC1121)&gt;0,"Returned","Not Returned")</f>
        <v>Not Returned</v>
      </c>
    </row>
    <row r="1122" spans="1:30" ht="12.75" customHeight="1" thickTop="1" thickBot="1" x14ac:dyDescent="0.25">
      <c r="A1122" s="10">
        <v>20654</v>
      </c>
      <c r="B1122" s="11" t="s">
        <v>56</v>
      </c>
      <c r="C1122" s="11">
        <v>0.03</v>
      </c>
      <c r="D1122" s="11">
        <v>55.98</v>
      </c>
      <c r="E1122" s="11">
        <v>4.8600000000000003</v>
      </c>
      <c r="F1122" s="11">
        <v>2030</v>
      </c>
      <c r="G1122" s="6" t="str">
        <f>IF(COUNTIF(Table1[Customer ID],Table1[[#This Row],[Customer ID]])&gt;1,"Repeat Customer","One-Time Customer")</f>
        <v>Repeat Customer</v>
      </c>
      <c r="H1122" s="11" t="s">
        <v>1954</v>
      </c>
      <c r="I1122" s="11" t="s">
        <v>49</v>
      </c>
      <c r="J1122" s="11" t="s">
        <v>28</v>
      </c>
      <c r="K1122" s="11" t="s">
        <v>29</v>
      </c>
      <c r="L1122" s="11" t="s">
        <v>93</v>
      </c>
      <c r="M1122" s="11" t="s">
        <v>59</v>
      </c>
      <c r="N1122" s="11" t="s">
        <v>612</v>
      </c>
      <c r="O1122" s="11">
        <v>0.36</v>
      </c>
      <c r="P1122" s="6">
        <f>Table1[[#This Row],[Profit]]/Table1[[#This Row],[Sales]]</f>
        <v>0.69</v>
      </c>
      <c r="Q1122" s="11" t="s">
        <v>33</v>
      </c>
      <c r="R1122" s="11" t="s">
        <v>61</v>
      </c>
      <c r="S1122" s="11" t="s">
        <v>130</v>
      </c>
      <c r="T1122" s="11" t="s">
        <v>1576</v>
      </c>
      <c r="U1122" s="11">
        <v>75401</v>
      </c>
      <c r="V1122" s="12">
        <v>42081</v>
      </c>
      <c r="W1122" s="13" t="str">
        <f>TEXT(Table1[[#This Row],[Order Date]],"mmmm")</f>
        <v>March</v>
      </c>
      <c r="X1122" s="7" t="str">
        <f>TEXT(Table1[[#This Row],[Order Date]],"yyyy")</f>
        <v>2015</v>
      </c>
      <c r="Y1122" s="12">
        <v>42083</v>
      </c>
      <c r="Z1122" s="11">
        <v>526.04219999999998</v>
      </c>
      <c r="AA1122" s="11">
        <v>13</v>
      </c>
      <c r="AB1122" s="11">
        <v>762.38</v>
      </c>
      <c r="AC1122" s="11">
        <v>91060</v>
      </c>
      <c r="AD1122" s="6" t="str">
        <f>IF(COUNTIF(Returns!$A$2:$A$1635,Orders!AC1122)&gt;0,"Returned","Not Returned")</f>
        <v>Not Returned</v>
      </c>
    </row>
    <row r="1123" spans="1:30" ht="12.75" customHeight="1" thickTop="1" thickBot="1" x14ac:dyDescent="0.25">
      <c r="A1123" s="8">
        <v>25918</v>
      </c>
      <c r="B1123" s="1" t="s">
        <v>47</v>
      </c>
      <c r="C1123" s="1">
        <v>0.1</v>
      </c>
      <c r="D1123" s="1">
        <v>1.89</v>
      </c>
      <c r="E1123" s="1">
        <v>0.76</v>
      </c>
      <c r="F1123" s="1">
        <v>2035</v>
      </c>
      <c r="G1123" s="6" t="str">
        <f>IF(COUNTIF(Table1[Customer ID],Table1[[#This Row],[Customer ID]])&gt;1,"Repeat Customer","One-Time Customer")</f>
        <v>One-Time Customer</v>
      </c>
      <c r="H1123" s="1" t="s">
        <v>1957</v>
      </c>
      <c r="I1123" s="1" t="s">
        <v>49</v>
      </c>
      <c r="J1123" s="1" t="s">
        <v>114</v>
      </c>
      <c r="K1123" s="1" t="s">
        <v>29</v>
      </c>
      <c r="L1123" s="1" t="s">
        <v>66</v>
      </c>
      <c r="M1123" s="1" t="s">
        <v>31</v>
      </c>
      <c r="N1123" s="1" t="s">
        <v>1958</v>
      </c>
      <c r="O1123" s="1">
        <v>0.83</v>
      </c>
      <c r="P1123" s="6">
        <f>Table1[[#This Row],[Profit]]/Table1[[#This Row],[Sales]]</f>
        <v>-1.1010893246187365</v>
      </c>
      <c r="Q1123" s="1" t="s">
        <v>33</v>
      </c>
      <c r="R1123" s="1" t="s">
        <v>136</v>
      </c>
      <c r="S1123" s="1" t="s">
        <v>362</v>
      </c>
      <c r="T1123" s="1" t="s">
        <v>1841</v>
      </c>
      <c r="U1123" s="1">
        <v>33403</v>
      </c>
      <c r="V1123" s="9">
        <v>42142</v>
      </c>
      <c r="W1123" s="13" t="str">
        <f>TEXT(Table1[[#This Row],[Order Date]],"mmmm")</f>
        <v>May</v>
      </c>
      <c r="X1123" s="7" t="str">
        <f>TEXT(Table1[[#This Row],[Order Date]],"yyyy")</f>
        <v>2015</v>
      </c>
      <c r="Y1123" s="9">
        <v>42144</v>
      </c>
      <c r="Z1123" s="1">
        <v>-40.432000000000002</v>
      </c>
      <c r="AA1123" s="1">
        <v>20</v>
      </c>
      <c r="AB1123" s="1">
        <v>36.72</v>
      </c>
      <c r="AC1123" s="1">
        <v>87117</v>
      </c>
      <c r="AD1123" s="6" t="str">
        <f>IF(COUNTIF(Returns!$A$2:$A$1635,Orders!AC1123)&gt;0,"Returned","Not Returned")</f>
        <v>Not Returned</v>
      </c>
    </row>
    <row r="1124" spans="1:30" ht="12.75" customHeight="1" thickTop="1" thickBot="1" x14ac:dyDescent="0.25">
      <c r="A1124" s="10">
        <v>19733</v>
      </c>
      <c r="B1124" s="11" t="s">
        <v>37</v>
      </c>
      <c r="C1124" s="11">
        <v>0</v>
      </c>
      <c r="D1124" s="11">
        <v>73.98</v>
      </c>
      <c r="E1124" s="11">
        <v>14.52</v>
      </c>
      <c r="F1124" s="11">
        <v>2037</v>
      </c>
      <c r="G1124" s="6" t="str">
        <f>IF(COUNTIF(Table1[Customer ID],Table1[[#This Row],[Customer ID]])&gt;1,"Repeat Customer","One-Time Customer")</f>
        <v>One-Time Customer</v>
      </c>
      <c r="H1124" s="11" t="s">
        <v>1959</v>
      </c>
      <c r="I1124" s="11" t="s">
        <v>49</v>
      </c>
      <c r="J1124" s="11" t="s">
        <v>58</v>
      </c>
      <c r="K1124" s="11" t="s">
        <v>77</v>
      </c>
      <c r="L1124" s="11" t="s">
        <v>180</v>
      </c>
      <c r="M1124" s="11" t="s">
        <v>59</v>
      </c>
      <c r="N1124" s="11" t="s">
        <v>1140</v>
      </c>
      <c r="O1124" s="11">
        <v>0.65</v>
      </c>
      <c r="P1124" s="6">
        <f>Table1[[#This Row],[Profit]]/Table1[[#This Row],[Sales]]</f>
        <v>-0.28984985770828564</v>
      </c>
      <c r="Q1124" s="11" t="s">
        <v>33</v>
      </c>
      <c r="R1124" s="11" t="s">
        <v>34</v>
      </c>
      <c r="S1124" s="11" t="s">
        <v>82</v>
      </c>
      <c r="T1124" s="11" t="s">
        <v>1901</v>
      </c>
      <c r="U1124" s="11">
        <v>59715</v>
      </c>
      <c r="V1124" s="12">
        <v>42075</v>
      </c>
      <c r="W1124" s="13" t="str">
        <f>TEXT(Table1[[#This Row],[Order Date]],"mmmm")</f>
        <v>March</v>
      </c>
      <c r="X1124" s="7" t="str">
        <f>TEXT(Table1[[#This Row],[Order Date]],"yyyy")</f>
        <v>2015</v>
      </c>
      <c r="Y1124" s="12">
        <v>42077</v>
      </c>
      <c r="Z1124" s="11">
        <v>-88.61</v>
      </c>
      <c r="AA1124" s="11">
        <v>4</v>
      </c>
      <c r="AB1124" s="11">
        <v>305.70999999999998</v>
      </c>
      <c r="AC1124" s="11">
        <v>89333</v>
      </c>
      <c r="AD1124" s="6" t="str">
        <f>IF(COUNTIF(Returns!$A$2:$A$1635,Orders!AC1124)&gt;0,"Returned","Not Returned")</f>
        <v>Not Returned</v>
      </c>
    </row>
    <row r="1125" spans="1:30" ht="12.75" customHeight="1" thickTop="1" thickBot="1" x14ac:dyDescent="0.25">
      <c r="A1125" s="8">
        <v>22018</v>
      </c>
      <c r="B1125" s="1" t="s">
        <v>25</v>
      </c>
      <c r="C1125" s="1">
        <v>0.06</v>
      </c>
      <c r="D1125" s="1">
        <v>40.99</v>
      </c>
      <c r="E1125" s="1">
        <v>17.48</v>
      </c>
      <c r="F1125" s="1">
        <v>2038</v>
      </c>
      <c r="G1125" s="6" t="str">
        <f>IF(COUNTIF(Table1[Customer ID],Table1[[#This Row],[Customer ID]])&gt;1,"Repeat Customer","One-Time Customer")</f>
        <v>One-Time Customer</v>
      </c>
      <c r="H1125" s="1" t="s">
        <v>1960</v>
      </c>
      <c r="I1125" s="1" t="s">
        <v>49</v>
      </c>
      <c r="J1125" s="1" t="s">
        <v>58</v>
      </c>
      <c r="K1125" s="1" t="s">
        <v>29</v>
      </c>
      <c r="L1125" s="1" t="s">
        <v>93</v>
      </c>
      <c r="M1125" s="1" t="s">
        <v>59</v>
      </c>
      <c r="N1125" s="1" t="s">
        <v>1106</v>
      </c>
      <c r="O1125" s="1">
        <v>0.36</v>
      </c>
      <c r="P1125" s="6">
        <f>Table1[[#This Row],[Profit]]/Table1[[#This Row],[Sales]]</f>
        <v>0.39390877598152424</v>
      </c>
      <c r="Q1125" s="1" t="s">
        <v>33</v>
      </c>
      <c r="R1125" s="1" t="s">
        <v>53</v>
      </c>
      <c r="S1125" s="1" t="s">
        <v>71</v>
      </c>
      <c r="T1125" s="1" t="s">
        <v>1961</v>
      </c>
      <c r="U1125" s="1">
        <v>10550</v>
      </c>
      <c r="V1125" s="9">
        <v>42115</v>
      </c>
      <c r="W1125" s="13" t="str">
        <f>TEXT(Table1[[#This Row],[Order Date]],"mmmm")</f>
        <v>April</v>
      </c>
      <c r="X1125" s="7" t="str">
        <f>TEXT(Table1[[#This Row],[Order Date]],"yyyy")</f>
        <v>2015</v>
      </c>
      <c r="Y1125" s="9">
        <v>42115</v>
      </c>
      <c r="Z1125" s="1">
        <v>109.16</v>
      </c>
      <c r="AA1125" s="1">
        <v>7</v>
      </c>
      <c r="AB1125" s="1">
        <v>277.12</v>
      </c>
      <c r="AC1125" s="1">
        <v>89334</v>
      </c>
      <c r="AD1125" s="6" t="str">
        <f>IF(COUNTIF(Returns!$A$2:$A$1635,Orders!AC1125)&gt;0,"Returned","Not Returned")</f>
        <v>Not Returned</v>
      </c>
    </row>
    <row r="1126" spans="1:30" ht="12.75" customHeight="1" thickTop="1" thickBot="1" x14ac:dyDescent="0.25">
      <c r="A1126" s="10">
        <v>24731</v>
      </c>
      <c r="B1126" s="11" t="s">
        <v>106</v>
      </c>
      <c r="C1126" s="11">
        <v>0.09</v>
      </c>
      <c r="D1126" s="11">
        <v>20.99</v>
      </c>
      <c r="E1126" s="11">
        <v>2.5</v>
      </c>
      <c r="F1126" s="11">
        <v>2044</v>
      </c>
      <c r="G1126" s="6" t="str">
        <f>IF(COUNTIF(Table1[Customer ID],Table1[[#This Row],[Customer ID]])&gt;1,"Repeat Customer","One-Time Customer")</f>
        <v>One-Time Customer</v>
      </c>
      <c r="H1126" s="11" t="s">
        <v>1962</v>
      </c>
      <c r="I1126" s="11" t="s">
        <v>49</v>
      </c>
      <c r="J1126" s="11" t="s">
        <v>28</v>
      </c>
      <c r="K1126" s="11" t="s">
        <v>77</v>
      </c>
      <c r="L1126" s="11" t="s">
        <v>78</v>
      </c>
      <c r="M1126" s="11" t="s">
        <v>31</v>
      </c>
      <c r="N1126" s="11" t="s">
        <v>1170</v>
      </c>
      <c r="O1126" s="11">
        <v>0.81</v>
      </c>
      <c r="P1126" s="6">
        <f>Table1[[#This Row],[Profit]]/Table1[[#This Row],[Sales]]</f>
        <v>-1.359724303266407</v>
      </c>
      <c r="Q1126" s="11" t="s">
        <v>33</v>
      </c>
      <c r="R1126" s="11" t="s">
        <v>136</v>
      </c>
      <c r="S1126" s="11" t="s">
        <v>958</v>
      </c>
      <c r="T1126" s="11" t="s">
        <v>1963</v>
      </c>
      <c r="U1126" s="11">
        <v>72756</v>
      </c>
      <c r="V1126" s="12">
        <v>42179</v>
      </c>
      <c r="W1126" s="13" t="str">
        <f>TEXT(Table1[[#This Row],[Order Date]],"mmmm")</f>
        <v>June</v>
      </c>
      <c r="X1126" s="7" t="str">
        <f>TEXT(Table1[[#This Row],[Order Date]],"yyyy")</f>
        <v>2015</v>
      </c>
      <c r="Y1126" s="12">
        <v>42186</v>
      </c>
      <c r="Z1126" s="11">
        <v>-136.12200000000001</v>
      </c>
      <c r="AA1126" s="11">
        <v>6</v>
      </c>
      <c r="AB1126" s="11">
        <v>100.11</v>
      </c>
      <c r="AC1126" s="11">
        <v>88692</v>
      </c>
      <c r="AD1126" s="6" t="str">
        <f>IF(COUNTIF(Returns!$A$2:$A$1635,Orders!AC1126)&gt;0,"Returned","Not Returned")</f>
        <v>Not Returned</v>
      </c>
    </row>
    <row r="1127" spans="1:30" ht="12.75" customHeight="1" thickTop="1" thickBot="1" x14ac:dyDescent="0.25">
      <c r="A1127" s="8">
        <v>22970</v>
      </c>
      <c r="B1127" s="1" t="s">
        <v>47</v>
      </c>
      <c r="C1127" s="1">
        <v>0.04</v>
      </c>
      <c r="D1127" s="1">
        <v>4.28</v>
      </c>
      <c r="E1127" s="1">
        <v>5.68</v>
      </c>
      <c r="F1127" s="1">
        <v>2046</v>
      </c>
      <c r="G1127" s="6" t="str">
        <f>IF(COUNTIF(Table1[Customer ID],Table1[[#This Row],[Customer ID]])&gt;1,"Repeat Customer","One-Time Customer")</f>
        <v>Repeat Customer</v>
      </c>
      <c r="H1127" s="1" t="s">
        <v>1964</v>
      </c>
      <c r="I1127" s="1" t="s">
        <v>49</v>
      </c>
      <c r="J1127" s="1" t="s">
        <v>28</v>
      </c>
      <c r="K1127" s="1" t="s">
        <v>29</v>
      </c>
      <c r="L1127" s="1" t="s">
        <v>93</v>
      </c>
      <c r="M1127" s="1" t="s">
        <v>59</v>
      </c>
      <c r="N1127" s="1" t="s">
        <v>1965</v>
      </c>
      <c r="O1127" s="1">
        <v>0.4</v>
      </c>
      <c r="P1127" s="6">
        <f>Table1[[#This Row],[Profit]]/Table1[[#This Row],[Sales]]</f>
        <v>-0.86794546607482559</v>
      </c>
      <c r="Q1127" s="1" t="s">
        <v>33</v>
      </c>
      <c r="R1127" s="1" t="s">
        <v>61</v>
      </c>
      <c r="S1127" s="1" t="s">
        <v>183</v>
      </c>
      <c r="T1127" s="1" t="s">
        <v>1966</v>
      </c>
      <c r="U1127" s="1">
        <v>67901</v>
      </c>
      <c r="V1127" s="9">
        <v>42167</v>
      </c>
      <c r="W1127" s="13" t="str">
        <f>TEXT(Table1[[#This Row],[Order Date]],"mmmm")</f>
        <v>June</v>
      </c>
      <c r="X1127" s="7" t="str">
        <f>TEXT(Table1[[#This Row],[Order Date]],"yyyy")</f>
        <v>2015</v>
      </c>
      <c r="Y1127" s="9">
        <v>42169</v>
      </c>
      <c r="Z1127" s="1">
        <v>-27.375</v>
      </c>
      <c r="AA1127" s="1">
        <v>7</v>
      </c>
      <c r="AB1127" s="1">
        <v>31.54</v>
      </c>
      <c r="AC1127" s="1">
        <v>88219</v>
      </c>
      <c r="AD1127" s="6" t="str">
        <f>IF(COUNTIF(Returns!$A$2:$A$1635,Orders!AC1127)&gt;0,"Returned","Not Returned")</f>
        <v>Not Returned</v>
      </c>
    </row>
    <row r="1128" spans="1:30" ht="12.75" customHeight="1" thickTop="1" thickBot="1" x14ac:dyDescent="0.25">
      <c r="A1128" s="10">
        <v>22971</v>
      </c>
      <c r="B1128" s="11" t="s">
        <v>47</v>
      </c>
      <c r="C1128" s="11">
        <v>0.06</v>
      </c>
      <c r="D1128" s="11">
        <v>376.13</v>
      </c>
      <c r="E1128" s="11">
        <v>85.63</v>
      </c>
      <c r="F1128" s="11">
        <v>2046</v>
      </c>
      <c r="G1128" s="6" t="str">
        <f>IF(COUNTIF(Table1[Customer ID],Table1[[#This Row],[Customer ID]])&gt;1,"Repeat Customer","One-Time Customer")</f>
        <v>Repeat Customer</v>
      </c>
      <c r="H1128" s="11" t="s">
        <v>1964</v>
      </c>
      <c r="I1128" s="11" t="s">
        <v>39</v>
      </c>
      <c r="J1128" s="11" t="s">
        <v>28</v>
      </c>
      <c r="K1128" s="11" t="s">
        <v>41</v>
      </c>
      <c r="L1128" s="11" t="s">
        <v>152</v>
      </c>
      <c r="M1128" s="11" t="s">
        <v>121</v>
      </c>
      <c r="N1128" s="11" t="s">
        <v>1967</v>
      </c>
      <c r="O1128" s="11">
        <v>0.74</v>
      </c>
      <c r="P1128" s="6">
        <f>Table1[[#This Row],[Profit]]/Table1[[#This Row],[Sales]]</f>
        <v>-9.40208514485327E-2</v>
      </c>
      <c r="Q1128" s="11" t="s">
        <v>33</v>
      </c>
      <c r="R1128" s="11" t="s">
        <v>61</v>
      </c>
      <c r="S1128" s="11" t="s">
        <v>183</v>
      </c>
      <c r="T1128" s="11" t="s">
        <v>1966</v>
      </c>
      <c r="U1128" s="11">
        <v>67901</v>
      </c>
      <c r="V1128" s="12">
        <v>42167</v>
      </c>
      <c r="W1128" s="13" t="str">
        <f>TEXT(Table1[[#This Row],[Order Date]],"mmmm")</f>
        <v>June</v>
      </c>
      <c r="X1128" s="7" t="str">
        <f>TEXT(Table1[[#This Row],[Order Date]],"yyyy")</f>
        <v>2015</v>
      </c>
      <c r="Y1128" s="12">
        <v>42169</v>
      </c>
      <c r="Z1128" s="11">
        <v>-435.75749999999999</v>
      </c>
      <c r="AA1128" s="11">
        <v>13</v>
      </c>
      <c r="AB1128" s="11">
        <v>4634.6899999999996</v>
      </c>
      <c r="AC1128" s="11">
        <v>88219</v>
      </c>
      <c r="AD1128" s="6" t="str">
        <f>IF(COUNTIF(Returns!$A$2:$A$1635,Orders!AC1128)&gt;0,"Returned","Not Returned")</f>
        <v>Not Returned</v>
      </c>
    </row>
    <row r="1129" spans="1:30" ht="12.75" customHeight="1" thickTop="1" thickBot="1" x14ac:dyDescent="0.25">
      <c r="A1129" s="8">
        <v>22972</v>
      </c>
      <c r="B1129" s="1" t="s">
        <v>47</v>
      </c>
      <c r="C1129" s="1">
        <v>0.06</v>
      </c>
      <c r="D1129" s="1">
        <v>424.21</v>
      </c>
      <c r="E1129" s="1">
        <v>110.2</v>
      </c>
      <c r="F1129" s="1">
        <v>2046</v>
      </c>
      <c r="G1129" s="6" t="str">
        <f>IF(COUNTIF(Table1[Customer ID],Table1[[#This Row],[Customer ID]])&gt;1,"Repeat Customer","One-Time Customer")</f>
        <v>Repeat Customer</v>
      </c>
      <c r="H1129" s="1" t="s">
        <v>1964</v>
      </c>
      <c r="I1129" s="1" t="s">
        <v>39</v>
      </c>
      <c r="J1129" s="1" t="s">
        <v>28</v>
      </c>
      <c r="K1129" s="1" t="s">
        <v>41</v>
      </c>
      <c r="L1129" s="1" t="s">
        <v>152</v>
      </c>
      <c r="M1129" s="1" t="s">
        <v>121</v>
      </c>
      <c r="N1129" s="1" t="s">
        <v>1900</v>
      </c>
      <c r="O1129" s="1">
        <v>0.67</v>
      </c>
      <c r="P1129" s="6">
        <f>Table1[[#This Row],[Profit]]/Table1[[#This Row],[Sales]]</f>
        <v>9.3445673142087307E-2</v>
      </c>
      <c r="Q1129" s="1" t="s">
        <v>33</v>
      </c>
      <c r="R1129" s="1" t="s">
        <v>61</v>
      </c>
      <c r="S1129" s="1" t="s">
        <v>183</v>
      </c>
      <c r="T1129" s="1" t="s">
        <v>1966</v>
      </c>
      <c r="U1129" s="1">
        <v>67901</v>
      </c>
      <c r="V1129" s="9">
        <v>42167</v>
      </c>
      <c r="W1129" s="13" t="str">
        <f>TEXT(Table1[[#This Row],[Order Date]],"mmmm")</f>
        <v>June</v>
      </c>
      <c r="X1129" s="7" t="str">
        <f>TEXT(Table1[[#This Row],[Order Date]],"yyyy")</f>
        <v>2015</v>
      </c>
      <c r="Y1129" s="9">
        <v>42168</v>
      </c>
      <c r="Z1129" s="1">
        <v>682.53</v>
      </c>
      <c r="AA1129" s="1">
        <v>17</v>
      </c>
      <c r="AB1129" s="1">
        <v>7304.03</v>
      </c>
      <c r="AC1129" s="1">
        <v>88219</v>
      </c>
      <c r="AD1129" s="6" t="str">
        <f>IF(COUNTIF(Returns!$A$2:$A$1635,Orders!AC1129)&gt;0,"Returned","Not Returned")</f>
        <v>Not Returned</v>
      </c>
    </row>
    <row r="1130" spans="1:30" ht="12.75" customHeight="1" thickTop="1" thickBot="1" x14ac:dyDescent="0.25">
      <c r="A1130" s="10">
        <v>22973</v>
      </c>
      <c r="B1130" s="11" t="s">
        <v>47</v>
      </c>
      <c r="C1130" s="11">
        <v>0.06</v>
      </c>
      <c r="D1130" s="11">
        <v>195.99</v>
      </c>
      <c r="E1130" s="11">
        <v>8.99</v>
      </c>
      <c r="F1130" s="11">
        <v>2046</v>
      </c>
      <c r="G1130" s="6" t="str">
        <f>IF(COUNTIF(Table1[Customer ID],Table1[[#This Row],[Customer ID]])&gt;1,"Repeat Customer","One-Time Customer")</f>
        <v>Repeat Customer</v>
      </c>
      <c r="H1130" s="11" t="s">
        <v>1964</v>
      </c>
      <c r="I1130" s="11" t="s">
        <v>49</v>
      </c>
      <c r="J1130" s="11" t="s">
        <v>28</v>
      </c>
      <c r="K1130" s="11" t="s">
        <v>77</v>
      </c>
      <c r="L1130" s="11" t="s">
        <v>78</v>
      </c>
      <c r="M1130" s="11" t="s">
        <v>59</v>
      </c>
      <c r="N1130" s="11" t="s">
        <v>734</v>
      </c>
      <c r="O1130" s="11">
        <v>0.6</v>
      </c>
      <c r="P1130" s="6">
        <f>Table1[[#This Row],[Profit]]/Table1[[#This Row],[Sales]]</f>
        <v>-0.43819173318580579</v>
      </c>
      <c r="Q1130" s="11" t="s">
        <v>33</v>
      </c>
      <c r="R1130" s="11" t="s">
        <v>61</v>
      </c>
      <c r="S1130" s="11" t="s">
        <v>183</v>
      </c>
      <c r="T1130" s="11" t="s">
        <v>1966</v>
      </c>
      <c r="U1130" s="11">
        <v>67901</v>
      </c>
      <c r="V1130" s="12">
        <v>42167</v>
      </c>
      <c r="W1130" s="13" t="str">
        <f>TEXT(Table1[[#This Row],[Order Date]],"mmmm")</f>
        <v>June</v>
      </c>
      <c r="X1130" s="7" t="str">
        <f>TEXT(Table1[[#This Row],[Order Date]],"yyyy")</f>
        <v>2015</v>
      </c>
      <c r="Y1130" s="12">
        <v>42169</v>
      </c>
      <c r="Z1130" s="11">
        <v>-277.22200000000004</v>
      </c>
      <c r="AA1130" s="11">
        <v>4</v>
      </c>
      <c r="AB1130" s="11">
        <v>632.65</v>
      </c>
      <c r="AC1130" s="11">
        <v>88219</v>
      </c>
      <c r="AD1130" s="6" t="str">
        <f>IF(COUNTIF(Returns!$A$2:$A$1635,Orders!AC1130)&gt;0,"Returned","Not Returned")</f>
        <v>Not Returned</v>
      </c>
    </row>
    <row r="1131" spans="1:30" ht="12.75" customHeight="1" thickTop="1" thickBot="1" x14ac:dyDescent="0.25">
      <c r="A1131" s="8">
        <v>18497</v>
      </c>
      <c r="B1131" s="1" t="s">
        <v>25</v>
      </c>
      <c r="C1131" s="1">
        <v>0.03</v>
      </c>
      <c r="D1131" s="1">
        <v>15.28</v>
      </c>
      <c r="E1131" s="1">
        <v>1.99</v>
      </c>
      <c r="F1131" s="1">
        <v>2049</v>
      </c>
      <c r="G1131" s="6" t="str">
        <f>IF(COUNTIF(Table1[Customer ID],Table1[[#This Row],[Customer ID]])&gt;1,"Repeat Customer","One-Time Customer")</f>
        <v>Repeat Customer</v>
      </c>
      <c r="H1131" s="1" t="s">
        <v>1968</v>
      </c>
      <c r="I1131" s="1" t="s">
        <v>49</v>
      </c>
      <c r="J1131" s="1" t="s">
        <v>28</v>
      </c>
      <c r="K1131" s="1" t="s">
        <v>77</v>
      </c>
      <c r="L1131" s="1" t="s">
        <v>180</v>
      </c>
      <c r="M1131" s="1" t="s">
        <v>51</v>
      </c>
      <c r="N1131" s="1" t="s">
        <v>333</v>
      </c>
      <c r="O1131" s="1">
        <v>0.42</v>
      </c>
      <c r="P1131" s="6">
        <f>Table1[[#This Row],[Profit]]/Table1[[#This Row],[Sales]]</f>
        <v>-0.91650972575434742</v>
      </c>
      <c r="Q1131" s="1" t="s">
        <v>33</v>
      </c>
      <c r="R1131" s="1" t="s">
        <v>136</v>
      </c>
      <c r="S1131" s="1" t="s">
        <v>137</v>
      </c>
      <c r="T1131" s="1" t="s">
        <v>1969</v>
      </c>
      <c r="U1131" s="1">
        <v>22801</v>
      </c>
      <c r="V1131" s="9">
        <v>42176</v>
      </c>
      <c r="W1131" s="13" t="str">
        <f>TEXT(Table1[[#This Row],[Order Date]],"mmmm")</f>
        <v>June</v>
      </c>
      <c r="X1131" s="7" t="str">
        <f>TEXT(Table1[[#This Row],[Order Date]],"yyyy")</f>
        <v>2015</v>
      </c>
      <c r="Y1131" s="9">
        <v>42178</v>
      </c>
      <c r="Z1131" s="1">
        <v>-266.68600000000004</v>
      </c>
      <c r="AA1131" s="1">
        <v>19</v>
      </c>
      <c r="AB1131" s="1">
        <v>290.98</v>
      </c>
      <c r="AC1131" s="1">
        <v>88220</v>
      </c>
      <c r="AD1131" s="6" t="str">
        <f>IF(COUNTIF(Returns!$A$2:$A$1635,Orders!AC1131)&gt;0,"Returned","Not Returned")</f>
        <v>Not Returned</v>
      </c>
    </row>
    <row r="1132" spans="1:30" ht="12.75" customHeight="1" thickTop="1" thickBot="1" x14ac:dyDescent="0.25">
      <c r="A1132" s="10">
        <v>18498</v>
      </c>
      <c r="B1132" s="11" t="s">
        <v>25</v>
      </c>
      <c r="C1132" s="11">
        <v>0.09</v>
      </c>
      <c r="D1132" s="11">
        <v>1.76</v>
      </c>
      <c r="E1132" s="11">
        <v>0.7</v>
      </c>
      <c r="F1132" s="11">
        <v>2049</v>
      </c>
      <c r="G1132" s="6" t="str">
        <f>IF(COUNTIF(Table1[Customer ID],Table1[[#This Row],[Customer ID]])&gt;1,"Repeat Customer","One-Time Customer")</f>
        <v>Repeat Customer</v>
      </c>
      <c r="H1132" s="11" t="s">
        <v>1968</v>
      </c>
      <c r="I1132" s="11" t="s">
        <v>49</v>
      </c>
      <c r="J1132" s="11" t="s">
        <v>28</v>
      </c>
      <c r="K1132" s="11" t="s">
        <v>29</v>
      </c>
      <c r="L1132" s="11" t="s">
        <v>30</v>
      </c>
      <c r="M1132" s="11" t="s">
        <v>31</v>
      </c>
      <c r="N1132" s="11" t="s">
        <v>1970</v>
      </c>
      <c r="O1132" s="11">
        <v>0.56000000000000005</v>
      </c>
      <c r="P1132" s="6">
        <f>Table1[[#This Row],[Profit]]/Table1[[#This Row],[Sales]]</f>
        <v>-0.56398713826366553</v>
      </c>
      <c r="Q1132" s="11" t="s">
        <v>33</v>
      </c>
      <c r="R1132" s="11" t="s">
        <v>136</v>
      </c>
      <c r="S1132" s="11" t="s">
        <v>137</v>
      </c>
      <c r="T1132" s="11" t="s">
        <v>1969</v>
      </c>
      <c r="U1132" s="11">
        <v>22801</v>
      </c>
      <c r="V1132" s="12">
        <v>42176</v>
      </c>
      <c r="W1132" s="13" t="str">
        <f>TEXT(Table1[[#This Row],[Order Date]],"mmmm")</f>
        <v>June</v>
      </c>
      <c r="X1132" s="7" t="str">
        <f>TEXT(Table1[[#This Row],[Order Date]],"yyyy")</f>
        <v>2015</v>
      </c>
      <c r="Y1132" s="12">
        <v>42179</v>
      </c>
      <c r="Z1132" s="11">
        <v>-12.277999999999999</v>
      </c>
      <c r="AA1132" s="11">
        <v>13</v>
      </c>
      <c r="AB1132" s="11">
        <v>21.77</v>
      </c>
      <c r="AC1132" s="11">
        <v>88220</v>
      </c>
      <c r="AD1132" s="6" t="str">
        <f>IF(COUNTIF(Returns!$A$2:$A$1635,Orders!AC1132)&gt;0,"Returned","Not Returned")</f>
        <v>Not Returned</v>
      </c>
    </row>
    <row r="1133" spans="1:30" ht="12.75" customHeight="1" thickTop="1" thickBot="1" x14ac:dyDescent="0.25">
      <c r="A1133" s="8">
        <v>18251</v>
      </c>
      <c r="B1133" s="1" t="s">
        <v>37</v>
      </c>
      <c r="C1133" s="1">
        <v>7.0000000000000007E-2</v>
      </c>
      <c r="D1133" s="1">
        <v>31.78</v>
      </c>
      <c r="E1133" s="1">
        <v>1.99</v>
      </c>
      <c r="F1133" s="1">
        <v>2052</v>
      </c>
      <c r="G1133" s="6" t="str">
        <f>IF(COUNTIF(Table1[Customer ID],Table1[[#This Row],[Customer ID]])&gt;1,"Repeat Customer","One-Time Customer")</f>
        <v>Repeat Customer</v>
      </c>
      <c r="H1133" s="1" t="s">
        <v>1971</v>
      </c>
      <c r="I1133" s="1" t="s">
        <v>49</v>
      </c>
      <c r="J1133" s="1" t="s">
        <v>40</v>
      </c>
      <c r="K1133" s="1" t="s">
        <v>77</v>
      </c>
      <c r="L1133" s="1" t="s">
        <v>180</v>
      </c>
      <c r="M1133" s="1" t="s">
        <v>51</v>
      </c>
      <c r="N1133" s="1" t="s">
        <v>901</v>
      </c>
      <c r="O1133" s="1">
        <v>0.42</v>
      </c>
      <c r="P1133" s="6">
        <f>Table1[[#This Row],[Profit]]/Table1[[#This Row],[Sales]]</f>
        <v>0.69</v>
      </c>
      <c r="Q1133" s="1" t="s">
        <v>33</v>
      </c>
      <c r="R1133" s="1" t="s">
        <v>34</v>
      </c>
      <c r="S1133" s="1" t="s">
        <v>366</v>
      </c>
      <c r="T1133" s="1" t="s">
        <v>1972</v>
      </c>
      <c r="U1133" s="1">
        <v>87105</v>
      </c>
      <c r="V1133" s="9">
        <v>42054</v>
      </c>
      <c r="W1133" s="13" t="str">
        <f>TEXT(Table1[[#This Row],[Order Date]],"mmmm")</f>
        <v>February</v>
      </c>
      <c r="X1133" s="7" t="str">
        <f>TEXT(Table1[[#This Row],[Order Date]],"yyyy")</f>
        <v>2015</v>
      </c>
      <c r="Y1133" s="9">
        <v>42056</v>
      </c>
      <c r="Z1133" s="1">
        <v>265.11180000000002</v>
      </c>
      <c r="AA1133" s="1">
        <v>13</v>
      </c>
      <c r="AB1133" s="1">
        <v>384.22</v>
      </c>
      <c r="AC1133" s="1">
        <v>87234</v>
      </c>
      <c r="AD1133" s="6" t="str">
        <f>IF(COUNTIF(Returns!$A$2:$A$1635,Orders!AC1133)&gt;0,"Returned","Not Returned")</f>
        <v>Not Returned</v>
      </c>
    </row>
    <row r="1134" spans="1:30" ht="12.75" customHeight="1" thickTop="1" thickBot="1" x14ac:dyDescent="0.25">
      <c r="A1134" s="10">
        <v>18252</v>
      </c>
      <c r="B1134" s="11" t="s">
        <v>37</v>
      </c>
      <c r="C1134" s="11">
        <v>0</v>
      </c>
      <c r="D1134" s="11">
        <v>5.98</v>
      </c>
      <c r="E1134" s="11">
        <v>2.5</v>
      </c>
      <c r="F1134" s="11">
        <v>2052</v>
      </c>
      <c r="G1134" s="6" t="str">
        <f>IF(COUNTIF(Table1[Customer ID],Table1[[#This Row],[Customer ID]])&gt;1,"Repeat Customer","One-Time Customer")</f>
        <v>Repeat Customer</v>
      </c>
      <c r="H1134" s="11" t="s">
        <v>1971</v>
      </c>
      <c r="I1134" s="11" t="s">
        <v>49</v>
      </c>
      <c r="J1134" s="11" t="s">
        <v>40</v>
      </c>
      <c r="K1134" s="11" t="s">
        <v>29</v>
      </c>
      <c r="L1134" s="11" t="s">
        <v>69</v>
      </c>
      <c r="M1134" s="11" t="s">
        <v>59</v>
      </c>
      <c r="N1134" s="11" t="s">
        <v>246</v>
      </c>
      <c r="O1134" s="11">
        <v>0.36</v>
      </c>
      <c r="P1134" s="6">
        <f>Table1[[#This Row],[Profit]]/Table1[[#This Row],[Sales]]</f>
        <v>0.30217446270543619</v>
      </c>
      <c r="Q1134" s="11" t="s">
        <v>33</v>
      </c>
      <c r="R1134" s="11" t="s">
        <v>34</v>
      </c>
      <c r="S1134" s="11" t="s">
        <v>366</v>
      </c>
      <c r="T1134" s="11" t="s">
        <v>1972</v>
      </c>
      <c r="U1134" s="11">
        <v>87105</v>
      </c>
      <c r="V1134" s="12">
        <v>42054</v>
      </c>
      <c r="W1134" s="13" t="str">
        <f>TEXT(Table1[[#This Row],[Order Date]],"mmmm")</f>
        <v>February</v>
      </c>
      <c r="X1134" s="7" t="str">
        <f>TEXT(Table1[[#This Row],[Order Date]],"yyyy")</f>
        <v>2015</v>
      </c>
      <c r="Y1134" s="12">
        <v>42055</v>
      </c>
      <c r="Z1134" s="11">
        <v>9.5608000000000004</v>
      </c>
      <c r="AA1134" s="11">
        <v>5</v>
      </c>
      <c r="AB1134" s="11">
        <v>31.64</v>
      </c>
      <c r="AC1134" s="11">
        <v>87234</v>
      </c>
      <c r="AD1134" s="6" t="str">
        <f>IF(COUNTIF(Returns!$A$2:$A$1635,Orders!AC1134)&gt;0,"Returned","Not Returned")</f>
        <v>Not Returned</v>
      </c>
    </row>
    <row r="1135" spans="1:30" ht="12.75" customHeight="1" thickTop="1" thickBot="1" x14ac:dyDescent="0.25">
      <c r="A1135" s="8">
        <v>18253</v>
      </c>
      <c r="B1135" s="1" t="s">
        <v>37</v>
      </c>
      <c r="C1135" s="1">
        <v>0.1</v>
      </c>
      <c r="D1135" s="1">
        <v>35.99</v>
      </c>
      <c r="E1135" s="1">
        <v>1.1000000000000001</v>
      </c>
      <c r="F1135" s="1">
        <v>2052</v>
      </c>
      <c r="G1135" s="6" t="str">
        <f>IF(COUNTIF(Table1[Customer ID],Table1[[#This Row],[Customer ID]])&gt;1,"Repeat Customer","One-Time Customer")</f>
        <v>Repeat Customer</v>
      </c>
      <c r="H1135" s="1" t="s">
        <v>1971</v>
      </c>
      <c r="I1135" s="1" t="s">
        <v>27</v>
      </c>
      <c r="J1135" s="1" t="s">
        <v>40</v>
      </c>
      <c r="K1135" s="1" t="s">
        <v>77</v>
      </c>
      <c r="L1135" s="1" t="s">
        <v>78</v>
      </c>
      <c r="M1135" s="1" t="s">
        <v>59</v>
      </c>
      <c r="N1135" s="1" t="s">
        <v>935</v>
      </c>
      <c r="O1135" s="1">
        <v>0.55000000000000004</v>
      </c>
      <c r="P1135" s="6">
        <f>Table1[[#This Row],[Profit]]/Table1[[#This Row],[Sales]]</f>
        <v>0.69</v>
      </c>
      <c r="Q1135" s="1" t="s">
        <v>33</v>
      </c>
      <c r="R1135" s="1" t="s">
        <v>34</v>
      </c>
      <c r="S1135" s="1" t="s">
        <v>366</v>
      </c>
      <c r="T1135" s="1" t="s">
        <v>1972</v>
      </c>
      <c r="U1135" s="1">
        <v>87105</v>
      </c>
      <c r="V1135" s="9">
        <v>42054</v>
      </c>
      <c r="W1135" s="13" t="str">
        <f>TEXT(Table1[[#This Row],[Order Date]],"mmmm")</f>
        <v>February</v>
      </c>
      <c r="X1135" s="7" t="str">
        <f>TEXT(Table1[[#This Row],[Order Date]],"yyyy")</f>
        <v>2015</v>
      </c>
      <c r="Y1135" s="9">
        <v>42055</v>
      </c>
      <c r="Z1135" s="1">
        <v>390.09839999999997</v>
      </c>
      <c r="AA1135" s="1">
        <v>19</v>
      </c>
      <c r="AB1135" s="1">
        <v>565.36</v>
      </c>
      <c r="AC1135" s="1">
        <v>87234</v>
      </c>
      <c r="AD1135" s="6" t="str">
        <f>IF(COUNTIF(Returns!$A$2:$A$1635,Orders!AC1135)&gt;0,"Returned","Not Returned")</f>
        <v>Not Returned</v>
      </c>
    </row>
    <row r="1136" spans="1:30" ht="12.75" customHeight="1" thickTop="1" thickBot="1" x14ac:dyDescent="0.25">
      <c r="A1136" s="10">
        <v>20481</v>
      </c>
      <c r="B1136" s="11" t="s">
        <v>56</v>
      </c>
      <c r="C1136" s="11">
        <v>7.0000000000000007E-2</v>
      </c>
      <c r="D1136" s="11">
        <v>5.98</v>
      </c>
      <c r="E1136" s="11">
        <v>5.46</v>
      </c>
      <c r="F1136" s="11">
        <v>2058</v>
      </c>
      <c r="G1136" s="6" t="str">
        <f>IF(COUNTIF(Table1[Customer ID],Table1[[#This Row],[Customer ID]])&gt;1,"Repeat Customer","One-Time Customer")</f>
        <v>One-Time Customer</v>
      </c>
      <c r="H1136" s="11" t="s">
        <v>1973</v>
      </c>
      <c r="I1136" s="11" t="s">
        <v>49</v>
      </c>
      <c r="J1136" s="11" t="s">
        <v>28</v>
      </c>
      <c r="K1136" s="11" t="s">
        <v>29</v>
      </c>
      <c r="L1136" s="11" t="s">
        <v>93</v>
      </c>
      <c r="M1136" s="11" t="s">
        <v>59</v>
      </c>
      <c r="N1136" s="11" t="s">
        <v>1051</v>
      </c>
      <c r="O1136" s="11">
        <v>0.36</v>
      </c>
      <c r="P1136" s="6">
        <f>Table1[[#This Row],[Profit]]/Table1[[#This Row],[Sales]]</f>
        <v>1.423992673992674</v>
      </c>
      <c r="Q1136" s="11" t="s">
        <v>33</v>
      </c>
      <c r="R1136" s="11" t="s">
        <v>136</v>
      </c>
      <c r="S1136" s="11" t="s">
        <v>322</v>
      </c>
      <c r="T1136" s="11" t="s">
        <v>1974</v>
      </c>
      <c r="U1136" s="11">
        <v>28601</v>
      </c>
      <c r="V1136" s="12">
        <v>42048</v>
      </c>
      <c r="W1136" s="13" t="str">
        <f>TEXT(Table1[[#This Row],[Order Date]],"mmmm")</f>
        <v>February</v>
      </c>
      <c r="X1136" s="7" t="str">
        <f>TEXT(Table1[[#This Row],[Order Date]],"yyyy")</f>
        <v>2015</v>
      </c>
      <c r="Y1136" s="12">
        <v>42050</v>
      </c>
      <c r="Z1136" s="11">
        <v>46.65</v>
      </c>
      <c r="AA1136" s="11">
        <v>5</v>
      </c>
      <c r="AB1136" s="11">
        <v>32.76</v>
      </c>
      <c r="AC1136" s="11">
        <v>88040</v>
      </c>
      <c r="AD1136" s="6" t="str">
        <f>IF(COUNTIF(Returns!$A$2:$A$1635,Orders!AC1136)&gt;0,"Returned","Not Returned")</f>
        <v>Not Returned</v>
      </c>
    </row>
    <row r="1137" spans="1:30" ht="12.75" customHeight="1" thickTop="1" thickBot="1" x14ac:dyDescent="0.25">
      <c r="A1137" s="8">
        <v>23499</v>
      </c>
      <c r="B1137" s="1" t="s">
        <v>37</v>
      </c>
      <c r="C1137" s="1">
        <v>0.09</v>
      </c>
      <c r="D1137" s="1">
        <v>28.48</v>
      </c>
      <c r="E1137" s="1">
        <v>1.99</v>
      </c>
      <c r="F1137" s="1">
        <v>2059</v>
      </c>
      <c r="G1137" s="6" t="str">
        <f>IF(COUNTIF(Table1[Customer ID],Table1[[#This Row],[Customer ID]])&gt;1,"Repeat Customer","One-Time Customer")</f>
        <v>Repeat Customer</v>
      </c>
      <c r="H1137" s="1" t="s">
        <v>1975</v>
      </c>
      <c r="I1137" s="1" t="s">
        <v>49</v>
      </c>
      <c r="J1137" s="1" t="s">
        <v>28</v>
      </c>
      <c r="K1137" s="1" t="s">
        <v>77</v>
      </c>
      <c r="L1137" s="1" t="s">
        <v>180</v>
      </c>
      <c r="M1137" s="1" t="s">
        <v>51</v>
      </c>
      <c r="N1137" s="1" t="s">
        <v>407</v>
      </c>
      <c r="O1137" s="1">
        <v>0.4</v>
      </c>
      <c r="P1137" s="6">
        <f>Table1[[#This Row],[Profit]]/Table1[[#This Row],[Sales]]</f>
        <v>-3.7122937195773478</v>
      </c>
      <c r="Q1137" s="1" t="s">
        <v>33</v>
      </c>
      <c r="R1137" s="1" t="s">
        <v>136</v>
      </c>
      <c r="S1137" s="1" t="s">
        <v>322</v>
      </c>
      <c r="T1137" s="1" t="s">
        <v>1976</v>
      </c>
      <c r="U1137" s="1">
        <v>27260</v>
      </c>
      <c r="V1137" s="9">
        <v>42021</v>
      </c>
      <c r="W1137" s="13" t="str">
        <f>TEXT(Table1[[#This Row],[Order Date]],"mmmm")</f>
        <v>January</v>
      </c>
      <c r="X1137" s="7" t="str">
        <f>TEXT(Table1[[#This Row],[Order Date]],"yyyy")</f>
        <v>2015</v>
      </c>
      <c r="Y1137" s="9">
        <v>42022</v>
      </c>
      <c r="Z1137" s="1">
        <v>-1250.7460000000001</v>
      </c>
      <c r="AA1137" s="1">
        <v>13</v>
      </c>
      <c r="AB1137" s="1">
        <v>336.92</v>
      </c>
      <c r="AC1137" s="1">
        <v>88039</v>
      </c>
      <c r="AD1137" s="6" t="str">
        <f>IF(COUNTIF(Returns!$A$2:$A$1635,Orders!AC1137)&gt;0,"Returned","Not Returned")</f>
        <v>Not Returned</v>
      </c>
    </row>
    <row r="1138" spans="1:30" ht="12.75" customHeight="1" thickTop="1" thickBot="1" x14ac:dyDescent="0.25">
      <c r="A1138" s="10">
        <v>21632</v>
      </c>
      <c r="B1138" s="11" t="s">
        <v>47</v>
      </c>
      <c r="C1138" s="11">
        <v>0.1</v>
      </c>
      <c r="D1138" s="11">
        <v>9.85</v>
      </c>
      <c r="E1138" s="11">
        <v>4.82</v>
      </c>
      <c r="F1138" s="11">
        <v>2059</v>
      </c>
      <c r="G1138" s="6" t="str">
        <f>IF(COUNTIF(Table1[Customer ID],Table1[[#This Row],[Customer ID]])&gt;1,"Repeat Customer","One-Time Customer")</f>
        <v>Repeat Customer</v>
      </c>
      <c r="H1138" s="11" t="s">
        <v>1975</v>
      </c>
      <c r="I1138" s="11" t="s">
        <v>49</v>
      </c>
      <c r="J1138" s="11" t="s">
        <v>28</v>
      </c>
      <c r="K1138" s="11" t="s">
        <v>29</v>
      </c>
      <c r="L1138" s="11" t="s">
        <v>30</v>
      </c>
      <c r="M1138" s="11" t="s">
        <v>31</v>
      </c>
      <c r="N1138" s="11" t="s">
        <v>1977</v>
      </c>
      <c r="O1138" s="11">
        <v>0.47</v>
      </c>
      <c r="P1138" s="6">
        <f>Table1[[#This Row],[Profit]]/Table1[[#This Row],[Sales]]</f>
        <v>3.2625881124358194</v>
      </c>
      <c r="Q1138" s="11" t="s">
        <v>33</v>
      </c>
      <c r="R1138" s="11" t="s">
        <v>136</v>
      </c>
      <c r="S1138" s="11" t="s">
        <v>322</v>
      </c>
      <c r="T1138" s="11" t="s">
        <v>1976</v>
      </c>
      <c r="U1138" s="11">
        <v>27260</v>
      </c>
      <c r="V1138" s="12">
        <v>42090</v>
      </c>
      <c r="W1138" s="13" t="str">
        <f>TEXT(Table1[[#This Row],[Order Date]],"mmmm")</f>
        <v>March</v>
      </c>
      <c r="X1138" s="7" t="str">
        <f>TEXT(Table1[[#This Row],[Order Date]],"yyyy")</f>
        <v>2015</v>
      </c>
      <c r="Y1138" s="12">
        <v>42091</v>
      </c>
      <c r="Z1138" s="11">
        <v>374.904</v>
      </c>
      <c r="AA1138" s="11">
        <v>12</v>
      </c>
      <c r="AB1138" s="11">
        <v>114.91</v>
      </c>
      <c r="AC1138" s="11">
        <v>88041</v>
      </c>
      <c r="AD1138" s="6" t="str">
        <f>IF(COUNTIF(Returns!$A$2:$A$1635,Orders!AC1138)&gt;0,"Returned","Not Returned")</f>
        <v>Not Returned</v>
      </c>
    </row>
    <row r="1139" spans="1:30" ht="12.75" customHeight="1" thickTop="1" thickBot="1" x14ac:dyDescent="0.25">
      <c r="A1139" s="8">
        <v>21633</v>
      </c>
      <c r="B1139" s="1" t="s">
        <v>47</v>
      </c>
      <c r="C1139" s="1">
        <v>0.04</v>
      </c>
      <c r="D1139" s="1">
        <v>125.99</v>
      </c>
      <c r="E1139" s="1">
        <v>7.69</v>
      </c>
      <c r="F1139" s="1">
        <v>2059</v>
      </c>
      <c r="G1139" s="6" t="str">
        <f>IF(COUNTIF(Table1[Customer ID],Table1[[#This Row],[Customer ID]])&gt;1,"Repeat Customer","One-Time Customer")</f>
        <v>Repeat Customer</v>
      </c>
      <c r="H1139" s="1" t="s">
        <v>1975</v>
      </c>
      <c r="I1139" s="1" t="s">
        <v>49</v>
      </c>
      <c r="J1139" s="1" t="s">
        <v>28</v>
      </c>
      <c r="K1139" s="1" t="s">
        <v>77</v>
      </c>
      <c r="L1139" s="1" t="s">
        <v>78</v>
      </c>
      <c r="M1139" s="1" t="s">
        <v>59</v>
      </c>
      <c r="N1139" s="1" t="s">
        <v>1225</v>
      </c>
      <c r="O1139" s="1">
        <v>0.57999999999999996</v>
      </c>
      <c r="P1139" s="6">
        <f>Table1[[#This Row],[Profit]]/Table1[[#This Row],[Sales]]</f>
        <v>-0.56589051063647655</v>
      </c>
      <c r="Q1139" s="1" t="s">
        <v>33</v>
      </c>
      <c r="R1139" s="1" t="s">
        <v>136</v>
      </c>
      <c r="S1139" s="1" t="s">
        <v>322</v>
      </c>
      <c r="T1139" s="1" t="s">
        <v>1976</v>
      </c>
      <c r="U1139" s="1">
        <v>27260</v>
      </c>
      <c r="V1139" s="9">
        <v>42090</v>
      </c>
      <c r="W1139" s="13" t="str">
        <f>TEXT(Table1[[#This Row],[Order Date]],"mmmm")</f>
        <v>March</v>
      </c>
      <c r="X1139" s="7" t="str">
        <f>TEXT(Table1[[#This Row],[Order Date]],"yyyy")</f>
        <v>2015</v>
      </c>
      <c r="Y1139" s="9">
        <v>42091</v>
      </c>
      <c r="Z1139" s="1">
        <v>-528.83600000000001</v>
      </c>
      <c r="AA1139" s="1">
        <v>9</v>
      </c>
      <c r="AB1139" s="1">
        <v>934.52</v>
      </c>
      <c r="AC1139" s="1">
        <v>88041</v>
      </c>
      <c r="AD1139" s="6" t="str">
        <f>IF(COUNTIF(Returns!$A$2:$A$1635,Orders!AC1139)&gt;0,"Returned","Not Returned")</f>
        <v>Not Returned</v>
      </c>
    </row>
    <row r="1140" spans="1:30" ht="12.75" customHeight="1" thickTop="1" thickBot="1" x14ac:dyDescent="0.25">
      <c r="A1140" s="10">
        <v>20841</v>
      </c>
      <c r="B1140" s="11" t="s">
        <v>56</v>
      </c>
      <c r="C1140" s="11">
        <v>0.02</v>
      </c>
      <c r="D1140" s="11">
        <v>240.98</v>
      </c>
      <c r="E1140" s="11">
        <v>60.2</v>
      </c>
      <c r="F1140" s="11">
        <v>2061</v>
      </c>
      <c r="G1140" s="6" t="str">
        <f>IF(COUNTIF(Table1[Customer ID],Table1[[#This Row],[Customer ID]])&gt;1,"Repeat Customer","One-Time Customer")</f>
        <v>One-Time Customer</v>
      </c>
      <c r="H1140" s="11" t="s">
        <v>1978</v>
      </c>
      <c r="I1140" s="11" t="s">
        <v>39</v>
      </c>
      <c r="J1140" s="11" t="s">
        <v>28</v>
      </c>
      <c r="K1140" s="11" t="s">
        <v>41</v>
      </c>
      <c r="L1140" s="11" t="s">
        <v>191</v>
      </c>
      <c r="M1140" s="11" t="s">
        <v>121</v>
      </c>
      <c r="N1140" s="11" t="s">
        <v>1979</v>
      </c>
      <c r="O1140" s="11">
        <v>0.56000000000000005</v>
      </c>
      <c r="P1140" s="6">
        <f>Table1[[#This Row],[Profit]]/Table1[[#This Row],[Sales]]</f>
        <v>-1.0462410803345354</v>
      </c>
      <c r="Q1140" s="11" t="s">
        <v>33</v>
      </c>
      <c r="R1140" s="11" t="s">
        <v>61</v>
      </c>
      <c r="S1140" s="11" t="s">
        <v>496</v>
      </c>
      <c r="T1140" s="11" t="s">
        <v>1980</v>
      </c>
      <c r="U1140" s="11">
        <v>69101</v>
      </c>
      <c r="V1140" s="12">
        <v>42033</v>
      </c>
      <c r="W1140" s="13" t="str">
        <f>TEXT(Table1[[#This Row],[Order Date]],"mmmm")</f>
        <v>January</v>
      </c>
      <c r="X1140" s="7" t="str">
        <f>TEXT(Table1[[#This Row],[Order Date]],"yyyy")</f>
        <v>2015</v>
      </c>
      <c r="Y1140" s="12">
        <v>42035</v>
      </c>
      <c r="Z1140" s="11">
        <v>-272.71320000000003</v>
      </c>
      <c r="AA1140" s="11">
        <v>1</v>
      </c>
      <c r="AB1140" s="11">
        <v>260.66000000000003</v>
      </c>
      <c r="AC1140" s="11">
        <v>87146</v>
      </c>
      <c r="AD1140" s="6" t="str">
        <f>IF(COUNTIF(Returns!$A$2:$A$1635,Orders!AC1140)&gt;0,"Returned","Not Returned")</f>
        <v>Not Returned</v>
      </c>
    </row>
    <row r="1141" spans="1:30" ht="12.75" customHeight="1" thickTop="1" thickBot="1" x14ac:dyDescent="0.25">
      <c r="A1141" s="8">
        <v>20840</v>
      </c>
      <c r="B1141" s="1" t="s">
        <v>56</v>
      </c>
      <c r="C1141" s="1">
        <v>0.02</v>
      </c>
      <c r="D1141" s="1">
        <v>420.98</v>
      </c>
      <c r="E1141" s="1">
        <v>19.989999999999998</v>
      </c>
      <c r="F1141" s="1">
        <v>2062</v>
      </c>
      <c r="G1141" s="6" t="str">
        <f>IF(COUNTIF(Table1[Customer ID],Table1[[#This Row],[Customer ID]])&gt;1,"Repeat Customer","One-Time Customer")</f>
        <v>Repeat Customer</v>
      </c>
      <c r="H1141" s="1" t="s">
        <v>1981</v>
      </c>
      <c r="I1141" s="1" t="s">
        <v>49</v>
      </c>
      <c r="J1141" s="1" t="s">
        <v>28</v>
      </c>
      <c r="K1141" s="1" t="s">
        <v>29</v>
      </c>
      <c r="L1141" s="1" t="s">
        <v>109</v>
      </c>
      <c r="M1141" s="1" t="s">
        <v>59</v>
      </c>
      <c r="N1141" s="1" t="s">
        <v>1510</v>
      </c>
      <c r="O1141" s="1">
        <v>0.35</v>
      </c>
      <c r="P1141" s="6">
        <f>Table1[[#This Row],[Profit]]/Table1[[#This Row],[Sales]]</f>
        <v>-3.8286616604343703E-2</v>
      </c>
      <c r="Q1141" s="1" t="s">
        <v>33</v>
      </c>
      <c r="R1141" s="1" t="s">
        <v>136</v>
      </c>
      <c r="S1141" s="1" t="s">
        <v>137</v>
      </c>
      <c r="T1141" s="1" t="s">
        <v>1982</v>
      </c>
      <c r="U1141" s="1">
        <v>23111</v>
      </c>
      <c r="V1141" s="9">
        <v>42033</v>
      </c>
      <c r="W1141" s="13" t="str">
        <f>TEXT(Table1[[#This Row],[Order Date]],"mmmm")</f>
        <v>January</v>
      </c>
      <c r="X1141" s="7" t="str">
        <f>TEXT(Table1[[#This Row],[Order Date]],"yyyy")</f>
        <v>2015</v>
      </c>
      <c r="Y1141" s="9">
        <v>42036</v>
      </c>
      <c r="Z1141" s="1">
        <v>-162.69399999999999</v>
      </c>
      <c r="AA1141" s="1">
        <v>10</v>
      </c>
      <c r="AB1141" s="1">
        <v>4249.37</v>
      </c>
      <c r="AC1141" s="1">
        <v>87146</v>
      </c>
      <c r="AD1141" s="6" t="str">
        <f>IF(COUNTIF(Returns!$A$2:$A$1635,Orders!AC1141)&gt;0,"Returned","Not Returned")</f>
        <v>Not Returned</v>
      </c>
    </row>
    <row r="1142" spans="1:30" ht="12.75" customHeight="1" thickTop="1" thickBot="1" x14ac:dyDescent="0.25">
      <c r="A1142" s="10">
        <v>22511</v>
      </c>
      <c r="B1142" s="11" t="s">
        <v>106</v>
      </c>
      <c r="C1142" s="11">
        <v>0.04</v>
      </c>
      <c r="D1142" s="11">
        <v>291.73</v>
      </c>
      <c r="E1142" s="11">
        <v>48.8</v>
      </c>
      <c r="F1142" s="11">
        <v>2062</v>
      </c>
      <c r="G1142" s="6" t="str">
        <f>IF(COUNTIF(Table1[Customer ID],Table1[[#This Row],[Customer ID]])&gt;1,"Repeat Customer","One-Time Customer")</f>
        <v>Repeat Customer</v>
      </c>
      <c r="H1142" s="11" t="s">
        <v>1981</v>
      </c>
      <c r="I1142" s="11" t="s">
        <v>39</v>
      </c>
      <c r="J1142" s="11" t="s">
        <v>28</v>
      </c>
      <c r="K1142" s="11" t="s">
        <v>41</v>
      </c>
      <c r="L1142" s="11" t="s">
        <v>42</v>
      </c>
      <c r="M1142" s="11" t="s">
        <v>43</v>
      </c>
      <c r="N1142" s="11" t="s">
        <v>145</v>
      </c>
      <c r="O1142" s="11">
        <v>0.56000000000000005</v>
      </c>
      <c r="P1142" s="6">
        <f>Table1[[#This Row],[Profit]]/Table1[[#This Row],[Sales]]</f>
        <v>-1.7359693017863855E-2</v>
      </c>
      <c r="Q1142" s="11" t="s">
        <v>33</v>
      </c>
      <c r="R1142" s="11" t="s">
        <v>136</v>
      </c>
      <c r="S1142" s="11" t="s">
        <v>137</v>
      </c>
      <c r="T1142" s="11" t="s">
        <v>1982</v>
      </c>
      <c r="U1142" s="11">
        <v>23111</v>
      </c>
      <c r="V1142" s="12">
        <v>42181</v>
      </c>
      <c r="W1142" s="13" t="str">
        <f>TEXT(Table1[[#This Row],[Order Date]],"mmmm")</f>
        <v>June</v>
      </c>
      <c r="X1142" s="7" t="str">
        <f>TEXT(Table1[[#This Row],[Order Date]],"yyyy")</f>
        <v>2015</v>
      </c>
      <c r="Y1142" s="12">
        <v>42185</v>
      </c>
      <c r="Z1142" s="11">
        <v>-115.90389999999999</v>
      </c>
      <c r="AA1142" s="11">
        <v>22</v>
      </c>
      <c r="AB1142" s="11">
        <v>6676.61</v>
      </c>
      <c r="AC1142" s="11">
        <v>87148</v>
      </c>
      <c r="AD1142" s="6" t="str">
        <f>IF(COUNTIF(Returns!$A$2:$A$1635,Orders!AC1142)&gt;0,"Returned","Not Returned")</f>
        <v>Not Returned</v>
      </c>
    </row>
    <row r="1143" spans="1:30" ht="12.75" customHeight="1" thickTop="1" thickBot="1" x14ac:dyDescent="0.25">
      <c r="A1143" s="8">
        <v>25759</v>
      </c>
      <c r="B1143" s="1" t="s">
        <v>106</v>
      </c>
      <c r="C1143" s="1">
        <v>0.06</v>
      </c>
      <c r="D1143" s="1">
        <v>300.97000000000003</v>
      </c>
      <c r="E1143" s="1">
        <v>7.18</v>
      </c>
      <c r="F1143" s="1">
        <v>2063</v>
      </c>
      <c r="G1143" s="6" t="str">
        <f>IF(COUNTIF(Table1[Customer ID],Table1[[#This Row],[Customer ID]])&gt;1,"Repeat Customer","One-Time Customer")</f>
        <v>One-Time Customer</v>
      </c>
      <c r="H1143" s="1" t="s">
        <v>1983</v>
      </c>
      <c r="I1143" s="1" t="s">
        <v>49</v>
      </c>
      <c r="J1143" s="1" t="s">
        <v>28</v>
      </c>
      <c r="K1143" s="1" t="s">
        <v>77</v>
      </c>
      <c r="L1143" s="1" t="s">
        <v>180</v>
      </c>
      <c r="M1143" s="1" t="s">
        <v>59</v>
      </c>
      <c r="N1143" s="1" t="s">
        <v>1089</v>
      </c>
      <c r="O1143" s="1">
        <v>0.48</v>
      </c>
      <c r="P1143" s="6">
        <f>Table1[[#This Row],[Profit]]/Table1[[#This Row],[Sales]]</f>
        <v>-2.5051063829787235</v>
      </c>
      <c r="Q1143" s="1" t="s">
        <v>33</v>
      </c>
      <c r="R1143" s="1" t="s">
        <v>136</v>
      </c>
      <c r="S1143" s="1" t="s">
        <v>137</v>
      </c>
      <c r="T1143" s="1" t="s">
        <v>1984</v>
      </c>
      <c r="U1143" s="1">
        <v>23602</v>
      </c>
      <c r="V1143" s="9">
        <v>42132</v>
      </c>
      <c r="W1143" s="13" t="str">
        <f>TEXT(Table1[[#This Row],[Order Date]],"mmmm")</f>
        <v>May</v>
      </c>
      <c r="X1143" s="7" t="str">
        <f>TEXT(Table1[[#This Row],[Order Date]],"yyyy")</f>
        <v>2015</v>
      </c>
      <c r="Y1143" s="9">
        <v>42132</v>
      </c>
      <c r="Z1143" s="1">
        <v>-729.98799999999994</v>
      </c>
      <c r="AA1143" s="1">
        <v>1</v>
      </c>
      <c r="AB1143" s="1">
        <v>291.39999999999998</v>
      </c>
      <c r="AC1143" s="1">
        <v>87147</v>
      </c>
      <c r="AD1143" s="6" t="str">
        <f>IF(COUNTIF(Returns!$A$2:$A$1635,Orders!AC1143)&gt;0,"Returned","Not Returned")</f>
        <v>Not Returned</v>
      </c>
    </row>
    <row r="1144" spans="1:30" ht="12.75" customHeight="1" thickTop="1" thickBot="1" x14ac:dyDescent="0.25">
      <c r="A1144" s="10">
        <v>25228</v>
      </c>
      <c r="B1144" s="11" t="s">
        <v>56</v>
      </c>
      <c r="C1144" s="11">
        <v>0.09</v>
      </c>
      <c r="D1144" s="11">
        <v>20.89</v>
      </c>
      <c r="E1144" s="11">
        <v>11.52</v>
      </c>
      <c r="F1144" s="11">
        <v>2066</v>
      </c>
      <c r="G1144" s="6" t="str">
        <f>IF(COUNTIF(Table1[Customer ID],Table1[[#This Row],[Customer ID]])&gt;1,"Repeat Customer","One-Time Customer")</f>
        <v>Repeat Customer</v>
      </c>
      <c r="H1144" s="11" t="s">
        <v>1985</v>
      </c>
      <c r="I1144" s="11" t="s">
        <v>49</v>
      </c>
      <c r="J1144" s="11" t="s">
        <v>40</v>
      </c>
      <c r="K1144" s="11" t="s">
        <v>29</v>
      </c>
      <c r="L1144" s="11" t="s">
        <v>141</v>
      </c>
      <c r="M1144" s="11" t="s">
        <v>59</v>
      </c>
      <c r="N1144" s="11" t="s">
        <v>724</v>
      </c>
      <c r="O1144" s="11">
        <v>0.83</v>
      </c>
      <c r="P1144" s="6">
        <f>Table1[[#This Row],[Profit]]/Table1[[#This Row],[Sales]]</f>
        <v>-0.91157679180887363</v>
      </c>
      <c r="Q1144" s="11" t="s">
        <v>33</v>
      </c>
      <c r="R1144" s="11" t="s">
        <v>136</v>
      </c>
      <c r="S1144" s="11" t="s">
        <v>322</v>
      </c>
      <c r="T1144" s="11" t="s">
        <v>1986</v>
      </c>
      <c r="U1144" s="11">
        <v>28079</v>
      </c>
      <c r="V1144" s="12">
        <v>42089</v>
      </c>
      <c r="W1144" s="13" t="str">
        <f>TEXT(Table1[[#This Row],[Order Date]],"mmmm")</f>
        <v>March</v>
      </c>
      <c r="X1144" s="7" t="str">
        <f>TEXT(Table1[[#This Row],[Order Date]],"yyyy")</f>
        <v>2015</v>
      </c>
      <c r="Y1144" s="12">
        <v>42090</v>
      </c>
      <c r="Z1144" s="11">
        <v>-133.54599999999999</v>
      </c>
      <c r="AA1144" s="11">
        <v>7</v>
      </c>
      <c r="AB1144" s="11">
        <v>146.5</v>
      </c>
      <c r="AC1144" s="11">
        <v>85833</v>
      </c>
      <c r="AD1144" s="6" t="str">
        <f>IF(COUNTIF(Returns!$A$2:$A$1635,Orders!AC1144)&gt;0,"Returned","Not Returned")</f>
        <v>Not Returned</v>
      </c>
    </row>
    <row r="1145" spans="1:30" ht="12.75" customHeight="1" thickTop="1" thickBot="1" x14ac:dyDescent="0.25">
      <c r="A1145" s="8">
        <v>24748</v>
      </c>
      <c r="B1145" s="1" t="s">
        <v>47</v>
      </c>
      <c r="C1145" s="1">
        <v>0.09</v>
      </c>
      <c r="D1145" s="1">
        <v>20.99</v>
      </c>
      <c r="E1145" s="1">
        <v>4.8099999999999996</v>
      </c>
      <c r="F1145" s="1">
        <v>2066</v>
      </c>
      <c r="G1145" s="6" t="str">
        <f>IF(COUNTIF(Table1[Customer ID],Table1[[#This Row],[Customer ID]])&gt;1,"Repeat Customer","One-Time Customer")</f>
        <v>Repeat Customer</v>
      </c>
      <c r="H1145" s="1" t="s">
        <v>1985</v>
      </c>
      <c r="I1145" s="1" t="s">
        <v>27</v>
      </c>
      <c r="J1145" s="1" t="s">
        <v>40</v>
      </c>
      <c r="K1145" s="1" t="s">
        <v>77</v>
      </c>
      <c r="L1145" s="1" t="s">
        <v>78</v>
      </c>
      <c r="M1145" s="1" t="s">
        <v>86</v>
      </c>
      <c r="N1145" s="1" t="s">
        <v>475</v>
      </c>
      <c r="O1145" s="1">
        <v>0.57999999999999996</v>
      </c>
      <c r="P1145" s="6">
        <f>Table1[[#This Row],[Profit]]/Table1[[#This Row],[Sales]]</f>
        <v>6.9957414058491532</v>
      </c>
      <c r="Q1145" s="1" t="s">
        <v>33</v>
      </c>
      <c r="R1145" s="1" t="s">
        <v>136</v>
      </c>
      <c r="S1145" s="1" t="s">
        <v>322</v>
      </c>
      <c r="T1145" s="1" t="s">
        <v>1986</v>
      </c>
      <c r="U1145" s="1">
        <v>28079</v>
      </c>
      <c r="V1145" s="9">
        <v>42094</v>
      </c>
      <c r="W1145" s="13" t="str">
        <f>TEXT(Table1[[#This Row],[Order Date]],"mmmm")</f>
        <v>March</v>
      </c>
      <c r="X1145" s="7" t="str">
        <f>TEXT(Table1[[#This Row],[Order Date]],"yyyy")</f>
        <v>2015</v>
      </c>
      <c r="Y1145" s="9">
        <v>42095</v>
      </c>
      <c r="Z1145" s="1">
        <v>272.69399999999996</v>
      </c>
      <c r="AA1145" s="1">
        <v>2</v>
      </c>
      <c r="AB1145" s="1">
        <v>38.979999999999997</v>
      </c>
      <c r="AC1145" s="1">
        <v>85834</v>
      </c>
      <c r="AD1145" s="6" t="str">
        <f>IF(COUNTIF(Returns!$A$2:$A$1635,Orders!AC1145)&gt;0,"Returned","Not Returned")</f>
        <v>Not Returned</v>
      </c>
    </row>
    <row r="1146" spans="1:30" ht="12.75" customHeight="1" thickTop="1" thickBot="1" x14ac:dyDescent="0.25">
      <c r="A1146" s="10">
        <v>25381</v>
      </c>
      <c r="B1146" s="11" t="s">
        <v>106</v>
      </c>
      <c r="C1146" s="11">
        <v>0.1</v>
      </c>
      <c r="D1146" s="11">
        <v>4.24</v>
      </c>
      <c r="E1146" s="11">
        <v>5.41</v>
      </c>
      <c r="F1146" s="11">
        <v>2066</v>
      </c>
      <c r="G1146" s="6" t="str">
        <f>IF(COUNTIF(Table1[Customer ID],Table1[[#This Row],[Customer ID]])&gt;1,"Repeat Customer","One-Time Customer")</f>
        <v>Repeat Customer</v>
      </c>
      <c r="H1146" s="11" t="s">
        <v>1985</v>
      </c>
      <c r="I1146" s="11" t="s">
        <v>49</v>
      </c>
      <c r="J1146" s="11" t="s">
        <v>28</v>
      </c>
      <c r="K1146" s="11" t="s">
        <v>29</v>
      </c>
      <c r="L1146" s="11" t="s">
        <v>109</v>
      </c>
      <c r="M1146" s="11" t="s">
        <v>59</v>
      </c>
      <c r="N1146" s="11" t="s">
        <v>110</v>
      </c>
      <c r="O1146" s="11">
        <v>0.35</v>
      </c>
      <c r="P1146" s="6">
        <f>Table1[[#This Row],[Profit]]/Table1[[#This Row],[Sales]]</f>
        <v>-1.8032786885245904</v>
      </c>
      <c r="Q1146" s="11" t="s">
        <v>33</v>
      </c>
      <c r="R1146" s="11" t="s">
        <v>136</v>
      </c>
      <c r="S1146" s="11" t="s">
        <v>322</v>
      </c>
      <c r="T1146" s="11" t="s">
        <v>1986</v>
      </c>
      <c r="U1146" s="11">
        <v>28079</v>
      </c>
      <c r="V1146" s="12">
        <v>42113</v>
      </c>
      <c r="W1146" s="13" t="str">
        <f>TEXT(Table1[[#This Row],[Order Date]],"mmmm")</f>
        <v>April</v>
      </c>
      <c r="X1146" s="7" t="str">
        <f>TEXT(Table1[[#This Row],[Order Date]],"yyyy")</f>
        <v>2015</v>
      </c>
      <c r="Y1146" s="12">
        <v>42117</v>
      </c>
      <c r="Z1146" s="11">
        <v>-61.6</v>
      </c>
      <c r="AA1146" s="11">
        <v>8</v>
      </c>
      <c r="AB1146" s="11">
        <v>34.159999999999997</v>
      </c>
      <c r="AC1146" s="11">
        <v>85835</v>
      </c>
      <c r="AD1146" s="6" t="str">
        <f>IF(COUNTIF(Returns!$A$2:$A$1635,Orders!AC1146)&gt;0,"Returned","Not Returned")</f>
        <v>Not Returned</v>
      </c>
    </row>
    <row r="1147" spans="1:30" ht="12.75" customHeight="1" thickTop="1" thickBot="1" x14ac:dyDescent="0.25">
      <c r="A1147" s="8">
        <v>21901</v>
      </c>
      <c r="B1147" s="1" t="s">
        <v>56</v>
      </c>
      <c r="C1147" s="1">
        <v>0.1</v>
      </c>
      <c r="D1147" s="1">
        <v>40.98</v>
      </c>
      <c r="E1147" s="1">
        <v>6.5</v>
      </c>
      <c r="F1147" s="1">
        <v>2069</v>
      </c>
      <c r="G1147" s="6" t="str">
        <f>IF(COUNTIF(Table1[Customer ID],Table1[[#This Row],[Customer ID]])&gt;1,"Repeat Customer","One-Time Customer")</f>
        <v>One-Time Customer</v>
      </c>
      <c r="H1147" s="1" t="s">
        <v>1987</v>
      </c>
      <c r="I1147" s="1" t="s">
        <v>49</v>
      </c>
      <c r="J1147" s="1" t="s">
        <v>114</v>
      </c>
      <c r="K1147" s="1" t="s">
        <v>77</v>
      </c>
      <c r="L1147" s="1" t="s">
        <v>180</v>
      </c>
      <c r="M1147" s="1" t="s">
        <v>59</v>
      </c>
      <c r="N1147" s="1" t="s">
        <v>1270</v>
      </c>
      <c r="O1147" s="1">
        <v>0.74</v>
      </c>
      <c r="P1147" s="6">
        <f>Table1[[#This Row],[Profit]]/Table1[[#This Row],[Sales]]</f>
        <v>0.55552600963935517</v>
      </c>
      <c r="Q1147" s="1" t="s">
        <v>33</v>
      </c>
      <c r="R1147" s="1" t="s">
        <v>136</v>
      </c>
      <c r="S1147" s="1" t="s">
        <v>613</v>
      </c>
      <c r="T1147" s="1" t="s">
        <v>1988</v>
      </c>
      <c r="U1147" s="1">
        <v>41075</v>
      </c>
      <c r="V1147" s="9">
        <v>42016</v>
      </c>
      <c r="W1147" s="13" t="str">
        <f>TEXT(Table1[[#This Row],[Order Date]],"mmmm")</f>
        <v>January</v>
      </c>
      <c r="X1147" s="7" t="str">
        <f>TEXT(Table1[[#This Row],[Order Date]],"yyyy")</f>
        <v>2015</v>
      </c>
      <c r="Y1147" s="9">
        <v>42018</v>
      </c>
      <c r="Z1147" s="1">
        <v>66.852000000000004</v>
      </c>
      <c r="AA1147" s="1">
        <v>3</v>
      </c>
      <c r="AB1147" s="1">
        <v>120.34</v>
      </c>
      <c r="AC1147" s="1">
        <v>88554</v>
      </c>
      <c r="AD1147" s="6" t="str">
        <f>IF(COUNTIF(Returns!$A$2:$A$1635,Orders!AC1147)&gt;0,"Returned","Not Returned")</f>
        <v>Not Returned</v>
      </c>
    </row>
    <row r="1148" spans="1:30" ht="12.75" customHeight="1" thickTop="1" thickBot="1" x14ac:dyDescent="0.25">
      <c r="A1148" s="10">
        <v>19567</v>
      </c>
      <c r="B1148" s="11" t="s">
        <v>106</v>
      </c>
      <c r="C1148" s="11">
        <v>7.0000000000000007E-2</v>
      </c>
      <c r="D1148" s="11">
        <v>35.99</v>
      </c>
      <c r="E1148" s="11">
        <v>5.99</v>
      </c>
      <c r="F1148" s="11">
        <v>2070</v>
      </c>
      <c r="G1148" s="6" t="str">
        <f>IF(COUNTIF(Table1[Customer ID],Table1[[#This Row],[Customer ID]])&gt;1,"Repeat Customer","One-Time Customer")</f>
        <v>One-Time Customer</v>
      </c>
      <c r="H1148" s="11" t="s">
        <v>1989</v>
      </c>
      <c r="I1148" s="11" t="s">
        <v>49</v>
      </c>
      <c r="J1148" s="11" t="s">
        <v>28</v>
      </c>
      <c r="K1148" s="11" t="s">
        <v>77</v>
      </c>
      <c r="L1148" s="11" t="s">
        <v>78</v>
      </c>
      <c r="M1148" s="11" t="s">
        <v>31</v>
      </c>
      <c r="N1148" s="11" t="s">
        <v>981</v>
      </c>
      <c r="O1148" s="11">
        <v>0.38</v>
      </c>
      <c r="P1148" s="6">
        <f>Table1[[#This Row],[Profit]]/Table1[[#This Row],[Sales]]</f>
        <v>0.11613697024933278</v>
      </c>
      <c r="Q1148" s="11" t="s">
        <v>33</v>
      </c>
      <c r="R1148" s="11" t="s">
        <v>61</v>
      </c>
      <c r="S1148" s="11" t="s">
        <v>300</v>
      </c>
      <c r="T1148" s="11" t="s">
        <v>1990</v>
      </c>
      <c r="U1148" s="11">
        <v>48021</v>
      </c>
      <c r="V1148" s="12">
        <v>42140</v>
      </c>
      <c r="W1148" s="13" t="str">
        <f>TEXT(Table1[[#This Row],[Order Date]],"mmmm")</f>
        <v>May</v>
      </c>
      <c r="X1148" s="7" t="str">
        <f>TEXT(Table1[[#This Row],[Order Date]],"yyyy")</f>
        <v>2015</v>
      </c>
      <c r="Y1148" s="12">
        <v>42144</v>
      </c>
      <c r="Z1148" s="11">
        <v>17.839800000000011</v>
      </c>
      <c r="AA1148" s="11">
        <v>5</v>
      </c>
      <c r="AB1148" s="11">
        <v>153.61000000000001</v>
      </c>
      <c r="AC1148" s="11">
        <v>88558</v>
      </c>
      <c r="AD1148" s="6" t="str">
        <f>IF(COUNTIF(Returns!$A$2:$A$1635,Orders!AC1148)&gt;0,"Returned","Not Returned")</f>
        <v>Not Returned</v>
      </c>
    </row>
    <row r="1149" spans="1:30" ht="12.75" customHeight="1" thickTop="1" thickBot="1" x14ac:dyDescent="0.25">
      <c r="A1149" s="8">
        <v>20498</v>
      </c>
      <c r="B1149" s="1" t="s">
        <v>37</v>
      </c>
      <c r="C1149" s="1">
        <v>0.03</v>
      </c>
      <c r="D1149" s="1">
        <v>60.98</v>
      </c>
      <c r="E1149" s="1">
        <v>1.99</v>
      </c>
      <c r="F1149" s="1">
        <v>2071</v>
      </c>
      <c r="G1149" s="6" t="str">
        <f>IF(COUNTIF(Table1[Customer ID],Table1[[#This Row],[Customer ID]])&gt;1,"Repeat Customer","One-Time Customer")</f>
        <v>Repeat Customer</v>
      </c>
      <c r="H1149" s="1" t="s">
        <v>1991</v>
      </c>
      <c r="I1149" s="1" t="s">
        <v>49</v>
      </c>
      <c r="J1149" s="1" t="s">
        <v>28</v>
      </c>
      <c r="K1149" s="1" t="s">
        <v>77</v>
      </c>
      <c r="L1149" s="1" t="s">
        <v>180</v>
      </c>
      <c r="M1149" s="1" t="s">
        <v>51</v>
      </c>
      <c r="N1149" s="1" t="s">
        <v>1992</v>
      </c>
      <c r="O1149" s="1">
        <v>0.5</v>
      </c>
      <c r="P1149" s="6">
        <f>Table1[[#This Row],[Profit]]/Table1[[#This Row],[Sales]]</f>
        <v>0.69</v>
      </c>
      <c r="Q1149" s="1" t="s">
        <v>33</v>
      </c>
      <c r="R1149" s="1" t="s">
        <v>61</v>
      </c>
      <c r="S1149" s="1" t="s">
        <v>300</v>
      </c>
      <c r="T1149" s="1" t="s">
        <v>1993</v>
      </c>
      <c r="U1149" s="1">
        <v>48336</v>
      </c>
      <c r="V1149" s="9">
        <v>42036</v>
      </c>
      <c r="W1149" s="13" t="str">
        <f>TEXT(Table1[[#This Row],[Order Date]],"mmmm")</f>
        <v>February</v>
      </c>
      <c r="X1149" s="7" t="str">
        <f>TEXT(Table1[[#This Row],[Order Date]],"yyyy")</f>
        <v>2015</v>
      </c>
      <c r="Y1149" s="9">
        <v>42036</v>
      </c>
      <c r="Z1149" s="1">
        <v>976.2672</v>
      </c>
      <c r="AA1149" s="1">
        <v>23</v>
      </c>
      <c r="AB1149" s="1">
        <v>1414.88</v>
      </c>
      <c r="AC1149" s="1">
        <v>88555</v>
      </c>
      <c r="AD1149" s="6" t="str">
        <f>IF(COUNTIF(Returns!$A$2:$A$1635,Orders!AC1149)&gt;0,"Returned","Not Returned")</f>
        <v>Not Returned</v>
      </c>
    </row>
    <row r="1150" spans="1:30" ht="12.75" customHeight="1" thickTop="1" thickBot="1" x14ac:dyDescent="0.25">
      <c r="A1150" s="10">
        <v>20499</v>
      </c>
      <c r="B1150" s="11" t="s">
        <v>37</v>
      </c>
      <c r="C1150" s="11">
        <v>0.04</v>
      </c>
      <c r="D1150" s="11">
        <v>3.08</v>
      </c>
      <c r="E1150" s="11">
        <v>0.99</v>
      </c>
      <c r="F1150" s="11">
        <v>2071</v>
      </c>
      <c r="G1150" s="6" t="str">
        <f>IF(COUNTIF(Table1[Customer ID],Table1[[#This Row],[Customer ID]])&gt;1,"Repeat Customer","One-Time Customer")</f>
        <v>Repeat Customer</v>
      </c>
      <c r="H1150" s="11" t="s">
        <v>1991</v>
      </c>
      <c r="I1150" s="11" t="s">
        <v>49</v>
      </c>
      <c r="J1150" s="11" t="s">
        <v>28</v>
      </c>
      <c r="K1150" s="11" t="s">
        <v>29</v>
      </c>
      <c r="L1150" s="11" t="s">
        <v>134</v>
      </c>
      <c r="M1150" s="11" t="s">
        <v>59</v>
      </c>
      <c r="N1150" s="11" t="s">
        <v>1994</v>
      </c>
      <c r="O1150" s="11">
        <v>0.37</v>
      </c>
      <c r="P1150" s="6">
        <f>Table1[[#This Row],[Profit]]/Table1[[#This Row],[Sales]]</f>
        <v>0.69</v>
      </c>
      <c r="Q1150" s="11" t="s">
        <v>33</v>
      </c>
      <c r="R1150" s="11" t="s">
        <v>61</v>
      </c>
      <c r="S1150" s="11" t="s">
        <v>300</v>
      </c>
      <c r="T1150" s="11" t="s">
        <v>1993</v>
      </c>
      <c r="U1150" s="11">
        <v>48336</v>
      </c>
      <c r="V1150" s="12">
        <v>42036</v>
      </c>
      <c r="W1150" s="13" t="str">
        <f>TEXT(Table1[[#This Row],[Order Date]],"mmmm")</f>
        <v>February</v>
      </c>
      <c r="X1150" s="7" t="str">
        <f>TEXT(Table1[[#This Row],[Order Date]],"yyyy")</f>
        <v>2015</v>
      </c>
      <c r="Y1150" s="12">
        <v>42037</v>
      </c>
      <c r="Z1150" s="11">
        <v>23.204699999999999</v>
      </c>
      <c r="AA1150" s="11">
        <v>11</v>
      </c>
      <c r="AB1150" s="11">
        <v>33.630000000000003</v>
      </c>
      <c r="AC1150" s="11">
        <v>88555</v>
      </c>
      <c r="AD1150" s="6" t="str">
        <f>IF(COUNTIF(Returns!$A$2:$A$1635,Orders!AC1150)&gt;0,"Returned","Not Returned")</f>
        <v>Not Returned</v>
      </c>
    </row>
    <row r="1151" spans="1:30" ht="12.75" customHeight="1" thickTop="1" thickBot="1" x14ac:dyDescent="0.25">
      <c r="A1151" s="8">
        <v>19568</v>
      </c>
      <c r="B1151" s="1" t="s">
        <v>106</v>
      </c>
      <c r="C1151" s="1">
        <v>0.08</v>
      </c>
      <c r="D1151" s="1">
        <v>65.989999999999995</v>
      </c>
      <c r="E1151" s="1">
        <v>5.92</v>
      </c>
      <c r="F1151" s="1">
        <v>2071</v>
      </c>
      <c r="G1151" s="6" t="str">
        <f>IF(COUNTIF(Table1[Customer ID],Table1[[#This Row],[Customer ID]])&gt;1,"Repeat Customer","One-Time Customer")</f>
        <v>Repeat Customer</v>
      </c>
      <c r="H1151" s="1" t="s">
        <v>1991</v>
      </c>
      <c r="I1151" s="1" t="s">
        <v>27</v>
      </c>
      <c r="J1151" s="1" t="s">
        <v>28</v>
      </c>
      <c r="K1151" s="1" t="s">
        <v>77</v>
      </c>
      <c r="L1151" s="1" t="s">
        <v>78</v>
      </c>
      <c r="M1151" s="1" t="s">
        <v>59</v>
      </c>
      <c r="N1151" s="1" t="s">
        <v>1135</v>
      </c>
      <c r="O1151" s="1">
        <v>0.57999999999999996</v>
      </c>
      <c r="P1151" s="6">
        <f>Table1[[#This Row],[Profit]]/Table1[[#This Row],[Sales]]</f>
        <v>0.17281563437079933</v>
      </c>
      <c r="Q1151" s="1" t="s">
        <v>33</v>
      </c>
      <c r="R1151" s="1" t="s">
        <v>61</v>
      </c>
      <c r="S1151" s="1" t="s">
        <v>300</v>
      </c>
      <c r="T1151" s="1" t="s">
        <v>1993</v>
      </c>
      <c r="U1151" s="1">
        <v>48336</v>
      </c>
      <c r="V1151" s="9">
        <v>42140</v>
      </c>
      <c r="W1151" s="13" t="str">
        <f>TEXT(Table1[[#This Row],[Order Date]],"mmmm")</f>
        <v>May</v>
      </c>
      <c r="X1151" s="7" t="str">
        <f>TEXT(Table1[[#This Row],[Order Date]],"yyyy")</f>
        <v>2015</v>
      </c>
      <c r="Y1151" s="9">
        <v>42147</v>
      </c>
      <c r="Z1151" s="1">
        <v>183.84300000000002</v>
      </c>
      <c r="AA1151" s="1">
        <v>20</v>
      </c>
      <c r="AB1151" s="1">
        <v>1063.81</v>
      </c>
      <c r="AC1151" s="1">
        <v>88558</v>
      </c>
      <c r="AD1151" s="6" t="str">
        <f>IF(COUNTIF(Returns!$A$2:$A$1635,Orders!AC1151)&gt;0,"Returned","Not Returned")</f>
        <v>Not Returned</v>
      </c>
    </row>
    <row r="1152" spans="1:30" ht="12.75" customHeight="1" thickTop="1" thickBot="1" x14ac:dyDescent="0.25">
      <c r="A1152" s="10">
        <v>20500</v>
      </c>
      <c r="B1152" s="11" t="s">
        <v>37</v>
      </c>
      <c r="C1152" s="11">
        <v>0</v>
      </c>
      <c r="D1152" s="11">
        <v>10.31</v>
      </c>
      <c r="E1152" s="11">
        <v>1.79</v>
      </c>
      <c r="F1152" s="11">
        <v>2072</v>
      </c>
      <c r="G1152" s="6" t="str">
        <f>IF(COUNTIF(Table1[Customer ID],Table1[[#This Row],[Customer ID]])&gt;1,"Repeat Customer","One-Time Customer")</f>
        <v>Repeat Customer</v>
      </c>
      <c r="H1152" s="11" t="s">
        <v>1995</v>
      </c>
      <c r="I1152" s="11" t="s">
        <v>49</v>
      </c>
      <c r="J1152" s="11" t="s">
        <v>28</v>
      </c>
      <c r="K1152" s="11" t="s">
        <v>29</v>
      </c>
      <c r="L1152" s="11" t="s">
        <v>93</v>
      </c>
      <c r="M1152" s="11" t="s">
        <v>31</v>
      </c>
      <c r="N1152" s="11" t="s">
        <v>1996</v>
      </c>
      <c r="O1152" s="11">
        <v>0.38</v>
      </c>
      <c r="P1152" s="6">
        <f>Table1[[#This Row],[Profit]]/Table1[[#This Row],[Sales]]</f>
        <v>0.68999999999999984</v>
      </c>
      <c r="Q1152" s="11" t="s">
        <v>33</v>
      </c>
      <c r="R1152" s="11" t="s">
        <v>61</v>
      </c>
      <c r="S1152" s="11" t="s">
        <v>300</v>
      </c>
      <c r="T1152" s="11" t="s">
        <v>1997</v>
      </c>
      <c r="U1152" s="11">
        <v>48505</v>
      </c>
      <c r="V1152" s="12">
        <v>42036</v>
      </c>
      <c r="W1152" s="13" t="str">
        <f>TEXT(Table1[[#This Row],[Order Date]],"mmmm")</f>
        <v>February</v>
      </c>
      <c r="X1152" s="7" t="str">
        <f>TEXT(Table1[[#This Row],[Order Date]],"yyyy")</f>
        <v>2015</v>
      </c>
      <c r="Y1152" s="12">
        <v>42038</v>
      </c>
      <c r="Z1152" s="11">
        <v>167.46299999999997</v>
      </c>
      <c r="AA1152" s="11">
        <v>23</v>
      </c>
      <c r="AB1152" s="11">
        <v>242.7</v>
      </c>
      <c r="AC1152" s="11">
        <v>88555</v>
      </c>
      <c r="AD1152" s="6" t="str">
        <f>IF(COUNTIF(Returns!$A$2:$A$1635,Orders!AC1152)&gt;0,"Returned","Not Returned")</f>
        <v>Not Returned</v>
      </c>
    </row>
    <row r="1153" spans="1:30" ht="12.75" customHeight="1" thickTop="1" thickBot="1" x14ac:dyDescent="0.25">
      <c r="A1153" s="8">
        <v>20824</v>
      </c>
      <c r="B1153" s="1" t="s">
        <v>25</v>
      </c>
      <c r="C1153" s="1">
        <v>0.09</v>
      </c>
      <c r="D1153" s="1">
        <v>260.98</v>
      </c>
      <c r="E1153" s="1">
        <v>41.91</v>
      </c>
      <c r="F1153" s="1">
        <v>2072</v>
      </c>
      <c r="G1153" s="6" t="str">
        <f>IF(COUNTIF(Table1[Customer ID],Table1[[#This Row],[Customer ID]])&gt;1,"Repeat Customer","One-Time Customer")</f>
        <v>Repeat Customer</v>
      </c>
      <c r="H1153" s="1" t="s">
        <v>1995</v>
      </c>
      <c r="I1153" s="1" t="s">
        <v>39</v>
      </c>
      <c r="J1153" s="1" t="s">
        <v>28</v>
      </c>
      <c r="K1153" s="1" t="s">
        <v>41</v>
      </c>
      <c r="L1153" s="1" t="s">
        <v>191</v>
      </c>
      <c r="M1153" s="1" t="s">
        <v>121</v>
      </c>
      <c r="N1153" s="1" t="s">
        <v>950</v>
      </c>
      <c r="O1153" s="1">
        <v>0.59</v>
      </c>
      <c r="P1153" s="6">
        <f>Table1[[#This Row],[Profit]]/Table1[[#This Row],[Sales]]</f>
        <v>0.38710274617566759</v>
      </c>
      <c r="Q1153" s="1" t="s">
        <v>33</v>
      </c>
      <c r="R1153" s="1" t="s">
        <v>61</v>
      </c>
      <c r="S1153" s="1" t="s">
        <v>300</v>
      </c>
      <c r="T1153" s="1" t="s">
        <v>1997</v>
      </c>
      <c r="U1153" s="1">
        <v>48505</v>
      </c>
      <c r="V1153" s="9">
        <v>42046</v>
      </c>
      <c r="W1153" s="13" t="str">
        <f>TEXT(Table1[[#This Row],[Order Date]],"mmmm")</f>
        <v>February</v>
      </c>
      <c r="X1153" s="7" t="str">
        <f>TEXT(Table1[[#This Row],[Order Date]],"yyyy")</f>
        <v>2015</v>
      </c>
      <c r="Y1153" s="9">
        <v>42048</v>
      </c>
      <c r="Z1153" s="1">
        <v>1307.2692</v>
      </c>
      <c r="AA1153" s="1">
        <v>14</v>
      </c>
      <c r="AB1153" s="1">
        <v>3377.06</v>
      </c>
      <c r="AC1153" s="1">
        <v>88556</v>
      </c>
      <c r="AD1153" s="6" t="str">
        <f>IF(COUNTIF(Returns!$A$2:$A$1635,Orders!AC1153)&gt;0,"Returned","Not Returned")</f>
        <v>Not Returned</v>
      </c>
    </row>
    <row r="1154" spans="1:30" ht="12.75" customHeight="1" thickTop="1" thickBot="1" x14ac:dyDescent="0.25">
      <c r="A1154" s="10">
        <v>20825</v>
      </c>
      <c r="B1154" s="11" t="s">
        <v>25</v>
      </c>
      <c r="C1154" s="11">
        <v>0.01</v>
      </c>
      <c r="D1154" s="11">
        <v>10.52</v>
      </c>
      <c r="E1154" s="11">
        <v>7.94</v>
      </c>
      <c r="F1154" s="11">
        <v>2072</v>
      </c>
      <c r="G1154" s="6" t="str">
        <f>IF(COUNTIF(Table1[Customer ID],Table1[[#This Row],[Customer ID]])&gt;1,"Repeat Customer","One-Time Customer")</f>
        <v>Repeat Customer</v>
      </c>
      <c r="H1154" s="11" t="s">
        <v>1995</v>
      </c>
      <c r="I1154" s="11" t="s">
        <v>49</v>
      </c>
      <c r="J1154" s="11" t="s">
        <v>28</v>
      </c>
      <c r="K1154" s="11" t="s">
        <v>41</v>
      </c>
      <c r="L1154" s="11" t="s">
        <v>50</v>
      </c>
      <c r="M1154" s="11" t="s">
        <v>51</v>
      </c>
      <c r="N1154" s="11" t="s">
        <v>1998</v>
      </c>
      <c r="O1154" s="11">
        <v>0.52</v>
      </c>
      <c r="P1154" s="6">
        <f>Table1[[#This Row],[Profit]]/Table1[[#This Row],[Sales]]</f>
        <v>-0.1276397966594045</v>
      </c>
      <c r="Q1154" s="11" t="s">
        <v>33</v>
      </c>
      <c r="R1154" s="11" t="s">
        <v>61</v>
      </c>
      <c r="S1154" s="11" t="s">
        <v>300</v>
      </c>
      <c r="T1154" s="11" t="s">
        <v>1997</v>
      </c>
      <c r="U1154" s="11">
        <v>48505</v>
      </c>
      <c r="V1154" s="12">
        <v>42046</v>
      </c>
      <c r="W1154" s="13" t="str">
        <f>TEXT(Table1[[#This Row],[Order Date]],"mmmm")</f>
        <v>February</v>
      </c>
      <c r="X1154" s="7" t="str">
        <f>TEXT(Table1[[#This Row],[Order Date]],"yyyy")</f>
        <v>2015</v>
      </c>
      <c r="Y1154" s="12">
        <v>42048</v>
      </c>
      <c r="Z1154" s="11">
        <v>-15.818400000000002</v>
      </c>
      <c r="AA1154" s="11">
        <v>11</v>
      </c>
      <c r="AB1154" s="11">
        <v>123.93</v>
      </c>
      <c r="AC1154" s="11">
        <v>88556</v>
      </c>
      <c r="AD1154" s="6" t="str">
        <f>IF(COUNTIF(Returns!$A$2:$A$1635,Orders!AC1154)&gt;0,"Returned","Not Returned")</f>
        <v>Not Returned</v>
      </c>
    </row>
    <row r="1155" spans="1:30" ht="12.75" customHeight="1" thickTop="1" thickBot="1" x14ac:dyDescent="0.25">
      <c r="A1155" s="8">
        <v>20826</v>
      </c>
      <c r="B1155" s="1" t="s">
        <v>25</v>
      </c>
      <c r="C1155" s="1">
        <v>0.02</v>
      </c>
      <c r="D1155" s="1">
        <v>5.98</v>
      </c>
      <c r="E1155" s="1">
        <v>7.5</v>
      </c>
      <c r="F1155" s="1">
        <v>2072</v>
      </c>
      <c r="G1155" s="6" t="str">
        <f>IF(COUNTIF(Table1[Customer ID],Table1[[#This Row],[Customer ID]])&gt;1,"Repeat Customer","One-Time Customer")</f>
        <v>Repeat Customer</v>
      </c>
      <c r="H1155" s="1" t="s">
        <v>1995</v>
      </c>
      <c r="I1155" s="1" t="s">
        <v>27</v>
      </c>
      <c r="J1155" s="1" t="s">
        <v>28</v>
      </c>
      <c r="K1155" s="1" t="s">
        <v>29</v>
      </c>
      <c r="L1155" s="1" t="s">
        <v>93</v>
      </c>
      <c r="M1155" s="1" t="s">
        <v>59</v>
      </c>
      <c r="N1155" s="1" t="s">
        <v>1999</v>
      </c>
      <c r="O1155" s="1">
        <v>0.4</v>
      </c>
      <c r="P1155" s="6">
        <f>Table1[[#This Row],[Profit]]/Table1[[#This Row],[Sales]]</f>
        <v>-0.59421455938697332</v>
      </c>
      <c r="Q1155" s="1" t="s">
        <v>33</v>
      </c>
      <c r="R1155" s="1" t="s">
        <v>61</v>
      </c>
      <c r="S1155" s="1" t="s">
        <v>300</v>
      </c>
      <c r="T1155" s="1" t="s">
        <v>1997</v>
      </c>
      <c r="U1155" s="1">
        <v>48505</v>
      </c>
      <c r="V1155" s="9">
        <v>42046</v>
      </c>
      <c r="W1155" s="13" t="str">
        <f>TEXT(Table1[[#This Row],[Order Date]],"mmmm")</f>
        <v>February</v>
      </c>
      <c r="X1155" s="7" t="str">
        <f>TEXT(Table1[[#This Row],[Order Date]],"yyyy")</f>
        <v>2015</v>
      </c>
      <c r="Y1155" s="9">
        <v>42048</v>
      </c>
      <c r="Z1155" s="1">
        <v>-55.832400000000007</v>
      </c>
      <c r="AA1155" s="1">
        <v>14</v>
      </c>
      <c r="AB1155" s="1">
        <v>93.96</v>
      </c>
      <c r="AC1155" s="1">
        <v>88556</v>
      </c>
      <c r="AD1155" s="6" t="str">
        <f>IF(COUNTIF(Returns!$A$2:$A$1635,Orders!AC1155)&gt;0,"Returned","Not Returned")</f>
        <v>Not Returned</v>
      </c>
    </row>
    <row r="1156" spans="1:30" ht="12.75" customHeight="1" thickTop="1" thickBot="1" x14ac:dyDescent="0.25">
      <c r="A1156" s="10">
        <v>24677</v>
      </c>
      <c r="B1156" s="11" t="s">
        <v>37</v>
      </c>
      <c r="C1156" s="11">
        <v>0.05</v>
      </c>
      <c r="D1156" s="11">
        <v>291.73</v>
      </c>
      <c r="E1156" s="11">
        <v>48.8</v>
      </c>
      <c r="F1156" s="11">
        <v>2073</v>
      </c>
      <c r="G1156" s="6" t="str">
        <f>IF(COUNTIF(Table1[Customer ID],Table1[[#This Row],[Customer ID]])&gt;1,"Repeat Customer","One-Time Customer")</f>
        <v>One-Time Customer</v>
      </c>
      <c r="H1156" s="11" t="s">
        <v>2000</v>
      </c>
      <c r="I1156" s="11" t="s">
        <v>39</v>
      </c>
      <c r="J1156" s="11" t="s">
        <v>114</v>
      </c>
      <c r="K1156" s="11" t="s">
        <v>41</v>
      </c>
      <c r="L1156" s="11" t="s">
        <v>42</v>
      </c>
      <c r="M1156" s="11" t="s">
        <v>43</v>
      </c>
      <c r="N1156" s="11" t="s">
        <v>145</v>
      </c>
      <c r="O1156" s="11">
        <v>0.56000000000000005</v>
      </c>
      <c r="P1156" s="6">
        <f>Table1[[#This Row],[Profit]]/Table1[[#This Row],[Sales]]</f>
        <v>0.30267145473243107</v>
      </c>
      <c r="Q1156" s="11" t="s">
        <v>33</v>
      </c>
      <c r="R1156" s="11" t="s">
        <v>61</v>
      </c>
      <c r="S1156" s="11" t="s">
        <v>300</v>
      </c>
      <c r="T1156" s="11" t="s">
        <v>2001</v>
      </c>
      <c r="U1156" s="11">
        <v>48135</v>
      </c>
      <c r="V1156" s="12">
        <v>42101</v>
      </c>
      <c r="W1156" s="13" t="str">
        <f>TEXT(Table1[[#This Row],[Order Date]],"mmmm")</f>
        <v>April</v>
      </c>
      <c r="X1156" s="7" t="str">
        <f>TEXT(Table1[[#This Row],[Order Date]],"yyyy")</f>
        <v>2015</v>
      </c>
      <c r="Y1156" s="12">
        <v>42103</v>
      </c>
      <c r="Z1156" s="11">
        <v>550.38080000000002</v>
      </c>
      <c r="AA1156" s="11">
        <v>6</v>
      </c>
      <c r="AB1156" s="11">
        <v>1818.41</v>
      </c>
      <c r="AC1156" s="11">
        <v>88557</v>
      </c>
      <c r="AD1156" s="6" t="str">
        <f>IF(COUNTIF(Returns!$A$2:$A$1635,Orders!AC1156)&gt;0,"Returned","Not Returned")</f>
        <v>Not Returned</v>
      </c>
    </row>
    <row r="1157" spans="1:30" ht="12.75" customHeight="1" thickTop="1" thickBot="1" x14ac:dyDescent="0.25">
      <c r="A1157" s="8">
        <v>24094</v>
      </c>
      <c r="B1157" s="1" t="s">
        <v>106</v>
      </c>
      <c r="C1157" s="1">
        <v>0.09</v>
      </c>
      <c r="D1157" s="1">
        <v>1.48</v>
      </c>
      <c r="E1157" s="1">
        <v>0.7</v>
      </c>
      <c r="F1157" s="1">
        <v>2081</v>
      </c>
      <c r="G1157" s="6" t="str">
        <f>IF(COUNTIF(Table1[Customer ID],Table1[[#This Row],[Customer ID]])&gt;1,"Repeat Customer","One-Time Customer")</f>
        <v>One-Time Customer</v>
      </c>
      <c r="H1157" s="1" t="s">
        <v>2002</v>
      </c>
      <c r="I1157" s="1" t="s">
        <v>49</v>
      </c>
      <c r="J1157" s="1" t="s">
        <v>28</v>
      </c>
      <c r="K1157" s="1" t="s">
        <v>29</v>
      </c>
      <c r="L1157" s="1" t="s">
        <v>66</v>
      </c>
      <c r="M1157" s="1" t="s">
        <v>31</v>
      </c>
      <c r="N1157" s="1" t="s">
        <v>2003</v>
      </c>
      <c r="O1157" s="1">
        <v>0.37</v>
      </c>
      <c r="P1157" s="6">
        <f>Table1[[#This Row],[Profit]]/Table1[[#This Row],[Sales]]</f>
        <v>0.18770949720670391</v>
      </c>
      <c r="Q1157" s="1" t="s">
        <v>33</v>
      </c>
      <c r="R1157" s="1" t="s">
        <v>53</v>
      </c>
      <c r="S1157" s="1" t="s">
        <v>71</v>
      </c>
      <c r="T1157" s="1" t="s">
        <v>2004</v>
      </c>
      <c r="U1157" s="1">
        <v>14853</v>
      </c>
      <c r="V1157" s="9">
        <v>42007</v>
      </c>
      <c r="W1157" s="13" t="str">
        <f>TEXT(Table1[[#This Row],[Order Date]],"mmmm")</f>
        <v>January</v>
      </c>
      <c r="X1157" s="7" t="str">
        <f>TEXT(Table1[[#This Row],[Order Date]],"yyyy")</f>
        <v>2015</v>
      </c>
      <c r="Y1157" s="9">
        <v>42009</v>
      </c>
      <c r="Z1157" s="1">
        <v>1.68</v>
      </c>
      <c r="AA1157" s="1">
        <v>6</v>
      </c>
      <c r="AB1157" s="1">
        <v>8.9499999999999993</v>
      </c>
      <c r="AC1157" s="1">
        <v>86092</v>
      </c>
      <c r="AD1157" s="6" t="str">
        <f>IF(COUNTIF(Returns!$A$2:$A$1635,Orders!AC1157)&gt;0,"Returned","Not Returned")</f>
        <v>Not Returned</v>
      </c>
    </row>
    <row r="1158" spans="1:30" ht="12.75" customHeight="1" thickTop="1" thickBot="1" x14ac:dyDescent="0.25">
      <c r="A1158" s="10">
        <v>21697</v>
      </c>
      <c r="B1158" s="11" t="s">
        <v>106</v>
      </c>
      <c r="C1158" s="11">
        <v>0.06</v>
      </c>
      <c r="D1158" s="11">
        <v>38.06</v>
      </c>
      <c r="E1158" s="11">
        <v>4.5</v>
      </c>
      <c r="F1158" s="11">
        <v>2089</v>
      </c>
      <c r="G1158" s="6" t="str">
        <f>IF(COUNTIF(Table1[Customer ID],Table1[[#This Row],[Customer ID]])&gt;1,"Repeat Customer","One-Time Customer")</f>
        <v>Repeat Customer</v>
      </c>
      <c r="H1158" s="11" t="s">
        <v>2005</v>
      </c>
      <c r="I1158" s="11" t="s">
        <v>49</v>
      </c>
      <c r="J1158" s="11" t="s">
        <v>28</v>
      </c>
      <c r="K1158" s="11" t="s">
        <v>29</v>
      </c>
      <c r="L1158" s="11" t="s">
        <v>257</v>
      </c>
      <c r="M1158" s="11" t="s">
        <v>59</v>
      </c>
      <c r="N1158" s="11" t="s">
        <v>2006</v>
      </c>
      <c r="O1158" s="11">
        <v>0.56000000000000005</v>
      </c>
      <c r="P1158" s="6">
        <f>Table1[[#This Row],[Profit]]/Table1[[#This Row],[Sales]]</f>
        <v>0.69</v>
      </c>
      <c r="Q1158" s="11" t="s">
        <v>33</v>
      </c>
      <c r="R1158" s="11" t="s">
        <v>53</v>
      </c>
      <c r="S1158" s="11" t="s">
        <v>71</v>
      </c>
      <c r="T1158" s="11" t="s">
        <v>2007</v>
      </c>
      <c r="U1158" s="11">
        <v>10956</v>
      </c>
      <c r="V1158" s="12">
        <v>42185</v>
      </c>
      <c r="W1158" s="13" t="str">
        <f>TEXT(Table1[[#This Row],[Order Date]],"mmmm")</f>
        <v>June</v>
      </c>
      <c r="X1158" s="7" t="str">
        <f>TEXT(Table1[[#This Row],[Order Date]],"yyyy")</f>
        <v>2015</v>
      </c>
      <c r="Y1158" s="12">
        <v>42191</v>
      </c>
      <c r="Z1158" s="11">
        <v>450.45959999999997</v>
      </c>
      <c r="AA1158" s="11">
        <v>17</v>
      </c>
      <c r="AB1158" s="11">
        <v>652.84</v>
      </c>
      <c r="AC1158" s="11">
        <v>88348</v>
      </c>
      <c r="AD1158" s="6" t="str">
        <f>IF(COUNTIF(Returns!$A$2:$A$1635,Orders!AC1158)&gt;0,"Returned","Not Returned")</f>
        <v>Not Returned</v>
      </c>
    </row>
    <row r="1159" spans="1:30" ht="12.75" customHeight="1" thickTop="1" thickBot="1" x14ac:dyDescent="0.25">
      <c r="A1159" s="8">
        <v>21698</v>
      </c>
      <c r="B1159" s="1" t="s">
        <v>106</v>
      </c>
      <c r="C1159" s="1">
        <v>0.08</v>
      </c>
      <c r="D1159" s="1">
        <v>599.99</v>
      </c>
      <c r="E1159" s="1">
        <v>24.49</v>
      </c>
      <c r="F1159" s="1">
        <v>2089</v>
      </c>
      <c r="G1159" s="6" t="str">
        <f>IF(COUNTIF(Table1[Customer ID],Table1[[#This Row],[Customer ID]])&gt;1,"Repeat Customer","One-Time Customer")</f>
        <v>Repeat Customer</v>
      </c>
      <c r="H1159" s="1" t="s">
        <v>2005</v>
      </c>
      <c r="I1159" s="1" t="s">
        <v>49</v>
      </c>
      <c r="J1159" s="1" t="s">
        <v>28</v>
      </c>
      <c r="K1159" s="1" t="s">
        <v>77</v>
      </c>
      <c r="L1159" s="1" t="s">
        <v>587</v>
      </c>
      <c r="M1159" s="1" t="s">
        <v>236</v>
      </c>
      <c r="N1159" s="1" t="s">
        <v>2008</v>
      </c>
      <c r="O1159" s="1">
        <v>0.37</v>
      </c>
      <c r="P1159" s="6">
        <f>Table1[[#This Row],[Profit]]/Table1[[#This Row],[Sales]]</f>
        <v>0.68999999999999984</v>
      </c>
      <c r="Q1159" s="1" t="s">
        <v>33</v>
      </c>
      <c r="R1159" s="1" t="s">
        <v>53</v>
      </c>
      <c r="S1159" s="1" t="s">
        <v>71</v>
      </c>
      <c r="T1159" s="1" t="s">
        <v>2007</v>
      </c>
      <c r="U1159" s="1">
        <v>10956</v>
      </c>
      <c r="V1159" s="9">
        <v>42185</v>
      </c>
      <c r="W1159" s="13" t="str">
        <f>TEXT(Table1[[#This Row],[Order Date]],"mmmm")</f>
        <v>June</v>
      </c>
      <c r="X1159" s="7" t="str">
        <f>TEXT(Table1[[#This Row],[Order Date]],"yyyy")</f>
        <v>2015</v>
      </c>
      <c r="Y1159" s="9">
        <v>42193</v>
      </c>
      <c r="Z1159" s="1">
        <v>8798.1830999999984</v>
      </c>
      <c r="AA1159" s="1">
        <v>22</v>
      </c>
      <c r="AB1159" s="1">
        <v>12750.99</v>
      </c>
      <c r="AC1159" s="1">
        <v>88348</v>
      </c>
      <c r="AD1159" s="6" t="str">
        <f>IF(COUNTIF(Returns!$A$2:$A$1635,Orders!AC1159)&gt;0,"Returned","Not Returned")</f>
        <v>Not Returned</v>
      </c>
    </row>
    <row r="1160" spans="1:30" ht="12.75" customHeight="1" thickTop="1" thickBot="1" x14ac:dyDescent="0.25">
      <c r="A1160" s="10">
        <v>21699</v>
      </c>
      <c r="B1160" s="11" t="s">
        <v>106</v>
      </c>
      <c r="C1160" s="11">
        <v>0.1</v>
      </c>
      <c r="D1160" s="11">
        <v>3.98</v>
      </c>
      <c r="E1160" s="11">
        <v>2.97</v>
      </c>
      <c r="F1160" s="11">
        <v>2089</v>
      </c>
      <c r="G1160" s="6" t="str">
        <f>IF(COUNTIF(Table1[Customer ID],Table1[[#This Row],[Customer ID]])&gt;1,"Repeat Customer","One-Time Customer")</f>
        <v>Repeat Customer</v>
      </c>
      <c r="H1160" s="11" t="s">
        <v>2005</v>
      </c>
      <c r="I1160" s="11" t="s">
        <v>27</v>
      </c>
      <c r="J1160" s="11" t="s">
        <v>28</v>
      </c>
      <c r="K1160" s="11" t="s">
        <v>29</v>
      </c>
      <c r="L1160" s="11" t="s">
        <v>93</v>
      </c>
      <c r="M1160" s="11" t="s">
        <v>31</v>
      </c>
      <c r="N1160" s="11" t="s">
        <v>2009</v>
      </c>
      <c r="O1160" s="11">
        <v>0.35</v>
      </c>
      <c r="P1160" s="6">
        <f>Table1[[#This Row],[Profit]]/Table1[[#This Row],[Sales]]</f>
        <v>-0.26217137293086662</v>
      </c>
      <c r="Q1160" s="11" t="s">
        <v>33</v>
      </c>
      <c r="R1160" s="11" t="s">
        <v>53</v>
      </c>
      <c r="S1160" s="11" t="s">
        <v>71</v>
      </c>
      <c r="T1160" s="11" t="s">
        <v>2007</v>
      </c>
      <c r="U1160" s="11">
        <v>10956</v>
      </c>
      <c r="V1160" s="12">
        <v>42185</v>
      </c>
      <c r="W1160" s="13" t="str">
        <f>TEXT(Table1[[#This Row],[Order Date]],"mmmm")</f>
        <v>June</v>
      </c>
      <c r="X1160" s="7" t="str">
        <f>TEXT(Table1[[#This Row],[Order Date]],"yyyy")</f>
        <v>2015</v>
      </c>
      <c r="Y1160" s="12">
        <v>42189</v>
      </c>
      <c r="Z1160" s="11">
        <v>-5.3849999999999998</v>
      </c>
      <c r="AA1160" s="11">
        <v>5</v>
      </c>
      <c r="AB1160" s="11">
        <v>20.54</v>
      </c>
      <c r="AC1160" s="11">
        <v>88348</v>
      </c>
      <c r="AD1160" s="6" t="str">
        <f>IF(COUNTIF(Returns!$A$2:$A$1635,Orders!AC1160)&gt;0,"Returned","Not Returned")</f>
        <v>Not Returned</v>
      </c>
    </row>
    <row r="1161" spans="1:30" ht="12.75" customHeight="1" thickTop="1" thickBot="1" x14ac:dyDescent="0.25">
      <c r="A1161" s="8">
        <v>18696</v>
      </c>
      <c r="B1161" s="1" t="s">
        <v>56</v>
      </c>
      <c r="C1161" s="1">
        <v>0.08</v>
      </c>
      <c r="D1161" s="1">
        <v>400.98</v>
      </c>
      <c r="E1161" s="1">
        <v>42.52</v>
      </c>
      <c r="F1161" s="1">
        <v>2094</v>
      </c>
      <c r="G1161" s="6" t="str">
        <f>IF(COUNTIF(Table1[Customer ID],Table1[[#This Row],[Customer ID]])&gt;1,"Repeat Customer","One-Time Customer")</f>
        <v>One-Time Customer</v>
      </c>
      <c r="H1161" s="1" t="s">
        <v>2010</v>
      </c>
      <c r="I1161" s="1" t="s">
        <v>39</v>
      </c>
      <c r="J1161" s="1" t="s">
        <v>28</v>
      </c>
      <c r="K1161" s="1" t="s">
        <v>41</v>
      </c>
      <c r="L1161" s="1" t="s">
        <v>152</v>
      </c>
      <c r="M1161" s="1" t="s">
        <v>121</v>
      </c>
      <c r="N1161" s="1" t="s">
        <v>1094</v>
      </c>
      <c r="O1161" s="1">
        <v>0.71</v>
      </c>
      <c r="P1161" s="6">
        <f>Table1[[#This Row],[Profit]]/Table1[[#This Row],[Sales]]</f>
        <v>0.38672920036122266</v>
      </c>
      <c r="Q1161" s="1" t="s">
        <v>33</v>
      </c>
      <c r="R1161" s="1" t="s">
        <v>34</v>
      </c>
      <c r="S1161" s="1" t="s">
        <v>45</v>
      </c>
      <c r="T1161" s="1" t="s">
        <v>2011</v>
      </c>
      <c r="U1161" s="1">
        <v>95928</v>
      </c>
      <c r="V1161" s="9">
        <v>42040</v>
      </c>
      <c r="W1161" s="13" t="str">
        <f>TEXT(Table1[[#This Row],[Order Date]],"mmmm")</f>
        <v>February</v>
      </c>
      <c r="X1161" s="7" t="str">
        <f>TEXT(Table1[[#This Row],[Order Date]],"yyyy")</f>
        <v>2015</v>
      </c>
      <c r="Y1161" s="9">
        <v>42041</v>
      </c>
      <c r="Z1161" s="1">
        <v>3031.9724000000001</v>
      </c>
      <c r="AA1161" s="1">
        <v>20</v>
      </c>
      <c r="AB1161" s="1">
        <v>7840.04</v>
      </c>
      <c r="AC1161" s="1">
        <v>86629</v>
      </c>
      <c r="AD1161" s="6" t="str">
        <f>IF(COUNTIF(Returns!$A$2:$A$1635,Orders!AC1161)&gt;0,"Returned","Not Returned")</f>
        <v>Not Returned</v>
      </c>
    </row>
    <row r="1162" spans="1:30" ht="12.75" customHeight="1" thickTop="1" thickBot="1" x14ac:dyDescent="0.25">
      <c r="A1162" s="10">
        <v>18417</v>
      </c>
      <c r="B1162" s="11" t="s">
        <v>56</v>
      </c>
      <c r="C1162" s="11">
        <v>0.1</v>
      </c>
      <c r="D1162" s="11">
        <v>300.97000000000003</v>
      </c>
      <c r="E1162" s="11">
        <v>7.18</v>
      </c>
      <c r="F1162" s="11">
        <v>2097</v>
      </c>
      <c r="G1162" s="6" t="str">
        <f>IF(COUNTIF(Table1[Customer ID],Table1[[#This Row],[Customer ID]])&gt;1,"Repeat Customer","One-Time Customer")</f>
        <v>One-Time Customer</v>
      </c>
      <c r="H1162" s="11" t="s">
        <v>2012</v>
      </c>
      <c r="I1162" s="11" t="s">
        <v>49</v>
      </c>
      <c r="J1162" s="11" t="s">
        <v>40</v>
      </c>
      <c r="K1162" s="11" t="s">
        <v>77</v>
      </c>
      <c r="L1162" s="11" t="s">
        <v>180</v>
      </c>
      <c r="M1162" s="11" t="s">
        <v>59</v>
      </c>
      <c r="N1162" s="11" t="s">
        <v>1089</v>
      </c>
      <c r="O1162" s="11">
        <v>0.48</v>
      </c>
      <c r="P1162" s="6">
        <f>Table1[[#This Row],[Profit]]/Table1[[#This Row],[Sales]]</f>
        <v>0.12612100554677291</v>
      </c>
      <c r="Q1162" s="11" t="s">
        <v>33</v>
      </c>
      <c r="R1162" s="11" t="s">
        <v>136</v>
      </c>
      <c r="S1162" s="11" t="s">
        <v>932</v>
      </c>
      <c r="T1162" s="11" t="s">
        <v>933</v>
      </c>
      <c r="U1162" s="11">
        <v>29915</v>
      </c>
      <c r="V1162" s="12">
        <v>42112</v>
      </c>
      <c r="W1162" s="13" t="str">
        <f>TEXT(Table1[[#This Row],[Order Date]],"mmmm")</f>
        <v>April</v>
      </c>
      <c r="X1162" s="7" t="str">
        <f>TEXT(Table1[[#This Row],[Order Date]],"yyyy")</f>
        <v>2015</v>
      </c>
      <c r="Y1162" s="12">
        <v>42113</v>
      </c>
      <c r="Z1162" s="11">
        <v>138.018</v>
      </c>
      <c r="AA1162" s="11">
        <v>4</v>
      </c>
      <c r="AB1162" s="11">
        <v>1094.33</v>
      </c>
      <c r="AC1162" s="11">
        <v>87889</v>
      </c>
      <c r="AD1162" s="6" t="str">
        <f>IF(COUNTIF(Returns!$A$2:$A$1635,Orders!AC1162)&gt;0,"Returned","Not Returned")</f>
        <v>Not Returned</v>
      </c>
    </row>
    <row r="1163" spans="1:30" ht="12.75" customHeight="1" thickTop="1" thickBot="1" x14ac:dyDescent="0.25">
      <c r="A1163" s="8">
        <v>18418</v>
      </c>
      <c r="B1163" s="1" t="s">
        <v>56</v>
      </c>
      <c r="C1163" s="1">
        <v>0.06</v>
      </c>
      <c r="D1163" s="1">
        <v>39.89</v>
      </c>
      <c r="E1163" s="1">
        <v>3.04</v>
      </c>
      <c r="F1163" s="1">
        <v>2098</v>
      </c>
      <c r="G1163" s="6" t="str">
        <f>IF(COUNTIF(Table1[Customer ID],Table1[[#This Row],[Customer ID]])&gt;1,"Repeat Customer","One-Time Customer")</f>
        <v>One-Time Customer</v>
      </c>
      <c r="H1163" s="1" t="s">
        <v>2013</v>
      </c>
      <c r="I1163" s="1" t="s">
        <v>49</v>
      </c>
      <c r="J1163" s="1" t="s">
        <v>40</v>
      </c>
      <c r="K1163" s="1" t="s">
        <v>41</v>
      </c>
      <c r="L1163" s="1" t="s">
        <v>50</v>
      </c>
      <c r="M1163" s="1" t="s">
        <v>31</v>
      </c>
      <c r="N1163" s="1" t="s">
        <v>2014</v>
      </c>
      <c r="O1163" s="1">
        <v>0.53</v>
      </c>
      <c r="P1163" s="6">
        <f>Table1[[#This Row],[Profit]]/Table1[[#This Row],[Sales]]</f>
        <v>9.9684591122394028E-2</v>
      </c>
      <c r="Q1163" s="1" t="s">
        <v>33</v>
      </c>
      <c r="R1163" s="1" t="s">
        <v>136</v>
      </c>
      <c r="S1163" s="1" t="s">
        <v>932</v>
      </c>
      <c r="T1163" s="1" t="s">
        <v>2015</v>
      </c>
      <c r="U1163" s="1">
        <v>29464</v>
      </c>
      <c r="V1163" s="9">
        <v>42112</v>
      </c>
      <c r="W1163" s="13" t="str">
        <f>TEXT(Table1[[#This Row],[Order Date]],"mmmm")</f>
        <v>April</v>
      </c>
      <c r="X1163" s="7" t="str">
        <f>TEXT(Table1[[#This Row],[Order Date]],"yyyy")</f>
        <v>2015</v>
      </c>
      <c r="Y1163" s="9">
        <v>42114</v>
      </c>
      <c r="Z1163" s="1">
        <v>38.874000000000002</v>
      </c>
      <c r="AA1163" s="1">
        <v>10</v>
      </c>
      <c r="AB1163" s="1">
        <v>389.97</v>
      </c>
      <c r="AC1163" s="1">
        <v>87889</v>
      </c>
      <c r="AD1163" s="6" t="str">
        <f>IF(COUNTIF(Returns!$A$2:$A$1635,Orders!AC1163)&gt;0,"Returned","Not Returned")</f>
        <v>Not Returned</v>
      </c>
    </row>
    <row r="1164" spans="1:30" ht="12.75" customHeight="1" thickTop="1" thickBot="1" x14ac:dyDescent="0.25">
      <c r="A1164" s="10">
        <v>22234</v>
      </c>
      <c r="B1164" s="11" t="s">
        <v>37</v>
      </c>
      <c r="C1164" s="11">
        <v>7.0000000000000007E-2</v>
      </c>
      <c r="D1164" s="11">
        <v>14.56</v>
      </c>
      <c r="E1164" s="11">
        <v>3.5</v>
      </c>
      <c r="F1164" s="11">
        <v>2099</v>
      </c>
      <c r="G1164" s="6" t="str">
        <f>IF(COUNTIF(Table1[Customer ID],Table1[[#This Row],[Customer ID]])&gt;1,"Repeat Customer","One-Time Customer")</f>
        <v>One-Time Customer</v>
      </c>
      <c r="H1164" s="11" t="s">
        <v>2016</v>
      </c>
      <c r="I1164" s="11" t="s">
        <v>49</v>
      </c>
      <c r="J1164" s="11" t="s">
        <v>40</v>
      </c>
      <c r="K1164" s="11" t="s">
        <v>29</v>
      </c>
      <c r="L1164" s="11" t="s">
        <v>257</v>
      </c>
      <c r="M1164" s="11" t="s">
        <v>59</v>
      </c>
      <c r="N1164" s="11" t="s">
        <v>905</v>
      </c>
      <c r="O1164" s="11">
        <v>0.57999999999999996</v>
      </c>
      <c r="P1164" s="6">
        <f>Table1[[#This Row],[Profit]]/Table1[[#This Row],[Sales]]</f>
        <v>-0.53821964771249564</v>
      </c>
      <c r="Q1164" s="11" t="s">
        <v>33</v>
      </c>
      <c r="R1164" s="11" t="s">
        <v>136</v>
      </c>
      <c r="S1164" s="11" t="s">
        <v>932</v>
      </c>
      <c r="T1164" s="11" t="s">
        <v>2017</v>
      </c>
      <c r="U1164" s="11">
        <v>29577</v>
      </c>
      <c r="V1164" s="12">
        <v>42012</v>
      </c>
      <c r="W1164" s="13" t="str">
        <f>TEXT(Table1[[#This Row],[Order Date]],"mmmm")</f>
        <v>January</v>
      </c>
      <c r="X1164" s="7" t="str">
        <f>TEXT(Table1[[#This Row],[Order Date]],"yyyy")</f>
        <v>2015</v>
      </c>
      <c r="Y1164" s="12">
        <v>42013</v>
      </c>
      <c r="Z1164" s="11">
        <v>-45.528000000000006</v>
      </c>
      <c r="AA1164" s="11">
        <v>6</v>
      </c>
      <c r="AB1164" s="11">
        <v>84.59</v>
      </c>
      <c r="AC1164" s="11">
        <v>87888</v>
      </c>
      <c r="AD1164" s="6" t="str">
        <f>IF(COUNTIF(Returns!$A$2:$A$1635,Orders!AC1164)&gt;0,"Returned","Not Returned")</f>
        <v>Not Returned</v>
      </c>
    </row>
    <row r="1165" spans="1:30" ht="12.75" customHeight="1" thickTop="1" thickBot="1" x14ac:dyDescent="0.25">
      <c r="A1165" s="8">
        <v>5501</v>
      </c>
      <c r="B1165" s="1" t="s">
        <v>56</v>
      </c>
      <c r="C1165" s="1">
        <v>0.05</v>
      </c>
      <c r="D1165" s="1">
        <v>399.98</v>
      </c>
      <c r="E1165" s="1">
        <v>12.06</v>
      </c>
      <c r="F1165" s="1">
        <v>2107</v>
      </c>
      <c r="G1165" s="6" t="str">
        <f>IF(COUNTIF(Table1[Customer ID],Table1[[#This Row],[Customer ID]])&gt;1,"Repeat Customer","One-Time Customer")</f>
        <v>Repeat Customer</v>
      </c>
      <c r="H1165" s="1" t="s">
        <v>2018</v>
      </c>
      <c r="I1165" s="1" t="s">
        <v>39</v>
      </c>
      <c r="J1165" s="1" t="s">
        <v>28</v>
      </c>
      <c r="K1165" s="1" t="s">
        <v>77</v>
      </c>
      <c r="L1165" s="1" t="s">
        <v>85</v>
      </c>
      <c r="M1165" s="1" t="s">
        <v>121</v>
      </c>
      <c r="N1165" s="1" t="s">
        <v>264</v>
      </c>
      <c r="O1165" s="1">
        <v>0.56000000000000005</v>
      </c>
      <c r="P1165" s="6">
        <f>Table1[[#This Row],[Profit]]/Table1[[#This Row],[Sales]]</f>
        <v>5.8715882946852711E-2</v>
      </c>
      <c r="Q1165" s="1" t="s">
        <v>33</v>
      </c>
      <c r="R1165" s="1" t="s">
        <v>61</v>
      </c>
      <c r="S1165" s="1" t="s">
        <v>178</v>
      </c>
      <c r="T1165" s="1" t="s">
        <v>179</v>
      </c>
      <c r="U1165" s="1">
        <v>60601</v>
      </c>
      <c r="V1165" s="9">
        <v>42161</v>
      </c>
      <c r="W1165" s="13" t="str">
        <f>TEXT(Table1[[#This Row],[Order Date]],"mmmm")</f>
        <v>June</v>
      </c>
      <c r="X1165" s="7" t="str">
        <f>TEXT(Table1[[#This Row],[Order Date]],"yyyy")</f>
        <v>2015</v>
      </c>
      <c r="Y1165" s="9">
        <v>42161</v>
      </c>
      <c r="Z1165" s="1">
        <v>567.59</v>
      </c>
      <c r="AA1165" s="1">
        <v>24</v>
      </c>
      <c r="AB1165" s="1">
        <v>9666.7199999999993</v>
      </c>
      <c r="AC1165" s="1">
        <v>39015</v>
      </c>
      <c r="AD1165" s="6" t="str">
        <f>IF(COUNTIF(Returns!$A$2:$A$1635,Orders!AC1165)&gt;0,"Returned","Not Returned")</f>
        <v>Not Returned</v>
      </c>
    </row>
    <row r="1166" spans="1:30" ht="12.75" customHeight="1" thickTop="1" thickBot="1" x14ac:dyDescent="0.25">
      <c r="A1166" s="10">
        <v>5502</v>
      </c>
      <c r="B1166" s="11" t="s">
        <v>56</v>
      </c>
      <c r="C1166" s="11">
        <v>7.0000000000000007E-2</v>
      </c>
      <c r="D1166" s="11">
        <v>6.48</v>
      </c>
      <c r="E1166" s="11">
        <v>5.74</v>
      </c>
      <c r="F1166" s="11">
        <v>2107</v>
      </c>
      <c r="G1166" s="6" t="str">
        <f>IF(COUNTIF(Table1[Customer ID],Table1[[#This Row],[Customer ID]])&gt;1,"Repeat Customer","One-Time Customer")</f>
        <v>Repeat Customer</v>
      </c>
      <c r="H1166" s="11" t="s">
        <v>2018</v>
      </c>
      <c r="I1166" s="11" t="s">
        <v>49</v>
      </c>
      <c r="J1166" s="11" t="s">
        <v>28</v>
      </c>
      <c r="K1166" s="11" t="s">
        <v>29</v>
      </c>
      <c r="L1166" s="11" t="s">
        <v>93</v>
      </c>
      <c r="M1166" s="11" t="s">
        <v>59</v>
      </c>
      <c r="N1166" s="11" t="s">
        <v>2019</v>
      </c>
      <c r="O1166" s="11">
        <v>0.37</v>
      </c>
      <c r="P1166" s="6">
        <f>Table1[[#This Row],[Profit]]/Table1[[#This Row],[Sales]]</f>
        <v>-0.21139842472878584</v>
      </c>
      <c r="Q1166" s="11" t="s">
        <v>33</v>
      </c>
      <c r="R1166" s="11" t="s">
        <v>61</v>
      </c>
      <c r="S1166" s="11" t="s">
        <v>178</v>
      </c>
      <c r="T1166" s="11" t="s">
        <v>179</v>
      </c>
      <c r="U1166" s="11">
        <v>60601</v>
      </c>
      <c r="V1166" s="12">
        <v>42161</v>
      </c>
      <c r="W1166" s="13" t="str">
        <f>TEXT(Table1[[#This Row],[Order Date]],"mmmm")</f>
        <v>June</v>
      </c>
      <c r="X1166" s="7" t="str">
        <f>TEXT(Table1[[#This Row],[Order Date]],"yyyy")</f>
        <v>2015</v>
      </c>
      <c r="Y1166" s="12">
        <v>42161</v>
      </c>
      <c r="Z1166" s="11">
        <v>-28.45</v>
      </c>
      <c r="AA1166" s="11">
        <v>20</v>
      </c>
      <c r="AB1166" s="11">
        <v>134.58000000000001</v>
      </c>
      <c r="AC1166" s="11">
        <v>39015</v>
      </c>
      <c r="AD1166" s="6" t="str">
        <f>IF(COUNTIF(Returns!$A$2:$A$1635,Orders!AC1166)&gt;0,"Returned","Not Returned")</f>
        <v>Not Returned</v>
      </c>
    </row>
    <row r="1167" spans="1:30" ht="12.75" customHeight="1" thickTop="1" thickBot="1" x14ac:dyDescent="0.25">
      <c r="A1167" s="8">
        <v>23502</v>
      </c>
      <c r="B1167" s="1" t="s">
        <v>56</v>
      </c>
      <c r="C1167" s="1">
        <v>7.0000000000000007E-2</v>
      </c>
      <c r="D1167" s="1">
        <v>6.48</v>
      </c>
      <c r="E1167" s="1">
        <v>5.74</v>
      </c>
      <c r="F1167" s="1">
        <v>2108</v>
      </c>
      <c r="G1167" s="6" t="str">
        <f>IF(COUNTIF(Table1[Customer ID],Table1[[#This Row],[Customer ID]])&gt;1,"Repeat Customer","One-Time Customer")</f>
        <v>One-Time Customer</v>
      </c>
      <c r="H1167" s="1" t="s">
        <v>2020</v>
      </c>
      <c r="I1167" s="1" t="s">
        <v>49</v>
      </c>
      <c r="J1167" s="1" t="s">
        <v>28</v>
      </c>
      <c r="K1167" s="1" t="s">
        <v>29</v>
      </c>
      <c r="L1167" s="1" t="s">
        <v>93</v>
      </c>
      <c r="M1167" s="1" t="s">
        <v>59</v>
      </c>
      <c r="N1167" s="1" t="s">
        <v>2019</v>
      </c>
      <c r="O1167" s="1">
        <v>0.37</v>
      </c>
      <c r="P1167" s="6">
        <f>Table1[[#This Row],[Profit]]/Table1[[#This Row],[Sales]]</f>
        <v>-0.42273402674591382</v>
      </c>
      <c r="Q1167" s="1" t="s">
        <v>33</v>
      </c>
      <c r="R1167" s="1" t="s">
        <v>61</v>
      </c>
      <c r="S1167" s="1" t="s">
        <v>506</v>
      </c>
      <c r="T1167" s="1" t="s">
        <v>2021</v>
      </c>
      <c r="U1167" s="1">
        <v>63129</v>
      </c>
      <c r="V1167" s="9">
        <v>42161</v>
      </c>
      <c r="W1167" s="13" t="str">
        <f>TEXT(Table1[[#This Row],[Order Date]],"mmmm")</f>
        <v>June</v>
      </c>
      <c r="X1167" s="7" t="str">
        <f>TEXT(Table1[[#This Row],[Order Date]],"yyyy")</f>
        <v>2015</v>
      </c>
      <c r="Y1167" s="9">
        <v>42161</v>
      </c>
      <c r="Z1167" s="1">
        <v>-14.225</v>
      </c>
      <c r="AA1167" s="1">
        <v>5</v>
      </c>
      <c r="AB1167" s="1">
        <v>33.65</v>
      </c>
      <c r="AC1167" s="1">
        <v>87862</v>
      </c>
      <c r="AD1167" s="6" t="str">
        <f>IF(COUNTIF(Returns!$A$2:$A$1635,Orders!AC1167)&gt;0,"Returned","Not Returned")</f>
        <v>Not Returned</v>
      </c>
    </row>
    <row r="1168" spans="1:30" ht="12.75" customHeight="1" thickTop="1" thickBot="1" x14ac:dyDescent="0.25">
      <c r="A1168" s="10">
        <v>18540</v>
      </c>
      <c r="B1168" s="11" t="s">
        <v>47</v>
      </c>
      <c r="C1168" s="11">
        <v>0.08</v>
      </c>
      <c r="D1168" s="11">
        <v>6.68</v>
      </c>
      <c r="E1168" s="11">
        <v>1.5</v>
      </c>
      <c r="F1168" s="11">
        <v>2114</v>
      </c>
      <c r="G1168" s="6" t="str">
        <f>IF(COUNTIF(Table1[Customer ID],Table1[[#This Row],[Customer ID]])&gt;1,"Repeat Customer","One-Time Customer")</f>
        <v>Repeat Customer</v>
      </c>
      <c r="H1168" s="11" t="s">
        <v>2022</v>
      </c>
      <c r="I1168" s="11" t="s">
        <v>49</v>
      </c>
      <c r="J1168" s="11" t="s">
        <v>28</v>
      </c>
      <c r="K1168" s="11" t="s">
        <v>29</v>
      </c>
      <c r="L1168" s="11" t="s">
        <v>30</v>
      </c>
      <c r="M1168" s="11" t="s">
        <v>31</v>
      </c>
      <c r="N1168" s="11" t="s">
        <v>2023</v>
      </c>
      <c r="O1168" s="11">
        <v>0.48</v>
      </c>
      <c r="P1168" s="6">
        <f>Table1[[#This Row],[Profit]]/Table1[[#This Row],[Sales]]</f>
        <v>-9.1016938898971578</v>
      </c>
      <c r="Q1168" s="11" t="s">
        <v>33</v>
      </c>
      <c r="R1168" s="11" t="s">
        <v>136</v>
      </c>
      <c r="S1168" s="11" t="s">
        <v>137</v>
      </c>
      <c r="T1168" s="11" t="s">
        <v>543</v>
      </c>
      <c r="U1168" s="11">
        <v>23518</v>
      </c>
      <c r="V1168" s="12">
        <v>42089</v>
      </c>
      <c r="W1168" s="13" t="str">
        <f>TEXT(Table1[[#This Row],[Order Date]],"mmmm")</f>
        <v>March</v>
      </c>
      <c r="X1168" s="7" t="str">
        <f>TEXT(Table1[[#This Row],[Order Date]],"yyyy")</f>
        <v>2015</v>
      </c>
      <c r="Y1168" s="12">
        <v>42091</v>
      </c>
      <c r="Z1168" s="11">
        <v>-601.80400000000009</v>
      </c>
      <c r="AA1168" s="11">
        <v>10</v>
      </c>
      <c r="AB1168" s="11">
        <v>66.12</v>
      </c>
      <c r="AC1168" s="11">
        <v>88403</v>
      </c>
      <c r="AD1168" s="6" t="str">
        <f>IF(COUNTIF(Returns!$A$2:$A$1635,Orders!AC1168)&gt;0,"Returned","Not Returned")</f>
        <v>Not Returned</v>
      </c>
    </row>
    <row r="1169" spans="1:30" ht="12.75" customHeight="1" thickTop="1" thickBot="1" x14ac:dyDescent="0.25">
      <c r="A1169" s="8">
        <v>18562</v>
      </c>
      <c r="B1169" s="1" t="s">
        <v>47</v>
      </c>
      <c r="C1169" s="1">
        <v>0.08</v>
      </c>
      <c r="D1169" s="1">
        <v>2.89</v>
      </c>
      <c r="E1169" s="1">
        <v>0.49</v>
      </c>
      <c r="F1169" s="1">
        <v>2114</v>
      </c>
      <c r="G1169" s="6" t="str">
        <f>IF(COUNTIF(Table1[Customer ID],Table1[[#This Row],[Customer ID]])&gt;1,"Repeat Customer","One-Time Customer")</f>
        <v>Repeat Customer</v>
      </c>
      <c r="H1169" s="1" t="s">
        <v>2022</v>
      </c>
      <c r="I1169" s="1" t="s">
        <v>49</v>
      </c>
      <c r="J1169" s="1" t="s">
        <v>28</v>
      </c>
      <c r="K1169" s="1" t="s">
        <v>29</v>
      </c>
      <c r="L1169" s="1" t="s">
        <v>134</v>
      </c>
      <c r="M1169" s="1" t="s">
        <v>59</v>
      </c>
      <c r="N1169" s="1" t="s">
        <v>2024</v>
      </c>
      <c r="O1169" s="1">
        <v>0.38</v>
      </c>
      <c r="P1169" s="6">
        <f>Table1[[#This Row],[Profit]]/Table1[[#This Row],[Sales]]</f>
        <v>12.510097719869709</v>
      </c>
      <c r="Q1169" s="1" t="s">
        <v>33</v>
      </c>
      <c r="R1169" s="1" t="s">
        <v>136</v>
      </c>
      <c r="S1169" s="1" t="s">
        <v>137</v>
      </c>
      <c r="T1169" s="1" t="s">
        <v>543</v>
      </c>
      <c r="U1169" s="1">
        <v>23518</v>
      </c>
      <c r="V1169" s="9">
        <v>42117</v>
      </c>
      <c r="W1169" s="13" t="str">
        <f>TEXT(Table1[[#This Row],[Order Date]],"mmmm")</f>
        <v>April</v>
      </c>
      <c r="X1169" s="7" t="str">
        <f>TEXT(Table1[[#This Row],[Order Date]],"yyyy")</f>
        <v>2015</v>
      </c>
      <c r="Y1169" s="9">
        <v>42117</v>
      </c>
      <c r="Z1169" s="1">
        <v>38.406000000000006</v>
      </c>
      <c r="AA1169" s="1">
        <v>1</v>
      </c>
      <c r="AB1169" s="1">
        <v>3.07</v>
      </c>
      <c r="AC1169" s="1">
        <v>88404</v>
      </c>
      <c r="AD1169" s="6" t="str">
        <f>IF(COUNTIF(Returns!$A$2:$A$1635,Orders!AC1169)&gt;0,"Returned","Not Returned")</f>
        <v>Not Returned</v>
      </c>
    </row>
    <row r="1170" spans="1:30" ht="12.75" customHeight="1" thickTop="1" thickBot="1" x14ac:dyDescent="0.25">
      <c r="A1170" s="10">
        <v>21066</v>
      </c>
      <c r="B1170" s="11" t="s">
        <v>47</v>
      </c>
      <c r="C1170" s="11">
        <v>7.0000000000000007E-2</v>
      </c>
      <c r="D1170" s="11">
        <v>226.67</v>
      </c>
      <c r="E1170" s="11">
        <v>28.16</v>
      </c>
      <c r="F1170" s="11">
        <v>2114</v>
      </c>
      <c r="G1170" s="6" t="str">
        <f>IF(COUNTIF(Table1[Customer ID],Table1[[#This Row],[Customer ID]])&gt;1,"Repeat Customer","One-Time Customer")</f>
        <v>Repeat Customer</v>
      </c>
      <c r="H1170" s="11" t="s">
        <v>2022</v>
      </c>
      <c r="I1170" s="11" t="s">
        <v>39</v>
      </c>
      <c r="J1170" s="11" t="s">
        <v>28</v>
      </c>
      <c r="K1170" s="11" t="s">
        <v>41</v>
      </c>
      <c r="L1170" s="11" t="s">
        <v>42</v>
      </c>
      <c r="M1170" s="11" t="s">
        <v>43</v>
      </c>
      <c r="N1170" s="11" t="s">
        <v>1586</v>
      </c>
      <c r="O1170" s="11">
        <v>0.59</v>
      </c>
      <c r="P1170" s="6">
        <f>Table1[[#This Row],[Profit]]/Table1[[#This Row],[Sales]]</f>
        <v>0.20761599499667746</v>
      </c>
      <c r="Q1170" s="11" t="s">
        <v>33</v>
      </c>
      <c r="R1170" s="11" t="s">
        <v>136</v>
      </c>
      <c r="S1170" s="11" t="s">
        <v>137</v>
      </c>
      <c r="T1170" s="11" t="s">
        <v>543</v>
      </c>
      <c r="U1170" s="11">
        <v>23518</v>
      </c>
      <c r="V1170" s="12">
        <v>42061</v>
      </c>
      <c r="W1170" s="13" t="str">
        <f>TEXT(Table1[[#This Row],[Order Date]],"mmmm")</f>
        <v>February</v>
      </c>
      <c r="X1170" s="7" t="str">
        <f>TEXT(Table1[[#This Row],[Order Date]],"yyyy")</f>
        <v>2015</v>
      </c>
      <c r="Y1170" s="12">
        <v>42062</v>
      </c>
      <c r="Z1170" s="11">
        <v>53.114399999999996</v>
      </c>
      <c r="AA1170" s="11">
        <v>1</v>
      </c>
      <c r="AB1170" s="11">
        <v>255.83</v>
      </c>
      <c r="AC1170" s="11">
        <v>88405</v>
      </c>
      <c r="AD1170" s="6" t="str">
        <f>IF(COUNTIF(Returns!$A$2:$A$1635,Orders!AC1170)&gt;0,"Returned","Not Returned")</f>
        <v>Not Returned</v>
      </c>
    </row>
    <row r="1171" spans="1:30" ht="12.75" customHeight="1" thickTop="1" thickBot="1" x14ac:dyDescent="0.25">
      <c r="A1171" s="8">
        <v>21067</v>
      </c>
      <c r="B1171" s="1" t="s">
        <v>47</v>
      </c>
      <c r="C1171" s="1">
        <v>0.08</v>
      </c>
      <c r="D1171" s="1">
        <v>20.98</v>
      </c>
      <c r="E1171" s="1">
        <v>53.03</v>
      </c>
      <c r="F1171" s="1">
        <v>2114</v>
      </c>
      <c r="G1171" s="6" t="str">
        <f>IF(COUNTIF(Table1[Customer ID],Table1[[#This Row],[Customer ID]])&gt;1,"Repeat Customer","One-Time Customer")</f>
        <v>Repeat Customer</v>
      </c>
      <c r="H1171" s="1" t="s">
        <v>2022</v>
      </c>
      <c r="I1171" s="1" t="s">
        <v>39</v>
      </c>
      <c r="J1171" s="1" t="s">
        <v>28</v>
      </c>
      <c r="K1171" s="1" t="s">
        <v>29</v>
      </c>
      <c r="L1171" s="1" t="s">
        <v>141</v>
      </c>
      <c r="M1171" s="1" t="s">
        <v>43</v>
      </c>
      <c r="N1171" s="1" t="s">
        <v>617</v>
      </c>
      <c r="O1171" s="1">
        <v>0.78</v>
      </c>
      <c r="P1171" s="6">
        <f>Table1[[#This Row],[Profit]]/Table1[[#This Row],[Sales]]</f>
        <v>2.0755971318676101E-2</v>
      </c>
      <c r="Q1171" s="1" t="s">
        <v>33</v>
      </c>
      <c r="R1171" s="1" t="s">
        <v>136</v>
      </c>
      <c r="S1171" s="1" t="s">
        <v>137</v>
      </c>
      <c r="T1171" s="1" t="s">
        <v>543</v>
      </c>
      <c r="U1171" s="1">
        <v>23518</v>
      </c>
      <c r="V1171" s="9">
        <v>42061</v>
      </c>
      <c r="W1171" s="13" t="str">
        <f>TEXT(Table1[[#This Row],[Order Date]],"mmmm")</f>
        <v>February</v>
      </c>
      <c r="X1171" s="7" t="str">
        <f>TEXT(Table1[[#This Row],[Order Date]],"yyyy")</f>
        <v>2015</v>
      </c>
      <c r="Y1171" s="9">
        <v>42063</v>
      </c>
      <c r="Z1171" s="1">
        <v>8.7420000000000009</v>
      </c>
      <c r="AA1171" s="1">
        <v>20</v>
      </c>
      <c r="AB1171" s="1">
        <v>421.18</v>
      </c>
      <c r="AC1171" s="1">
        <v>88405</v>
      </c>
      <c r="AD1171" s="6" t="str">
        <f>IF(COUNTIF(Returns!$A$2:$A$1635,Orders!AC1171)&gt;0,"Returned","Not Returned")</f>
        <v>Not Returned</v>
      </c>
    </row>
    <row r="1172" spans="1:30" ht="12.75" customHeight="1" thickTop="1" thickBot="1" x14ac:dyDescent="0.25">
      <c r="A1172" s="10">
        <v>21153</v>
      </c>
      <c r="B1172" s="11" t="s">
        <v>56</v>
      </c>
      <c r="C1172" s="11">
        <v>0.02</v>
      </c>
      <c r="D1172" s="11">
        <v>95.95</v>
      </c>
      <c r="E1172" s="11">
        <v>74.349999999999994</v>
      </c>
      <c r="F1172" s="11">
        <v>2115</v>
      </c>
      <c r="G1172" s="6" t="str">
        <f>IF(COUNTIF(Table1[Customer ID],Table1[[#This Row],[Customer ID]])&gt;1,"Repeat Customer","One-Time Customer")</f>
        <v>One-Time Customer</v>
      </c>
      <c r="H1172" s="11" t="s">
        <v>2025</v>
      </c>
      <c r="I1172" s="11" t="s">
        <v>39</v>
      </c>
      <c r="J1172" s="11" t="s">
        <v>28</v>
      </c>
      <c r="K1172" s="11" t="s">
        <v>41</v>
      </c>
      <c r="L1172" s="11" t="s">
        <v>42</v>
      </c>
      <c r="M1172" s="11" t="s">
        <v>43</v>
      </c>
      <c r="N1172" s="11" t="s">
        <v>2026</v>
      </c>
      <c r="O1172" s="11">
        <v>0.56999999999999995</v>
      </c>
      <c r="P1172" s="6">
        <f>Table1[[#This Row],[Profit]]/Table1[[#This Row],[Sales]]</f>
        <v>0.46209835494315621</v>
      </c>
      <c r="Q1172" s="11" t="s">
        <v>33</v>
      </c>
      <c r="R1172" s="11" t="s">
        <v>136</v>
      </c>
      <c r="S1172" s="11" t="s">
        <v>137</v>
      </c>
      <c r="T1172" s="11" t="s">
        <v>2027</v>
      </c>
      <c r="U1172" s="11">
        <v>22124</v>
      </c>
      <c r="V1172" s="12">
        <v>42123</v>
      </c>
      <c r="W1172" s="13" t="str">
        <f>TEXT(Table1[[#This Row],[Order Date]],"mmmm")</f>
        <v>April</v>
      </c>
      <c r="X1172" s="7" t="str">
        <f>TEXT(Table1[[#This Row],[Order Date]],"yyyy")</f>
        <v>2015</v>
      </c>
      <c r="Y1172" s="12">
        <v>42125</v>
      </c>
      <c r="Z1172" s="11">
        <v>636.52199999999993</v>
      </c>
      <c r="AA1172" s="11">
        <v>14</v>
      </c>
      <c r="AB1172" s="11">
        <v>1377.46</v>
      </c>
      <c r="AC1172" s="11">
        <v>88406</v>
      </c>
      <c r="AD1172" s="6" t="str">
        <f>IF(COUNTIF(Returns!$A$2:$A$1635,Orders!AC1172)&gt;0,"Returned","Not Returned")</f>
        <v>Not Returned</v>
      </c>
    </row>
    <row r="1173" spans="1:30" ht="12.75" customHeight="1" thickTop="1" thickBot="1" x14ac:dyDescent="0.25">
      <c r="A1173" s="8">
        <v>20249</v>
      </c>
      <c r="B1173" s="1" t="s">
        <v>25</v>
      </c>
      <c r="C1173" s="1">
        <v>0.03</v>
      </c>
      <c r="D1173" s="1">
        <v>320.98</v>
      </c>
      <c r="E1173" s="1">
        <v>24.49</v>
      </c>
      <c r="F1173" s="1">
        <v>2117</v>
      </c>
      <c r="G1173" s="6" t="str">
        <f>IF(COUNTIF(Table1[Customer ID],Table1[[#This Row],[Customer ID]])&gt;1,"Repeat Customer","One-Time Customer")</f>
        <v>Repeat Customer</v>
      </c>
      <c r="H1173" s="1" t="s">
        <v>2028</v>
      </c>
      <c r="I1173" s="1" t="s">
        <v>49</v>
      </c>
      <c r="J1173" s="1" t="s">
        <v>40</v>
      </c>
      <c r="K1173" s="1" t="s">
        <v>41</v>
      </c>
      <c r="L1173" s="1" t="s">
        <v>42</v>
      </c>
      <c r="M1173" s="1" t="s">
        <v>236</v>
      </c>
      <c r="N1173" s="1" t="s">
        <v>2029</v>
      </c>
      <c r="O1173" s="1">
        <v>0.55000000000000004</v>
      </c>
      <c r="P1173" s="6">
        <f>Table1[[#This Row],[Profit]]/Table1[[#This Row],[Sales]]</f>
        <v>0.69</v>
      </c>
      <c r="Q1173" s="1" t="s">
        <v>33</v>
      </c>
      <c r="R1173" s="1" t="s">
        <v>61</v>
      </c>
      <c r="S1173" s="1" t="s">
        <v>130</v>
      </c>
      <c r="T1173" s="1" t="s">
        <v>1576</v>
      </c>
      <c r="U1173" s="1">
        <v>75401</v>
      </c>
      <c r="V1173" s="9">
        <v>42114</v>
      </c>
      <c r="W1173" s="13" t="str">
        <f>TEXT(Table1[[#This Row],[Order Date]],"mmmm")</f>
        <v>April</v>
      </c>
      <c r="X1173" s="7" t="str">
        <f>TEXT(Table1[[#This Row],[Order Date]],"yyyy")</f>
        <v>2015</v>
      </c>
      <c r="Y1173" s="9">
        <v>42116</v>
      </c>
      <c r="Z1173" s="1">
        <v>4554.4346999999998</v>
      </c>
      <c r="AA1173" s="1">
        <v>20</v>
      </c>
      <c r="AB1173" s="1">
        <v>6600.63</v>
      </c>
      <c r="AC1173" s="1">
        <v>90891</v>
      </c>
      <c r="AD1173" s="6" t="str">
        <f>IF(COUNTIF(Returns!$A$2:$A$1635,Orders!AC1173)&gt;0,"Returned","Not Returned")</f>
        <v>Not Returned</v>
      </c>
    </row>
    <row r="1174" spans="1:30" ht="12.75" customHeight="1" thickTop="1" thickBot="1" x14ac:dyDescent="0.25">
      <c r="A1174" s="10">
        <v>20250</v>
      </c>
      <c r="B1174" s="11" t="s">
        <v>25</v>
      </c>
      <c r="C1174" s="11">
        <v>0.06</v>
      </c>
      <c r="D1174" s="11">
        <v>125.99</v>
      </c>
      <c r="E1174" s="11">
        <v>8.8000000000000007</v>
      </c>
      <c r="F1174" s="11">
        <v>2117</v>
      </c>
      <c r="G1174" s="6" t="str">
        <f>IF(COUNTIF(Table1[Customer ID],Table1[[#This Row],[Customer ID]])&gt;1,"Repeat Customer","One-Time Customer")</f>
        <v>Repeat Customer</v>
      </c>
      <c r="H1174" s="11" t="s">
        <v>2028</v>
      </c>
      <c r="I1174" s="11" t="s">
        <v>49</v>
      </c>
      <c r="J1174" s="11" t="s">
        <v>40</v>
      </c>
      <c r="K1174" s="11" t="s">
        <v>77</v>
      </c>
      <c r="L1174" s="11" t="s">
        <v>78</v>
      </c>
      <c r="M1174" s="11" t="s">
        <v>59</v>
      </c>
      <c r="N1174" s="11" t="s">
        <v>2030</v>
      </c>
      <c r="O1174" s="11">
        <v>0.59</v>
      </c>
      <c r="P1174" s="6">
        <f>Table1[[#This Row],[Profit]]/Table1[[#This Row],[Sales]]</f>
        <v>0.34116804176623494</v>
      </c>
      <c r="Q1174" s="11" t="s">
        <v>33</v>
      </c>
      <c r="R1174" s="11" t="s">
        <v>61</v>
      </c>
      <c r="S1174" s="11" t="s">
        <v>130</v>
      </c>
      <c r="T1174" s="11" t="s">
        <v>1576</v>
      </c>
      <c r="U1174" s="11">
        <v>75401</v>
      </c>
      <c r="V1174" s="12">
        <v>42114</v>
      </c>
      <c r="W1174" s="13" t="str">
        <f>TEXT(Table1[[#This Row],[Order Date]],"mmmm")</f>
        <v>April</v>
      </c>
      <c r="X1174" s="7" t="str">
        <f>TEXT(Table1[[#This Row],[Order Date]],"yyyy")</f>
        <v>2015</v>
      </c>
      <c r="Y1174" s="12">
        <v>42115</v>
      </c>
      <c r="Z1174" s="11">
        <v>618.19308000000001</v>
      </c>
      <c r="AA1174" s="11">
        <v>18</v>
      </c>
      <c r="AB1174" s="11">
        <v>1811.99</v>
      </c>
      <c r="AC1174" s="11">
        <v>90891</v>
      </c>
      <c r="AD1174" s="6" t="str">
        <f>IF(COUNTIF(Returns!$A$2:$A$1635,Orders!AC1174)&gt;0,"Returned","Not Returned")</f>
        <v>Not Returned</v>
      </c>
    </row>
    <row r="1175" spans="1:30" ht="12.75" customHeight="1" thickTop="1" thickBot="1" x14ac:dyDescent="0.25">
      <c r="A1175" s="8">
        <v>22231</v>
      </c>
      <c r="B1175" s="1" t="s">
        <v>47</v>
      </c>
      <c r="C1175" s="1">
        <v>0.06</v>
      </c>
      <c r="D1175" s="1">
        <v>80.97</v>
      </c>
      <c r="E1175" s="1">
        <v>33.6</v>
      </c>
      <c r="F1175" s="1">
        <v>2122</v>
      </c>
      <c r="G1175" s="6" t="str">
        <f>IF(COUNTIF(Table1[Customer ID],Table1[[#This Row],[Customer ID]])&gt;1,"Repeat Customer","One-Time Customer")</f>
        <v>One-Time Customer</v>
      </c>
      <c r="H1175" s="1" t="s">
        <v>2031</v>
      </c>
      <c r="I1175" s="1" t="s">
        <v>39</v>
      </c>
      <c r="J1175" s="1" t="s">
        <v>114</v>
      </c>
      <c r="K1175" s="1" t="s">
        <v>77</v>
      </c>
      <c r="L1175" s="1" t="s">
        <v>85</v>
      </c>
      <c r="M1175" s="1" t="s">
        <v>43</v>
      </c>
      <c r="N1175" s="1" t="s">
        <v>2032</v>
      </c>
      <c r="O1175" s="1">
        <v>0.37</v>
      </c>
      <c r="P1175" s="6">
        <f>Table1[[#This Row],[Profit]]/Table1[[#This Row],[Sales]]</f>
        <v>-1.8986195858757628E-2</v>
      </c>
      <c r="Q1175" s="1" t="s">
        <v>33</v>
      </c>
      <c r="R1175" s="1" t="s">
        <v>136</v>
      </c>
      <c r="S1175" s="1" t="s">
        <v>958</v>
      </c>
      <c r="T1175" s="1" t="s">
        <v>2033</v>
      </c>
      <c r="U1175" s="1">
        <v>72116</v>
      </c>
      <c r="V1175" s="9">
        <v>42036</v>
      </c>
      <c r="W1175" s="13" t="str">
        <f>TEXT(Table1[[#This Row],[Order Date]],"mmmm")</f>
        <v>February</v>
      </c>
      <c r="X1175" s="7" t="str">
        <f>TEXT(Table1[[#This Row],[Order Date]],"yyyy")</f>
        <v>2015</v>
      </c>
      <c r="Y1175" s="9">
        <v>42038</v>
      </c>
      <c r="Z1175" s="1">
        <v>-15.1844</v>
      </c>
      <c r="AA1175" s="1">
        <v>10</v>
      </c>
      <c r="AB1175" s="1">
        <v>799.76</v>
      </c>
      <c r="AC1175" s="1">
        <v>89664</v>
      </c>
      <c r="AD1175" s="6" t="str">
        <f>IF(COUNTIF(Returns!$A$2:$A$1635,Orders!AC1175)&gt;0,"Returned","Not Returned")</f>
        <v>Not Returned</v>
      </c>
    </row>
    <row r="1176" spans="1:30" ht="12.75" customHeight="1" thickTop="1" thickBot="1" x14ac:dyDescent="0.25">
      <c r="A1176" s="10">
        <v>24674</v>
      </c>
      <c r="B1176" s="11" t="s">
        <v>25</v>
      </c>
      <c r="C1176" s="11">
        <v>0.04</v>
      </c>
      <c r="D1176" s="11">
        <v>45.19</v>
      </c>
      <c r="E1176" s="11">
        <v>1.99</v>
      </c>
      <c r="F1176" s="11">
        <v>2124</v>
      </c>
      <c r="G1176" s="6" t="str">
        <f>IF(COUNTIF(Table1[Customer ID],Table1[[#This Row],[Customer ID]])&gt;1,"Repeat Customer","One-Time Customer")</f>
        <v>Repeat Customer</v>
      </c>
      <c r="H1176" s="11" t="s">
        <v>2034</v>
      </c>
      <c r="I1176" s="11" t="s">
        <v>49</v>
      </c>
      <c r="J1176" s="11" t="s">
        <v>114</v>
      </c>
      <c r="K1176" s="11" t="s">
        <v>77</v>
      </c>
      <c r="L1176" s="11" t="s">
        <v>180</v>
      </c>
      <c r="M1176" s="11" t="s">
        <v>51</v>
      </c>
      <c r="N1176" s="11" t="s">
        <v>1100</v>
      </c>
      <c r="O1176" s="11">
        <v>0.55000000000000004</v>
      </c>
      <c r="P1176" s="6">
        <f>Table1[[#This Row],[Profit]]/Table1[[#This Row],[Sales]]</f>
        <v>-0.10046791114613604</v>
      </c>
      <c r="Q1176" s="11" t="s">
        <v>33</v>
      </c>
      <c r="R1176" s="11" t="s">
        <v>136</v>
      </c>
      <c r="S1176" s="11" t="s">
        <v>958</v>
      </c>
      <c r="T1176" s="11" t="s">
        <v>2035</v>
      </c>
      <c r="U1176" s="11">
        <v>72301</v>
      </c>
      <c r="V1176" s="12">
        <v>42005</v>
      </c>
      <c r="W1176" s="13" t="str">
        <f>TEXT(Table1[[#This Row],[Order Date]],"mmmm")</f>
        <v>January</v>
      </c>
      <c r="X1176" s="7" t="str">
        <f>TEXT(Table1[[#This Row],[Order Date]],"yyyy")</f>
        <v>2015</v>
      </c>
      <c r="Y1176" s="12">
        <v>42006</v>
      </c>
      <c r="Z1176" s="11">
        <v>-61.194000000000003</v>
      </c>
      <c r="AA1176" s="11">
        <v>13</v>
      </c>
      <c r="AB1176" s="11">
        <v>609.09</v>
      </c>
      <c r="AC1176" s="11">
        <v>89665</v>
      </c>
      <c r="AD1176" s="6" t="str">
        <f>IF(COUNTIF(Returns!$A$2:$A$1635,Orders!AC1176)&gt;0,"Returned","Not Returned")</f>
        <v>Not Returned</v>
      </c>
    </row>
    <row r="1177" spans="1:30" ht="12.75" customHeight="1" thickTop="1" thickBot="1" x14ac:dyDescent="0.25">
      <c r="A1177" s="8">
        <v>23852</v>
      </c>
      <c r="B1177" s="1" t="s">
        <v>25</v>
      </c>
      <c r="C1177" s="1">
        <v>0.03</v>
      </c>
      <c r="D1177" s="1">
        <v>124.49</v>
      </c>
      <c r="E1177" s="1">
        <v>51.94</v>
      </c>
      <c r="F1177" s="1">
        <v>2124</v>
      </c>
      <c r="G1177" s="6" t="str">
        <f>IF(COUNTIF(Table1[Customer ID],Table1[[#This Row],[Customer ID]])&gt;1,"Repeat Customer","One-Time Customer")</f>
        <v>Repeat Customer</v>
      </c>
      <c r="H1177" s="1" t="s">
        <v>2034</v>
      </c>
      <c r="I1177" s="1" t="s">
        <v>39</v>
      </c>
      <c r="J1177" s="1" t="s">
        <v>28</v>
      </c>
      <c r="K1177" s="1" t="s">
        <v>41</v>
      </c>
      <c r="L1177" s="1" t="s">
        <v>152</v>
      </c>
      <c r="M1177" s="1" t="s">
        <v>121</v>
      </c>
      <c r="N1177" s="1" t="s">
        <v>462</v>
      </c>
      <c r="O1177" s="1">
        <v>0.63</v>
      </c>
      <c r="P1177" s="6">
        <f>Table1[[#This Row],[Profit]]/Table1[[#This Row],[Sales]]</f>
        <v>6.5801574255776735E-3</v>
      </c>
      <c r="Q1177" s="1" t="s">
        <v>33</v>
      </c>
      <c r="R1177" s="1" t="s">
        <v>136</v>
      </c>
      <c r="S1177" s="1" t="s">
        <v>958</v>
      </c>
      <c r="T1177" s="1" t="s">
        <v>2035</v>
      </c>
      <c r="U1177" s="1">
        <v>72301</v>
      </c>
      <c r="V1177" s="9">
        <v>42089</v>
      </c>
      <c r="W1177" s="13" t="str">
        <f>TEXT(Table1[[#This Row],[Order Date]],"mmmm")</f>
        <v>March</v>
      </c>
      <c r="X1177" s="7" t="str">
        <f>TEXT(Table1[[#This Row],[Order Date]],"yyyy")</f>
        <v>2015</v>
      </c>
      <c r="Y1177" s="9">
        <v>42090</v>
      </c>
      <c r="Z1177" s="1">
        <v>18.173999999999999</v>
      </c>
      <c r="AA1177" s="1">
        <v>21</v>
      </c>
      <c r="AB1177" s="1">
        <v>2761.94</v>
      </c>
      <c r="AC1177" s="1">
        <v>89666</v>
      </c>
      <c r="AD1177" s="6" t="str">
        <f>IF(COUNTIF(Returns!$A$2:$A$1635,Orders!AC1177)&gt;0,"Returned","Not Returned")</f>
        <v>Not Returned</v>
      </c>
    </row>
    <row r="1178" spans="1:30" ht="12.75" customHeight="1" thickTop="1" thickBot="1" x14ac:dyDescent="0.25">
      <c r="A1178" s="10">
        <v>24091</v>
      </c>
      <c r="B1178" s="11" t="s">
        <v>47</v>
      </c>
      <c r="C1178" s="11">
        <v>0.1</v>
      </c>
      <c r="D1178" s="11">
        <v>5.98</v>
      </c>
      <c r="E1178" s="11">
        <v>5.14</v>
      </c>
      <c r="F1178" s="11">
        <v>2127</v>
      </c>
      <c r="G1178" s="6" t="str">
        <f>IF(COUNTIF(Table1[Customer ID],Table1[[#This Row],[Customer ID]])&gt;1,"Repeat Customer","One-Time Customer")</f>
        <v>One-Time Customer</v>
      </c>
      <c r="H1178" s="11" t="s">
        <v>2036</v>
      </c>
      <c r="I1178" s="11" t="s">
        <v>49</v>
      </c>
      <c r="J1178" s="11" t="s">
        <v>40</v>
      </c>
      <c r="K1178" s="11" t="s">
        <v>29</v>
      </c>
      <c r="L1178" s="11" t="s">
        <v>93</v>
      </c>
      <c r="M1178" s="11" t="s">
        <v>59</v>
      </c>
      <c r="N1178" s="11" t="s">
        <v>2037</v>
      </c>
      <c r="O1178" s="11">
        <v>0.36</v>
      </c>
      <c r="P1178" s="6">
        <f>Table1[[#This Row],[Profit]]/Table1[[#This Row],[Sales]]</f>
        <v>-1.4589101620029454</v>
      </c>
      <c r="Q1178" s="11" t="s">
        <v>33</v>
      </c>
      <c r="R1178" s="11" t="s">
        <v>61</v>
      </c>
      <c r="S1178" s="11" t="s">
        <v>300</v>
      </c>
      <c r="T1178" s="11" t="s">
        <v>2038</v>
      </c>
      <c r="U1178" s="11">
        <v>48310</v>
      </c>
      <c r="V1178" s="12">
        <v>42081</v>
      </c>
      <c r="W1178" s="13" t="str">
        <f>TEXT(Table1[[#This Row],[Order Date]],"mmmm")</f>
        <v>March</v>
      </c>
      <c r="X1178" s="7" t="str">
        <f>TEXT(Table1[[#This Row],[Order Date]],"yyyy")</f>
        <v>2015</v>
      </c>
      <c r="Y1178" s="12">
        <v>42083</v>
      </c>
      <c r="Z1178" s="11">
        <v>-49.53</v>
      </c>
      <c r="AA1178" s="11">
        <v>6</v>
      </c>
      <c r="AB1178" s="11">
        <v>33.950000000000003</v>
      </c>
      <c r="AC1178" s="11">
        <v>88418</v>
      </c>
      <c r="AD1178" s="6" t="str">
        <f>IF(COUNTIF(Returns!$A$2:$A$1635,Orders!AC1178)&gt;0,"Returned","Not Returned")</f>
        <v>Not Returned</v>
      </c>
    </row>
    <row r="1179" spans="1:30" ht="12.75" customHeight="1" thickTop="1" thickBot="1" x14ac:dyDescent="0.25">
      <c r="A1179" s="8">
        <v>21902</v>
      </c>
      <c r="B1179" s="1" t="s">
        <v>25</v>
      </c>
      <c r="C1179" s="1">
        <v>0.09</v>
      </c>
      <c r="D1179" s="1">
        <v>150.97999999999999</v>
      </c>
      <c r="E1179" s="1">
        <v>66.27</v>
      </c>
      <c r="F1179" s="1">
        <v>2131</v>
      </c>
      <c r="G1179" s="6" t="str">
        <f>IF(COUNTIF(Table1[Customer ID],Table1[[#This Row],[Customer ID]])&gt;1,"Repeat Customer","One-Time Customer")</f>
        <v>One-Time Customer</v>
      </c>
      <c r="H1179" s="1" t="s">
        <v>2039</v>
      </c>
      <c r="I1179" s="1" t="s">
        <v>39</v>
      </c>
      <c r="J1179" s="1" t="s">
        <v>40</v>
      </c>
      <c r="K1179" s="1" t="s">
        <v>41</v>
      </c>
      <c r="L1179" s="1" t="s">
        <v>191</v>
      </c>
      <c r="M1179" s="1" t="s">
        <v>121</v>
      </c>
      <c r="N1179" s="1" t="s">
        <v>2040</v>
      </c>
      <c r="O1179" s="1">
        <v>0.65</v>
      </c>
      <c r="P1179" s="6">
        <f>Table1[[#This Row],[Profit]]/Table1[[#This Row],[Sales]]</f>
        <v>-1.3489779718198056</v>
      </c>
      <c r="Q1179" s="1" t="s">
        <v>33</v>
      </c>
      <c r="R1179" s="1" t="s">
        <v>61</v>
      </c>
      <c r="S1179" s="1" t="s">
        <v>506</v>
      </c>
      <c r="T1179" s="1" t="s">
        <v>2041</v>
      </c>
      <c r="U1179" s="1">
        <v>64118</v>
      </c>
      <c r="V1179" s="9">
        <v>42007</v>
      </c>
      <c r="W1179" s="13" t="str">
        <f>TEXT(Table1[[#This Row],[Order Date]],"mmmm")</f>
        <v>January</v>
      </c>
      <c r="X1179" s="7" t="str">
        <f>TEXT(Table1[[#This Row],[Order Date]],"yyyy")</f>
        <v>2015</v>
      </c>
      <c r="Y1179" s="9">
        <v>42008</v>
      </c>
      <c r="Z1179" s="1">
        <v>-407.85</v>
      </c>
      <c r="AA1179" s="1">
        <v>2</v>
      </c>
      <c r="AB1179" s="1">
        <v>302.33999999999997</v>
      </c>
      <c r="AC1179" s="1">
        <v>90079</v>
      </c>
      <c r="AD1179" s="6" t="str">
        <f>IF(COUNTIF(Returns!$A$2:$A$1635,Orders!AC1179)&gt;0,"Returned","Not Returned")</f>
        <v>Not Returned</v>
      </c>
    </row>
    <row r="1180" spans="1:30" ht="12.75" customHeight="1" thickTop="1" thickBot="1" x14ac:dyDescent="0.25">
      <c r="A1180" s="10">
        <v>21964</v>
      </c>
      <c r="B1180" s="11" t="s">
        <v>106</v>
      </c>
      <c r="C1180" s="11">
        <v>0.05</v>
      </c>
      <c r="D1180" s="11">
        <v>30.42</v>
      </c>
      <c r="E1180" s="11">
        <v>8.65</v>
      </c>
      <c r="F1180" s="11">
        <v>2132</v>
      </c>
      <c r="G1180" s="6" t="str">
        <f>IF(COUNTIF(Table1[Customer ID],Table1[[#This Row],[Customer ID]])&gt;1,"Repeat Customer","One-Time Customer")</f>
        <v>One-Time Customer</v>
      </c>
      <c r="H1180" s="11" t="s">
        <v>2042</v>
      </c>
      <c r="I1180" s="11" t="s">
        <v>27</v>
      </c>
      <c r="J1180" s="11" t="s">
        <v>40</v>
      </c>
      <c r="K1180" s="11" t="s">
        <v>77</v>
      </c>
      <c r="L1180" s="11" t="s">
        <v>180</v>
      </c>
      <c r="M1180" s="11" t="s">
        <v>59</v>
      </c>
      <c r="N1180" s="11" t="s">
        <v>1196</v>
      </c>
      <c r="O1180" s="11">
        <v>0.74</v>
      </c>
      <c r="P1180" s="6">
        <f>Table1[[#This Row],[Profit]]/Table1[[#This Row],[Sales]]</f>
        <v>-0.57187417772993665</v>
      </c>
      <c r="Q1180" s="11" t="s">
        <v>33</v>
      </c>
      <c r="R1180" s="11" t="s">
        <v>61</v>
      </c>
      <c r="S1180" s="11" t="s">
        <v>506</v>
      </c>
      <c r="T1180" s="11" t="s">
        <v>2043</v>
      </c>
      <c r="U1180" s="11">
        <v>63042</v>
      </c>
      <c r="V1180" s="12">
        <v>42014</v>
      </c>
      <c r="W1180" s="13" t="str">
        <f>TEXT(Table1[[#This Row],[Order Date]],"mmmm")</f>
        <v>January</v>
      </c>
      <c r="X1180" s="7" t="str">
        <f>TEXT(Table1[[#This Row],[Order Date]],"yyyy")</f>
        <v>2015</v>
      </c>
      <c r="Y1180" s="12">
        <v>42018</v>
      </c>
      <c r="Z1180" s="11">
        <v>-191.25760000000002</v>
      </c>
      <c r="AA1180" s="11">
        <v>11</v>
      </c>
      <c r="AB1180" s="11">
        <v>334.44</v>
      </c>
      <c r="AC1180" s="11">
        <v>90078</v>
      </c>
      <c r="AD1180" s="6" t="str">
        <f>IF(COUNTIF(Returns!$A$2:$A$1635,Orders!AC1180)&gt;0,"Returned","Not Returned")</f>
        <v>Not Returned</v>
      </c>
    </row>
    <row r="1181" spans="1:30" ht="12.75" customHeight="1" thickTop="1" thickBot="1" x14ac:dyDescent="0.25">
      <c r="A1181" s="8">
        <v>24348</v>
      </c>
      <c r="B1181" s="1" t="s">
        <v>25</v>
      </c>
      <c r="C1181" s="1">
        <v>0.01</v>
      </c>
      <c r="D1181" s="1">
        <v>28.99</v>
      </c>
      <c r="E1181" s="1">
        <v>8.59</v>
      </c>
      <c r="F1181" s="1">
        <v>2135</v>
      </c>
      <c r="G1181" s="6" t="str">
        <f>IF(COUNTIF(Table1[Customer ID],Table1[[#This Row],[Customer ID]])&gt;1,"Repeat Customer","One-Time Customer")</f>
        <v>One-Time Customer</v>
      </c>
      <c r="H1181" s="1" t="s">
        <v>2044</v>
      </c>
      <c r="I1181" s="1" t="s">
        <v>49</v>
      </c>
      <c r="J1181" s="1" t="s">
        <v>40</v>
      </c>
      <c r="K1181" s="1" t="s">
        <v>77</v>
      </c>
      <c r="L1181" s="1" t="s">
        <v>78</v>
      </c>
      <c r="M1181" s="1" t="s">
        <v>86</v>
      </c>
      <c r="N1181" s="1" t="s">
        <v>2045</v>
      </c>
      <c r="O1181" s="1">
        <v>0.56000000000000005</v>
      </c>
      <c r="P1181" s="6">
        <f>Table1[[#This Row],[Profit]]/Table1[[#This Row],[Sales]]</f>
        <v>0.35307177377337812</v>
      </c>
      <c r="Q1181" s="1" t="s">
        <v>33</v>
      </c>
      <c r="R1181" s="1" t="s">
        <v>34</v>
      </c>
      <c r="S1181" s="1" t="s">
        <v>366</v>
      </c>
      <c r="T1181" s="1" t="s">
        <v>2046</v>
      </c>
      <c r="U1181" s="1">
        <v>88101</v>
      </c>
      <c r="V1181" s="9">
        <v>42041</v>
      </c>
      <c r="W1181" s="13" t="str">
        <f>TEXT(Table1[[#This Row],[Order Date]],"mmmm")</f>
        <v>February</v>
      </c>
      <c r="X1181" s="7" t="str">
        <f>TEXT(Table1[[#This Row],[Order Date]],"yyyy")</f>
        <v>2015</v>
      </c>
      <c r="Y1181" s="9">
        <v>42042</v>
      </c>
      <c r="Z1181" s="1">
        <v>196.52328</v>
      </c>
      <c r="AA1181" s="1">
        <v>21</v>
      </c>
      <c r="AB1181" s="1">
        <v>556.61</v>
      </c>
      <c r="AC1181" s="1">
        <v>91583</v>
      </c>
      <c r="AD1181" s="6" t="str">
        <f>IF(COUNTIF(Returns!$A$2:$A$1635,Orders!AC1181)&gt;0,"Returned","Not Returned")</f>
        <v>Not Returned</v>
      </c>
    </row>
    <row r="1182" spans="1:30" ht="12.75" customHeight="1" thickTop="1" thickBot="1" x14ac:dyDescent="0.25">
      <c r="A1182" s="10">
        <v>20138</v>
      </c>
      <c r="B1182" s="11" t="s">
        <v>37</v>
      </c>
      <c r="C1182" s="11">
        <v>0</v>
      </c>
      <c r="D1182" s="11">
        <v>6.98</v>
      </c>
      <c r="E1182" s="11">
        <v>1.6</v>
      </c>
      <c r="F1182" s="11">
        <v>2137</v>
      </c>
      <c r="G1182" s="6" t="str">
        <f>IF(COUNTIF(Table1[Customer ID],Table1[[#This Row],[Customer ID]])&gt;1,"Repeat Customer","One-Time Customer")</f>
        <v>One-Time Customer</v>
      </c>
      <c r="H1182" s="11" t="s">
        <v>2047</v>
      </c>
      <c r="I1182" s="11" t="s">
        <v>49</v>
      </c>
      <c r="J1182" s="11" t="s">
        <v>28</v>
      </c>
      <c r="K1182" s="11" t="s">
        <v>29</v>
      </c>
      <c r="L1182" s="11" t="s">
        <v>93</v>
      </c>
      <c r="M1182" s="11" t="s">
        <v>31</v>
      </c>
      <c r="N1182" s="11" t="s">
        <v>955</v>
      </c>
      <c r="O1182" s="11">
        <v>0.38</v>
      </c>
      <c r="P1182" s="6">
        <f>Table1[[#This Row],[Profit]]/Table1[[#This Row],[Sales]]</f>
        <v>-5.3329404466501238</v>
      </c>
      <c r="Q1182" s="11" t="s">
        <v>33</v>
      </c>
      <c r="R1182" s="11" t="s">
        <v>136</v>
      </c>
      <c r="S1182" s="11" t="s">
        <v>362</v>
      </c>
      <c r="T1182" s="11" t="s">
        <v>2048</v>
      </c>
      <c r="U1182" s="11">
        <v>33407</v>
      </c>
      <c r="V1182" s="12">
        <v>42035</v>
      </c>
      <c r="W1182" s="13" t="str">
        <f>TEXT(Table1[[#This Row],[Order Date]],"mmmm")</f>
        <v>January</v>
      </c>
      <c r="X1182" s="7" t="str">
        <f>TEXT(Table1[[#This Row],[Order Date]],"yyyy")</f>
        <v>2015</v>
      </c>
      <c r="Y1182" s="12">
        <v>42037</v>
      </c>
      <c r="Z1182" s="11">
        <v>-343.86799999999999</v>
      </c>
      <c r="AA1182" s="11">
        <v>9</v>
      </c>
      <c r="AB1182" s="11">
        <v>64.48</v>
      </c>
      <c r="AC1182" s="11">
        <v>86002</v>
      </c>
      <c r="AD1182" s="6" t="str">
        <f>IF(COUNTIF(Returns!$A$2:$A$1635,Orders!AC1182)&gt;0,"Returned","Not Returned")</f>
        <v>Not Returned</v>
      </c>
    </row>
    <row r="1183" spans="1:30" ht="12.75" customHeight="1" thickTop="1" thickBot="1" x14ac:dyDescent="0.25">
      <c r="A1183" s="8">
        <v>20712</v>
      </c>
      <c r="B1183" s="1" t="s">
        <v>47</v>
      </c>
      <c r="C1183" s="1">
        <v>0.05</v>
      </c>
      <c r="D1183" s="1">
        <v>2550.14</v>
      </c>
      <c r="E1183" s="1">
        <v>29.7</v>
      </c>
      <c r="F1183" s="1">
        <v>2139</v>
      </c>
      <c r="G1183" s="6" t="str">
        <f>IF(COUNTIF(Table1[Customer ID],Table1[[#This Row],[Customer ID]])&gt;1,"Repeat Customer","One-Time Customer")</f>
        <v>One-Time Customer</v>
      </c>
      <c r="H1183" s="1" t="s">
        <v>2049</v>
      </c>
      <c r="I1183" s="1" t="s">
        <v>39</v>
      </c>
      <c r="J1183" s="1" t="s">
        <v>28</v>
      </c>
      <c r="K1183" s="1" t="s">
        <v>77</v>
      </c>
      <c r="L1183" s="1" t="s">
        <v>85</v>
      </c>
      <c r="M1183" s="1" t="s">
        <v>43</v>
      </c>
      <c r="N1183" s="1" t="s">
        <v>1217</v>
      </c>
      <c r="O1183" s="1">
        <v>0.56999999999999995</v>
      </c>
      <c r="P1183" s="6">
        <f>Table1[[#This Row],[Profit]]/Table1[[#This Row],[Sales]]</f>
        <v>-0.81957513203598542</v>
      </c>
      <c r="Q1183" s="1" t="s">
        <v>33</v>
      </c>
      <c r="R1183" s="1" t="s">
        <v>61</v>
      </c>
      <c r="S1183" s="1" t="s">
        <v>1858</v>
      </c>
      <c r="T1183" s="1" t="s">
        <v>456</v>
      </c>
      <c r="U1183" s="1">
        <v>53094</v>
      </c>
      <c r="V1183" s="9">
        <v>42110</v>
      </c>
      <c r="W1183" s="13" t="str">
        <f>TEXT(Table1[[#This Row],[Order Date]],"mmmm")</f>
        <v>April</v>
      </c>
      <c r="X1183" s="7" t="str">
        <f>TEXT(Table1[[#This Row],[Order Date]],"yyyy")</f>
        <v>2015</v>
      </c>
      <c r="Y1183" s="9">
        <v>42111</v>
      </c>
      <c r="Z1183" s="1">
        <v>-3971.0627999999997</v>
      </c>
      <c r="AA1183" s="1">
        <v>2</v>
      </c>
      <c r="AB1183" s="1">
        <v>4845.2700000000004</v>
      </c>
      <c r="AC1183" s="1">
        <v>86003</v>
      </c>
      <c r="AD1183" s="6" t="str">
        <f>IF(COUNTIF(Returns!$A$2:$A$1635,Orders!AC1183)&gt;0,"Returned","Not Returned")</f>
        <v>Not Returned</v>
      </c>
    </row>
    <row r="1184" spans="1:30" ht="12.75" customHeight="1" thickTop="1" thickBot="1" x14ac:dyDescent="0.25">
      <c r="A1184" s="10">
        <v>18409</v>
      </c>
      <c r="B1184" s="11" t="s">
        <v>25</v>
      </c>
      <c r="C1184" s="11">
        <v>0.01</v>
      </c>
      <c r="D1184" s="11">
        <v>5.44</v>
      </c>
      <c r="E1184" s="11">
        <v>7.46</v>
      </c>
      <c r="F1184" s="11">
        <v>2141</v>
      </c>
      <c r="G1184" s="6" t="str">
        <f>IF(COUNTIF(Table1[Customer ID],Table1[[#This Row],[Customer ID]])&gt;1,"Repeat Customer","One-Time Customer")</f>
        <v>Repeat Customer</v>
      </c>
      <c r="H1184" s="11" t="s">
        <v>2050</v>
      </c>
      <c r="I1184" s="11" t="s">
        <v>49</v>
      </c>
      <c r="J1184" s="11" t="s">
        <v>40</v>
      </c>
      <c r="K1184" s="11" t="s">
        <v>29</v>
      </c>
      <c r="L1184" s="11" t="s">
        <v>109</v>
      </c>
      <c r="M1184" s="11" t="s">
        <v>59</v>
      </c>
      <c r="N1184" s="11" t="s">
        <v>1167</v>
      </c>
      <c r="O1184" s="11">
        <v>0.36</v>
      </c>
      <c r="P1184" s="6">
        <f>Table1[[#This Row],[Profit]]/Table1[[#This Row],[Sales]]</f>
        <v>-0.93893292682926821</v>
      </c>
      <c r="Q1184" s="11" t="s">
        <v>33</v>
      </c>
      <c r="R1184" s="11" t="s">
        <v>34</v>
      </c>
      <c r="S1184" s="11" t="s">
        <v>255</v>
      </c>
      <c r="T1184" s="11" t="s">
        <v>1946</v>
      </c>
      <c r="U1184" s="11">
        <v>81301</v>
      </c>
      <c r="V1184" s="12">
        <v>42053</v>
      </c>
      <c r="W1184" s="13" t="str">
        <f>TEXT(Table1[[#This Row],[Order Date]],"mmmm")</f>
        <v>February</v>
      </c>
      <c r="X1184" s="7" t="str">
        <f>TEXT(Table1[[#This Row],[Order Date]],"yyyy")</f>
        <v>2015</v>
      </c>
      <c r="Y1184" s="12">
        <v>42054</v>
      </c>
      <c r="Z1184" s="11">
        <v>-18.478199999999998</v>
      </c>
      <c r="AA1184" s="11">
        <v>3</v>
      </c>
      <c r="AB1184" s="11">
        <v>19.68</v>
      </c>
      <c r="AC1184" s="11">
        <v>87570</v>
      </c>
      <c r="AD1184" s="6" t="str">
        <f>IF(COUNTIF(Returns!$A$2:$A$1635,Orders!AC1184)&gt;0,"Returned","Not Returned")</f>
        <v>Not Returned</v>
      </c>
    </row>
    <row r="1185" spans="1:30" ht="12.75" customHeight="1" thickTop="1" thickBot="1" x14ac:dyDescent="0.25">
      <c r="A1185" s="8">
        <v>18410</v>
      </c>
      <c r="B1185" s="1" t="s">
        <v>25</v>
      </c>
      <c r="C1185" s="1">
        <v>0.02</v>
      </c>
      <c r="D1185" s="1">
        <v>549.99</v>
      </c>
      <c r="E1185" s="1">
        <v>49</v>
      </c>
      <c r="F1185" s="1">
        <v>2141</v>
      </c>
      <c r="G1185" s="6" t="str">
        <f>IF(COUNTIF(Table1[Customer ID],Table1[[#This Row],[Customer ID]])&gt;1,"Repeat Customer","One-Time Customer")</f>
        <v>Repeat Customer</v>
      </c>
      <c r="H1185" s="1" t="s">
        <v>2050</v>
      </c>
      <c r="I1185" s="1" t="s">
        <v>39</v>
      </c>
      <c r="J1185" s="1" t="s">
        <v>40</v>
      </c>
      <c r="K1185" s="1" t="s">
        <v>77</v>
      </c>
      <c r="L1185" s="1" t="s">
        <v>587</v>
      </c>
      <c r="M1185" s="1" t="s">
        <v>43</v>
      </c>
      <c r="N1185" s="1" t="s">
        <v>656</v>
      </c>
      <c r="O1185" s="1">
        <v>0.35</v>
      </c>
      <c r="P1185" s="6">
        <f>Table1[[#This Row],[Profit]]/Table1[[#This Row],[Sales]]</f>
        <v>-3.8968000293912335E-2</v>
      </c>
      <c r="Q1185" s="1" t="s">
        <v>33</v>
      </c>
      <c r="R1185" s="1" t="s">
        <v>34</v>
      </c>
      <c r="S1185" s="1" t="s">
        <v>255</v>
      </c>
      <c r="T1185" s="1" t="s">
        <v>1946</v>
      </c>
      <c r="U1185" s="1">
        <v>81301</v>
      </c>
      <c r="V1185" s="9">
        <v>42053</v>
      </c>
      <c r="W1185" s="13" t="str">
        <f>TEXT(Table1[[#This Row],[Order Date]],"mmmm")</f>
        <v>February</v>
      </c>
      <c r="X1185" s="7" t="str">
        <f>TEXT(Table1[[#This Row],[Order Date]],"yyyy")</f>
        <v>2015</v>
      </c>
      <c r="Y1185" s="9">
        <v>42055</v>
      </c>
      <c r="Z1185" s="1">
        <v>-381.84119999999996</v>
      </c>
      <c r="AA1185" s="1">
        <v>18</v>
      </c>
      <c r="AB1185" s="1">
        <v>9798.84</v>
      </c>
      <c r="AC1185" s="1">
        <v>87570</v>
      </c>
      <c r="AD1185" s="6" t="str">
        <f>IF(COUNTIF(Returns!$A$2:$A$1635,Orders!AC1185)&gt;0,"Returned","Not Returned")</f>
        <v>Not Returned</v>
      </c>
    </row>
    <row r="1186" spans="1:30" ht="12.75" customHeight="1" thickTop="1" thickBot="1" x14ac:dyDescent="0.25">
      <c r="A1186" s="10">
        <v>18411</v>
      </c>
      <c r="B1186" s="11" t="s">
        <v>25</v>
      </c>
      <c r="C1186" s="11">
        <v>0.03</v>
      </c>
      <c r="D1186" s="11">
        <v>22.01</v>
      </c>
      <c r="E1186" s="11">
        <v>5.53</v>
      </c>
      <c r="F1186" s="11">
        <v>2141</v>
      </c>
      <c r="G1186" s="6" t="str">
        <f>IF(COUNTIF(Table1[Customer ID],Table1[[#This Row],[Customer ID]])&gt;1,"Repeat Customer","One-Time Customer")</f>
        <v>Repeat Customer</v>
      </c>
      <c r="H1186" s="11" t="s">
        <v>2050</v>
      </c>
      <c r="I1186" s="11" t="s">
        <v>27</v>
      </c>
      <c r="J1186" s="11" t="s">
        <v>40</v>
      </c>
      <c r="K1186" s="11" t="s">
        <v>29</v>
      </c>
      <c r="L1186" s="11" t="s">
        <v>30</v>
      </c>
      <c r="M1186" s="11" t="s">
        <v>51</v>
      </c>
      <c r="N1186" s="11" t="s">
        <v>2051</v>
      </c>
      <c r="O1186" s="11">
        <v>0.59</v>
      </c>
      <c r="P1186" s="6">
        <f>Table1[[#This Row],[Profit]]/Table1[[#This Row],[Sales]]</f>
        <v>8.1437933943287258E-2</v>
      </c>
      <c r="Q1186" s="11" t="s">
        <v>33</v>
      </c>
      <c r="R1186" s="11" t="s">
        <v>34</v>
      </c>
      <c r="S1186" s="11" t="s">
        <v>255</v>
      </c>
      <c r="T1186" s="11" t="s">
        <v>1946</v>
      </c>
      <c r="U1186" s="11">
        <v>81301</v>
      </c>
      <c r="V1186" s="12">
        <v>42053</v>
      </c>
      <c r="W1186" s="13" t="str">
        <f>TEXT(Table1[[#This Row],[Order Date]],"mmmm")</f>
        <v>February</v>
      </c>
      <c r="X1186" s="7" t="str">
        <f>TEXT(Table1[[#This Row],[Order Date]],"yyyy")</f>
        <v>2015</v>
      </c>
      <c r="Y1186" s="12">
        <v>42054</v>
      </c>
      <c r="Z1186" s="11">
        <v>12.5504</v>
      </c>
      <c r="AA1186" s="11">
        <v>7</v>
      </c>
      <c r="AB1186" s="11">
        <v>154.11000000000001</v>
      </c>
      <c r="AC1186" s="11">
        <v>87570</v>
      </c>
      <c r="AD1186" s="6" t="str">
        <f>IF(COUNTIF(Returns!$A$2:$A$1635,Orders!AC1186)&gt;0,"Returned","Not Returned")</f>
        <v>Not Returned</v>
      </c>
    </row>
    <row r="1187" spans="1:30" ht="12.75" customHeight="1" thickTop="1" thickBot="1" x14ac:dyDescent="0.25">
      <c r="A1187" s="8">
        <v>18412</v>
      </c>
      <c r="B1187" s="1" t="s">
        <v>25</v>
      </c>
      <c r="C1187" s="1">
        <v>0.09</v>
      </c>
      <c r="D1187" s="1">
        <v>34.76</v>
      </c>
      <c r="E1187" s="1">
        <v>8.2200000000000006</v>
      </c>
      <c r="F1187" s="1">
        <v>2141</v>
      </c>
      <c r="G1187" s="6" t="str">
        <f>IF(COUNTIF(Table1[Customer ID],Table1[[#This Row],[Customer ID]])&gt;1,"Repeat Customer","One-Time Customer")</f>
        <v>Repeat Customer</v>
      </c>
      <c r="H1187" s="1" t="s">
        <v>2050</v>
      </c>
      <c r="I1187" s="1" t="s">
        <v>49</v>
      </c>
      <c r="J1187" s="1" t="s">
        <v>40</v>
      </c>
      <c r="K1187" s="1" t="s">
        <v>29</v>
      </c>
      <c r="L1187" s="1" t="s">
        <v>141</v>
      </c>
      <c r="M1187" s="1" t="s">
        <v>59</v>
      </c>
      <c r="N1187" s="1" t="s">
        <v>2052</v>
      </c>
      <c r="O1187" s="1">
        <v>0.56999999999999995</v>
      </c>
      <c r="P1187" s="6">
        <f>Table1[[#This Row],[Profit]]/Table1[[#This Row],[Sales]]</f>
        <v>0.18657612050870478</v>
      </c>
      <c r="Q1187" s="1" t="s">
        <v>33</v>
      </c>
      <c r="R1187" s="1" t="s">
        <v>34</v>
      </c>
      <c r="S1187" s="1" t="s">
        <v>255</v>
      </c>
      <c r="T1187" s="1" t="s">
        <v>1946</v>
      </c>
      <c r="U1187" s="1">
        <v>81301</v>
      </c>
      <c r="V1187" s="9">
        <v>42053</v>
      </c>
      <c r="W1187" s="13" t="str">
        <f>TEXT(Table1[[#This Row],[Order Date]],"mmmm")</f>
        <v>February</v>
      </c>
      <c r="X1187" s="7" t="str">
        <f>TEXT(Table1[[#This Row],[Order Date]],"yyyy")</f>
        <v>2015</v>
      </c>
      <c r="Y1187" s="9">
        <v>42055</v>
      </c>
      <c r="Z1187" s="1">
        <v>45.3324</v>
      </c>
      <c r="AA1187" s="1">
        <v>7</v>
      </c>
      <c r="AB1187" s="1">
        <v>242.97</v>
      </c>
      <c r="AC1187" s="1">
        <v>87570</v>
      </c>
      <c r="AD1187" s="6" t="str">
        <f>IF(COUNTIF(Returns!$A$2:$A$1635,Orders!AC1187)&gt;0,"Returned","Not Returned")</f>
        <v>Not Returned</v>
      </c>
    </row>
    <row r="1188" spans="1:30" ht="12.75" customHeight="1" thickTop="1" thickBot="1" x14ac:dyDescent="0.25">
      <c r="A1188" s="10">
        <v>23249</v>
      </c>
      <c r="B1188" s="11" t="s">
        <v>25</v>
      </c>
      <c r="C1188" s="11">
        <v>0.08</v>
      </c>
      <c r="D1188" s="11">
        <v>17.149999999999999</v>
      </c>
      <c r="E1188" s="11">
        <v>4.96</v>
      </c>
      <c r="F1188" s="11">
        <v>2143</v>
      </c>
      <c r="G1188" s="6" t="str">
        <f>IF(COUNTIF(Table1[Customer ID],Table1[[#This Row],[Customer ID]])&gt;1,"Repeat Customer","One-Time Customer")</f>
        <v>One-Time Customer</v>
      </c>
      <c r="H1188" s="11" t="s">
        <v>2053</v>
      </c>
      <c r="I1188" s="11" t="s">
        <v>49</v>
      </c>
      <c r="J1188" s="11" t="s">
        <v>40</v>
      </c>
      <c r="K1188" s="11" t="s">
        <v>29</v>
      </c>
      <c r="L1188" s="11" t="s">
        <v>141</v>
      </c>
      <c r="M1188" s="11" t="s">
        <v>59</v>
      </c>
      <c r="N1188" s="11" t="s">
        <v>605</v>
      </c>
      <c r="O1188" s="11">
        <v>0.57999999999999996</v>
      </c>
      <c r="P1188" s="6">
        <f>Table1[[#This Row],[Profit]]/Table1[[#This Row],[Sales]]</f>
        <v>0.167788245850157</v>
      </c>
      <c r="Q1188" s="11" t="s">
        <v>33</v>
      </c>
      <c r="R1188" s="11" t="s">
        <v>136</v>
      </c>
      <c r="S1188" s="11" t="s">
        <v>137</v>
      </c>
      <c r="T1188" s="11" t="s">
        <v>2054</v>
      </c>
      <c r="U1188" s="11">
        <v>20151</v>
      </c>
      <c r="V1188" s="12">
        <v>42168</v>
      </c>
      <c r="W1188" s="13" t="str">
        <f>TEXT(Table1[[#This Row],[Order Date]],"mmmm")</f>
        <v>June</v>
      </c>
      <c r="X1188" s="7" t="str">
        <f>TEXT(Table1[[#This Row],[Order Date]],"yyyy")</f>
        <v>2015</v>
      </c>
      <c r="Y1188" s="12">
        <v>42171</v>
      </c>
      <c r="Z1188" s="11">
        <v>33.659999999999997</v>
      </c>
      <c r="AA1188" s="11">
        <v>12</v>
      </c>
      <c r="AB1188" s="11">
        <v>200.61</v>
      </c>
      <c r="AC1188" s="11">
        <v>87569</v>
      </c>
      <c r="AD1188" s="6" t="str">
        <f>IF(COUNTIF(Returns!$A$2:$A$1635,Orders!AC1188)&gt;0,"Returned","Not Returned")</f>
        <v>Not Returned</v>
      </c>
    </row>
    <row r="1189" spans="1:30" ht="12.75" customHeight="1" thickTop="1" thickBot="1" x14ac:dyDescent="0.25">
      <c r="A1189" s="8">
        <v>24264</v>
      </c>
      <c r="B1189" s="1" t="s">
        <v>56</v>
      </c>
      <c r="C1189" s="1">
        <v>0</v>
      </c>
      <c r="D1189" s="1">
        <v>20.28</v>
      </c>
      <c r="E1189" s="1">
        <v>14.39</v>
      </c>
      <c r="F1189" s="1">
        <v>2145</v>
      </c>
      <c r="G1189" s="6" t="str">
        <f>IF(COUNTIF(Table1[Customer ID],Table1[[#This Row],[Customer ID]])&gt;1,"Repeat Customer","One-Time Customer")</f>
        <v>One-Time Customer</v>
      </c>
      <c r="H1189" s="1" t="s">
        <v>2055</v>
      </c>
      <c r="I1189" s="1" t="s">
        <v>49</v>
      </c>
      <c r="J1189" s="1" t="s">
        <v>28</v>
      </c>
      <c r="K1189" s="1" t="s">
        <v>41</v>
      </c>
      <c r="L1189" s="1" t="s">
        <v>50</v>
      </c>
      <c r="M1189" s="1" t="s">
        <v>59</v>
      </c>
      <c r="N1189" s="1" t="s">
        <v>1910</v>
      </c>
      <c r="O1189" s="1">
        <v>0.47</v>
      </c>
      <c r="P1189" s="6">
        <f>Table1[[#This Row],[Profit]]/Table1[[#This Row],[Sales]]</f>
        <v>6.5921036034142025E-2</v>
      </c>
      <c r="Q1189" s="1" t="s">
        <v>33</v>
      </c>
      <c r="R1189" s="1" t="s">
        <v>136</v>
      </c>
      <c r="S1189" s="1" t="s">
        <v>362</v>
      </c>
      <c r="T1189" s="1" t="s">
        <v>2056</v>
      </c>
      <c r="U1189" s="1">
        <v>33311</v>
      </c>
      <c r="V1189" s="9">
        <v>42045</v>
      </c>
      <c r="W1189" s="13" t="str">
        <f>TEXT(Table1[[#This Row],[Order Date]],"mmmm")</f>
        <v>February</v>
      </c>
      <c r="X1189" s="7" t="str">
        <f>TEXT(Table1[[#This Row],[Order Date]],"yyyy")</f>
        <v>2015</v>
      </c>
      <c r="Y1189" s="9">
        <v>42047</v>
      </c>
      <c r="Z1189" s="1">
        <v>15.677999999999999</v>
      </c>
      <c r="AA1189" s="1">
        <v>11</v>
      </c>
      <c r="AB1189" s="1">
        <v>237.83</v>
      </c>
      <c r="AC1189" s="1">
        <v>87072</v>
      </c>
      <c r="AD1189" s="6" t="str">
        <f>IF(COUNTIF(Returns!$A$2:$A$1635,Orders!AC1189)&gt;0,"Returned","Not Returned")</f>
        <v>Not Returned</v>
      </c>
    </row>
    <row r="1190" spans="1:30" ht="12.75" customHeight="1" thickTop="1" thickBot="1" x14ac:dyDescent="0.25">
      <c r="A1190" s="10">
        <v>23795</v>
      </c>
      <c r="B1190" s="11" t="s">
        <v>106</v>
      </c>
      <c r="C1190" s="11">
        <v>0.05</v>
      </c>
      <c r="D1190" s="11">
        <v>20.34</v>
      </c>
      <c r="E1190" s="11">
        <v>35</v>
      </c>
      <c r="F1190" s="11">
        <v>2146</v>
      </c>
      <c r="G1190" s="6" t="str">
        <f>IF(COUNTIF(Table1[Customer ID],Table1[[#This Row],[Customer ID]])&gt;1,"Repeat Customer","One-Time Customer")</f>
        <v>One-Time Customer</v>
      </c>
      <c r="H1190" s="11" t="s">
        <v>2057</v>
      </c>
      <c r="I1190" s="11" t="s">
        <v>49</v>
      </c>
      <c r="J1190" s="11" t="s">
        <v>28</v>
      </c>
      <c r="K1190" s="11" t="s">
        <v>29</v>
      </c>
      <c r="L1190" s="11" t="s">
        <v>141</v>
      </c>
      <c r="M1190" s="11" t="s">
        <v>236</v>
      </c>
      <c r="N1190" s="11" t="s">
        <v>375</v>
      </c>
      <c r="O1190" s="11">
        <v>0.84</v>
      </c>
      <c r="P1190" s="6">
        <f>Table1[[#This Row],[Profit]]/Table1[[#This Row],[Sales]]</f>
        <v>0.99539796303281769</v>
      </c>
      <c r="Q1190" s="11" t="s">
        <v>33</v>
      </c>
      <c r="R1190" s="11" t="s">
        <v>136</v>
      </c>
      <c r="S1190" s="11" t="s">
        <v>137</v>
      </c>
      <c r="T1190" s="11" t="s">
        <v>2054</v>
      </c>
      <c r="U1190" s="11">
        <v>20151</v>
      </c>
      <c r="V1190" s="12">
        <v>42010</v>
      </c>
      <c r="W1190" s="13" t="str">
        <f>TEXT(Table1[[#This Row],[Order Date]],"mmmm")</f>
        <v>January</v>
      </c>
      <c r="X1190" s="7" t="str">
        <f>TEXT(Table1[[#This Row],[Order Date]],"yyyy")</f>
        <v>2015</v>
      </c>
      <c r="Y1190" s="12">
        <v>42014</v>
      </c>
      <c r="Z1190" s="11">
        <v>52.775999999999996</v>
      </c>
      <c r="AA1190" s="11">
        <v>2</v>
      </c>
      <c r="AB1190" s="11">
        <v>53.02</v>
      </c>
      <c r="AC1190" s="11">
        <v>87071</v>
      </c>
      <c r="AD1190" s="6" t="str">
        <f>IF(COUNTIF(Returns!$A$2:$A$1635,Orders!AC1190)&gt;0,"Returned","Not Returned")</f>
        <v>Not Returned</v>
      </c>
    </row>
    <row r="1191" spans="1:30" ht="12.75" customHeight="1" thickTop="1" thickBot="1" x14ac:dyDescent="0.25">
      <c r="A1191" s="8">
        <v>22555</v>
      </c>
      <c r="B1191" s="1" t="s">
        <v>37</v>
      </c>
      <c r="C1191" s="1">
        <v>0.08</v>
      </c>
      <c r="D1191" s="1">
        <v>243.98</v>
      </c>
      <c r="E1191" s="1">
        <v>43.32</v>
      </c>
      <c r="F1191" s="1">
        <v>2151</v>
      </c>
      <c r="G1191" s="6" t="str">
        <f>IF(COUNTIF(Table1[Customer ID],Table1[[#This Row],[Customer ID]])&gt;1,"Repeat Customer","One-Time Customer")</f>
        <v>Repeat Customer</v>
      </c>
      <c r="H1191" s="1" t="s">
        <v>2058</v>
      </c>
      <c r="I1191" s="1" t="s">
        <v>39</v>
      </c>
      <c r="J1191" s="1" t="s">
        <v>28</v>
      </c>
      <c r="K1191" s="1" t="s">
        <v>41</v>
      </c>
      <c r="L1191" s="1" t="s">
        <v>42</v>
      </c>
      <c r="M1191" s="1" t="s">
        <v>43</v>
      </c>
      <c r="N1191" s="1" t="s">
        <v>2059</v>
      </c>
      <c r="O1191" s="1">
        <v>0.55000000000000004</v>
      </c>
      <c r="P1191" s="6">
        <f>Table1[[#This Row],[Profit]]/Table1[[#This Row],[Sales]]</f>
        <v>-0.65433370840700855</v>
      </c>
      <c r="Q1191" s="1" t="s">
        <v>33</v>
      </c>
      <c r="R1191" s="1" t="s">
        <v>61</v>
      </c>
      <c r="S1191" s="1" t="s">
        <v>330</v>
      </c>
      <c r="T1191" s="1" t="s">
        <v>2060</v>
      </c>
      <c r="U1191" s="1">
        <v>52001</v>
      </c>
      <c r="V1191" s="9">
        <v>42009</v>
      </c>
      <c r="W1191" s="13" t="str">
        <f>TEXT(Table1[[#This Row],[Order Date]],"mmmm")</f>
        <v>January</v>
      </c>
      <c r="X1191" s="7" t="str">
        <f>TEXT(Table1[[#This Row],[Order Date]],"yyyy")</f>
        <v>2015</v>
      </c>
      <c r="Y1191" s="9">
        <v>42010</v>
      </c>
      <c r="Z1191" s="1">
        <v>-162.8244</v>
      </c>
      <c r="AA1191" s="1">
        <v>1</v>
      </c>
      <c r="AB1191" s="1">
        <v>248.84</v>
      </c>
      <c r="AC1191" s="1">
        <v>90404</v>
      </c>
      <c r="AD1191" s="6" t="str">
        <f>IF(COUNTIF(Returns!$A$2:$A$1635,Orders!AC1191)&gt;0,"Returned","Not Returned")</f>
        <v>Not Returned</v>
      </c>
    </row>
    <row r="1192" spans="1:30" ht="12.75" customHeight="1" thickTop="1" thickBot="1" x14ac:dyDescent="0.25">
      <c r="A1192" s="10">
        <v>24791</v>
      </c>
      <c r="B1192" s="11" t="s">
        <v>25</v>
      </c>
      <c r="C1192" s="11">
        <v>0.08</v>
      </c>
      <c r="D1192" s="11">
        <v>5.74</v>
      </c>
      <c r="E1192" s="11">
        <v>5.01</v>
      </c>
      <c r="F1192" s="11">
        <v>2151</v>
      </c>
      <c r="G1192" s="6" t="str">
        <f>IF(COUNTIF(Table1[Customer ID],Table1[[#This Row],[Customer ID]])&gt;1,"Repeat Customer","One-Time Customer")</f>
        <v>Repeat Customer</v>
      </c>
      <c r="H1192" s="11" t="s">
        <v>2058</v>
      </c>
      <c r="I1192" s="11" t="s">
        <v>49</v>
      </c>
      <c r="J1192" s="11" t="s">
        <v>28</v>
      </c>
      <c r="K1192" s="11" t="s">
        <v>29</v>
      </c>
      <c r="L1192" s="11" t="s">
        <v>109</v>
      </c>
      <c r="M1192" s="11" t="s">
        <v>59</v>
      </c>
      <c r="N1192" s="11" t="s">
        <v>2061</v>
      </c>
      <c r="O1192" s="11">
        <v>0.39</v>
      </c>
      <c r="P1192" s="6">
        <f>Table1[[#This Row],[Profit]]/Table1[[#This Row],[Sales]]</f>
        <v>-0.96127877947295437</v>
      </c>
      <c r="Q1192" s="11" t="s">
        <v>33</v>
      </c>
      <c r="R1192" s="11" t="s">
        <v>61</v>
      </c>
      <c r="S1192" s="11" t="s">
        <v>330</v>
      </c>
      <c r="T1192" s="11" t="s">
        <v>2060</v>
      </c>
      <c r="U1192" s="11">
        <v>52001</v>
      </c>
      <c r="V1192" s="12">
        <v>42044</v>
      </c>
      <c r="W1192" s="13" t="str">
        <f>TEXT(Table1[[#This Row],[Order Date]],"mmmm")</f>
        <v>February</v>
      </c>
      <c r="X1192" s="7" t="str">
        <f>TEXT(Table1[[#This Row],[Order Date]],"yyyy")</f>
        <v>2015</v>
      </c>
      <c r="Y1192" s="12">
        <v>42046</v>
      </c>
      <c r="Z1192" s="11">
        <v>-6.9308200000000006</v>
      </c>
      <c r="AA1192" s="11">
        <v>1</v>
      </c>
      <c r="AB1192" s="11">
        <v>7.21</v>
      </c>
      <c r="AC1192" s="11">
        <v>90405</v>
      </c>
      <c r="AD1192" s="6" t="str">
        <f>IF(COUNTIF(Returns!$A$2:$A$1635,Orders!AC1192)&gt;0,"Returned","Not Returned")</f>
        <v>Not Returned</v>
      </c>
    </row>
    <row r="1193" spans="1:30" ht="12.75" customHeight="1" thickTop="1" thickBot="1" x14ac:dyDescent="0.25">
      <c r="A1193" s="8">
        <v>21834</v>
      </c>
      <c r="B1193" s="1" t="s">
        <v>106</v>
      </c>
      <c r="C1193" s="1">
        <v>0.05</v>
      </c>
      <c r="D1193" s="1">
        <v>55.5</v>
      </c>
      <c r="E1193" s="1">
        <v>52.2</v>
      </c>
      <c r="F1193" s="1">
        <v>2157</v>
      </c>
      <c r="G1193" s="6" t="str">
        <f>IF(COUNTIF(Table1[Customer ID],Table1[[#This Row],[Customer ID]])&gt;1,"Repeat Customer","One-Time Customer")</f>
        <v>Repeat Customer</v>
      </c>
      <c r="H1193" s="1" t="s">
        <v>2062</v>
      </c>
      <c r="I1193" s="1" t="s">
        <v>49</v>
      </c>
      <c r="J1193" s="1" t="s">
        <v>40</v>
      </c>
      <c r="K1193" s="1" t="s">
        <v>41</v>
      </c>
      <c r="L1193" s="1" t="s">
        <v>50</v>
      </c>
      <c r="M1193" s="1" t="s">
        <v>86</v>
      </c>
      <c r="N1193" s="1" t="s">
        <v>2063</v>
      </c>
      <c r="O1193" s="1">
        <v>0.72</v>
      </c>
      <c r="P1193" s="6">
        <f>Table1[[#This Row],[Profit]]/Table1[[#This Row],[Sales]]</f>
        <v>-0.46693189427659826</v>
      </c>
      <c r="Q1193" s="1" t="s">
        <v>33</v>
      </c>
      <c r="R1193" s="1" t="s">
        <v>61</v>
      </c>
      <c r="S1193" s="1" t="s">
        <v>300</v>
      </c>
      <c r="T1193" s="1" t="s">
        <v>2064</v>
      </c>
      <c r="U1193" s="1">
        <v>48093</v>
      </c>
      <c r="V1193" s="9">
        <v>42079</v>
      </c>
      <c r="W1193" s="13" t="str">
        <f>TEXT(Table1[[#This Row],[Order Date]],"mmmm")</f>
        <v>March</v>
      </c>
      <c r="X1193" s="7" t="str">
        <f>TEXT(Table1[[#This Row],[Order Date]],"yyyy")</f>
        <v>2015</v>
      </c>
      <c r="Y1193" s="9">
        <v>42079</v>
      </c>
      <c r="Z1193" s="1">
        <v>-118.54</v>
      </c>
      <c r="AA1193" s="1">
        <v>4</v>
      </c>
      <c r="AB1193" s="1">
        <v>253.87</v>
      </c>
      <c r="AC1193" s="1">
        <v>90385</v>
      </c>
      <c r="AD1193" s="6" t="str">
        <f>IF(COUNTIF(Returns!$A$2:$A$1635,Orders!AC1193)&gt;0,"Returned","Not Returned")</f>
        <v>Not Returned</v>
      </c>
    </row>
    <row r="1194" spans="1:30" ht="12.75" customHeight="1" thickTop="1" thickBot="1" x14ac:dyDescent="0.25">
      <c r="A1194" s="10">
        <v>21835</v>
      </c>
      <c r="B1194" s="11" t="s">
        <v>106</v>
      </c>
      <c r="C1194" s="11">
        <v>0.05</v>
      </c>
      <c r="D1194" s="11">
        <v>442.14</v>
      </c>
      <c r="E1194" s="11">
        <v>14.7</v>
      </c>
      <c r="F1194" s="11">
        <v>2157</v>
      </c>
      <c r="G1194" s="6" t="str">
        <f>IF(COUNTIF(Table1[Customer ID],Table1[[#This Row],[Customer ID]])&gt;1,"Repeat Customer","One-Time Customer")</f>
        <v>Repeat Customer</v>
      </c>
      <c r="H1194" s="11" t="s">
        <v>2062</v>
      </c>
      <c r="I1194" s="11" t="s">
        <v>39</v>
      </c>
      <c r="J1194" s="11" t="s">
        <v>40</v>
      </c>
      <c r="K1194" s="11" t="s">
        <v>77</v>
      </c>
      <c r="L1194" s="11" t="s">
        <v>85</v>
      </c>
      <c r="M1194" s="11" t="s">
        <v>43</v>
      </c>
      <c r="N1194" s="11" t="s">
        <v>336</v>
      </c>
      <c r="O1194" s="11">
        <v>0.56000000000000005</v>
      </c>
      <c r="P1194" s="6">
        <f>Table1[[#This Row],[Profit]]/Table1[[#This Row],[Sales]]</f>
        <v>0.50395377232393379</v>
      </c>
      <c r="Q1194" s="11" t="s">
        <v>33</v>
      </c>
      <c r="R1194" s="11" t="s">
        <v>61</v>
      </c>
      <c r="S1194" s="11" t="s">
        <v>300</v>
      </c>
      <c r="T1194" s="11" t="s">
        <v>2064</v>
      </c>
      <c r="U1194" s="11">
        <v>48093</v>
      </c>
      <c r="V1194" s="12">
        <v>42079</v>
      </c>
      <c r="W1194" s="13" t="str">
        <f>TEXT(Table1[[#This Row],[Order Date]],"mmmm")</f>
        <v>March</v>
      </c>
      <c r="X1194" s="7" t="str">
        <f>TEXT(Table1[[#This Row],[Order Date]],"yyyy")</f>
        <v>2015</v>
      </c>
      <c r="Y1194" s="12">
        <v>42088</v>
      </c>
      <c r="Z1194" s="11">
        <v>2963.48</v>
      </c>
      <c r="AA1194" s="11">
        <v>14</v>
      </c>
      <c r="AB1194" s="11">
        <v>5880.46</v>
      </c>
      <c r="AC1194" s="11">
        <v>90385</v>
      </c>
      <c r="AD1194" s="6" t="str">
        <f>IF(COUNTIF(Returns!$A$2:$A$1635,Orders!AC1194)&gt;0,"Returned","Not Returned")</f>
        <v>Not Returned</v>
      </c>
    </row>
    <row r="1195" spans="1:30" ht="12.75" customHeight="1" thickTop="1" thickBot="1" x14ac:dyDescent="0.25">
      <c r="A1195" s="8">
        <v>21975</v>
      </c>
      <c r="B1195" s="1" t="s">
        <v>25</v>
      </c>
      <c r="C1195" s="1">
        <v>7.0000000000000007E-2</v>
      </c>
      <c r="D1195" s="1">
        <v>30.93</v>
      </c>
      <c r="E1195" s="1">
        <v>3.92</v>
      </c>
      <c r="F1195" s="1">
        <v>2157</v>
      </c>
      <c r="G1195" s="6" t="str">
        <f>IF(COUNTIF(Table1[Customer ID],Table1[[#This Row],[Customer ID]])&gt;1,"Repeat Customer","One-Time Customer")</f>
        <v>Repeat Customer</v>
      </c>
      <c r="H1195" s="1" t="s">
        <v>2062</v>
      </c>
      <c r="I1195" s="1" t="s">
        <v>49</v>
      </c>
      <c r="J1195" s="1" t="s">
        <v>40</v>
      </c>
      <c r="K1195" s="1" t="s">
        <v>41</v>
      </c>
      <c r="L1195" s="1" t="s">
        <v>50</v>
      </c>
      <c r="M1195" s="1" t="s">
        <v>51</v>
      </c>
      <c r="N1195" s="1" t="s">
        <v>1750</v>
      </c>
      <c r="O1195" s="1">
        <v>0.44</v>
      </c>
      <c r="P1195" s="6">
        <f>Table1[[#This Row],[Profit]]/Table1[[#This Row],[Sales]]</f>
        <v>0.69</v>
      </c>
      <c r="Q1195" s="1" t="s">
        <v>33</v>
      </c>
      <c r="R1195" s="1" t="s">
        <v>61</v>
      </c>
      <c r="S1195" s="1" t="s">
        <v>300</v>
      </c>
      <c r="T1195" s="1" t="s">
        <v>2064</v>
      </c>
      <c r="U1195" s="1">
        <v>48093</v>
      </c>
      <c r="V1195" s="9">
        <v>42127</v>
      </c>
      <c r="W1195" s="13" t="str">
        <f>TEXT(Table1[[#This Row],[Order Date]],"mmmm")</f>
        <v>May</v>
      </c>
      <c r="X1195" s="7" t="str">
        <f>TEXT(Table1[[#This Row],[Order Date]],"yyyy")</f>
        <v>2015</v>
      </c>
      <c r="Y1195" s="9">
        <v>42128</v>
      </c>
      <c r="Z1195" s="1">
        <v>398.30249999999995</v>
      </c>
      <c r="AA1195" s="1">
        <v>19</v>
      </c>
      <c r="AB1195" s="1">
        <v>577.25</v>
      </c>
      <c r="AC1195" s="1">
        <v>90386</v>
      </c>
      <c r="AD1195" s="6" t="str">
        <f>IF(COUNTIF(Returns!$A$2:$A$1635,Orders!AC1195)&gt;0,"Returned","Not Returned")</f>
        <v>Not Returned</v>
      </c>
    </row>
    <row r="1196" spans="1:30" ht="12.75" customHeight="1" thickTop="1" thickBot="1" x14ac:dyDescent="0.25">
      <c r="A1196" s="10">
        <v>21976</v>
      </c>
      <c r="B1196" s="11" t="s">
        <v>25</v>
      </c>
      <c r="C1196" s="11">
        <v>0.05</v>
      </c>
      <c r="D1196" s="11">
        <v>297.48</v>
      </c>
      <c r="E1196" s="11">
        <v>18.059999999999999</v>
      </c>
      <c r="F1196" s="11">
        <v>2157</v>
      </c>
      <c r="G1196" s="6" t="str">
        <f>IF(COUNTIF(Table1[Customer ID],Table1[[#This Row],[Customer ID]])&gt;1,"Repeat Customer","One-Time Customer")</f>
        <v>Repeat Customer</v>
      </c>
      <c r="H1196" s="11" t="s">
        <v>2062</v>
      </c>
      <c r="I1196" s="11" t="s">
        <v>39</v>
      </c>
      <c r="J1196" s="11" t="s">
        <v>40</v>
      </c>
      <c r="K1196" s="11" t="s">
        <v>77</v>
      </c>
      <c r="L1196" s="11" t="s">
        <v>85</v>
      </c>
      <c r="M1196" s="11" t="s">
        <v>43</v>
      </c>
      <c r="N1196" s="11" t="s">
        <v>565</v>
      </c>
      <c r="O1196" s="11">
        <v>0.6</v>
      </c>
      <c r="P1196" s="6">
        <f>Table1[[#This Row],[Profit]]/Table1[[#This Row],[Sales]]</f>
        <v>0.17418911557280908</v>
      </c>
      <c r="Q1196" s="11" t="s">
        <v>33</v>
      </c>
      <c r="R1196" s="11" t="s">
        <v>61</v>
      </c>
      <c r="S1196" s="11" t="s">
        <v>300</v>
      </c>
      <c r="T1196" s="11" t="s">
        <v>2064</v>
      </c>
      <c r="U1196" s="11">
        <v>48093</v>
      </c>
      <c r="V1196" s="12">
        <v>42127</v>
      </c>
      <c r="W1196" s="13" t="str">
        <f>TEXT(Table1[[#This Row],[Order Date]],"mmmm")</f>
        <v>May</v>
      </c>
      <c r="X1196" s="7" t="str">
        <f>TEXT(Table1[[#This Row],[Order Date]],"yyyy")</f>
        <v>2015</v>
      </c>
      <c r="Y1196" s="12">
        <v>42128</v>
      </c>
      <c r="Z1196" s="11">
        <v>709.85200000000009</v>
      </c>
      <c r="AA1196" s="11">
        <v>14</v>
      </c>
      <c r="AB1196" s="11">
        <v>4075.18</v>
      </c>
      <c r="AC1196" s="11">
        <v>90386</v>
      </c>
      <c r="AD1196" s="6" t="str">
        <f>IF(COUNTIF(Returns!$A$2:$A$1635,Orders!AC1196)&gt;0,"Returned","Not Returned")</f>
        <v>Not Returned</v>
      </c>
    </row>
    <row r="1197" spans="1:30" ht="12.75" customHeight="1" thickTop="1" thickBot="1" x14ac:dyDescent="0.25">
      <c r="A1197" s="8">
        <v>21977</v>
      </c>
      <c r="B1197" s="1" t="s">
        <v>25</v>
      </c>
      <c r="C1197" s="1">
        <v>7.0000000000000007E-2</v>
      </c>
      <c r="D1197" s="1">
        <v>296.18</v>
      </c>
      <c r="E1197" s="1">
        <v>54.12</v>
      </c>
      <c r="F1197" s="1">
        <v>2157</v>
      </c>
      <c r="G1197" s="6" t="str">
        <f>IF(COUNTIF(Table1[Customer ID],Table1[[#This Row],[Customer ID]])&gt;1,"Repeat Customer","One-Time Customer")</f>
        <v>Repeat Customer</v>
      </c>
      <c r="H1197" s="1" t="s">
        <v>2062</v>
      </c>
      <c r="I1197" s="1" t="s">
        <v>39</v>
      </c>
      <c r="J1197" s="1" t="s">
        <v>40</v>
      </c>
      <c r="K1197" s="1" t="s">
        <v>41</v>
      </c>
      <c r="L1197" s="1" t="s">
        <v>152</v>
      </c>
      <c r="M1197" s="1" t="s">
        <v>121</v>
      </c>
      <c r="N1197" s="1" t="s">
        <v>153</v>
      </c>
      <c r="O1197" s="1">
        <v>0.76</v>
      </c>
      <c r="P1197" s="6">
        <f>Table1[[#This Row],[Profit]]/Table1[[#This Row],[Sales]]</f>
        <v>4.4938189219399127E-2</v>
      </c>
      <c r="Q1197" s="1" t="s">
        <v>33</v>
      </c>
      <c r="R1197" s="1" t="s">
        <v>61</v>
      </c>
      <c r="S1197" s="1" t="s">
        <v>300</v>
      </c>
      <c r="T1197" s="1" t="s">
        <v>2064</v>
      </c>
      <c r="U1197" s="1">
        <v>48093</v>
      </c>
      <c r="V1197" s="9">
        <v>42127</v>
      </c>
      <c r="W1197" s="13" t="str">
        <f>TEXT(Table1[[#This Row],[Order Date]],"mmmm")</f>
        <v>May</v>
      </c>
      <c r="X1197" s="7" t="str">
        <f>TEXT(Table1[[#This Row],[Order Date]],"yyyy")</f>
        <v>2015</v>
      </c>
      <c r="Y1197" s="9">
        <v>42129</v>
      </c>
      <c r="Z1197" s="1">
        <v>80.809200000000089</v>
      </c>
      <c r="AA1197" s="1">
        <v>6</v>
      </c>
      <c r="AB1197" s="1">
        <v>1798.23</v>
      </c>
      <c r="AC1197" s="1">
        <v>90386</v>
      </c>
      <c r="AD1197" s="6" t="str">
        <f>IF(COUNTIF(Returns!$A$2:$A$1635,Orders!AC1197)&gt;0,"Returned","Not Returned")</f>
        <v>Not Returned</v>
      </c>
    </row>
    <row r="1198" spans="1:30" ht="12.75" customHeight="1" thickTop="1" thickBot="1" x14ac:dyDescent="0.25">
      <c r="A1198" s="10">
        <v>23775</v>
      </c>
      <c r="B1198" s="11" t="s">
        <v>56</v>
      </c>
      <c r="C1198" s="11">
        <v>0.08</v>
      </c>
      <c r="D1198" s="11">
        <v>30.98</v>
      </c>
      <c r="E1198" s="11">
        <v>8.74</v>
      </c>
      <c r="F1198" s="11">
        <v>2159</v>
      </c>
      <c r="G1198" s="6" t="str">
        <f>IF(COUNTIF(Table1[Customer ID],Table1[[#This Row],[Customer ID]])&gt;1,"Repeat Customer","One-Time Customer")</f>
        <v>One-Time Customer</v>
      </c>
      <c r="H1198" s="11" t="s">
        <v>2065</v>
      </c>
      <c r="I1198" s="11" t="s">
        <v>49</v>
      </c>
      <c r="J1198" s="11" t="s">
        <v>28</v>
      </c>
      <c r="K1198" s="11" t="s">
        <v>29</v>
      </c>
      <c r="L1198" s="11" t="s">
        <v>93</v>
      </c>
      <c r="M1198" s="11" t="s">
        <v>59</v>
      </c>
      <c r="N1198" s="11" t="s">
        <v>2066</v>
      </c>
      <c r="O1198" s="11">
        <v>0.4</v>
      </c>
      <c r="P1198" s="6">
        <f>Table1[[#This Row],[Profit]]/Table1[[#This Row],[Sales]]</f>
        <v>0.51055005500550055</v>
      </c>
      <c r="Q1198" s="11" t="s">
        <v>33</v>
      </c>
      <c r="R1198" s="11" t="s">
        <v>61</v>
      </c>
      <c r="S1198" s="11" t="s">
        <v>300</v>
      </c>
      <c r="T1198" s="11" t="s">
        <v>2067</v>
      </c>
      <c r="U1198" s="11">
        <v>48185</v>
      </c>
      <c r="V1198" s="12">
        <v>42144</v>
      </c>
      <c r="W1198" s="13" t="str">
        <f>TEXT(Table1[[#This Row],[Order Date]],"mmmm")</f>
        <v>May</v>
      </c>
      <c r="X1198" s="7" t="str">
        <f>TEXT(Table1[[#This Row],[Order Date]],"yyyy")</f>
        <v>2015</v>
      </c>
      <c r="Y1198" s="12">
        <v>42145</v>
      </c>
      <c r="Z1198" s="11">
        <v>371.27200000000005</v>
      </c>
      <c r="AA1198" s="11">
        <v>25</v>
      </c>
      <c r="AB1198" s="11">
        <v>727.2</v>
      </c>
      <c r="AC1198" s="11">
        <v>90387</v>
      </c>
      <c r="AD1198" s="6" t="str">
        <f>IF(COUNTIF(Returns!$A$2:$A$1635,Orders!AC1198)&gt;0,"Returned","Not Returned")</f>
        <v>Not Returned</v>
      </c>
    </row>
    <row r="1199" spans="1:30" ht="12.75" customHeight="1" thickTop="1" thickBot="1" x14ac:dyDescent="0.25">
      <c r="A1199" s="8">
        <v>23773</v>
      </c>
      <c r="B1199" s="1" t="s">
        <v>56</v>
      </c>
      <c r="C1199" s="1">
        <v>0.09</v>
      </c>
      <c r="D1199" s="1">
        <v>159.31</v>
      </c>
      <c r="E1199" s="1">
        <v>60</v>
      </c>
      <c r="F1199" s="1">
        <v>2162</v>
      </c>
      <c r="G1199" s="6" t="str">
        <f>IF(COUNTIF(Table1[Customer ID],Table1[[#This Row],[Customer ID]])&gt;1,"Repeat Customer","One-Time Customer")</f>
        <v>Repeat Customer</v>
      </c>
      <c r="H1199" s="1" t="s">
        <v>2068</v>
      </c>
      <c r="I1199" s="1" t="s">
        <v>39</v>
      </c>
      <c r="J1199" s="1" t="s">
        <v>28</v>
      </c>
      <c r="K1199" s="1" t="s">
        <v>41</v>
      </c>
      <c r="L1199" s="1" t="s">
        <v>152</v>
      </c>
      <c r="M1199" s="1" t="s">
        <v>43</v>
      </c>
      <c r="N1199" s="1" t="s">
        <v>2069</v>
      </c>
      <c r="O1199" s="1">
        <v>0.55000000000000004</v>
      </c>
      <c r="P1199" s="6">
        <f>Table1[[#This Row],[Profit]]/Table1[[#This Row],[Sales]]</f>
        <v>1.2472972096504062E-2</v>
      </c>
      <c r="Q1199" s="1" t="s">
        <v>33</v>
      </c>
      <c r="R1199" s="1" t="s">
        <v>53</v>
      </c>
      <c r="S1199" s="1" t="s">
        <v>234</v>
      </c>
      <c r="T1199" s="1" t="s">
        <v>2070</v>
      </c>
      <c r="U1199" s="1">
        <v>16146</v>
      </c>
      <c r="V1199" s="9">
        <v>42144</v>
      </c>
      <c r="W1199" s="13" t="str">
        <f>TEXT(Table1[[#This Row],[Order Date]],"mmmm")</f>
        <v>May</v>
      </c>
      <c r="X1199" s="7" t="str">
        <f>TEXT(Table1[[#This Row],[Order Date]],"yyyy")</f>
        <v>2015</v>
      </c>
      <c r="Y1199" s="9">
        <v>42146</v>
      </c>
      <c r="Z1199" s="1">
        <v>77.000895400000104</v>
      </c>
      <c r="AA1199" s="1">
        <v>41</v>
      </c>
      <c r="AB1199" s="1">
        <v>6173.42</v>
      </c>
      <c r="AC1199" s="1">
        <v>90387</v>
      </c>
      <c r="AD1199" s="6" t="str">
        <f>IF(COUNTIF(Returns!$A$2:$A$1635,Orders!AC1199)&gt;0,"Returned","Not Returned")</f>
        <v>Not Returned</v>
      </c>
    </row>
    <row r="1200" spans="1:30" ht="12.75" customHeight="1" thickTop="1" thickBot="1" x14ac:dyDescent="0.25">
      <c r="A1200" s="10">
        <v>23774</v>
      </c>
      <c r="B1200" s="11" t="s">
        <v>56</v>
      </c>
      <c r="C1200" s="11">
        <v>0.06</v>
      </c>
      <c r="D1200" s="11">
        <v>55.99</v>
      </c>
      <c r="E1200" s="11">
        <v>5</v>
      </c>
      <c r="F1200" s="11">
        <v>2162</v>
      </c>
      <c r="G1200" s="6" t="str">
        <f>IF(COUNTIF(Table1[Customer ID],Table1[[#This Row],[Customer ID]])&gt;1,"Repeat Customer","One-Time Customer")</f>
        <v>Repeat Customer</v>
      </c>
      <c r="H1200" s="11" t="s">
        <v>2068</v>
      </c>
      <c r="I1200" s="11" t="s">
        <v>49</v>
      </c>
      <c r="J1200" s="11" t="s">
        <v>28</v>
      </c>
      <c r="K1200" s="11" t="s">
        <v>77</v>
      </c>
      <c r="L1200" s="11" t="s">
        <v>78</v>
      </c>
      <c r="M1200" s="11" t="s">
        <v>51</v>
      </c>
      <c r="N1200" s="11" t="s">
        <v>398</v>
      </c>
      <c r="O1200" s="11">
        <v>0.83</v>
      </c>
      <c r="P1200" s="6">
        <f>Table1[[#This Row],[Profit]]/Table1[[#This Row],[Sales]]</f>
        <v>1.8001287249790828E-2</v>
      </c>
      <c r="Q1200" s="11" t="s">
        <v>33</v>
      </c>
      <c r="R1200" s="11" t="s">
        <v>53</v>
      </c>
      <c r="S1200" s="11" t="s">
        <v>234</v>
      </c>
      <c r="T1200" s="11" t="s">
        <v>2070</v>
      </c>
      <c r="U1200" s="11">
        <v>16146</v>
      </c>
      <c r="V1200" s="12">
        <v>42144</v>
      </c>
      <c r="W1200" s="13" t="str">
        <f>TEXT(Table1[[#This Row],[Order Date]],"mmmm")</f>
        <v>May</v>
      </c>
      <c r="X1200" s="7" t="str">
        <f>TEXT(Table1[[#This Row],[Order Date]],"yyyy")</f>
        <v>2015</v>
      </c>
      <c r="Y1200" s="12">
        <v>42146</v>
      </c>
      <c r="Z1200" s="11">
        <v>27.968600000000009</v>
      </c>
      <c r="AA1200" s="11">
        <v>33</v>
      </c>
      <c r="AB1200" s="11">
        <v>1553.7</v>
      </c>
      <c r="AC1200" s="11">
        <v>90387</v>
      </c>
      <c r="AD1200" s="6" t="str">
        <f>IF(COUNTIF(Returns!$A$2:$A$1635,Orders!AC1200)&gt;0,"Returned","Not Returned")</f>
        <v>Not Returned</v>
      </c>
    </row>
    <row r="1201" spans="1:30" ht="12.75" customHeight="1" thickTop="1" thickBot="1" x14ac:dyDescent="0.25">
      <c r="A1201" s="8">
        <v>22450</v>
      </c>
      <c r="B1201" s="1" t="s">
        <v>37</v>
      </c>
      <c r="C1201" s="1">
        <v>0.01</v>
      </c>
      <c r="D1201" s="1">
        <v>5.38</v>
      </c>
      <c r="E1201" s="1">
        <v>7.57</v>
      </c>
      <c r="F1201" s="1">
        <v>2164</v>
      </c>
      <c r="G1201" s="6" t="str">
        <f>IF(COUNTIF(Table1[Customer ID],Table1[[#This Row],[Customer ID]])&gt;1,"Repeat Customer","One-Time Customer")</f>
        <v>Repeat Customer</v>
      </c>
      <c r="H1201" s="1" t="s">
        <v>2071</v>
      </c>
      <c r="I1201" s="1" t="s">
        <v>49</v>
      </c>
      <c r="J1201" s="1" t="s">
        <v>58</v>
      </c>
      <c r="K1201" s="1" t="s">
        <v>29</v>
      </c>
      <c r="L1201" s="1" t="s">
        <v>109</v>
      </c>
      <c r="M1201" s="1" t="s">
        <v>59</v>
      </c>
      <c r="N1201" s="1" t="s">
        <v>2072</v>
      </c>
      <c r="O1201" s="1">
        <v>0.36</v>
      </c>
      <c r="P1201" s="6">
        <f>Table1[[#This Row],[Profit]]/Table1[[#This Row],[Sales]]</f>
        <v>-3.5749239828693788</v>
      </c>
      <c r="Q1201" s="1" t="s">
        <v>33</v>
      </c>
      <c r="R1201" s="1" t="s">
        <v>34</v>
      </c>
      <c r="S1201" s="1" t="s">
        <v>45</v>
      </c>
      <c r="T1201" s="1" t="s">
        <v>2073</v>
      </c>
      <c r="U1201" s="1">
        <v>91104</v>
      </c>
      <c r="V1201" s="9">
        <v>42013</v>
      </c>
      <c r="W1201" s="13" t="str">
        <f>TEXT(Table1[[#This Row],[Order Date]],"mmmm")</f>
        <v>January</v>
      </c>
      <c r="X1201" s="7" t="str">
        <f>TEXT(Table1[[#This Row],[Order Date]],"yyyy")</f>
        <v>2015</v>
      </c>
      <c r="Y1201" s="9">
        <v>42014</v>
      </c>
      <c r="Z1201" s="1">
        <v>-66.779579999999996</v>
      </c>
      <c r="AA1201" s="1">
        <v>3</v>
      </c>
      <c r="AB1201" s="1">
        <v>18.68</v>
      </c>
      <c r="AC1201" s="1">
        <v>88794</v>
      </c>
      <c r="AD1201" s="6" t="str">
        <f>IF(COUNTIF(Returns!$A$2:$A$1635,Orders!AC1201)&gt;0,"Returned","Not Returned")</f>
        <v>Not Returned</v>
      </c>
    </row>
    <row r="1202" spans="1:30" ht="12.75" customHeight="1" thickTop="1" thickBot="1" x14ac:dyDescent="0.25">
      <c r="A1202" s="10">
        <v>22451</v>
      </c>
      <c r="B1202" s="11" t="s">
        <v>37</v>
      </c>
      <c r="C1202" s="11">
        <v>0.05</v>
      </c>
      <c r="D1202" s="11">
        <v>3.28</v>
      </c>
      <c r="E1202" s="11">
        <v>3.97</v>
      </c>
      <c r="F1202" s="11">
        <v>2164</v>
      </c>
      <c r="G1202" s="6" t="str">
        <f>IF(COUNTIF(Table1[Customer ID],Table1[[#This Row],[Customer ID]])&gt;1,"Repeat Customer","One-Time Customer")</f>
        <v>Repeat Customer</v>
      </c>
      <c r="H1202" s="11" t="s">
        <v>2071</v>
      </c>
      <c r="I1202" s="11" t="s">
        <v>49</v>
      </c>
      <c r="J1202" s="11" t="s">
        <v>58</v>
      </c>
      <c r="K1202" s="11" t="s">
        <v>29</v>
      </c>
      <c r="L1202" s="11" t="s">
        <v>30</v>
      </c>
      <c r="M1202" s="11" t="s">
        <v>31</v>
      </c>
      <c r="N1202" s="11" t="s">
        <v>1009</v>
      </c>
      <c r="O1202" s="11">
        <v>0.56000000000000005</v>
      </c>
      <c r="P1202" s="6">
        <f>Table1[[#This Row],[Profit]]/Table1[[#This Row],[Sales]]</f>
        <v>-3.9922534435261712</v>
      </c>
      <c r="Q1202" s="11" t="s">
        <v>33</v>
      </c>
      <c r="R1202" s="11" t="s">
        <v>34</v>
      </c>
      <c r="S1202" s="11" t="s">
        <v>45</v>
      </c>
      <c r="T1202" s="11" t="s">
        <v>2073</v>
      </c>
      <c r="U1202" s="11">
        <v>91104</v>
      </c>
      <c r="V1202" s="12">
        <v>42013</v>
      </c>
      <c r="W1202" s="13" t="str">
        <f>TEXT(Table1[[#This Row],[Order Date]],"mmmm")</f>
        <v>January</v>
      </c>
      <c r="X1202" s="7" t="str">
        <f>TEXT(Table1[[#This Row],[Order Date]],"yyyy")</f>
        <v>2015</v>
      </c>
      <c r="Y1202" s="12">
        <v>42013</v>
      </c>
      <c r="Z1202" s="11">
        <v>-144.9188</v>
      </c>
      <c r="AA1202" s="11">
        <v>11</v>
      </c>
      <c r="AB1202" s="11">
        <v>36.299999999999997</v>
      </c>
      <c r="AC1202" s="11">
        <v>88794</v>
      </c>
      <c r="AD1202" s="6" t="str">
        <f>IF(COUNTIF(Returns!$A$2:$A$1635,Orders!AC1202)&gt;0,"Returned","Not Returned")</f>
        <v>Not Returned</v>
      </c>
    </row>
    <row r="1203" spans="1:30" ht="12.75" customHeight="1" thickTop="1" thickBot="1" x14ac:dyDescent="0.25">
      <c r="A1203" s="8">
        <v>22449</v>
      </c>
      <c r="B1203" s="1" t="s">
        <v>37</v>
      </c>
      <c r="C1203" s="1">
        <v>0.09</v>
      </c>
      <c r="D1203" s="1">
        <v>2.78</v>
      </c>
      <c r="E1203" s="1">
        <v>0.97</v>
      </c>
      <c r="F1203" s="1">
        <v>2165</v>
      </c>
      <c r="G1203" s="6" t="str">
        <f>IF(COUNTIF(Table1[Customer ID],Table1[[#This Row],[Customer ID]])&gt;1,"Repeat Customer","One-Time Customer")</f>
        <v>One-Time Customer</v>
      </c>
      <c r="H1203" s="1" t="s">
        <v>2074</v>
      </c>
      <c r="I1203" s="1" t="s">
        <v>49</v>
      </c>
      <c r="J1203" s="1" t="s">
        <v>58</v>
      </c>
      <c r="K1203" s="1" t="s">
        <v>29</v>
      </c>
      <c r="L1203" s="1" t="s">
        <v>30</v>
      </c>
      <c r="M1203" s="1" t="s">
        <v>31</v>
      </c>
      <c r="N1203" s="1" t="s">
        <v>2075</v>
      </c>
      <c r="O1203" s="1">
        <v>0.59</v>
      </c>
      <c r="P1203" s="6">
        <f>Table1[[#This Row],[Profit]]/Table1[[#This Row],[Sales]]</f>
        <v>-0.31638178415470991</v>
      </c>
      <c r="Q1203" s="1" t="s">
        <v>33</v>
      </c>
      <c r="R1203" s="1" t="s">
        <v>53</v>
      </c>
      <c r="S1203" s="1" t="s">
        <v>188</v>
      </c>
      <c r="T1203" s="1" t="s">
        <v>1045</v>
      </c>
      <c r="U1203" s="1">
        <v>4330</v>
      </c>
      <c r="V1203" s="9">
        <v>42013</v>
      </c>
      <c r="W1203" s="13" t="str">
        <f>TEXT(Table1[[#This Row],[Order Date]],"mmmm")</f>
        <v>January</v>
      </c>
      <c r="X1203" s="7" t="str">
        <f>TEXT(Table1[[#This Row],[Order Date]],"yyyy")</f>
        <v>2015</v>
      </c>
      <c r="Y1203" s="9">
        <v>42015</v>
      </c>
      <c r="Z1203" s="1">
        <v>-5.0716000000000001</v>
      </c>
      <c r="AA1203" s="1">
        <v>6</v>
      </c>
      <c r="AB1203" s="1">
        <v>16.03</v>
      </c>
      <c r="AC1203" s="1">
        <v>88794</v>
      </c>
      <c r="AD1203" s="6" t="str">
        <f>IF(COUNTIF(Returns!$A$2:$A$1635,Orders!AC1203)&gt;0,"Returned","Not Returned")</f>
        <v>Not Returned</v>
      </c>
    </row>
    <row r="1204" spans="1:30" ht="12.75" customHeight="1" thickTop="1" thickBot="1" x14ac:dyDescent="0.25">
      <c r="A1204" s="10">
        <v>20980</v>
      </c>
      <c r="B1204" s="11" t="s">
        <v>56</v>
      </c>
      <c r="C1204" s="11">
        <v>0.08</v>
      </c>
      <c r="D1204" s="11">
        <v>2.94</v>
      </c>
      <c r="E1204" s="11">
        <v>0.96</v>
      </c>
      <c r="F1204" s="11">
        <v>2178</v>
      </c>
      <c r="G1204" s="6" t="str">
        <f>IF(COUNTIF(Table1[Customer ID],Table1[[#This Row],[Customer ID]])&gt;1,"Repeat Customer","One-Time Customer")</f>
        <v>One-Time Customer</v>
      </c>
      <c r="H1204" s="11" t="s">
        <v>2076</v>
      </c>
      <c r="I1204" s="11" t="s">
        <v>49</v>
      </c>
      <c r="J1204" s="11" t="s">
        <v>58</v>
      </c>
      <c r="K1204" s="11" t="s">
        <v>29</v>
      </c>
      <c r="L1204" s="11" t="s">
        <v>30</v>
      </c>
      <c r="M1204" s="11" t="s">
        <v>31</v>
      </c>
      <c r="N1204" s="11" t="s">
        <v>599</v>
      </c>
      <c r="O1204" s="11">
        <v>0.57999999999999996</v>
      </c>
      <c r="P1204" s="6">
        <f>Table1[[#This Row],[Profit]]/Table1[[#This Row],[Sales]]</f>
        <v>-4.6548323471400387E-2</v>
      </c>
      <c r="Q1204" s="11" t="s">
        <v>33</v>
      </c>
      <c r="R1204" s="11" t="s">
        <v>53</v>
      </c>
      <c r="S1204" s="11" t="s">
        <v>193</v>
      </c>
      <c r="T1204" s="11" t="s">
        <v>2077</v>
      </c>
      <c r="U1204" s="11">
        <v>1610</v>
      </c>
      <c r="V1204" s="12">
        <v>42031</v>
      </c>
      <c r="W1204" s="13" t="str">
        <f>TEXT(Table1[[#This Row],[Order Date]],"mmmm")</f>
        <v>January</v>
      </c>
      <c r="X1204" s="7" t="str">
        <f>TEXT(Table1[[#This Row],[Order Date]],"yyyy")</f>
        <v>2015</v>
      </c>
      <c r="Y1204" s="12">
        <v>42033</v>
      </c>
      <c r="Z1204" s="11">
        <v>-1.18</v>
      </c>
      <c r="AA1204" s="11">
        <v>9</v>
      </c>
      <c r="AB1204" s="11">
        <v>25.35</v>
      </c>
      <c r="AC1204" s="11">
        <v>89465</v>
      </c>
      <c r="AD1204" s="6" t="str">
        <f>IF(COUNTIF(Returns!$A$2:$A$1635,Orders!AC1204)&gt;0,"Returned","Not Returned")</f>
        <v>Not Returned</v>
      </c>
    </row>
    <row r="1205" spans="1:30" ht="12.75" customHeight="1" thickTop="1" thickBot="1" x14ac:dyDescent="0.25">
      <c r="A1205" s="8">
        <v>26331</v>
      </c>
      <c r="B1205" s="1" t="s">
        <v>37</v>
      </c>
      <c r="C1205" s="1">
        <v>0</v>
      </c>
      <c r="D1205" s="1">
        <v>1.48</v>
      </c>
      <c r="E1205" s="1">
        <v>0.7</v>
      </c>
      <c r="F1205" s="1">
        <v>2183</v>
      </c>
      <c r="G1205" s="6" t="str">
        <f>IF(COUNTIF(Table1[Customer ID],Table1[[#This Row],[Customer ID]])&gt;1,"Repeat Customer","One-Time Customer")</f>
        <v>One-Time Customer</v>
      </c>
      <c r="H1205" s="1" t="s">
        <v>2078</v>
      </c>
      <c r="I1205" s="1" t="s">
        <v>49</v>
      </c>
      <c r="J1205" s="1" t="s">
        <v>40</v>
      </c>
      <c r="K1205" s="1" t="s">
        <v>29</v>
      </c>
      <c r="L1205" s="1" t="s">
        <v>66</v>
      </c>
      <c r="M1205" s="1" t="s">
        <v>31</v>
      </c>
      <c r="N1205" s="1" t="s">
        <v>2003</v>
      </c>
      <c r="O1205" s="1">
        <v>0.37</v>
      </c>
      <c r="P1205" s="6">
        <f>Table1[[#This Row],[Profit]]/Table1[[#This Row],[Sales]]</f>
        <v>-10.512318840579709</v>
      </c>
      <c r="Q1205" s="1" t="s">
        <v>33</v>
      </c>
      <c r="R1205" s="1" t="s">
        <v>136</v>
      </c>
      <c r="S1205" s="1" t="s">
        <v>613</v>
      </c>
      <c r="T1205" s="1" t="s">
        <v>2079</v>
      </c>
      <c r="U1205" s="1">
        <v>42301</v>
      </c>
      <c r="V1205" s="9">
        <v>42170</v>
      </c>
      <c r="W1205" s="13" t="str">
        <f>TEXT(Table1[[#This Row],[Order Date]],"mmmm")</f>
        <v>June</v>
      </c>
      <c r="X1205" s="7" t="str">
        <f>TEXT(Table1[[#This Row],[Order Date]],"yyyy")</f>
        <v>2015</v>
      </c>
      <c r="Y1205" s="9">
        <v>42172</v>
      </c>
      <c r="Z1205" s="1">
        <v>-203.09799999999998</v>
      </c>
      <c r="AA1205" s="1">
        <v>12</v>
      </c>
      <c r="AB1205" s="1">
        <v>19.32</v>
      </c>
      <c r="AC1205" s="1">
        <v>91571</v>
      </c>
      <c r="AD1205" s="6" t="str">
        <f>IF(COUNTIF(Returns!$A$2:$A$1635,Orders!AC1205)&gt;0,"Returned","Not Returned")</f>
        <v>Not Returned</v>
      </c>
    </row>
    <row r="1206" spans="1:30" ht="12.75" customHeight="1" thickTop="1" thickBot="1" x14ac:dyDescent="0.25">
      <c r="A1206" s="10">
        <v>19008</v>
      </c>
      <c r="B1206" s="11" t="s">
        <v>25</v>
      </c>
      <c r="C1206" s="11">
        <v>0.09</v>
      </c>
      <c r="D1206" s="11">
        <v>16.98</v>
      </c>
      <c r="E1206" s="11">
        <v>12.39</v>
      </c>
      <c r="F1206" s="11">
        <v>2187</v>
      </c>
      <c r="G1206" s="6" t="str">
        <f>IF(COUNTIF(Table1[Customer ID],Table1[[#This Row],[Customer ID]])&gt;1,"Repeat Customer","One-Time Customer")</f>
        <v>One-Time Customer</v>
      </c>
      <c r="H1206" s="11" t="s">
        <v>2080</v>
      </c>
      <c r="I1206" s="11" t="s">
        <v>49</v>
      </c>
      <c r="J1206" s="11" t="s">
        <v>28</v>
      </c>
      <c r="K1206" s="11" t="s">
        <v>29</v>
      </c>
      <c r="L1206" s="11" t="s">
        <v>69</v>
      </c>
      <c r="M1206" s="11" t="s">
        <v>59</v>
      </c>
      <c r="N1206" s="11" t="s">
        <v>2081</v>
      </c>
      <c r="O1206" s="11">
        <v>0.35</v>
      </c>
      <c r="P1206" s="6">
        <f>Table1[[#This Row],[Profit]]/Table1[[#This Row],[Sales]]</f>
        <v>-0.55956221198156686</v>
      </c>
      <c r="Q1206" s="11" t="s">
        <v>33</v>
      </c>
      <c r="R1206" s="11" t="s">
        <v>61</v>
      </c>
      <c r="S1206" s="11" t="s">
        <v>506</v>
      </c>
      <c r="T1206" s="11" t="s">
        <v>2082</v>
      </c>
      <c r="U1206" s="11">
        <v>64055</v>
      </c>
      <c r="V1206" s="12">
        <v>42132</v>
      </c>
      <c r="W1206" s="13" t="str">
        <f>TEXT(Table1[[#This Row],[Order Date]],"mmmm")</f>
        <v>May</v>
      </c>
      <c r="X1206" s="7" t="str">
        <f>TEXT(Table1[[#This Row],[Order Date]],"yyyy")</f>
        <v>2015</v>
      </c>
      <c r="Y1206" s="12">
        <v>42134</v>
      </c>
      <c r="Z1206" s="11">
        <v>-48.57</v>
      </c>
      <c r="AA1206" s="11">
        <v>5</v>
      </c>
      <c r="AB1206" s="11">
        <v>86.8</v>
      </c>
      <c r="AC1206" s="11">
        <v>89440</v>
      </c>
      <c r="AD1206" s="6" t="str">
        <f>IF(COUNTIF(Returns!$A$2:$A$1635,Orders!AC1206)&gt;0,"Returned","Not Returned")</f>
        <v>Not Returned</v>
      </c>
    </row>
    <row r="1207" spans="1:30" ht="12.75" customHeight="1" thickTop="1" thickBot="1" x14ac:dyDescent="0.25">
      <c r="A1207" s="8">
        <v>1008</v>
      </c>
      <c r="B1207" s="1" t="s">
        <v>25</v>
      </c>
      <c r="C1207" s="1">
        <v>0.09</v>
      </c>
      <c r="D1207" s="1">
        <v>16.98</v>
      </c>
      <c r="E1207" s="1">
        <v>12.39</v>
      </c>
      <c r="F1207" s="1">
        <v>2189</v>
      </c>
      <c r="G1207" s="6" t="str">
        <f>IF(COUNTIF(Table1[Customer ID],Table1[[#This Row],[Customer ID]])&gt;1,"Repeat Customer","One-Time Customer")</f>
        <v>One-Time Customer</v>
      </c>
      <c r="H1207" s="1" t="s">
        <v>2083</v>
      </c>
      <c r="I1207" s="1" t="s">
        <v>49</v>
      </c>
      <c r="J1207" s="1" t="s">
        <v>28</v>
      </c>
      <c r="K1207" s="1" t="s">
        <v>29</v>
      </c>
      <c r="L1207" s="1" t="s">
        <v>69</v>
      </c>
      <c r="M1207" s="1" t="s">
        <v>59</v>
      </c>
      <c r="N1207" s="1" t="s">
        <v>2081</v>
      </c>
      <c r="O1207" s="1">
        <v>0.35</v>
      </c>
      <c r="P1207" s="6">
        <f>Table1[[#This Row],[Profit]]/Table1[[#This Row],[Sales]]</f>
        <v>-0.12717655992249483</v>
      </c>
      <c r="Q1207" s="1" t="s">
        <v>33</v>
      </c>
      <c r="R1207" s="1" t="s">
        <v>53</v>
      </c>
      <c r="S1207" s="1" t="s">
        <v>71</v>
      </c>
      <c r="T1207" s="1" t="s">
        <v>90</v>
      </c>
      <c r="U1207" s="1">
        <v>10177</v>
      </c>
      <c r="V1207" s="9">
        <v>42132</v>
      </c>
      <c r="W1207" s="13" t="str">
        <f>TEXT(Table1[[#This Row],[Order Date]],"mmmm")</f>
        <v>May</v>
      </c>
      <c r="X1207" s="7" t="str">
        <f>TEXT(Table1[[#This Row],[Order Date]],"yyyy")</f>
        <v>2015</v>
      </c>
      <c r="Y1207" s="9">
        <v>42134</v>
      </c>
      <c r="Z1207" s="1">
        <v>-48.57</v>
      </c>
      <c r="AA1207" s="1">
        <v>22</v>
      </c>
      <c r="AB1207" s="1">
        <v>381.91</v>
      </c>
      <c r="AC1207" s="1">
        <v>7364</v>
      </c>
      <c r="AD1207" s="6" t="str">
        <f>IF(COUNTIF(Returns!$A$2:$A$1635,Orders!AC1207)&gt;0,"Returned","Not Returned")</f>
        <v>Returned</v>
      </c>
    </row>
    <row r="1208" spans="1:30" ht="12.75" customHeight="1" thickTop="1" thickBot="1" x14ac:dyDescent="0.25">
      <c r="A1208" s="10">
        <v>5870</v>
      </c>
      <c r="B1208" s="11" t="s">
        <v>47</v>
      </c>
      <c r="C1208" s="11">
        <v>0.05</v>
      </c>
      <c r="D1208" s="11">
        <v>16.98</v>
      </c>
      <c r="E1208" s="11">
        <v>7.78</v>
      </c>
      <c r="F1208" s="11">
        <v>2190</v>
      </c>
      <c r="G1208" s="6" t="str">
        <f>IF(COUNTIF(Table1[Customer ID],Table1[[#This Row],[Customer ID]])&gt;1,"Repeat Customer","One-Time Customer")</f>
        <v>Repeat Customer</v>
      </c>
      <c r="H1208" s="11" t="s">
        <v>2084</v>
      </c>
      <c r="I1208" s="11" t="s">
        <v>49</v>
      </c>
      <c r="J1208" s="11" t="s">
        <v>40</v>
      </c>
      <c r="K1208" s="11" t="s">
        <v>29</v>
      </c>
      <c r="L1208" s="11" t="s">
        <v>30</v>
      </c>
      <c r="M1208" s="11" t="s">
        <v>51</v>
      </c>
      <c r="N1208" s="11" t="s">
        <v>2085</v>
      </c>
      <c r="O1208" s="11">
        <v>0.56999999999999995</v>
      </c>
      <c r="P1208" s="6">
        <f>Table1[[#This Row],[Profit]]/Table1[[#This Row],[Sales]]</f>
        <v>-6.2074126590255629E-2</v>
      </c>
      <c r="Q1208" s="11" t="s">
        <v>33</v>
      </c>
      <c r="R1208" s="11" t="s">
        <v>61</v>
      </c>
      <c r="S1208" s="11" t="s">
        <v>300</v>
      </c>
      <c r="T1208" s="11" t="s">
        <v>301</v>
      </c>
      <c r="U1208" s="11">
        <v>48227</v>
      </c>
      <c r="V1208" s="12">
        <v>42049</v>
      </c>
      <c r="W1208" s="13" t="str">
        <f>TEXT(Table1[[#This Row],[Order Date]],"mmmm")</f>
        <v>February</v>
      </c>
      <c r="X1208" s="7" t="str">
        <f>TEXT(Table1[[#This Row],[Order Date]],"yyyy")</f>
        <v>2015</v>
      </c>
      <c r="Y1208" s="12">
        <v>42051</v>
      </c>
      <c r="Z1208" s="11">
        <v>-47.28</v>
      </c>
      <c r="AA1208" s="11">
        <v>45</v>
      </c>
      <c r="AB1208" s="11">
        <v>761.67</v>
      </c>
      <c r="AC1208" s="11">
        <v>41636</v>
      </c>
      <c r="AD1208" s="6" t="str">
        <f>IF(COUNTIF(Returns!$A$2:$A$1635,Orders!AC1208)&gt;0,"Returned","Not Returned")</f>
        <v>Not Returned</v>
      </c>
    </row>
    <row r="1209" spans="1:30" ht="12.75" customHeight="1" thickTop="1" thickBot="1" x14ac:dyDescent="0.25">
      <c r="A1209" s="8">
        <v>5871</v>
      </c>
      <c r="B1209" s="1" t="s">
        <v>47</v>
      </c>
      <c r="C1209" s="1">
        <v>0.03</v>
      </c>
      <c r="D1209" s="1">
        <v>115.99</v>
      </c>
      <c r="E1209" s="1">
        <v>4.2300000000000004</v>
      </c>
      <c r="F1209" s="1">
        <v>2190</v>
      </c>
      <c r="G1209" s="6" t="str">
        <f>IF(COUNTIF(Table1[Customer ID],Table1[[#This Row],[Customer ID]])&gt;1,"Repeat Customer","One-Time Customer")</f>
        <v>Repeat Customer</v>
      </c>
      <c r="H1209" s="1" t="s">
        <v>2084</v>
      </c>
      <c r="I1209" s="1" t="s">
        <v>49</v>
      </c>
      <c r="J1209" s="1" t="s">
        <v>40</v>
      </c>
      <c r="K1209" s="1" t="s">
        <v>77</v>
      </c>
      <c r="L1209" s="1" t="s">
        <v>78</v>
      </c>
      <c r="M1209" s="1" t="s">
        <v>59</v>
      </c>
      <c r="N1209" s="1" t="s">
        <v>2086</v>
      </c>
      <c r="O1209" s="1">
        <v>0.56000000000000005</v>
      </c>
      <c r="P1209" s="6">
        <f>Table1[[#This Row],[Profit]]/Table1[[#This Row],[Sales]]</f>
        <v>0.14404286338244182</v>
      </c>
      <c r="Q1209" s="1" t="s">
        <v>33</v>
      </c>
      <c r="R1209" s="1" t="s">
        <v>61</v>
      </c>
      <c r="S1209" s="1" t="s">
        <v>300</v>
      </c>
      <c r="T1209" s="1" t="s">
        <v>301</v>
      </c>
      <c r="U1209" s="1">
        <v>48227</v>
      </c>
      <c r="V1209" s="9">
        <v>42049</v>
      </c>
      <c r="W1209" s="13" t="str">
        <f>TEXT(Table1[[#This Row],[Order Date]],"mmmm")</f>
        <v>February</v>
      </c>
      <c r="X1209" s="7" t="str">
        <f>TEXT(Table1[[#This Row],[Order Date]],"yyyy")</f>
        <v>2015</v>
      </c>
      <c r="Y1209" s="9">
        <v>42051</v>
      </c>
      <c r="Z1209" s="1">
        <v>722.24099999999999</v>
      </c>
      <c r="AA1209" s="1">
        <v>49</v>
      </c>
      <c r="AB1209" s="1">
        <v>5014.07</v>
      </c>
      <c r="AC1209" s="1">
        <v>41636</v>
      </c>
      <c r="AD1209" s="6" t="str">
        <f>IF(COUNTIF(Returns!$A$2:$A$1635,Orders!AC1209)&gt;0,"Returned","Not Returned")</f>
        <v>Not Returned</v>
      </c>
    </row>
    <row r="1210" spans="1:30" ht="12.75" customHeight="1" thickTop="1" thickBot="1" x14ac:dyDescent="0.25">
      <c r="A1210" s="10">
        <v>23870</v>
      </c>
      <c r="B1210" s="11" t="s">
        <v>47</v>
      </c>
      <c r="C1210" s="11">
        <v>0.05</v>
      </c>
      <c r="D1210" s="11">
        <v>16.98</v>
      </c>
      <c r="E1210" s="11">
        <v>7.78</v>
      </c>
      <c r="F1210" s="11">
        <v>2193</v>
      </c>
      <c r="G1210" s="6" t="str">
        <f>IF(COUNTIF(Table1[Customer ID],Table1[[#This Row],[Customer ID]])&gt;1,"Repeat Customer","One-Time Customer")</f>
        <v>Repeat Customer</v>
      </c>
      <c r="H1210" s="11" t="s">
        <v>2087</v>
      </c>
      <c r="I1210" s="11" t="s">
        <v>49</v>
      </c>
      <c r="J1210" s="11" t="s">
        <v>40</v>
      </c>
      <c r="K1210" s="11" t="s">
        <v>29</v>
      </c>
      <c r="L1210" s="11" t="s">
        <v>30</v>
      </c>
      <c r="M1210" s="11" t="s">
        <v>51</v>
      </c>
      <c r="N1210" s="11" t="s">
        <v>2085</v>
      </c>
      <c r="O1210" s="11">
        <v>0.56999999999999995</v>
      </c>
      <c r="P1210" s="6">
        <f>Table1[[#This Row],[Profit]]/Table1[[#This Row],[Sales]]</f>
        <v>-0.86470809388259307</v>
      </c>
      <c r="Q1210" s="11" t="s">
        <v>33</v>
      </c>
      <c r="R1210" s="11" t="s">
        <v>136</v>
      </c>
      <c r="S1210" s="11" t="s">
        <v>322</v>
      </c>
      <c r="T1210" s="11" t="s">
        <v>2088</v>
      </c>
      <c r="U1210" s="11">
        <v>28560</v>
      </c>
      <c r="V1210" s="12">
        <v>42049</v>
      </c>
      <c r="W1210" s="13" t="str">
        <f>TEXT(Table1[[#This Row],[Order Date]],"mmmm")</f>
        <v>February</v>
      </c>
      <c r="X1210" s="7" t="str">
        <f>TEXT(Table1[[#This Row],[Order Date]],"yyyy")</f>
        <v>2015</v>
      </c>
      <c r="Y1210" s="12">
        <v>42051</v>
      </c>
      <c r="Z1210" s="11">
        <v>-161</v>
      </c>
      <c r="AA1210" s="11">
        <v>11</v>
      </c>
      <c r="AB1210" s="11">
        <v>186.19</v>
      </c>
      <c r="AC1210" s="11">
        <v>90685</v>
      </c>
      <c r="AD1210" s="6" t="str">
        <f>IF(COUNTIF(Returns!$A$2:$A$1635,Orders!AC1210)&gt;0,"Returned","Not Returned")</f>
        <v>Not Returned</v>
      </c>
    </row>
    <row r="1211" spans="1:30" ht="12.75" customHeight="1" thickTop="1" thickBot="1" x14ac:dyDescent="0.25">
      <c r="A1211" s="8">
        <v>23871</v>
      </c>
      <c r="B1211" s="1" t="s">
        <v>47</v>
      </c>
      <c r="C1211" s="1">
        <v>0.03</v>
      </c>
      <c r="D1211" s="1">
        <v>115.99</v>
      </c>
      <c r="E1211" s="1">
        <v>4.2300000000000004</v>
      </c>
      <c r="F1211" s="1">
        <v>2193</v>
      </c>
      <c r="G1211" s="6" t="str">
        <f>IF(COUNTIF(Table1[Customer ID],Table1[[#This Row],[Customer ID]])&gt;1,"Repeat Customer","One-Time Customer")</f>
        <v>Repeat Customer</v>
      </c>
      <c r="H1211" s="1" t="s">
        <v>2087</v>
      </c>
      <c r="I1211" s="1" t="s">
        <v>49</v>
      </c>
      <c r="J1211" s="1" t="s">
        <v>40</v>
      </c>
      <c r="K1211" s="1" t="s">
        <v>77</v>
      </c>
      <c r="L1211" s="1" t="s">
        <v>78</v>
      </c>
      <c r="M1211" s="1" t="s">
        <v>59</v>
      </c>
      <c r="N1211" s="1" t="s">
        <v>2086</v>
      </c>
      <c r="O1211" s="1">
        <v>0.56000000000000005</v>
      </c>
      <c r="P1211" s="6">
        <f>Table1[[#This Row],[Profit]]/Table1[[#This Row],[Sales]]</f>
        <v>0.69088440803296569</v>
      </c>
      <c r="Q1211" s="1" t="s">
        <v>33</v>
      </c>
      <c r="R1211" s="1" t="s">
        <v>136</v>
      </c>
      <c r="S1211" s="1" t="s">
        <v>322</v>
      </c>
      <c r="T1211" s="1" t="s">
        <v>2088</v>
      </c>
      <c r="U1211" s="1">
        <v>28560</v>
      </c>
      <c r="V1211" s="9">
        <v>42049</v>
      </c>
      <c r="W1211" s="13" t="str">
        <f>TEXT(Table1[[#This Row],[Order Date]],"mmmm")</f>
        <v>February</v>
      </c>
      <c r="X1211" s="7" t="str">
        <f>TEXT(Table1[[#This Row],[Order Date]],"yyyy")</f>
        <v>2015</v>
      </c>
      <c r="Y1211" s="9">
        <v>42051</v>
      </c>
      <c r="Z1211" s="1">
        <v>848.3646</v>
      </c>
      <c r="AA1211" s="1">
        <v>12</v>
      </c>
      <c r="AB1211" s="1">
        <v>1227.94</v>
      </c>
      <c r="AC1211" s="1">
        <v>90685</v>
      </c>
      <c r="AD1211" s="6" t="str">
        <f>IF(COUNTIF(Returns!$A$2:$A$1635,Orders!AC1211)&gt;0,"Returned","Not Returned")</f>
        <v>Not Returned</v>
      </c>
    </row>
    <row r="1212" spans="1:30" ht="12.75" customHeight="1" thickTop="1" thickBot="1" x14ac:dyDescent="0.25">
      <c r="A1212" s="10">
        <v>19112</v>
      </c>
      <c r="B1212" s="11" t="s">
        <v>56</v>
      </c>
      <c r="C1212" s="11">
        <v>0.03</v>
      </c>
      <c r="D1212" s="11">
        <v>27.48</v>
      </c>
      <c r="E1212" s="11">
        <v>4</v>
      </c>
      <c r="F1212" s="11">
        <v>2196</v>
      </c>
      <c r="G1212" s="6" t="str">
        <f>IF(COUNTIF(Table1[Customer ID],Table1[[#This Row],[Customer ID]])&gt;1,"Repeat Customer","One-Time Customer")</f>
        <v>Repeat Customer</v>
      </c>
      <c r="H1212" s="11" t="s">
        <v>2089</v>
      </c>
      <c r="I1212" s="11" t="s">
        <v>49</v>
      </c>
      <c r="J1212" s="11" t="s">
        <v>58</v>
      </c>
      <c r="K1212" s="11" t="s">
        <v>77</v>
      </c>
      <c r="L1212" s="11" t="s">
        <v>180</v>
      </c>
      <c r="M1212" s="11" t="s">
        <v>59</v>
      </c>
      <c r="N1212" s="11" t="s">
        <v>870</v>
      </c>
      <c r="O1212" s="11">
        <v>0.75</v>
      </c>
      <c r="P1212" s="6">
        <f>Table1[[#This Row],[Profit]]/Table1[[#This Row],[Sales]]</f>
        <v>-0.3011858833101671</v>
      </c>
      <c r="Q1212" s="11" t="s">
        <v>33</v>
      </c>
      <c r="R1212" s="11" t="s">
        <v>53</v>
      </c>
      <c r="S1212" s="11" t="s">
        <v>71</v>
      </c>
      <c r="T1212" s="11" t="s">
        <v>2090</v>
      </c>
      <c r="U1212" s="11">
        <v>14701</v>
      </c>
      <c r="V1212" s="12">
        <v>42101</v>
      </c>
      <c r="W1212" s="13" t="str">
        <f>TEXT(Table1[[#This Row],[Order Date]],"mmmm")</f>
        <v>April</v>
      </c>
      <c r="X1212" s="7" t="str">
        <f>TEXT(Table1[[#This Row],[Order Date]],"yyyy")</f>
        <v>2015</v>
      </c>
      <c r="Y1212" s="12">
        <v>42102</v>
      </c>
      <c r="Z1212" s="11">
        <v>-88.840800000000002</v>
      </c>
      <c r="AA1212" s="11">
        <v>11</v>
      </c>
      <c r="AB1212" s="11">
        <v>294.97000000000003</v>
      </c>
      <c r="AC1212" s="11">
        <v>89175</v>
      </c>
      <c r="AD1212" s="6" t="str">
        <f>IF(COUNTIF(Returns!$A$2:$A$1635,Orders!AC1212)&gt;0,"Returned","Not Returned")</f>
        <v>Not Returned</v>
      </c>
    </row>
    <row r="1213" spans="1:30" ht="12.75" customHeight="1" thickTop="1" thickBot="1" x14ac:dyDescent="0.25">
      <c r="A1213" s="8">
        <v>19113</v>
      </c>
      <c r="B1213" s="1" t="s">
        <v>56</v>
      </c>
      <c r="C1213" s="1">
        <v>0.1</v>
      </c>
      <c r="D1213" s="1">
        <v>179.99</v>
      </c>
      <c r="E1213" s="1">
        <v>19.989999999999998</v>
      </c>
      <c r="F1213" s="1">
        <v>2196</v>
      </c>
      <c r="G1213" s="6" t="str">
        <f>IF(COUNTIF(Table1[Customer ID],Table1[[#This Row],[Customer ID]])&gt;1,"Repeat Customer","One-Time Customer")</f>
        <v>Repeat Customer</v>
      </c>
      <c r="H1213" s="1" t="s">
        <v>2089</v>
      </c>
      <c r="I1213" s="1" t="s">
        <v>49</v>
      </c>
      <c r="J1213" s="1" t="s">
        <v>58</v>
      </c>
      <c r="K1213" s="1" t="s">
        <v>77</v>
      </c>
      <c r="L1213" s="1" t="s">
        <v>180</v>
      </c>
      <c r="M1213" s="1" t="s">
        <v>59</v>
      </c>
      <c r="N1213" s="1" t="s">
        <v>579</v>
      </c>
      <c r="O1213" s="1">
        <v>0.48</v>
      </c>
      <c r="P1213" s="6">
        <f>Table1[[#This Row],[Profit]]/Table1[[#This Row],[Sales]]</f>
        <v>0.4918493928113748</v>
      </c>
      <c r="Q1213" s="1" t="s">
        <v>33</v>
      </c>
      <c r="R1213" s="1" t="s">
        <v>53</v>
      </c>
      <c r="S1213" s="1" t="s">
        <v>71</v>
      </c>
      <c r="T1213" s="1" t="s">
        <v>2090</v>
      </c>
      <c r="U1213" s="1">
        <v>14701</v>
      </c>
      <c r="V1213" s="9">
        <v>42101</v>
      </c>
      <c r="W1213" s="13" t="str">
        <f>TEXT(Table1[[#This Row],[Order Date]],"mmmm")</f>
        <v>April</v>
      </c>
      <c r="X1213" s="7" t="str">
        <f>TEXT(Table1[[#This Row],[Order Date]],"yyyy")</f>
        <v>2015</v>
      </c>
      <c r="Y1213" s="9">
        <v>42102</v>
      </c>
      <c r="Z1213" s="1">
        <v>1208.9903999999999</v>
      </c>
      <c r="AA1213" s="1">
        <v>14</v>
      </c>
      <c r="AB1213" s="1">
        <v>2458.0500000000002</v>
      </c>
      <c r="AC1213" s="1">
        <v>89175</v>
      </c>
      <c r="AD1213" s="6" t="str">
        <f>IF(COUNTIF(Returns!$A$2:$A$1635,Orders!AC1213)&gt;0,"Returned","Not Returned")</f>
        <v>Not Returned</v>
      </c>
    </row>
    <row r="1214" spans="1:30" ht="12.75" customHeight="1" thickTop="1" thickBot="1" x14ac:dyDescent="0.25">
      <c r="A1214" s="10">
        <v>19114</v>
      </c>
      <c r="B1214" s="11" t="s">
        <v>56</v>
      </c>
      <c r="C1214" s="11">
        <v>0.1</v>
      </c>
      <c r="D1214" s="11">
        <v>140.85</v>
      </c>
      <c r="E1214" s="11">
        <v>19.989999999999998</v>
      </c>
      <c r="F1214" s="11">
        <v>2196</v>
      </c>
      <c r="G1214" s="6" t="str">
        <f>IF(COUNTIF(Table1[Customer ID],Table1[[#This Row],[Customer ID]])&gt;1,"Repeat Customer","One-Time Customer")</f>
        <v>Repeat Customer</v>
      </c>
      <c r="H1214" s="11" t="s">
        <v>2089</v>
      </c>
      <c r="I1214" s="11" t="s">
        <v>49</v>
      </c>
      <c r="J1214" s="11" t="s">
        <v>58</v>
      </c>
      <c r="K1214" s="11" t="s">
        <v>29</v>
      </c>
      <c r="L1214" s="11" t="s">
        <v>141</v>
      </c>
      <c r="M1214" s="11" t="s">
        <v>59</v>
      </c>
      <c r="N1214" s="11" t="s">
        <v>2091</v>
      </c>
      <c r="O1214" s="11">
        <v>0.73</v>
      </c>
      <c r="P1214" s="6">
        <f>Table1[[#This Row],[Profit]]/Table1[[#This Row],[Sales]]</f>
        <v>4.0519922944337421E-3</v>
      </c>
      <c r="Q1214" s="11" t="s">
        <v>33</v>
      </c>
      <c r="R1214" s="11" t="s">
        <v>53</v>
      </c>
      <c r="S1214" s="11" t="s">
        <v>71</v>
      </c>
      <c r="T1214" s="11" t="s">
        <v>2090</v>
      </c>
      <c r="U1214" s="11">
        <v>14701</v>
      </c>
      <c r="V1214" s="12">
        <v>42101</v>
      </c>
      <c r="W1214" s="13" t="str">
        <f>TEXT(Table1[[#This Row],[Order Date]],"mmmm")</f>
        <v>April</v>
      </c>
      <c r="X1214" s="7" t="str">
        <f>TEXT(Table1[[#This Row],[Order Date]],"yyyy")</f>
        <v>2015</v>
      </c>
      <c r="Y1214" s="12">
        <v>42103</v>
      </c>
      <c r="Z1214" s="11">
        <v>9.9911999999999992</v>
      </c>
      <c r="AA1214" s="11">
        <v>19</v>
      </c>
      <c r="AB1214" s="11">
        <v>2465.75</v>
      </c>
      <c r="AC1214" s="11">
        <v>89175</v>
      </c>
      <c r="AD1214" s="6" t="str">
        <f>IF(COUNTIF(Returns!$A$2:$A$1635,Orders!AC1214)&gt;0,"Returned","Not Returned")</f>
        <v>Not Returned</v>
      </c>
    </row>
    <row r="1215" spans="1:30" ht="12.75" customHeight="1" thickTop="1" thickBot="1" x14ac:dyDescent="0.25">
      <c r="A1215" s="8">
        <v>23300</v>
      </c>
      <c r="B1215" s="1" t="s">
        <v>47</v>
      </c>
      <c r="C1215" s="1">
        <v>0.08</v>
      </c>
      <c r="D1215" s="1">
        <v>100.97</v>
      </c>
      <c r="E1215" s="1">
        <v>7.18</v>
      </c>
      <c r="F1215" s="1">
        <v>2197</v>
      </c>
      <c r="G1215" s="6" t="str">
        <f>IF(COUNTIF(Table1[Customer ID],Table1[[#This Row],[Customer ID]])&gt;1,"Repeat Customer","One-Time Customer")</f>
        <v>Repeat Customer</v>
      </c>
      <c r="H1215" s="1" t="s">
        <v>2092</v>
      </c>
      <c r="I1215" s="1" t="s">
        <v>49</v>
      </c>
      <c r="J1215" s="1" t="s">
        <v>58</v>
      </c>
      <c r="K1215" s="1" t="s">
        <v>77</v>
      </c>
      <c r="L1215" s="1" t="s">
        <v>180</v>
      </c>
      <c r="M1215" s="1" t="s">
        <v>59</v>
      </c>
      <c r="N1215" s="1" t="s">
        <v>2093</v>
      </c>
      <c r="O1215" s="1">
        <v>0.46</v>
      </c>
      <c r="P1215" s="6">
        <f>Table1[[#This Row],[Profit]]/Table1[[#This Row],[Sales]]</f>
        <v>0.19411764705882353</v>
      </c>
      <c r="Q1215" s="1" t="s">
        <v>33</v>
      </c>
      <c r="R1215" s="1" t="s">
        <v>53</v>
      </c>
      <c r="S1215" s="1" t="s">
        <v>71</v>
      </c>
      <c r="T1215" s="1" t="s">
        <v>1706</v>
      </c>
      <c r="U1215" s="1">
        <v>11756</v>
      </c>
      <c r="V1215" s="9">
        <v>42181</v>
      </c>
      <c r="W1215" s="13" t="str">
        <f>TEXT(Table1[[#This Row],[Order Date]],"mmmm")</f>
        <v>June</v>
      </c>
      <c r="X1215" s="7" t="str">
        <f>TEXT(Table1[[#This Row],[Order Date]],"yyyy")</f>
        <v>2015</v>
      </c>
      <c r="Y1215" s="9">
        <v>42182</v>
      </c>
      <c r="Z1215" s="1">
        <v>126.22500000000001</v>
      </c>
      <c r="AA1215" s="1">
        <v>7</v>
      </c>
      <c r="AB1215" s="1">
        <v>650.25</v>
      </c>
      <c r="AC1215" s="1">
        <v>89176</v>
      </c>
      <c r="AD1215" s="6" t="str">
        <f>IF(COUNTIF(Returns!$A$2:$A$1635,Orders!AC1215)&gt;0,"Returned","Not Returned")</f>
        <v>Not Returned</v>
      </c>
    </row>
    <row r="1216" spans="1:30" ht="12.75" customHeight="1" thickTop="1" thickBot="1" x14ac:dyDescent="0.25">
      <c r="A1216" s="10">
        <v>23301</v>
      </c>
      <c r="B1216" s="11" t="s">
        <v>47</v>
      </c>
      <c r="C1216" s="11">
        <v>0</v>
      </c>
      <c r="D1216" s="11">
        <v>13.4</v>
      </c>
      <c r="E1216" s="11">
        <v>4.95</v>
      </c>
      <c r="F1216" s="11">
        <v>2197</v>
      </c>
      <c r="G1216" s="6" t="str">
        <f>IF(COUNTIF(Table1[Customer ID],Table1[[#This Row],[Customer ID]])&gt;1,"Repeat Customer","One-Time Customer")</f>
        <v>Repeat Customer</v>
      </c>
      <c r="H1216" s="11" t="s">
        <v>2092</v>
      </c>
      <c r="I1216" s="11" t="s">
        <v>49</v>
      </c>
      <c r="J1216" s="11" t="s">
        <v>58</v>
      </c>
      <c r="K1216" s="11" t="s">
        <v>41</v>
      </c>
      <c r="L1216" s="11" t="s">
        <v>50</v>
      </c>
      <c r="M1216" s="11" t="s">
        <v>51</v>
      </c>
      <c r="N1216" s="11" t="s">
        <v>770</v>
      </c>
      <c r="O1216" s="11">
        <v>0.37</v>
      </c>
      <c r="P1216" s="6">
        <f>Table1[[#This Row],[Profit]]/Table1[[#This Row],[Sales]]</f>
        <v>0.69</v>
      </c>
      <c r="Q1216" s="11" t="s">
        <v>33</v>
      </c>
      <c r="R1216" s="11" t="s">
        <v>53</v>
      </c>
      <c r="S1216" s="11" t="s">
        <v>71</v>
      </c>
      <c r="T1216" s="11" t="s">
        <v>1706</v>
      </c>
      <c r="U1216" s="11">
        <v>11756</v>
      </c>
      <c r="V1216" s="12">
        <v>42181</v>
      </c>
      <c r="W1216" s="13" t="str">
        <f>TEXT(Table1[[#This Row],[Order Date]],"mmmm")</f>
        <v>June</v>
      </c>
      <c r="X1216" s="7" t="str">
        <f>TEXT(Table1[[#This Row],[Order Date]],"yyyy")</f>
        <v>2015</v>
      </c>
      <c r="Y1216" s="12">
        <v>42182</v>
      </c>
      <c r="Z1216" s="11">
        <v>187.7628</v>
      </c>
      <c r="AA1216" s="11">
        <v>19</v>
      </c>
      <c r="AB1216" s="11">
        <v>272.12</v>
      </c>
      <c r="AC1216" s="11">
        <v>89176</v>
      </c>
      <c r="AD1216" s="6" t="str">
        <f>IF(COUNTIF(Returns!$A$2:$A$1635,Orders!AC1216)&gt;0,"Returned","Not Returned")</f>
        <v>Not Returned</v>
      </c>
    </row>
    <row r="1217" spans="1:30" ht="12.75" customHeight="1" thickTop="1" thickBot="1" x14ac:dyDescent="0.25">
      <c r="A1217" s="8">
        <v>26083</v>
      </c>
      <c r="B1217" s="1" t="s">
        <v>37</v>
      </c>
      <c r="C1217" s="1">
        <v>0.03</v>
      </c>
      <c r="D1217" s="1">
        <v>25.98</v>
      </c>
      <c r="E1217" s="1">
        <v>4.08</v>
      </c>
      <c r="F1217" s="1">
        <v>2198</v>
      </c>
      <c r="G1217" s="6" t="str">
        <f>IF(COUNTIF(Table1[Customer ID],Table1[[#This Row],[Customer ID]])&gt;1,"Repeat Customer","One-Time Customer")</f>
        <v>Repeat Customer</v>
      </c>
      <c r="H1217" s="1" t="s">
        <v>2094</v>
      </c>
      <c r="I1217" s="1" t="s">
        <v>49</v>
      </c>
      <c r="J1217" s="1" t="s">
        <v>58</v>
      </c>
      <c r="K1217" s="1" t="s">
        <v>29</v>
      </c>
      <c r="L1217" s="1" t="s">
        <v>30</v>
      </c>
      <c r="M1217" s="1" t="s">
        <v>51</v>
      </c>
      <c r="N1217" s="1" t="s">
        <v>2095</v>
      </c>
      <c r="O1217" s="1">
        <v>0.56999999999999995</v>
      </c>
      <c r="P1217" s="6">
        <f>Table1[[#This Row],[Profit]]/Table1[[#This Row],[Sales]]</f>
        <v>0.69</v>
      </c>
      <c r="Q1217" s="1" t="s">
        <v>33</v>
      </c>
      <c r="R1217" s="1" t="s">
        <v>53</v>
      </c>
      <c r="S1217" s="1" t="s">
        <v>71</v>
      </c>
      <c r="T1217" s="1" t="s">
        <v>2096</v>
      </c>
      <c r="U1217" s="1">
        <v>11757</v>
      </c>
      <c r="V1217" s="9">
        <v>42146</v>
      </c>
      <c r="W1217" s="13" t="str">
        <f>TEXT(Table1[[#This Row],[Order Date]],"mmmm")</f>
        <v>May</v>
      </c>
      <c r="X1217" s="7" t="str">
        <f>TEXT(Table1[[#This Row],[Order Date]],"yyyy")</f>
        <v>2015</v>
      </c>
      <c r="Y1217" s="9">
        <v>42149</v>
      </c>
      <c r="Z1217" s="1">
        <v>295.90649999999999</v>
      </c>
      <c r="AA1217" s="1">
        <v>16</v>
      </c>
      <c r="AB1217" s="1">
        <v>428.85</v>
      </c>
      <c r="AC1217" s="1">
        <v>89174</v>
      </c>
      <c r="AD1217" s="6" t="str">
        <f>IF(COUNTIF(Returns!$A$2:$A$1635,Orders!AC1217)&gt;0,"Returned","Not Returned")</f>
        <v>Not Returned</v>
      </c>
    </row>
    <row r="1218" spans="1:30" ht="12.75" customHeight="1" thickTop="1" thickBot="1" x14ac:dyDescent="0.25">
      <c r="A1218" s="10">
        <v>26084</v>
      </c>
      <c r="B1218" s="11" t="s">
        <v>37</v>
      </c>
      <c r="C1218" s="11">
        <v>0.1</v>
      </c>
      <c r="D1218" s="11">
        <v>20.98</v>
      </c>
      <c r="E1218" s="11">
        <v>53.03</v>
      </c>
      <c r="F1218" s="11">
        <v>2198</v>
      </c>
      <c r="G1218" s="6" t="str">
        <f>IF(COUNTIF(Table1[Customer ID],Table1[[#This Row],[Customer ID]])&gt;1,"Repeat Customer","One-Time Customer")</f>
        <v>Repeat Customer</v>
      </c>
      <c r="H1218" s="11" t="s">
        <v>2094</v>
      </c>
      <c r="I1218" s="11" t="s">
        <v>39</v>
      </c>
      <c r="J1218" s="11" t="s">
        <v>58</v>
      </c>
      <c r="K1218" s="11" t="s">
        <v>29</v>
      </c>
      <c r="L1218" s="11" t="s">
        <v>141</v>
      </c>
      <c r="M1218" s="11" t="s">
        <v>43</v>
      </c>
      <c r="N1218" s="11" t="s">
        <v>617</v>
      </c>
      <c r="O1218" s="11">
        <v>0.78</v>
      </c>
      <c r="P1218" s="6">
        <f>Table1[[#This Row],[Profit]]/Table1[[#This Row],[Sales]]</f>
        <v>-6.1638348805978866</v>
      </c>
      <c r="Q1218" s="11" t="s">
        <v>33</v>
      </c>
      <c r="R1218" s="11" t="s">
        <v>53</v>
      </c>
      <c r="S1218" s="11" t="s">
        <v>71</v>
      </c>
      <c r="T1218" s="11" t="s">
        <v>2096</v>
      </c>
      <c r="U1218" s="11">
        <v>11757</v>
      </c>
      <c r="V1218" s="12">
        <v>42146</v>
      </c>
      <c r="W1218" s="13" t="str">
        <f>TEXT(Table1[[#This Row],[Order Date]],"mmmm")</f>
        <v>May</v>
      </c>
      <c r="X1218" s="7" t="str">
        <f>TEXT(Table1[[#This Row],[Order Date]],"yyyy")</f>
        <v>2015</v>
      </c>
      <c r="Y1218" s="12">
        <v>42146</v>
      </c>
      <c r="Z1218" s="11">
        <v>-2111.36</v>
      </c>
      <c r="AA1218" s="11">
        <v>16</v>
      </c>
      <c r="AB1218" s="11">
        <v>342.54</v>
      </c>
      <c r="AC1218" s="11">
        <v>89174</v>
      </c>
      <c r="AD1218" s="6" t="str">
        <f>IF(COUNTIF(Returns!$A$2:$A$1635,Orders!AC1218)&gt;0,"Returned","Not Returned")</f>
        <v>Not Returned</v>
      </c>
    </row>
    <row r="1219" spans="1:30" ht="12.75" customHeight="1" thickTop="1" thickBot="1" x14ac:dyDescent="0.25">
      <c r="A1219" s="8">
        <v>20234</v>
      </c>
      <c r="B1219" s="1" t="s">
        <v>47</v>
      </c>
      <c r="C1219" s="1">
        <v>0.17</v>
      </c>
      <c r="D1219" s="1">
        <v>14.89</v>
      </c>
      <c r="E1219" s="1">
        <v>13.56</v>
      </c>
      <c r="F1219" s="1">
        <v>2201</v>
      </c>
      <c r="G1219" s="6" t="str">
        <f>IF(COUNTIF(Table1[Customer ID],Table1[[#This Row],[Customer ID]])&gt;1,"Repeat Customer","One-Time Customer")</f>
        <v>One-Time Customer</v>
      </c>
      <c r="H1219" s="1" t="s">
        <v>2097</v>
      </c>
      <c r="I1219" s="1" t="s">
        <v>49</v>
      </c>
      <c r="J1219" s="1" t="s">
        <v>58</v>
      </c>
      <c r="K1219" s="1" t="s">
        <v>41</v>
      </c>
      <c r="L1219" s="1" t="s">
        <v>50</v>
      </c>
      <c r="M1219" s="1" t="s">
        <v>236</v>
      </c>
      <c r="N1219" s="1" t="s">
        <v>2098</v>
      </c>
      <c r="O1219" s="1">
        <v>0.57999999999999996</v>
      </c>
      <c r="P1219" s="6">
        <f>Table1[[#This Row],[Profit]]/Table1[[#This Row],[Sales]]</f>
        <v>-0.32653791130185983</v>
      </c>
      <c r="Q1219" s="1" t="s">
        <v>33</v>
      </c>
      <c r="R1219" s="1" t="s">
        <v>61</v>
      </c>
      <c r="S1219" s="1" t="s">
        <v>62</v>
      </c>
      <c r="T1219" s="1" t="s">
        <v>489</v>
      </c>
      <c r="U1219" s="1">
        <v>55420</v>
      </c>
      <c r="V1219" s="9">
        <v>42088</v>
      </c>
      <c r="W1219" s="13" t="str">
        <f>TEXT(Table1[[#This Row],[Order Date]],"mmmm")</f>
        <v>March</v>
      </c>
      <c r="X1219" s="7" t="str">
        <f>TEXT(Table1[[#This Row],[Order Date]],"yyyy")</f>
        <v>2015</v>
      </c>
      <c r="Y1219" s="9">
        <v>42090</v>
      </c>
      <c r="Z1219" s="1">
        <v>-9.1300000000000008</v>
      </c>
      <c r="AA1219" s="1">
        <v>1</v>
      </c>
      <c r="AB1219" s="1">
        <v>27.96</v>
      </c>
      <c r="AC1219" s="1">
        <v>86054</v>
      </c>
      <c r="AD1219" s="6" t="str">
        <f>IF(COUNTIF(Returns!$A$2:$A$1635,Orders!AC1219)&gt;0,"Returned","Not Returned")</f>
        <v>Not Returned</v>
      </c>
    </row>
    <row r="1220" spans="1:30" ht="12.75" customHeight="1" thickTop="1" thickBot="1" x14ac:dyDescent="0.25">
      <c r="A1220" s="10">
        <v>22259</v>
      </c>
      <c r="B1220" s="11" t="s">
        <v>106</v>
      </c>
      <c r="C1220" s="11">
        <v>0.09</v>
      </c>
      <c r="D1220" s="11">
        <v>160.97999999999999</v>
      </c>
      <c r="E1220" s="11">
        <v>30</v>
      </c>
      <c r="F1220" s="11">
        <v>2202</v>
      </c>
      <c r="G1220" s="6" t="str">
        <f>IF(COUNTIF(Table1[Customer ID],Table1[[#This Row],[Customer ID]])&gt;1,"Repeat Customer","One-Time Customer")</f>
        <v>Repeat Customer</v>
      </c>
      <c r="H1220" s="11" t="s">
        <v>2099</v>
      </c>
      <c r="I1220" s="11" t="s">
        <v>39</v>
      </c>
      <c r="J1220" s="11" t="s">
        <v>40</v>
      </c>
      <c r="K1220" s="11" t="s">
        <v>41</v>
      </c>
      <c r="L1220" s="11" t="s">
        <v>42</v>
      </c>
      <c r="M1220" s="11" t="s">
        <v>43</v>
      </c>
      <c r="N1220" s="11" t="s">
        <v>177</v>
      </c>
      <c r="O1220" s="11">
        <v>0.62</v>
      </c>
      <c r="P1220" s="6">
        <f>Table1[[#This Row],[Profit]]/Table1[[#This Row],[Sales]]</f>
        <v>0.21855960082671916</v>
      </c>
      <c r="Q1220" s="11" t="s">
        <v>33</v>
      </c>
      <c r="R1220" s="11" t="s">
        <v>61</v>
      </c>
      <c r="S1220" s="11" t="s">
        <v>62</v>
      </c>
      <c r="T1220" s="11" t="s">
        <v>2100</v>
      </c>
      <c r="U1220" s="11">
        <v>55429</v>
      </c>
      <c r="V1220" s="12">
        <v>42035</v>
      </c>
      <c r="W1220" s="13" t="str">
        <f>TEXT(Table1[[#This Row],[Order Date]],"mmmm")</f>
        <v>January</v>
      </c>
      <c r="X1220" s="7" t="str">
        <f>TEXT(Table1[[#This Row],[Order Date]],"yyyy")</f>
        <v>2015</v>
      </c>
      <c r="Y1220" s="12">
        <v>42035</v>
      </c>
      <c r="Z1220" s="11">
        <v>357.428</v>
      </c>
      <c r="AA1220" s="11">
        <v>11</v>
      </c>
      <c r="AB1220" s="11">
        <v>1635.38</v>
      </c>
      <c r="AC1220" s="11">
        <v>86050</v>
      </c>
      <c r="AD1220" s="6" t="str">
        <f>IF(COUNTIF(Returns!$A$2:$A$1635,Orders!AC1220)&gt;0,"Returned","Not Returned")</f>
        <v>Not Returned</v>
      </c>
    </row>
    <row r="1221" spans="1:30" ht="12.75" customHeight="1" thickTop="1" thickBot="1" x14ac:dyDescent="0.25">
      <c r="A1221" s="8">
        <v>22260</v>
      </c>
      <c r="B1221" s="1" t="s">
        <v>106</v>
      </c>
      <c r="C1221" s="1">
        <v>0.09</v>
      </c>
      <c r="D1221" s="1">
        <v>6.3</v>
      </c>
      <c r="E1221" s="1">
        <v>0.5</v>
      </c>
      <c r="F1221" s="1">
        <v>2202</v>
      </c>
      <c r="G1221" s="6" t="str">
        <f>IF(COUNTIF(Table1[Customer ID],Table1[[#This Row],[Customer ID]])&gt;1,"Repeat Customer","One-Time Customer")</f>
        <v>Repeat Customer</v>
      </c>
      <c r="H1221" s="1" t="s">
        <v>2099</v>
      </c>
      <c r="I1221" s="1" t="s">
        <v>49</v>
      </c>
      <c r="J1221" s="1" t="s">
        <v>40</v>
      </c>
      <c r="K1221" s="1" t="s">
        <v>29</v>
      </c>
      <c r="L1221" s="1" t="s">
        <v>134</v>
      </c>
      <c r="M1221" s="1" t="s">
        <v>59</v>
      </c>
      <c r="N1221" s="1" t="s">
        <v>211</v>
      </c>
      <c r="O1221" s="1">
        <v>0.39</v>
      </c>
      <c r="P1221" s="6">
        <f>Table1[[#This Row],[Profit]]/Table1[[#This Row],[Sales]]</f>
        <v>0.69</v>
      </c>
      <c r="Q1221" s="1" t="s">
        <v>33</v>
      </c>
      <c r="R1221" s="1" t="s">
        <v>61</v>
      </c>
      <c r="S1221" s="1" t="s">
        <v>62</v>
      </c>
      <c r="T1221" s="1" t="s">
        <v>2100</v>
      </c>
      <c r="U1221" s="1">
        <v>55429</v>
      </c>
      <c r="V1221" s="9">
        <v>42035</v>
      </c>
      <c r="W1221" s="13" t="str">
        <f>TEXT(Table1[[#This Row],[Order Date]],"mmmm")</f>
        <v>January</v>
      </c>
      <c r="X1221" s="7" t="str">
        <f>TEXT(Table1[[#This Row],[Order Date]],"yyyy")</f>
        <v>2015</v>
      </c>
      <c r="Y1221" s="9">
        <v>42035</v>
      </c>
      <c r="Z1221" s="1">
        <v>40.351199999999992</v>
      </c>
      <c r="AA1221" s="1">
        <v>10</v>
      </c>
      <c r="AB1221" s="1">
        <v>58.48</v>
      </c>
      <c r="AC1221" s="1">
        <v>86050</v>
      </c>
      <c r="AD1221" s="6" t="str">
        <f>IF(COUNTIF(Returns!$A$2:$A$1635,Orders!AC1221)&gt;0,"Returned","Not Returned")</f>
        <v>Not Returned</v>
      </c>
    </row>
    <row r="1222" spans="1:30" ht="12.75" customHeight="1" thickTop="1" thickBot="1" x14ac:dyDescent="0.25">
      <c r="A1222" s="10">
        <v>22261</v>
      </c>
      <c r="B1222" s="11" t="s">
        <v>106</v>
      </c>
      <c r="C1222" s="11">
        <v>0</v>
      </c>
      <c r="D1222" s="11">
        <v>4.9800000000000004</v>
      </c>
      <c r="E1222" s="11">
        <v>0.8</v>
      </c>
      <c r="F1222" s="11">
        <v>2202</v>
      </c>
      <c r="G1222" s="6" t="str">
        <f>IF(COUNTIF(Table1[Customer ID],Table1[[#This Row],[Customer ID]])&gt;1,"Repeat Customer","One-Time Customer")</f>
        <v>Repeat Customer</v>
      </c>
      <c r="H1222" s="11" t="s">
        <v>2099</v>
      </c>
      <c r="I1222" s="11" t="s">
        <v>49</v>
      </c>
      <c r="J1222" s="11" t="s">
        <v>40</v>
      </c>
      <c r="K1222" s="11" t="s">
        <v>29</v>
      </c>
      <c r="L1222" s="11" t="s">
        <v>93</v>
      </c>
      <c r="M1222" s="11" t="s">
        <v>31</v>
      </c>
      <c r="N1222" s="11" t="s">
        <v>522</v>
      </c>
      <c r="O1222" s="11">
        <v>0.36</v>
      </c>
      <c r="P1222" s="6">
        <f>Table1[[#This Row],[Profit]]/Table1[[#This Row],[Sales]]</f>
        <v>0.69</v>
      </c>
      <c r="Q1222" s="11" t="s">
        <v>33</v>
      </c>
      <c r="R1222" s="11" t="s">
        <v>61</v>
      </c>
      <c r="S1222" s="11" t="s">
        <v>62</v>
      </c>
      <c r="T1222" s="11" t="s">
        <v>2100</v>
      </c>
      <c r="U1222" s="11">
        <v>55429</v>
      </c>
      <c r="V1222" s="12">
        <v>42035</v>
      </c>
      <c r="W1222" s="13" t="str">
        <f>TEXT(Table1[[#This Row],[Order Date]],"mmmm")</f>
        <v>January</v>
      </c>
      <c r="X1222" s="7" t="str">
        <f>TEXT(Table1[[#This Row],[Order Date]],"yyyy")</f>
        <v>2015</v>
      </c>
      <c r="Y1222" s="12">
        <v>42042</v>
      </c>
      <c r="Z1222" s="11">
        <v>27.634499999999996</v>
      </c>
      <c r="AA1222" s="11">
        <v>8</v>
      </c>
      <c r="AB1222" s="11">
        <v>40.049999999999997</v>
      </c>
      <c r="AC1222" s="11">
        <v>86050</v>
      </c>
      <c r="AD1222" s="6" t="str">
        <f>IF(COUNTIF(Returns!$A$2:$A$1635,Orders!AC1222)&gt;0,"Returned","Not Returned")</f>
        <v>Not Returned</v>
      </c>
    </row>
    <row r="1223" spans="1:30" ht="12.75" customHeight="1" thickTop="1" thickBot="1" x14ac:dyDescent="0.25">
      <c r="A1223" s="8">
        <v>23919</v>
      </c>
      <c r="B1223" s="1" t="s">
        <v>106</v>
      </c>
      <c r="C1223" s="1">
        <v>0.08</v>
      </c>
      <c r="D1223" s="1">
        <v>145.44999999999999</v>
      </c>
      <c r="E1223" s="1">
        <v>17.850000000000001</v>
      </c>
      <c r="F1223" s="1">
        <v>2203</v>
      </c>
      <c r="G1223" s="6" t="str">
        <f>IF(COUNTIF(Table1[Customer ID],Table1[[#This Row],[Customer ID]])&gt;1,"Repeat Customer","One-Time Customer")</f>
        <v>Repeat Customer</v>
      </c>
      <c r="H1223" s="1" t="s">
        <v>2101</v>
      </c>
      <c r="I1223" s="1" t="s">
        <v>39</v>
      </c>
      <c r="J1223" s="1" t="s">
        <v>40</v>
      </c>
      <c r="K1223" s="1" t="s">
        <v>77</v>
      </c>
      <c r="L1223" s="1" t="s">
        <v>85</v>
      </c>
      <c r="M1223" s="1" t="s">
        <v>43</v>
      </c>
      <c r="N1223" s="1" t="s">
        <v>1075</v>
      </c>
      <c r="O1223" s="1">
        <v>0.56000000000000005</v>
      </c>
      <c r="P1223" s="6">
        <f>Table1[[#This Row],[Profit]]/Table1[[#This Row],[Sales]]</f>
        <v>0.67245852942755402</v>
      </c>
      <c r="Q1223" s="1" t="s">
        <v>33</v>
      </c>
      <c r="R1223" s="1" t="s">
        <v>61</v>
      </c>
      <c r="S1223" s="1" t="s">
        <v>62</v>
      </c>
      <c r="T1223" s="1" t="s">
        <v>2102</v>
      </c>
      <c r="U1223" s="1">
        <v>55445</v>
      </c>
      <c r="V1223" s="9">
        <v>42039</v>
      </c>
      <c r="W1223" s="13" t="str">
        <f>TEXT(Table1[[#This Row],[Order Date]],"mmmm")</f>
        <v>February</v>
      </c>
      <c r="X1223" s="7" t="str">
        <f>TEXT(Table1[[#This Row],[Order Date]],"yyyy")</f>
        <v>2015</v>
      </c>
      <c r="Y1223" s="9">
        <v>42039</v>
      </c>
      <c r="Z1223" s="1">
        <v>751.58</v>
      </c>
      <c r="AA1223" s="1">
        <v>8</v>
      </c>
      <c r="AB1223" s="1">
        <v>1117.6600000000001</v>
      </c>
      <c r="AC1223" s="1">
        <v>86051</v>
      </c>
      <c r="AD1223" s="6" t="str">
        <f>IF(COUNTIF(Returns!$A$2:$A$1635,Orders!AC1223)&gt;0,"Returned","Not Returned")</f>
        <v>Not Returned</v>
      </c>
    </row>
    <row r="1224" spans="1:30" ht="12.75" customHeight="1" thickTop="1" thickBot="1" x14ac:dyDescent="0.25">
      <c r="A1224" s="10">
        <v>22595</v>
      </c>
      <c r="B1224" s="11" t="s">
        <v>47</v>
      </c>
      <c r="C1224" s="11">
        <v>0.03</v>
      </c>
      <c r="D1224" s="11">
        <v>399.98</v>
      </c>
      <c r="E1224" s="11">
        <v>12.06</v>
      </c>
      <c r="F1224" s="11">
        <v>2203</v>
      </c>
      <c r="G1224" s="6" t="str">
        <f>IF(COUNTIF(Table1[Customer ID],Table1[[#This Row],[Customer ID]])&gt;1,"Repeat Customer","One-Time Customer")</f>
        <v>Repeat Customer</v>
      </c>
      <c r="H1224" s="11" t="s">
        <v>2101</v>
      </c>
      <c r="I1224" s="11" t="s">
        <v>39</v>
      </c>
      <c r="J1224" s="11" t="s">
        <v>40</v>
      </c>
      <c r="K1224" s="11" t="s">
        <v>77</v>
      </c>
      <c r="L1224" s="11" t="s">
        <v>85</v>
      </c>
      <c r="M1224" s="11" t="s">
        <v>121</v>
      </c>
      <c r="N1224" s="11" t="s">
        <v>264</v>
      </c>
      <c r="O1224" s="11">
        <v>0.56000000000000005</v>
      </c>
      <c r="P1224" s="6">
        <f>Table1[[#This Row],[Profit]]/Table1[[#This Row],[Sales]]</f>
        <v>-0.82219851301115232</v>
      </c>
      <c r="Q1224" s="11" t="s">
        <v>33</v>
      </c>
      <c r="R1224" s="11" t="s">
        <v>61</v>
      </c>
      <c r="S1224" s="11" t="s">
        <v>62</v>
      </c>
      <c r="T1224" s="11" t="s">
        <v>2102</v>
      </c>
      <c r="U1224" s="11">
        <v>55445</v>
      </c>
      <c r="V1224" s="12">
        <v>42008</v>
      </c>
      <c r="W1224" s="13" t="str">
        <f>TEXT(Table1[[#This Row],[Order Date]],"mmmm")</f>
        <v>January</v>
      </c>
      <c r="X1224" s="7" t="str">
        <f>TEXT(Table1[[#This Row],[Order Date]],"yyyy")</f>
        <v>2015</v>
      </c>
      <c r="Y1224" s="12">
        <v>42010</v>
      </c>
      <c r="Z1224" s="11">
        <v>-663.51419999999996</v>
      </c>
      <c r="AA1224" s="11">
        <v>2</v>
      </c>
      <c r="AB1224" s="11">
        <v>807</v>
      </c>
      <c r="AC1224" s="11">
        <v>86052</v>
      </c>
      <c r="AD1224" s="6" t="str">
        <f>IF(COUNTIF(Returns!$A$2:$A$1635,Orders!AC1224)&gt;0,"Returned","Not Returned")</f>
        <v>Not Returned</v>
      </c>
    </row>
    <row r="1225" spans="1:30" ht="12.75" customHeight="1" thickTop="1" thickBot="1" x14ac:dyDescent="0.25">
      <c r="A1225" s="8">
        <v>23920</v>
      </c>
      <c r="B1225" s="1" t="s">
        <v>106</v>
      </c>
      <c r="C1225" s="1">
        <v>7.0000000000000007E-2</v>
      </c>
      <c r="D1225" s="1">
        <v>33.94</v>
      </c>
      <c r="E1225" s="1">
        <v>19.190000000000001</v>
      </c>
      <c r="F1225" s="1">
        <v>2204</v>
      </c>
      <c r="G1225" s="6" t="str">
        <f>IF(COUNTIF(Table1[Customer ID],Table1[[#This Row],[Customer ID]])&gt;1,"Repeat Customer","One-Time Customer")</f>
        <v>Repeat Customer</v>
      </c>
      <c r="H1225" s="1" t="s">
        <v>2103</v>
      </c>
      <c r="I1225" s="1" t="s">
        <v>39</v>
      </c>
      <c r="J1225" s="1" t="s">
        <v>40</v>
      </c>
      <c r="K1225" s="1" t="s">
        <v>41</v>
      </c>
      <c r="L1225" s="1" t="s">
        <v>42</v>
      </c>
      <c r="M1225" s="1" t="s">
        <v>43</v>
      </c>
      <c r="N1225" s="1" t="s">
        <v>1003</v>
      </c>
      <c r="O1225" s="1">
        <v>0.57999999999999996</v>
      </c>
      <c r="P1225" s="6">
        <f>Table1[[#This Row],[Profit]]/Table1[[#This Row],[Sales]]</f>
        <v>-0.92977693851056298</v>
      </c>
      <c r="Q1225" s="1" t="s">
        <v>33</v>
      </c>
      <c r="R1225" s="1" t="s">
        <v>61</v>
      </c>
      <c r="S1225" s="1" t="s">
        <v>62</v>
      </c>
      <c r="T1225" s="1" t="s">
        <v>2104</v>
      </c>
      <c r="U1225" s="1">
        <v>55337</v>
      </c>
      <c r="V1225" s="9">
        <v>42039</v>
      </c>
      <c r="W1225" s="13" t="str">
        <f>TEXT(Table1[[#This Row],[Order Date]],"mmmm")</f>
        <v>February</v>
      </c>
      <c r="X1225" s="7" t="str">
        <f>TEXT(Table1[[#This Row],[Order Date]],"yyyy")</f>
        <v>2015</v>
      </c>
      <c r="Y1225" s="9">
        <v>42043</v>
      </c>
      <c r="Z1225" s="1">
        <v>-157.56</v>
      </c>
      <c r="AA1225" s="1">
        <v>5</v>
      </c>
      <c r="AB1225" s="1">
        <v>169.46</v>
      </c>
      <c r="AC1225" s="1">
        <v>86051</v>
      </c>
      <c r="AD1225" s="6" t="str">
        <f>IF(COUNTIF(Returns!$A$2:$A$1635,Orders!AC1225)&gt;0,"Returned","Not Returned")</f>
        <v>Not Returned</v>
      </c>
    </row>
    <row r="1226" spans="1:30" ht="12.75" customHeight="1" thickTop="1" thickBot="1" x14ac:dyDescent="0.25">
      <c r="A1226" s="10">
        <v>24434</v>
      </c>
      <c r="B1226" s="11" t="s">
        <v>47</v>
      </c>
      <c r="C1226" s="11">
        <v>0.04</v>
      </c>
      <c r="D1226" s="11">
        <v>296.18</v>
      </c>
      <c r="E1226" s="11">
        <v>154.12</v>
      </c>
      <c r="F1226" s="11">
        <v>2204</v>
      </c>
      <c r="G1226" s="6" t="str">
        <f>IF(COUNTIF(Table1[Customer ID],Table1[[#This Row],[Customer ID]])&gt;1,"Repeat Customer","One-Time Customer")</f>
        <v>Repeat Customer</v>
      </c>
      <c r="H1226" s="11" t="s">
        <v>2103</v>
      </c>
      <c r="I1226" s="11" t="s">
        <v>39</v>
      </c>
      <c r="J1226" s="11" t="s">
        <v>114</v>
      </c>
      <c r="K1226" s="11" t="s">
        <v>41</v>
      </c>
      <c r="L1226" s="11" t="s">
        <v>152</v>
      </c>
      <c r="M1226" s="11" t="s">
        <v>121</v>
      </c>
      <c r="N1226" s="11" t="s">
        <v>153</v>
      </c>
      <c r="O1226" s="11">
        <v>0.76</v>
      </c>
      <c r="P1226" s="6">
        <f>Table1[[#This Row],[Profit]]/Table1[[#This Row],[Sales]]</f>
        <v>-1.525593087522451E-2</v>
      </c>
      <c r="Q1226" s="11" t="s">
        <v>33</v>
      </c>
      <c r="R1226" s="11" t="s">
        <v>61</v>
      </c>
      <c r="S1226" s="11" t="s">
        <v>62</v>
      </c>
      <c r="T1226" s="11" t="s">
        <v>2104</v>
      </c>
      <c r="U1226" s="11">
        <v>55337</v>
      </c>
      <c r="V1226" s="12">
        <v>42045</v>
      </c>
      <c r="W1226" s="13" t="str">
        <f>TEXT(Table1[[#This Row],[Order Date]],"mmmm")</f>
        <v>February</v>
      </c>
      <c r="X1226" s="7" t="str">
        <f>TEXT(Table1[[#This Row],[Order Date]],"yyyy")</f>
        <v>2015</v>
      </c>
      <c r="Y1226" s="12">
        <v>42046</v>
      </c>
      <c r="Z1226" s="11">
        <v>-87.998040000000003</v>
      </c>
      <c r="AA1226" s="11">
        <v>20</v>
      </c>
      <c r="AB1226" s="11">
        <v>5768.12</v>
      </c>
      <c r="AC1226" s="11">
        <v>86053</v>
      </c>
      <c r="AD1226" s="6" t="str">
        <f>IF(COUNTIF(Returns!$A$2:$A$1635,Orders!AC1226)&gt;0,"Returned","Not Returned")</f>
        <v>Not Returned</v>
      </c>
    </row>
    <row r="1227" spans="1:30" ht="12.75" customHeight="1" thickTop="1" thickBot="1" x14ac:dyDescent="0.25">
      <c r="A1227" s="8">
        <v>18164</v>
      </c>
      <c r="B1227" s="1" t="s">
        <v>25</v>
      </c>
      <c r="C1227" s="1">
        <v>0.03</v>
      </c>
      <c r="D1227" s="1">
        <v>28.48</v>
      </c>
      <c r="E1227" s="1">
        <v>1.99</v>
      </c>
      <c r="F1227" s="1">
        <v>2206</v>
      </c>
      <c r="G1227" s="6" t="str">
        <f>IF(COUNTIF(Table1[Customer ID],Table1[[#This Row],[Customer ID]])&gt;1,"Repeat Customer","One-Time Customer")</f>
        <v>Repeat Customer</v>
      </c>
      <c r="H1227" s="1" t="s">
        <v>2105</v>
      </c>
      <c r="I1227" s="1" t="s">
        <v>49</v>
      </c>
      <c r="J1227" s="1" t="s">
        <v>114</v>
      </c>
      <c r="K1227" s="1" t="s">
        <v>77</v>
      </c>
      <c r="L1227" s="1" t="s">
        <v>180</v>
      </c>
      <c r="M1227" s="1" t="s">
        <v>51</v>
      </c>
      <c r="N1227" s="1" t="s">
        <v>407</v>
      </c>
      <c r="O1227" s="1">
        <v>0.4</v>
      </c>
      <c r="P1227" s="6">
        <f>Table1[[#This Row],[Profit]]/Table1[[#This Row],[Sales]]</f>
        <v>-0.63874027149321266</v>
      </c>
      <c r="Q1227" s="1" t="s">
        <v>33</v>
      </c>
      <c r="R1227" s="1" t="s">
        <v>61</v>
      </c>
      <c r="S1227" s="1" t="s">
        <v>330</v>
      </c>
      <c r="T1227" s="1" t="s">
        <v>2106</v>
      </c>
      <c r="U1227" s="1">
        <v>50501</v>
      </c>
      <c r="V1227" s="9">
        <v>42009</v>
      </c>
      <c r="W1227" s="13" t="str">
        <f>TEXT(Table1[[#This Row],[Order Date]],"mmmm")</f>
        <v>January</v>
      </c>
      <c r="X1227" s="7" t="str">
        <f>TEXT(Table1[[#This Row],[Order Date]],"yyyy")</f>
        <v>2015</v>
      </c>
      <c r="Y1227" s="9">
        <v>42010</v>
      </c>
      <c r="Z1227" s="1">
        <v>-35.290399999999998</v>
      </c>
      <c r="AA1227" s="1">
        <v>2</v>
      </c>
      <c r="AB1227" s="1">
        <v>55.25</v>
      </c>
      <c r="AC1227" s="1">
        <v>86258</v>
      </c>
      <c r="AD1227" s="6" t="str">
        <f>IF(COUNTIF(Returns!$A$2:$A$1635,Orders!AC1227)&gt;0,"Returned","Not Returned")</f>
        <v>Not Returned</v>
      </c>
    </row>
    <row r="1228" spans="1:30" ht="12.75" customHeight="1" thickTop="1" thickBot="1" x14ac:dyDescent="0.25">
      <c r="A1228" s="10">
        <v>18165</v>
      </c>
      <c r="B1228" s="11" t="s">
        <v>25</v>
      </c>
      <c r="C1228" s="11">
        <v>0.01</v>
      </c>
      <c r="D1228" s="11">
        <v>205.99</v>
      </c>
      <c r="E1228" s="11">
        <v>5.99</v>
      </c>
      <c r="F1228" s="11">
        <v>2206</v>
      </c>
      <c r="G1228" s="6" t="str">
        <f>IF(COUNTIF(Table1[Customer ID],Table1[[#This Row],[Customer ID]])&gt;1,"Repeat Customer","One-Time Customer")</f>
        <v>Repeat Customer</v>
      </c>
      <c r="H1228" s="11" t="s">
        <v>2105</v>
      </c>
      <c r="I1228" s="11" t="s">
        <v>49</v>
      </c>
      <c r="J1228" s="11" t="s">
        <v>114</v>
      </c>
      <c r="K1228" s="11" t="s">
        <v>77</v>
      </c>
      <c r="L1228" s="11" t="s">
        <v>78</v>
      </c>
      <c r="M1228" s="11" t="s">
        <v>59</v>
      </c>
      <c r="N1228" s="11" t="s">
        <v>2107</v>
      </c>
      <c r="O1228" s="11">
        <v>0.59</v>
      </c>
      <c r="P1228" s="6">
        <f>Table1[[#This Row],[Profit]]/Table1[[#This Row],[Sales]]</f>
        <v>-0.13585065853924022</v>
      </c>
      <c r="Q1228" s="11" t="s">
        <v>33</v>
      </c>
      <c r="R1228" s="11" t="s">
        <v>61</v>
      </c>
      <c r="S1228" s="11" t="s">
        <v>330</v>
      </c>
      <c r="T1228" s="11" t="s">
        <v>2106</v>
      </c>
      <c r="U1228" s="11">
        <v>50501</v>
      </c>
      <c r="V1228" s="12">
        <v>42009</v>
      </c>
      <c r="W1228" s="13" t="str">
        <f>TEXT(Table1[[#This Row],[Order Date]],"mmmm")</f>
        <v>January</v>
      </c>
      <c r="X1228" s="7" t="str">
        <f>TEXT(Table1[[#This Row],[Order Date]],"yyyy")</f>
        <v>2015</v>
      </c>
      <c r="Y1228" s="12">
        <v>42011</v>
      </c>
      <c r="Z1228" s="11">
        <v>-74.883600000000001</v>
      </c>
      <c r="AA1228" s="11">
        <v>3</v>
      </c>
      <c r="AB1228" s="11">
        <v>551.22</v>
      </c>
      <c r="AC1228" s="11">
        <v>86258</v>
      </c>
      <c r="AD1228" s="6" t="str">
        <f>IF(COUNTIF(Returns!$A$2:$A$1635,Orders!AC1228)&gt;0,"Returned","Not Returned")</f>
        <v>Not Returned</v>
      </c>
    </row>
    <row r="1229" spans="1:30" ht="12.75" customHeight="1" thickTop="1" thickBot="1" x14ac:dyDescent="0.25">
      <c r="A1229" s="8">
        <v>23317</v>
      </c>
      <c r="B1229" s="1" t="s">
        <v>106</v>
      </c>
      <c r="C1229" s="1">
        <v>0.06</v>
      </c>
      <c r="D1229" s="1">
        <v>6.98</v>
      </c>
      <c r="E1229" s="1">
        <v>1.6</v>
      </c>
      <c r="F1229" s="1">
        <v>2209</v>
      </c>
      <c r="G1229" s="6" t="str">
        <f>IF(COUNTIF(Table1[Customer ID],Table1[[#This Row],[Customer ID]])&gt;1,"Repeat Customer","One-Time Customer")</f>
        <v>One-Time Customer</v>
      </c>
      <c r="H1229" s="1" t="s">
        <v>2108</v>
      </c>
      <c r="I1229" s="1" t="s">
        <v>49</v>
      </c>
      <c r="J1229" s="1" t="s">
        <v>40</v>
      </c>
      <c r="K1229" s="1" t="s">
        <v>29</v>
      </c>
      <c r="L1229" s="1" t="s">
        <v>93</v>
      </c>
      <c r="M1229" s="1" t="s">
        <v>31</v>
      </c>
      <c r="N1229" s="1" t="s">
        <v>955</v>
      </c>
      <c r="O1229" s="1">
        <v>0.38</v>
      </c>
      <c r="P1229" s="6">
        <f>Table1[[#This Row],[Profit]]/Table1[[#This Row],[Sales]]</f>
        <v>-1.1683069224353628</v>
      </c>
      <c r="Q1229" s="1" t="s">
        <v>33</v>
      </c>
      <c r="R1229" s="1" t="s">
        <v>136</v>
      </c>
      <c r="S1229" s="1" t="s">
        <v>387</v>
      </c>
      <c r="T1229" s="1" t="s">
        <v>2109</v>
      </c>
      <c r="U1229" s="1">
        <v>30337</v>
      </c>
      <c r="V1229" s="9">
        <v>42026</v>
      </c>
      <c r="W1229" s="13" t="str">
        <f>TEXT(Table1[[#This Row],[Order Date]],"mmmm")</f>
        <v>January</v>
      </c>
      <c r="X1229" s="7" t="str">
        <f>TEXT(Table1[[#This Row],[Order Date]],"yyyy")</f>
        <v>2015</v>
      </c>
      <c r="Y1229" s="9">
        <v>42033</v>
      </c>
      <c r="Z1229" s="1">
        <v>-98.056000000000012</v>
      </c>
      <c r="AA1229" s="1">
        <v>12</v>
      </c>
      <c r="AB1229" s="1">
        <v>83.93</v>
      </c>
      <c r="AC1229" s="1">
        <v>88030</v>
      </c>
      <c r="AD1229" s="6" t="str">
        <f>IF(COUNTIF(Returns!$A$2:$A$1635,Orders!AC1229)&gt;0,"Returned","Not Returned")</f>
        <v>Not Returned</v>
      </c>
    </row>
    <row r="1230" spans="1:30" ht="12.75" customHeight="1" thickTop="1" thickBot="1" x14ac:dyDescent="0.25">
      <c r="A1230" s="10">
        <v>19914</v>
      </c>
      <c r="B1230" s="11" t="s">
        <v>37</v>
      </c>
      <c r="C1230" s="11">
        <v>0.08</v>
      </c>
      <c r="D1230" s="11">
        <v>95.99</v>
      </c>
      <c r="E1230" s="11">
        <v>35</v>
      </c>
      <c r="F1230" s="11">
        <v>2211</v>
      </c>
      <c r="G1230" s="6" t="str">
        <f>IF(COUNTIF(Table1[Customer ID],Table1[[#This Row],[Customer ID]])&gt;1,"Repeat Customer","One-Time Customer")</f>
        <v>One-Time Customer</v>
      </c>
      <c r="H1230" s="11" t="s">
        <v>2110</v>
      </c>
      <c r="I1230" s="11" t="s">
        <v>27</v>
      </c>
      <c r="J1230" s="11" t="s">
        <v>40</v>
      </c>
      <c r="K1230" s="11" t="s">
        <v>29</v>
      </c>
      <c r="L1230" s="11" t="s">
        <v>141</v>
      </c>
      <c r="M1230" s="11" t="s">
        <v>236</v>
      </c>
      <c r="N1230" s="11" t="s">
        <v>2111</v>
      </c>
      <c r="O1230" s="11"/>
      <c r="P1230" s="6">
        <f>Table1[[#This Row],[Profit]]/Table1[[#This Row],[Sales]]</f>
        <v>-2.1931524654425418</v>
      </c>
      <c r="Q1230" s="11" t="s">
        <v>33</v>
      </c>
      <c r="R1230" s="11" t="s">
        <v>53</v>
      </c>
      <c r="S1230" s="11" t="s">
        <v>415</v>
      </c>
      <c r="T1230" s="11" t="s">
        <v>2112</v>
      </c>
      <c r="U1230" s="11">
        <v>20715</v>
      </c>
      <c r="V1230" s="12">
        <v>42005</v>
      </c>
      <c r="W1230" s="13" t="str">
        <f>TEXT(Table1[[#This Row],[Order Date]],"mmmm")</f>
        <v>January</v>
      </c>
      <c r="X1230" s="7" t="str">
        <f>TEXT(Table1[[#This Row],[Order Date]],"yyyy")</f>
        <v>2015</v>
      </c>
      <c r="Y1230" s="12">
        <v>42007</v>
      </c>
      <c r="Z1230" s="11">
        <v>-425.20840000000004</v>
      </c>
      <c r="AA1230" s="11">
        <v>2</v>
      </c>
      <c r="AB1230" s="11">
        <v>193.88</v>
      </c>
      <c r="AC1230" s="11">
        <v>88028</v>
      </c>
      <c r="AD1230" s="6" t="str">
        <f>IF(COUNTIF(Returns!$A$2:$A$1635,Orders!AC1230)&gt;0,"Returned","Not Returned")</f>
        <v>Not Returned</v>
      </c>
    </row>
    <row r="1231" spans="1:30" ht="12.75" customHeight="1" thickTop="1" thickBot="1" x14ac:dyDescent="0.25">
      <c r="A1231" s="8">
        <v>24756</v>
      </c>
      <c r="B1231" s="1" t="s">
        <v>25</v>
      </c>
      <c r="C1231" s="1">
        <v>0.09</v>
      </c>
      <c r="D1231" s="1">
        <v>199.99</v>
      </c>
      <c r="E1231" s="1">
        <v>24.49</v>
      </c>
      <c r="F1231" s="1">
        <v>2212</v>
      </c>
      <c r="G1231" s="6" t="str">
        <f>IF(COUNTIF(Table1[Customer ID],Table1[[#This Row],[Customer ID]])&gt;1,"Repeat Customer","One-Time Customer")</f>
        <v>One-Time Customer</v>
      </c>
      <c r="H1231" s="1" t="s">
        <v>2113</v>
      </c>
      <c r="I1231" s="1" t="s">
        <v>27</v>
      </c>
      <c r="J1231" s="1" t="s">
        <v>40</v>
      </c>
      <c r="K1231" s="1" t="s">
        <v>77</v>
      </c>
      <c r="L1231" s="1" t="s">
        <v>587</v>
      </c>
      <c r="M1231" s="1" t="s">
        <v>236</v>
      </c>
      <c r="N1231" s="1" t="s">
        <v>1379</v>
      </c>
      <c r="O1231" s="1">
        <v>0.46</v>
      </c>
      <c r="P1231" s="6">
        <f>Table1[[#This Row],[Profit]]/Table1[[#This Row],[Sales]]</f>
        <v>0.63754607422368093</v>
      </c>
      <c r="Q1231" s="1" t="s">
        <v>33</v>
      </c>
      <c r="R1231" s="1" t="s">
        <v>53</v>
      </c>
      <c r="S1231" s="1" t="s">
        <v>415</v>
      </c>
      <c r="T1231" s="1" t="s">
        <v>2114</v>
      </c>
      <c r="U1231" s="1">
        <v>21228</v>
      </c>
      <c r="V1231" s="9">
        <v>42113</v>
      </c>
      <c r="W1231" s="13" t="str">
        <f>TEXT(Table1[[#This Row],[Order Date]],"mmmm")</f>
        <v>April</v>
      </c>
      <c r="X1231" s="7" t="str">
        <f>TEXT(Table1[[#This Row],[Order Date]],"yyyy")</f>
        <v>2015</v>
      </c>
      <c r="Y1231" s="9">
        <v>42115</v>
      </c>
      <c r="Z1231" s="1">
        <v>631.33000000000004</v>
      </c>
      <c r="AA1231" s="1">
        <v>5</v>
      </c>
      <c r="AB1231" s="1">
        <v>990.25</v>
      </c>
      <c r="AC1231" s="1">
        <v>88029</v>
      </c>
      <c r="AD1231" s="6" t="str">
        <f>IF(COUNTIF(Returns!$A$2:$A$1635,Orders!AC1231)&gt;0,"Returned","Not Returned")</f>
        <v>Not Returned</v>
      </c>
    </row>
    <row r="1232" spans="1:30" ht="12.75" customHeight="1" thickTop="1" thickBot="1" x14ac:dyDescent="0.25">
      <c r="A1232" s="10">
        <v>23512</v>
      </c>
      <c r="B1232" s="11" t="s">
        <v>106</v>
      </c>
      <c r="C1232" s="11">
        <v>7.0000000000000007E-2</v>
      </c>
      <c r="D1232" s="11">
        <v>3.28</v>
      </c>
      <c r="E1232" s="11">
        <v>3.97</v>
      </c>
      <c r="F1232" s="11">
        <v>2215</v>
      </c>
      <c r="G1232" s="6" t="str">
        <f>IF(COUNTIF(Table1[Customer ID],Table1[[#This Row],[Customer ID]])&gt;1,"Repeat Customer","One-Time Customer")</f>
        <v>One-Time Customer</v>
      </c>
      <c r="H1232" s="11" t="s">
        <v>2115</v>
      </c>
      <c r="I1232" s="11" t="s">
        <v>49</v>
      </c>
      <c r="J1232" s="11" t="s">
        <v>28</v>
      </c>
      <c r="K1232" s="11" t="s">
        <v>29</v>
      </c>
      <c r="L1232" s="11" t="s">
        <v>30</v>
      </c>
      <c r="M1232" s="11" t="s">
        <v>31</v>
      </c>
      <c r="N1232" s="11" t="s">
        <v>1009</v>
      </c>
      <c r="O1232" s="11">
        <v>0.56000000000000005</v>
      </c>
      <c r="P1232" s="6">
        <f>Table1[[#This Row],[Profit]]/Table1[[#This Row],[Sales]]</f>
        <v>-1.5024390243902439</v>
      </c>
      <c r="Q1232" s="11" t="s">
        <v>33</v>
      </c>
      <c r="R1232" s="11" t="s">
        <v>53</v>
      </c>
      <c r="S1232" s="11" t="s">
        <v>154</v>
      </c>
      <c r="T1232" s="11" t="s">
        <v>2116</v>
      </c>
      <c r="U1232" s="11">
        <v>44646</v>
      </c>
      <c r="V1232" s="12">
        <v>42178</v>
      </c>
      <c r="W1232" s="13" t="str">
        <f>TEXT(Table1[[#This Row],[Order Date]],"mmmm")</f>
        <v>June</v>
      </c>
      <c r="X1232" s="7" t="str">
        <f>TEXT(Table1[[#This Row],[Order Date]],"yyyy")</f>
        <v>2015</v>
      </c>
      <c r="Y1232" s="12">
        <v>42178</v>
      </c>
      <c r="Z1232" s="11">
        <v>-22.175999999999998</v>
      </c>
      <c r="AA1232" s="11">
        <v>4</v>
      </c>
      <c r="AB1232" s="11">
        <v>14.76</v>
      </c>
      <c r="AC1232" s="11">
        <v>90314</v>
      </c>
      <c r="AD1232" s="6" t="str">
        <f>IF(COUNTIF(Returns!$A$2:$A$1635,Orders!AC1232)&gt;0,"Returned","Not Returned")</f>
        <v>Not Returned</v>
      </c>
    </row>
    <row r="1233" spans="1:30" ht="12.75" customHeight="1" thickTop="1" thickBot="1" x14ac:dyDescent="0.25">
      <c r="A1233" s="8">
        <v>23513</v>
      </c>
      <c r="B1233" s="1" t="s">
        <v>106</v>
      </c>
      <c r="C1233" s="1">
        <v>0.02</v>
      </c>
      <c r="D1233" s="1">
        <v>256.99</v>
      </c>
      <c r="E1233" s="1">
        <v>11.25</v>
      </c>
      <c r="F1233" s="1">
        <v>2216</v>
      </c>
      <c r="G1233" s="6" t="str">
        <f>IF(COUNTIF(Table1[Customer ID],Table1[[#This Row],[Customer ID]])&gt;1,"Repeat Customer","One-Time Customer")</f>
        <v>Repeat Customer</v>
      </c>
      <c r="H1233" s="1" t="s">
        <v>2117</v>
      </c>
      <c r="I1233" s="1" t="s">
        <v>49</v>
      </c>
      <c r="J1233" s="1" t="s">
        <v>28</v>
      </c>
      <c r="K1233" s="1" t="s">
        <v>77</v>
      </c>
      <c r="L1233" s="1" t="s">
        <v>180</v>
      </c>
      <c r="M1233" s="1" t="s">
        <v>59</v>
      </c>
      <c r="N1233" s="1" t="s">
        <v>1336</v>
      </c>
      <c r="O1233" s="1">
        <v>0.51</v>
      </c>
      <c r="P1233" s="6">
        <f>Table1[[#This Row],[Profit]]/Table1[[#This Row],[Sales]]</f>
        <v>-0.26483598040670919</v>
      </c>
      <c r="Q1233" s="1" t="s">
        <v>33</v>
      </c>
      <c r="R1233" s="1" t="s">
        <v>53</v>
      </c>
      <c r="S1233" s="1" t="s">
        <v>154</v>
      </c>
      <c r="T1233" s="1" t="s">
        <v>2118</v>
      </c>
      <c r="U1233" s="1">
        <v>44256</v>
      </c>
      <c r="V1233" s="9">
        <v>42178</v>
      </c>
      <c r="W1233" s="13" t="str">
        <f>TEXT(Table1[[#This Row],[Order Date]],"mmmm")</f>
        <v>June</v>
      </c>
      <c r="X1233" s="7" t="str">
        <f>TEXT(Table1[[#This Row],[Order Date]],"yyyy")</f>
        <v>2015</v>
      </c>
      <c r="Y1233" s="9">
        <v>42185</v>
      </c>
      <c r="Z1233" s="1">
        <v>-214.10399999999998</v>
      </c>
      <c r="AA1233" s="1">
        <v>3</v>
      </c>
      <c r="AB1233" s="1">
        <v>808.44</v>
      </c>
      <c r="AC1233" s="1">
        <v>90314</v>
      </c>
      <c r="AD1233" s="6" t="str">
        <f>IF(COUNTIF(Returns!$A$2:$A$1635,Orders!AC1233)&gt;0,"Returned","Not Returned")</f>
        <v>Not Returned</v>
      </c>
    </row>
    <row r="1234" spans="1:30" ht="12.75" customHeight="1" thickTop="1" thickBot="1" x14ac:dyDescent="0.25">
      <c r="A1234" s="10">
        <v>23514</v>
      </c>
      <c r="B1234" s="11" t="s">
        <v>106</v>
      </c>
      <c r="C1234" s="11">
        <v>0.01</v>
      </c>
      <c r="D1234" s="11">
        <v>6.48</v>
      </c>
      <c r="E1234" s="11">
        <v>5.14</v>
      </c>
      <c r="F1234" s="11">
        <v>2216</v>
      </c>
      <c r="G1234" s="6" t="str">
        <f>IF(COUNTIF(Table1[Customer ID],Table1[[#This Row],[Customer ID]])&gt;1,"Repeat Customer","One-Time Customer")</f>
        <v>Repeat Customer</v>
      </c>
      <c r="H1234" s="11" t="s">
        <v>2117</v>
      </c>
      <c r="I1234" s="11" t="s">
        <v>49</v>
      </c>
      <c r="J1234" s="11" t="s">
        <v>28</v>
      </c>
      <c r="K1234" s="11" t="s">
        <v>29</v>
      </c>
      <c r="L1234" s="11" t="s">
        <v>93</v>
      </c>
      <c r="M1234" s="11" t="s">
        <v>59</v>
      </c>
      <c r="N1234" s="11" t="s">
        <v>938</v>
      </c>
      <c r="O1234" s="11">
        <v>0.37</v>
      </c>
      <c r="P1234" s="6">
        <f>Table1[[#This Row],[Profit]]/Table1[[#This Row],[Sales]]</f>
        <v>-0.39958463136033229</v>
      </c>
      <c r="Q1234" s="11" t="s">
        <v>33</v>
      </c>
      <c r="R1234" s="11" t="s">
        <v>53</v>
      </c>
      <c r="S1234" s="11" t="s">
        <v>154</v>
      </c>
      <c r="T1234" s="11" t="s">
        <v>2118</v>
      </c>
      <c r="U1234" s="11">
        <v>44256</v>
      </c>
      <c r="V1234" s="12">
        <v>42178</v>
      </c>
      <c r="W1234" s="13" t="str">
        <f>TEXT(Table1[[#This Row],[Order Date]],"mmmm")</f>
        <v>June</v>
      </c>
      <c r="X1234" s="7" t="str">
        <f>TEXT(Table1[[#This Row],[Order Date]],"yyyy")</f>
        <v>2015</v>
      </c>
      <c r="Y1234" s="12">
        <v>42180</v>
      </c>
      <c r="Z1234" s="11">
        <v>-26.936</v>
      </c>
      <c r="AA1234" s="11">
        <v>10</v>
      </c>
      <c r="AB1234" s="11">
        <v>67.41</v>
      </c>
      <c r="AC1234" s="11">
        <v>90314</v>
      </c>
      <c r="AD1234" s="6" t="str">
        <f>IF(COUNTIF(Returns!$A$2:$A$1635,Orders!AC1234)&gt;0,"Returned","Not Returned")</f>
        <v>Not Returned</v>
      </c>
    </row>
    <row r="1235" spans="1:30" ht="12.75" customHeight="1" thickTop="1" thickBot="1" x14ac:dyDescent="0.25">
      <c r="A1235" s="8">
        <v>22712</v>
      </c>
      <c r="B1235" s="1" t="s">
        <v>106</v>
      </c>
      <c r="C1235" s="1">
        <v>0.09</v>
      </c>
      <c r="D1235" s="1">
        <v>14.2</v>
      </c>
      <c r="E1235" s="1">
        <v>5.3</v>
      </c>
      <c r="F1235" s="1">
        <v>2220</v>
      </c>
      <c r="G1235" s="6" t="str">
        <f>IF(COUNTIF(Table1[Customer ID],Table1[[#This Row],[Customer ID]])&gt;1,"Repeat Customer","One-Time Customer")</f>
        <v>One-Time Customer</v>
      </c>
      <c r="H1235" s="1" t="s">
        <v>2119</v>
      </c>
      <c r="I1235" s="1" t="s">
        <v>49</v>
      </c>
      <c r="J1235" s="1" t="s">
        <v>114</v>
      </c>
      <c r="K1235" s="1" t="s">
        <v>41</v>
      </c>
      <c r="L1235" s="1" t="s">
        <v>50</v>
      </c>
      <c r="M1235" s="1" t="s">
        <v>31</v>
      </c>
      <c r="N1235" s="1" t="s">
        <v>730</v>
      </c>
      <c r="O1235" s="1">
        <v>0.46</v>
      </c>
      <c r="P1235" s="6">
        <f>Table1[[#This Row],[Profit]]/Table1[[#This Row],[Sales]]</f>
        <v>-5.8956063907044305</v>
      </c>
      <c r="Q1235" s="1" t="s">
        <v>33</v>
      </c>
      <c r="R1235" s="1" t="s">
        <v>136</v>
      </c>
      <c r="S1235" s="1" t="s">
        <v>362</v>
      </c>
      <c r="T1235" s="1" t="s">
        <v>2120</v>
      </c>
      <c r="U1235" s="1">
        <v>34787</v>
      </c>
      <c r="V1235" s="9">
        <v>42063</v>
      </c>
      <c r="W1235" s="13" t="str">
        <f>TEXT(Table1[[#This Row],[Order Date]],"mmmm")</f>
        <v>February</v>
      </c>
      <c r="X1235" s="7" t="str">
        <f>TEXT(Table1[[#This Row],[Order Date]],"yyyy")</f>
        <v>2015</v>
      </c>
      <c r="Y1235" s="9">
        <v>42064</v>
      </c>
      <c r="Z1235" s="1">
        <v>-324.73</v>
      </c>
      <c r="AA1235" s="1">
        <v>4</v>
      </c>
      <c r="AB1235" s="1">
        <v>55.08</v>
      </c>
      <c r="AC1235" s="1">
        <v>91036</v>
      </c>
      <c r="AD1235" s="6" t="str">
        <f>IF(COUNTIF(Returns!$A$2:$A$1635,Orders!AC1235)&gt;0,"Returned","Not Returned")</f>
        <v>Not Returned</v>
      </c>
    </row>
    <row r="1236" spans="1:30" ht="12.75" customHeight="1" thickTop="1" thickBot="1" x14ac:dyDescent="0.25">
      <c r="A1236" s="10">
        <v>24113</v>
      </c>
      <c r="B1236" s="11" t="s">
        <v>47</v>
      </c>
      <c r="C1236" s="11">
        <v>0</v>
      </c>
      <c r="D1236" s="11">
        <v>100.89</v>
      </c>
      <c r="E1236" s="11">
        <v>42</v>
      </c>
      <c r="F1236" s="11">
        <v>2225</v>
      </c>
      <c r="G1236" s="6" t="str">
        <f>IF(COUNTIF(Table1[Customer ID],Table1[[#This Row],[Customer ID]])&gt;1,"Repeat Customer","One-Time Customer")</f>
        <v>One-Time Customer</v>
      </c>
      <c r="H1236" s="11" t="s">
        <v>2121</v>
      </c>
      <c r="I1236" s="11" t="s">
        <v>39</v>
      </c>
      <c r="J1236" s="11" t="s">
        <v>58</v>
      </c>
      <c r="K1236" s="11" t="s">
        <v>41</v>
      </c>
      <c r="L1236" s="11" t="s">
        <v>42</v>
      </c>
      <c r="M1236" s="11" t="s">
        <v>43</v>
      </c>
      <c r="N1236" s="11" t="s">
        <v>2122</v>
      </c>
      <c r="O1236" s="11">
        <v>0.61</v>
      </c>
      <c r="P1236" s="6">
        <f>Table1[[#This Row],[Profit]]/Table1[[#This Row],[Sales]]</f>
        <v>0.93284663362580922</v>
      </c>
      <c r="Q1236" s="11" t="s">
        <v>33</v>
      </c>
      <c r="R1236" s="11" t="s">
        <v>34</v>
      </c>
      <c r="S1236" s="11" t="s">
        <v>366</v>
      </c>
      <c r="T1236" s="11" t="s">
        <v>2123</v>
      </c>
      <c r="U1236" s="11">
        <v>88240</v>
      </c>
      <c r="V1236" s="12">
        <v>42056</v>
      </c>
      <c r="W1236" s="13" t="str">
        <f>TEXT(Table1[[#This Row],[Order Date]],"mmmm")</f>
        <v>February</v>
      </c>
      <c r="X1236" s="7" t="str">
        <f>TEXT(Table1[[#This Row],[Order Date]],"yyyy")</f>
        <v>2015</v>
      </c>
      <c r="Y1236" s="12">
        <v>42057</v>
      </c>
      <c r="Z1236" s="11">
        <v>1500.12</v>
      </c>
      <c r="AA1236" s="11">
        <v>15</v>
      </c>
      <c r="AB1236" s="11">
        <v>1608.11</v>
      </c>
      <c r="AC1236" s="11">
        <v>89970</v>
      </c>
      <c r="AD1236" s="6" t="str">
        <f>IF(COUNTIF(Returns!$A$2:$A$1635,Orders!AC1236)&gt;0,"Returned","Not Returned")</f>
        <v>Not Returned</v>
      </c>
    </row>
    <row r="1237" spans="1:30" ht="12.75" customHeight="1" thickTop="1" thickBot="1" x14ac:dyDescent="0.25">
      <c r="A1237" s="8">
        <v>18820</v>
      </c>
      <c r="B1237" s="1" t="s">
        <v>106</v>
      </c>
      <c r="C1237" s="1">
        <v>0.01</v>
      </c>
      <c r="D1237" s="1">
        <v>13.43</v>
      </c>
      <c r="E1237" s="1">
        <v>5.5</v>
      </c>
      <c r="F1237" s="1">
        <v>2240</v>
      </c>
      <c r="G1237" s="6" t="str">
        <f>IF(COUNTIF(Table1[Customer ID],Table1[[#This Row],[Customer ID]])&gt;1,"Repeat Customer","One-Time Customer")</f>
        <v>One-Time Customer</v>
      </c>
      <c r="H1237" s="1" t="s">
        <v>2124</v>
      </c>
      <c r="I1237" s="1" t="s">
        <v>27</v>
      </c>
      <c r="J1237" s="1" t="s">
        <v>28</v>
      </c>
      <c r="K1237" s="1" t="s">
        <v>29</v>
      </c>
      <c r="L1237" s="1" t="s">
        <v>141</v>
      </c>
      <c r="M1237" s="1" t="s">
        <v>59</v>
      </c>
      <c r="N1237" s="1" t="s">
        <v>1702</v>
      </c>
      <c r="O1237" s="1">
        <v>0.56999999999999995</v>
      </c>
      <c r="P1237" s="6">
        <f>Table1[[#This Row],[Profit]]/Table1[[#This Row],[Sales]]</f>
        <v>-3.1380631578947371</v>
      </c>
      <c r="Q1237" s="1" t="s">
        <v>33</v>
      </c>
      <c r="R1237" s="1" t="s">
        <v>136</v>
      </c>
      <c r="S1237" s="1" t="s">
        <v>362</v>
      </c>
      <c r="T1237" s="1" t="s">
        <v>2125</v>
      </c>
      <c r="U1237" s="1">
        <v>33801</v>
      </c>
      <c r="V1237" s="9">
        <v>42100</v>
      </c>
      <c r="W1237" s="13" t="str">
        <f>TEXT(Table1[[#This Row],[Order Date]],"mmmm")</f>
        <v>April</v>
      </c>
      <c r="X1237" s="7" t="str">
        <f>TEXT(Table1[[#This Row],[Order Date]],"yyyy")</f>
        <v>2015</v>
      </c>
      <c r="Y1237" s="9">
        <v>42107</v>
      </c>
      <c r="Z1237" s="1">
        <v>-313.02180000000004</v>
      </c>
      <c r="AA1237" s="1">
        <v>7</v>
      </c>
      <c r="AB1237" s="1">
        <v>99.75</v>
      </c>
      <c r="AC1237" s="1">
        <v>89102</v>
      </c>
      <c r="AD1237" s="6" t="str">
        <f>IF(COUNTIF(Returns!$A$2:$A$1635,Orders!AC1237)&gt;0,"Returned","Not Returned")</f>
        <v>Not Returned</v>
      </c>
    </row>
    <row r="1238" spans="1:30" ht="12.75" customHeight="1" thickTop="1" thickBot="1" x14ac:dyDescent="0.25">
      <c r="A1238" s="10">
        <v>24121</v>
      </c>
      <c r="B1238" s="11" t="s">
        <v>106</v>
      </c>
      <c r="C1238" s="11">
        <v>0</v>
      </c>
      <c r="D1238" s="11">
        <v>2.08</v>
      </c>
      <c r="E1238" s="11">
        <v>5.33</v>
      </c>
      <c r="F1238" s="11">
        <v>2250</v>
      </c>
      <c r="G1238" s="6" t="str">
        <f>IF(COUNTIF(Table1[Customer ID],Table1[[#This Row],[Customer ID]])&gt;1,"Repeat Customer","One-Time Customer")</f>
        <v>One-Time Customer</v>
      </c>
      <c r="H1238" s="11" t="s">
        <v>2126</v>
      </c>
      <c r="I1238" s="11" t="s">
        <v>49</v>
      </c>
      <c r="J1238" s="11" t="s">
        <v>40</v>
      </c>
      <c r="K1238" s="11" t="s">
        <v>41</v>
      </c>
      <c r="L1238" s="11" t="s">
        <v>50</v>
      </c>
      <c r="M1238" s="11" t="s">
        <v>59</v>
      </c>
      <c r="N1238" s="11" t="s">
        <v>744</v>
      </c>
      <c r="O1238" s="11">
        <v>0.43</v>
      </c>
      <c r="P1238" s="6">
        <f>Table1[[#This Row],[Profit]]/Table1[[#This Row],[Sales]]</f>
        <v>-3.7454425209103293</v>
      </c>
      <c r="Q1238" s="11" t="s">
        <v>33</v>
      </c>
      <c r="R1238" s="11" t="s">
        <v>53</v>
      </c>
      <c r="S1238" s="11" t="s">
        <v>234</v>
      </c>
      <c r="T1238" s="11" t="s">
        <v>2127</v>
      </c>
      <c r="U1238" s="11">
        <v>16801</v>
      </c>
      <c r="V1238" s="12">
        <v>42107</v>
      </c>
      <c r="W1238" s="13" t="str">
        <f>TEXT(Table1[[#This Row],[Order Date]],"mmmm")</f>
        <v>April</v>
      </c>
      <c r="X1238" s="7" t="str">
        <f>TEXT(Table1[[#This Row],[Order Date]],"yyyy")</f>
        <v>2015</v>
      </c>
      <c r="Y1238" s="12">
        <v>42114</v>
      </c>
      <c r="Z1238" s="11">
        <v>-192.5532</v>
      </c>
      <c r="AA1238" s="11">
        <v>22</v>
      </c>
      <c r="AB1238" s="11">
        <v>51.41</v>
      </c>
      <c r="AC1238" s="11">
        <v>86699</v>
      </c>
      <c r="AD1238" s="6" t="str">
        <f>IF(COUNTIF(Returns!$A$2:$A$1635,Orders!AC1238)&gt;0,"Returned","Not Returned")</f>
        <v>Not Returned</v>
      </c>
    </row>
    <row r="1239" spans="1:30" ht="12.75" customHeight="1" thickTop="1" thickBot="1" x14ac:dyDescent="0.25">
      <c r="A1239" s="8">
        <v>25440</v>
      </c>
      <c r="B1239" s="1" t="s">
        <v>106</v>
      </c>
      <c r="C1239" s="1">
        <v>0.1</v>
      </c>
      <c r="D1239" s="1">
        <v>6.3</v>
      </c>
      <c r="E1239" s="1">
        <v>0.5</v>
      </c>
      <c r="F1239" s="1">
        <v>2254</v>
      </c>
      <c r="G1239" s="6" t="str">
        <f>IF(COUNTIF(Table1[Customer ID],Table1[[#This Row],[Customer ID]])&gt;1,"Repeat Customer","One-Time Customer")</f>
        <v>Repeat Customer</v>
      </c>
      <c r="H1239" s="1" t="s">
        <v>2128</v>
      </c>
      <c r="I1239" s="1" t="s">
        <v>49</v>
      </c>
      <c r="J1239" s="1" t="s">
        <v>28</v>
      </c>
      <c r="K1239" s="1" t="s">
        <v>29</v>
      </c>
      <c r="L1239" s="1" t="s">
        <v>134</v>
      </c>
      <c r="M1239" s="1" t="s">
        <v>59</v>
      </c>
      <c r="N1239" s="1" t="s">
        <v>1158</v>
      </c>
      <c r="O1239" s="1">
        <v>0.39</v>
      </c>
      <c r="P1239" s="6">
        <f>Table1[[#This Row],[Profit]]/Table1[[#This Row],[Sales]]</f>
        <v>-6.7561408614668226</v>
      </c>
      <c r="Q1239" s="1" t="s">
        <v>33</v>
      </c>
      <c r="R1239" s="1" t="s">
        <v>136</v>
      </c>
      <c r="S1239" s="1" t="s">
        <v>613</v>
      </c>
      <c r="T1239" s="1" t="s">
        <v>2129</v>
      </c>
      <c r="U1239" s="1">
        <v>42003</v>
      </c>
      <c r="V1239" s="9">
        <v>42031</v>
      </c>
      <c r="W1239" s="13" t="str">
        <f>TEXT(Table1[[#This Row],[Order Date]],"mmmm")</f>
        <v>January</v>
      </c>
      <c r="X1239" s="7" t="str">
        <f>TEXT(Table1[[#This Row],[Order Date]],"yyyy")</f>
        <v>2015</v>
      </c>
      <c r="Y1239" s="9">
        <v>42036</v>
      </c>
      <c r="Z1239" s="1">
        <v>-464.28200000000004</v>
      </c>
      <c r="AA1239" s="1">
        <v>12</v>
      </c>
      <c r="AB1239" s="1">
        <v>68.72</v>
      </c>
      <c r="AC1239" s="1">
        <v>89278</v>
      </c>
      <c r="AD1239" s="6" t="str">
        <f>IF(COUNTIF(Returns!$A$2:$A$1635,Orders!AC1239)&gt;0,"Returned","Not Returned")</f>
        <v>Not Returned</v>
      </c>
    </row>
    <row r="1240" spans="1:30" ht="12.75" customHeight="1" thickTop="1" thickBot="1" x14ac:dyDescent="0.25">
      <c r="A1240" s="10">
        <v>20639</v>
      </c>
      <c r="B1240" s="11" t="s">
        <v>25</v>
      </c>
      <c r="C1240" s="11">
        <v>0.1</v>
      </c>
      <c r="D1240" s="11">
        <v>48.91</v>
      </c>
      <c r="E1240" s="11">
        <v>5.97</v>
      </c>
      <c r="F1240" s="11">
        <v>2254</v>
      </c>
      <c r="G1240" s="6" t="str">
        <f>IF(COUNTIF(Table1[Customer ID],Table1[[#This Row],[Customer ID]])&gt;1,"Repeat Customer","One-Time Customer")</f>
        <v>Repeat Customer</v>
      </c>
      <c r="H1240" s="11" t="s">
        <v>2128</v>
      </c>
      <c r="I1240" s="11" t="s">
        <v>49</v>
      </c>
      <c r="J1240" s="11" t="s">
        <v>28</v>
      </c>
      <c r="K1240" s="11" t="s">
        <v>29</v>
      </c>
      <c r="L1240" s="11" t="s">
        <v>93</v>
      </c>
      <c r="M1240" s="11" t="s">
        <v>59</v>
      </c>
      <c r="N1240" s="11" t="s">
        <v>2130</v>
      </c>
      <c r="O1240" s="11">
        <v>0.38</v>
      </c>
      <c r="P1240" s="6">
        <f>Table1[[#This Row],[Profit]]/Table1[[#This Row],[Sales]]</f>
        <v>0.25323671965878242</v>
      </c>
      <c r="Q1240" s="11" t="s">
        <v>33</v>
      </c>
      <c r="R1240" s="11" t="s">
        <v>136</v>
      </c>
      <c r="S1240" s="11" t="s">
        <v>613</v>
      </c>
      <c r="T1240" s="11" t="s">
        <v>2129</v>
      </c>
      <c r="U1240" s="11">
        <v>42003</v>
      </c>
      <c r="V1240" s="12">
        <v>42122</v>
      </c>
      <c r="W1240" s="13" t="str">
        <f>TEXT(Table1[[#This Row],[Order Date]],"mmmm")</f>
        <v>April</v>
      </c>
      <c r="X1240" s="7" t="str">
        <f>TEXT(Table1[[#This Row],[Order Date]],"yyyy")</f>
        <v>2015</v>
      </c>
      <c r="Y1240" s="12">
        <v>42124</v>
      </c>
      <c r="Z1240" s="11">
        <v>156.74339999999998</v>
      </c>
      <c r="AA1240" s="11">
        <v>14</v>
      </c>
      <c r="AB1240" s="11">
        <v>618.96</v>
      </c>
      <c r="AC1240" s="11">
        <v>89279</v>
      </c>
      <c r="AD1240" s="6" t="str">
        <f>IF(COUNTIF(Returns!$A$2:$A$1635,Orders!AC1240)&gt;0,"Returned","Not Returned")</f>
        <v>Not Returned</v>
      </c>
    </row>
    <row r="1241" spans="1:30" ht="12.75" customHeight="1" thickTop="1" thickBot="1" x14ac:dyDescent="0.25">
      <c r="A1241" s="8">
        <v>20640</v>
      </c>
      <c r="B1241" s="1" t="s">
        <v>25</v>
      </c>
      <c r="C1241" s="1">
        <v>0.08</v>
      </c>
      <c r="D1241" s="1">
        <v>5.98</v>
      </c>
      <c r="E1241" s="1">
        <v>5.46</v>
      </c>
      <c r="F1241" s="1">
        <v>2254</v>
      </c>
      <c r="G1241" s="6" t="str">
        <f>IF(COUNTIF(Table1[Customer ID],Table1[[#This Row],[Customer ID]])&gt;1,"Repeat Customer","One-Time Customer")</f>
        <v>Repeat Customer</v>
      </c>
      <c r="H1241" s="1" t="s">
        <v>2128</v>
      </c>
      <c r="I1241" s="1" t="s">
        <v>49</v>
      </c>
      <c r="J1241" s="1" t="s">
        <v>28</v>
      </c>
      <c r="K1241" s="1" t="s">
        <v>29</v>
      </c>
      <c r="L1241" s="1" t="s">
        <v>93</v>
      </c>
      <c r="M1241" s="1" t="s">
        <v>59</v>
      </c>
      <c r="N1241" s="1" t="s">
        <v>1051</v>
      </c>
      <c r="O1241" s="1">
        <v>0.36</v>
      </c>
      <c r="P1241" s="6">
        <f>Table1[[#This Row],[Profit]]/Table1[[#This Row],[Sales]]</f>
        <v>1.42014444157854</v>
      </c>
      <c r="Q1241" s="1" t="s">
        <v>33</v>
      </c>
      <c r="R1241" s="1" t="s">
        <v>136</v>
      </c>
      <c r="S1241" s="1" t="s">
        <v>613</v>
      </c>
      <c r="T1241" s="1" t="s">
        <v>2129</v>
      </c>
      <c r="U1241" s="1">
        <v>42003</v>
      </c>
      <c r="V1241" s="9">
        <v>42122</v>
      </c>
      <c r="W1241" s="13" t="str">
        <f>TEXT(Table1[[#This Row],[Order Date]],"mmmm")</f>
        <v>April</v>
      </c>
      <c r="X1241" s="7" t="str">
        <f>TEXT(Table1[[#This Row],[Order Date]],"yyyy")</f>
        <v>2015</v>
      </c>
      <c r="Y1241" s="9">
        <v>42122</v>
      </c>
      <c r="Z1241" s="1">
        <v>110.11799999999999</v>
      </c>
      <c r="AA1241" s="1">
        <v>13</v>
      </c>
      <c r="AB1241" s="1">
        <v>77.540000000000006</v>
      </c>
      <c r="AC1241" s="1">
        <v>89279</v>
      </c>
      <c r="AD1241" s="6" t="str">
        <f>IF(COUNTIF(Returns!$A$2:$A$1635,Orders!AC1241)&gt;0,"Returned","Not Returned")</f>
        <v>Not Returned</v>
      </c>
    </row>
    <row r="1242" spans="1:30" ht="12.75" customHeight="1" thickTop="1" thickBot="1" x14ac:dyDescent="0.25">
      <c r="A1242" s="10">
        <v>19054</v>
      </c>
      <c r="B1242" s="11" t="s">
        <v>47</v>
      </c>
      <c r="C1242" s="11">
        <v>7.0000000000000007E-2</v>
      </c>
      <c r="D1242" s="11">
        <v>60.97</v>
      </c>
      <c r="E1242" s="11">
        <v>4.5</v>
      </c>
      <c r="F1242" s="11">
        <v>2256</v>
      </c>
      <c r="G1242" s="6" t="str">
        <f>IF(COUNTIF(Table1[Customer ID],Table1[[#This Row],[Customer ID]])&gt;1,"Repeat Customer","One-Time Customer")</f>
        <v>Repeat Customer</v>
      </c>
      <c r="H1242" s="11" t="s">
        <v>2131</v>
      </c>
      <c r="I1242" s="11" t="s">
        <v>27</v>
      </c>
      <c r="J1242" s="11" t="s">
        <v>28</v>
      </c>
      <c r="K1242" s="11" t="s">
        <v>29</v>
      </c>
      <c r="L1242" s="11" t="s">
        <v>257</v>
      </c>
      <c r="M1242" s="11" t="s">
        <v>59</v>
      </c>
      <c r="N1242" s="11" t="s">
        <v>2132</v>
      </c>
      <c r="O1242" s="11">
        <v>0.56000000000000005</v>
      </c>
      <c r="P1242" s="6">
        <f>Table1[[#This Row],[Profit]]/Table1[[#This Row],[Sales]]</f>
        <v>-0.11773747650116111</v>
      </c>
      <c r="Q1242" s="11" t="s">
        <v>33</v>
      </c>
      <c r="R1242" s="11" t="s">
        <v>136</v>
      </c>
      <c r="S1242" s="11" t="s">
        <v>322</v>
      </c>
      <c r="T1242" s="11" t="s">
        <v>2088</v>
      </c>
      <c r="U1242" s="11">
        <v>28560</v>
      </c>
      <c r="V1242" s="12">
        <v>42006</v>
      </c>
      <c r="W1242" s="13" t="str">
        <f>TEXT(Table1[[#This Row],[Order Date]],"mmmm")</f>
        <v>January</v>
      </c>
      <c r="X1242" s="7" t="str">
        <f>TEXT(Table1[[#This Row],[Order Date]],"yyyy")</f>
        <v>2015</v>
      </c>
      <c r="Y1242" s="12">
        <v>42008</v>
      </c>
      <c r="Z1242" s="11">
        <v>-42.588000000000001</v>
      </c>
      <c r="AA1242" s="11">
        <v>6</v>
      </c>
      <c r="AB1242" s="11">
        <v>361.72</v>
      </c>
      <c r="AC1242" s="11">
        <v>87963</v>
      </c>
      <c r="AD1242" s="6" t="str">
        <f>IF(COUNTIF(Returns!$A$2:$A$1635,Orders!AC1242)&gt;0,"Returned","Not Returned")</f>
        <v>Not Returned</v>
      </c>
    </row>
    <row r="1243" spans="1:30" ht="12.75" customHeight="1" thickTop="1" thickBot="1" x14ac:dyDescent="0.25">
      <c r="A1243" s="8">
        <v>18652</v>
      </c>
      <c r="B1243" s="1" t="s">
        <v>56</v>
      </c>
      <c r="C1243" s="1">
        <v>7.0000000000000007E-2</v>
      </c>
      <c r="D1243" s="1">
        <v>70.98</v>
      </c>
      <c r="E1243" s="1">
        <v>30</v>
      </c>
      <c r="F1243" s="1">
        <v>2256</v>
      </c>
      <c r="G1243" s="6" t="str">
        <f>IF(COUNTIF(Table1[Customer ID],Table1[[#This Row],[Customer ID]])&gt;1,"Repeat Customer","One-Time Customer")</f>
        <v>Repeat Customer</v>
      </c>
      <c r="H1243" s="1" t="s">
        <v>2131</v>
      </c>
      <c r="I1243" s="1" t="s">
        <v>39</v>
      </c>
      <c r="J1243" s="1" t="s">
        <v>28</v>
      </c>
      <c r="K1243" s="1" t="s">
        <v>41</v>
      </c>
      <c r="L1243" s="1" t="s">
        <v>42</v>
      </c>
      <c r="M1243" s="1" t="s">
        <v>43</v>
      </c>
      <c r="N1243" s="1" t="s">
        <v>2133</v>
      </c>
      <c r="O1243" s="1">
        <v>0.73</v>
      </c>
      <c r="P1243" s="6">
        <f>Table1[[#This Row],[Profit]]/Table1[[#This Row],[Sales]]</f>
        <v>-0.1623260792008562</v>
      </c>
      <c r="Q1243" s="1" t="s">
        <v>33</v>
      </c>
      <c r="R1243" s="1" t="s">
        <v>136</v>
      </c>
      <c r="S1243" s="1" t="s">
        <v>322</v>
      </c>
      <c r="T1243" s="1" t="s">
        <v>2088</v>
      </c>
      <c r="U1243" s="1">
        <v>28560</v>
      </c>
      <c r="V1243" s="9">
        <v>42087</v>
      </c>
      <c r="W1243" s="13" t="str">
        <f>TEXT(Table1[[#This Row],[Order Date]],"mmmm")</f>
        <v>March</v>
      </c>
      <c r="X1243" s="7" t="str">
        <f>TEXT(Table1[[#This Row],[Order Date]],"yyyy")</f>
        <v>2015</v>
      </c>
      <c r="Y1243" s="9">
        <v>42089</v>
      </c>
      <c r="Z1243" s="1">
        <v>-222.95</v>
      </c>
      <c r="AA1243" s="1">
        <v>20</v>
      </c>
      <c r="AB1243" s="1">
        <v>1373.47</v>
      </c>
      <c r="AC1243" s="1">
        <v>87964</v>
      </c>
      <c r="AD1243" s="6" t="str">
        <f>IF(COUNTIF(Returns!$A$2:$A$1635,Orders!AC1243)&gt;0,"Returned","Not Returned")</f>
        <v>Not Returned</v>
      </c>
    </row>
    <row r="1244" spans="1:30" ht="12.75" customHeight="1" thickTop="1" thickBot="1" x14ac:dyDescent="0.25">
      <c r="A1244" s="10">
        <v>21937</v>
      </c>
      <c r="B1244" s="11" t="s">
        <v>25</v>
      </c>
      <c r="C1244" s="11">
        <v>0.06</v>
      </c>
      <c r="D1244" s="11">
        <v>6.68</v>
      </c>
      <c r="E1244" s="11">
        <v>6.93</v>
      </c>
      <c r="F1244" s="11">
        <v>2257</v>
      </c>
      <c r="G1244" s="6" t="str">
        <f>IF(COUNTIF(Table1[Customer ID],Table1[[#This Row],[Customer ID]])&gt;1,"Repeat Customer","One-Time Customer")</f>
        <v>One-Time Customer</v>
      </c>
      <c r="H1244" s="11" t="s">
        <v>2134</v>
      </c>
      <c r="I1244" s="11" t="s">
        <v>49</v>
      </c>
      <c r="J1244" s="11" t="s">
        <v>28</v>
      </c>
      <c r="K1244" s="11" t="s">
        <v>29</v>
      </c>
      <c r="L1244" s="11" t="s">
        <v>93</v>
      </c>
      <c r="M1244" s="11" t="s">
        <v>59</v>
      </c>
      <c r="N1244" s="11" t="s">
        <v>2135</v>
      </c>
      <c r="O1244" s="11">
        <v>0.37</v>
      </c>
      <c r="P1244" s="6">
        <f>Table1[[#This Row],[Profit]]/Table1[[#This Row],[Sales]]</f>
        <v>8.2947127937336801E-2</v>
      </c>
      <c r="Q1244" s="11" t="s">
        <v>33</v>
      </c>
      <c r="R1244" s="11" t="s">
        <v>136</v>
      </c>
      <c r="S1244" s="11" t="s">
        <v>322</v>
      </c>
      <c r="T1244" s="11" t="s">
        <v>2136</v>
      </c>
      <c r="U1244" s="11">
        <v>27604</v>
      </c>
      <c r="V1244" s="12">
        <v>42167</v>
      </c>
      <c r="W1244" s="13" t="str">
        <f>TEXT(Table1[[#This Row],[Order Date]],"mmmm")</f>
        <v>June</v>
      </c>
      <c r="X1244" s="7" t="str">
        <f>TEXT(Table1[[#This Row],[Order Date]],"yyyy")</f>
        <v>2015</v>
      </c>
      <c r="Y1244" s="12">
        <v>42168</v>
      </c>
      <c r="Z1244" s="11">
        <v>7.6244999999999994</v>
      </c>
      <c r="AA1244" s="11">
        <v>14</v>
      </c>
      <c r="AB1244" s="11">
        <v>91.92</v>
      </c>
      <c r="AC1244" s="11">
        <v>87965</v>
      </c>
      <c r="AD1244" s="6" t="str">
        <f>IF(COUNTIF(Returns!$A$2:$A$1635,Orders!AC1244)&gt;0,"Returned","Not Returned")</f>
        <v>Not Returned</v>
      </c>
    </row>
    <row r="1245" spans="1:30" ht="12.75" customHeight="1" thickTop="1" thickBot="1" x14ac:dyDescent="0.25">
      <c r="A1245" s="8">
        <v>26361</v>
      </c>
      <c r="B1245" s="1" t="s">
        <v>106</v>
      </c>
      <c r="C1245" s="1">
        <v>0.01</v>
      </c>
      <c r="D1245" s="1">
        <v>7.64</v>
      </c>
      <c r="E1245" s="1">
        <v>1.39</v>
      </c>
      <c r="F1245" s="1">
        <v>2258</v>
      </c>
      <c r="G1245" s="6" t="str">
        <f>IF(COUNTIF(Table1[Customer ID],Table1[[#This Row],[Customer ID]])&gt;1,"Repeat Customer","One-Time Customer")</f>
        <v>Repeat Customer</v>
      </c>
      <c r="H1245" s="1" t="s">
        <v>2137</v>
      </c>
      <c r="I1245" s="1" t="s">
        <v>27</v>
      </c>
      <c r="J1245" s="1" t="s">
        <v>28</v>
      </c>
      <c r="K1245" s="1" t="s">
        <v>29</v>
      </c>
      <c r="L1245" s="1" t="s">
        <v>69</v>
      </c>
      <c r="M1245" s="1" t="s">
        <v>59</v>
      </c>
      <c r="N1245" s="1" t="s">
        <v>1239</v>
      </c>
      <c r="O1245" s="1">
        <v>0.36</v>
      </c>
      <c r="P1245" s="6">
        <f>Table1[[#This Row],[Profit]]/Table1[[#This Row],[Sales]]</f>
        <v>-22.876408787010501</v>
      </c>
      <c r="Q1245" s="1" t="s">
        <v>33</v>
      </c>
      <c r="R1245" s="1" t="s">
        <v>136</v>
      </c>
      <c r="S1245" s="1" t="s">
        <v>322</v>
      </c>
      <c r="T1245" s="1" t="s">
        <v>2138</v>
      </c>
      <c r="U1245" s="1">
        <v>27801</v>
      </c>
      <c r="V1245" s="9">
        <v>42072</v>
      </c>
      <c r="W1245" s="13" t="str">
        <f>TEXT(Table1[[#This Row],[Order Date]],"mmmm")</f>
        <v>March</v>
      </c>
      <c r="X1245" s="7" t="str">
        <f>TEXT(Table1[[#This Row],[Order Date]],"yyyy")</f>
        <v>2015</v>
      </c>
      <c r="Y1245" s="9">
        <v>42076</v>
      </c>
      <c r="Z1245" s="1">
        <v>-1676.6119999999999</v>
      </c>
      <c r="AA1245" s="1">
        <v>9</v>
      </c>
      <c r="AB1245" s="1">
        <v>73.290000000000006</v>
      </c>
      <c r="AC1245" s="1">
        <v>87962</v>
      </c>
      <c r="AD1245" s="6" t="str">
        <f>IF(COUNTIF(Returns!$A$2:$A$1635,Orders!AC1245)&gt;0,"Returned","Not Returned")</f>
        <v>Not Returned</v>
      </c>
    </row>
    <row r="1246" spans="1:30" ht="12.75" customHeight="1" thickTop="1" thickBot="1" x14ac:dyDescent="0.25">
      <c r="A1246" s="10">
        <v>26362</v>
      </c>
      <c r="B1246" s="11" t="s">
        <v>106</v>
      </c>
      <c r="C1246" s="11">
        <v>7.0000000000000007E-2</v>
      </c>
      <c r="D1246" s="11">
        <v>400.97</v>
      </c>
      <c r="E1246" s="11">
        <v>48.26</v>
      </c>
      <c r="F1246" s="11">
        <v>2258</v>
      </c>
      <c r="G1246" s="6" t="str">
        <f>IF(COUNTIF(Table1[Customer ID],Table1[[#This Row],[Customer ID]])&gt;1,"Repeat Customer","One-Time Customer")</f>
        <v>Repeat Customer</v>
      </c>
      <c r="H1246" s="11" t="s">
        <v>2137</v>
      </c>
      <c r="I1246" s="11" t="s">
        <v>39</v>
      </c>
      <c r="J1246" s="11" t="s">
        <v>28</v>
      </c>
      <c r="K1246" s="11" t="s">
        <v>77</v>
      </c>
      <c r="L1246" s="11" t="s">
        <v>85</v>
      </c>
      <c r="M1246" s="11" t="s">
        <v>121</v>
      </c>
      <c r="N1246" s="11" t="s">
        <v>1282</v>
      </c>
      <c r="O1246" s="11">
        <v>0.36</v>
      </c>
      <c r="P1246" s="6">
        <f>Table1[[#This Row],[Profit]]/Table1[[#This Row],[Sales]]</f>
        <v>1.5239082571285775E-2</v>
      </c>
      <c r="Q1246" s="11" t="s">
        <v>33</v>
      </c>
      <c r="R1246" s="11" t="s">
        <v>136</v>
      </c>
      <c r="S1246" s="11" t="s">
        <v>322</v>
      </c>
      <c r="T1246" s="11" t="s">
        <v>2138</v>
      </c>
      <c r="U1246" s="11">
        <v>27801</v>
      </c>
      <c r="V1246" s="12">
        <v>42072</v>
      </c>
      <c r="W1246" s="13" t="str">
        <f>TEXT(Table1[[#This Row],[Order Date]],"mmmm")</f>
        <v>March</v>
      </c>
      <c r="X1246" s="7" t="str">
        <f>TEXT(Table1[[#This Row],[Order Date]],"yyyy")</f>
        <v>2015</v>
      </c>
      <c r="Y1246" s="12">
        <v>42076</v>
      </c>
      <c r="Z1246" s="11">
        <v>45.127799999999993</v>
      </c>
      <c r="AA1246" s="11">
        <v>8</v>
      </c>
      <c r="AB1246" s="11">
        <v>2961.32</v>
      </c>
      <c r="AC1246" s="11">
        <v>87962</v>
      </c>
      <c r="AD1246" s="6" t="str">
        <f>IF(COUNTIF(Returns!$A$2:$A$1635,Orders!AC1246)&gt;0,"Returned","Not Returned")</f>
        <v>Not Returned</v>
      </c>
    </row>
    <row r="1247" spans="1:30" ht="12.75" customHeight="1" thickTop="1" thickBot="1" x14ac:dyDescent="0.25">
      <c r="A1247" s="8">
        <v>20187</v>
      </c>
      <c r="B1247" s="1" t="s">
        <v>47</v>
      </c>
      <c r="C1247" s="1">
        <v>0.02</v>
      </c>
      <c r="D1247" s="1">
        <v>4.9800000000000004</v>
      </c>
      <c r="E1247" s="1">
        <v>0.49</v>
      </c>
      <c r="F1247" s="1">
        <v>2260</v>
      </c>
      <c r="G1247" s="6" t="str">
        <f>IF(COUNTIF(Table1[Customer ID],Table1[[#This Row],[Customer ID]])&gt;1,"Repeat Customer","One-Time Customer")</f>
        <v>Repeat Customer</v>
      </c>
      <c r="H1247" s="1" t="s">
        <v>2139</v>
      </c>
      <c r="I1247" s="1" t="s">
        <v>49</v>
      </c>
      <c r="J1247" s="1" t="s">
        <v>28</v>
      </c>
      <c r="K1247" s="1" t="s">
        <v>29</v>
      </c>
      <c r="L1247" s="1" t="s">
        <v>134</v>
      </c>
      <c r="M1247" s="1" t="s">
        <v>59</v>
      </c>
      <c r="N1247" s="1" t="s">
        <v>1422</v>
      </c>
      <c r="O1247" s="1">
        <v>0.39</v>
      </c>
      <c r="P1247" s="6">
        <f>Table1[[#This Row],[Profit]]/Table1[[#This Row],[Sales]]</f>
        <v>-0.60686488348065659</v>
      </c>
      <c r="Q1247" s="1" t="s">
        <v>33</v>
      </c>
      <c r="R1247" s="1" t="s">
        <v>136</v>
      </c>
      <c r="S1247" s="1" t="s">
        <v>387</v>
      </c>
      <c r="T1247" s="1" t="s">
        <v>2140</v>
      </c>
      <c r="U1247" s="1">
        <v>30161</v>
      </c>
      <c r="V1247" s="9">
        <v>42050</v>
      </c>
      <c r="W1247" s="13" t="str">
        <f>TEXT(Table1[[#This Row],[Order Date]],"mmmm")</f>
        <v>February</v>
      </c>
      <c r="X1247" s="7" t="str">
        <f>TEXT(Table1[[#This Row],[Order Date]],"yyyy")</f>
        <v>2015</v>
      </c>
      <c r="Y1247" s="9">
        <v>42051</v>
      </c>
      <c r="Z1247" s="1">
        <v>-52.863999999999997</v>
      </c>
      <c r="AA1247" s="1">
        <v>17</v>
      </c>
      <c r="AB1247" s="1">
        <v>87.11</v>
      </c>
      <c r="AC1247" s="1">
        <v>89601</v>
      </c>
      <c r="AD1247" s="6" t="str">
        <f>IF(COUNTIF(Returns!$A$2:$A$1635,Orders!AC1247)&gt;0,"Returned","Not Returned")</f>
        <v>Not Returned</v>
      </c>
    </row>
    <row r="1248" spans="1:30" ht="12.75" customHeight="1" thickTop="1" thickBot="1" x14ac:dyDescent="0.25">
      <c r="A1248" s="10">
        <v>20188</v>
      </c>
      <c r="B1248" s="11" t="s">
        <v>47</v>
      </c>
      <c r="C1248" s="11">
        <v>0.01</v>
      </c>
      <c r="D1248" s="11">
        <v>20.99</v>
      </c>
      <c r="E1248" s="11">
        <v>0.99</v>
      </c>
      <c r="F1248" s="11">
        <v>2260</v>
      </c>
      <c r="G1248" s="6" t="str">
        <f>IF(COUNTIF(Table1[Customer ID],Table1[[#This Row],[Customer ID]])&gt;1,"Repeat Customer","One-Time Customer")</f>
        <v>Repeat Customer</v>
      </c>
      <c r="H1248" s="11" t="s">
        <v>2139</v>
      </c>
      <c r="I1248" s="11" t="s">
        <v>49</v>
      </c>
      <c r="J1248" s="11" t="s">
        <v>28</v>
      </c>
      <c r="K1248" s="11" t="s">
        <v>77</v>
      </c>
      <c r="L1248" s="11" t="s">
        <v>78</v>
      </c>
      <c r="M1248" s="11" t="s">
        <v>51</v>
      </c>
      <c r="N1248" s="11" t="s">
        <v>2141</v>
      </c>
      <c r="O1248" s="11">
        <v>0.83</v>
      </c>
      <c r="P1248" s="6">
        <f>Table1[[#This Row],[Profit]]/Table1[[#This Row],[Sales]]</f>
        <v>0.26620908130939808</v>
      </c>
      <c r="Q1248" s="11" t="s">
        <v>33</v>
      </c>
      <c r="R1248" s="11" t="s">
        <v>136</v>
      </c>
      <c r="S1248" s="11" t="s">
        <v>387</v>
      </c>
      <c r="T1248" s="11" t="s">
        <v>2140</v>
      </c>
      <c r="U1248" s="11">
        <v>30161</v>
      </c>
      <c r="V1248" s="12">
        <v>42050</v>
      </c>
      <c r="W1248" s="13" t="str">
        <f>TEXT(Table1[[#This Row],[Order Date]],"mmmm")</f>
        <v>February</v>
      </c>
      <c r="X1248" s="7" t="str">
        <f>TEXT(Table1[[#This Row],[Order Date]],"yyyy")</f>
        <v>2015</v>
      </c>
      <c r="Y1248" s="12">
        <v>42051</v>
      </c>
      <c r="Z1248" s="11">
        <v>45.378</v>
      </c>
      <c r="AA1248" s="11">
        <v>9</v>
      </c>
      <c r="AB1248" s="11">
        <v>170.46</v>
      </c>
      <c r="AC1248" s="11">
        <v>89601</v>
      </c>
      <c r="AD1248" s="6" t="str">
        <f>IF(COUNTIF(Returns!$A$2:$A$1635,Orders!AC1248)&gt;0,"Returned","Not Returned")</f>
        <v>Not Returned</v>
      </c>
    </row>
    <row r="1249" spans="1:30" ht="12.75" customHeight="1" thickTop="1" thickBot="1" x14ac:dyDescent="0.25">
      <c r="A1249" s="8">
        <v>19569</v>
      </c>
      <c r="B1249" s="1" t="s">
        <v>25</v>
      </c>
      <c r="C1249" s="1">
        <v>0.08</v>
      </c>
      <c r="D1249" s="1">
        <v>4.9800000000000004</v>
      </c>
      <c r="E1249" s="1">
        <v>0.49</v>
      </c>
      <c r="F1249" s="1">
        <v>2260</v>
      </c>
      <c r="G1249" s="6" t="str">
        <f>IF(COUNTIF(Table1[Customer ID],Table1[[#This Row],[Customer ID]])&gt;1,"Repeat Customer","One-Time Customer")</f>
        <v>Repeat Customer</v>
      </c>
      <c r="H1249" s="1" t="s">
        <v>2139</v>
      </c>
      <c r="I1249" s="1" t="s">
        <v>49</v>
      </c>
      <c r="J1249" s="1" t="s">
        <v>28</v>
      </c>
      <c r="K1249" s="1" t="s">
        <v>29</v>
      </c>
      <c r="L1249" s="1" t="s">
        <v>134</v>
      </c>
      <c r="M1249" s="1" t="s">
        <v>59</v>
      </c>
      <c r="N1249" s="1" t="s">
        <v>1422</v>
      </c>
      <c r="O1249" s="1">
        <v>0.39</v>
      </c>
      <c r="P1249" s="6">
        <f>Table1[[#This Row],[Profit]]/Table1[[#This Row],[Sales]]</f>
        <v>999.98303030303032</v>
      </c>
      <c r="Q1249" s="1" t="s">
        <v>33</v>
      </c>
      <c r="R1249" s="1" t="s">
        <v>136</v>
      </c>
      <c r="S1249" s="1" t="s">
        <v>387</v>
      </c>
      <c r="T1249" s="1" t="s">
        <v>2140</v>
      </c>
      <c r="U1249" s="1">
        <v>30161</v>
      </c>
      <c r="V1249" s="9">
        <v>42115</v>
      </c>
      <c r="W1249" s="13" t="str">
        <f>TEXT(Table1[[#This Row],[Order Date]],"mmmm")</f>
        <v>April</v>
      </c>
      <c r="X1249" s="7" t="str">
        <f>TEXT(Table1[[#This Row],[Order Date]],"yyyy")</f>
        <v>2015</v>
      </c>
      <c r="Y1249" s="9">
        <v>42116</v>
      </c>
      <c r="Z1249" s="1">
        <v>4949.9160000000002</v>
      </c>
      <c r="AA1249" s="1">
        <v>1</v>
      </c>
      <c r="AB1249" s="1">
        <v>4.95</v>
      </c>
      <c r="AC1249" s="1">
        <v>89602</v>
      </c>
      <c r="AD1249" s="6" t="str">
        <f>IF(COUNTIF(Returns!$A$2:$A$1635,Orders!AC1249)&gt;0,"Returned","Not Returned")</f>
        <v>Not Returned</v>
      </c>
    </row>
    <row r="1250" spans="1:30" ht="12.75" customHeight="1" thickTop="1" thickBot="1" x14ac:dyDescent="0.25">
      <c r="A1250" s="10">
        <v>19570</v>
      </c>
      <c r="B1250" s="11" t="s">
        <v>25</v>
      </c>
      <c r="C1250" s="11">
        <v>0.09</v>
      </c>
      <c r="D1250" s="11">
        <v>119.99</v>
      </c>
      <c r="E1250" s="11">
        <v>14</v>
      </c>
      <c r="F1250" s="11">
        <v>2260</v>
      </c>
      <c r="G1250" s="6" t="str">
        <f>IF(COUNTIF(Table1[Customer ID],Table1[[#This Row],[Customer ID]])&gt;1,"Repeat Customer","One-Time Customer")</f>
        <v>Repeat Customer</v>
      </c>
      <c r="H1250" s="11" t="s">
        <v>2139</v>
      </c>
      <c r="I1250" s="11" t="s">
        <v>39</v>
      </c>
      <c r="J1250" s="11" t="s">
        <v>28</v>
      </c>
      <c r="K1250" s="11" t="s">
        <v>77</v>
      </c>
      <c r="L1250" s="11" t="s">
        <v>85</v>
      </c>
      <c r="M1250" s="11" t="s">
        <v>43</v>
      </c>
      <c r="N1250" s="11" t="s">
        <v>890</v>
      </c>
      <c r="O1250" s="11">
        <v>0.36</v>
      </c>
      <c r="P1250" s="6">
        <f>Table1[[#This Row],[Profit]]/Table1[[#This Row],[Sales]]</f>
        <v>2.288621975544185</v>
      </c>
      <c r="Q1250" s="11" t="s">
        <v>33</v>
      </c>
      <c r="R1250" s="11" t="s">
        <v>136</v>
      </c>
      <c r="S1250" s="11" t="s">
        <v>387</v>
      </c>
      <c r="T1250" s="11" t="s">
        <v>2140</v>
      </c>
      <c r="U1250" s="11">
        <v>30161</v>
      </c>
      <c r="V1250" s="12">
        <v>42115</v>
      </c>
      <c r="W1250" s="13" t="str">
        <f>TEXT(Table1[[#This Row],[Order Date]],"mmmm")</f>
        <v>April</v>
      </c>
      <c r="X1250" s="7" t="str">
        <f>TEXT(Table1[[#This Row],[Order Date]],"yyyy")</f>
        <v>2015</v>
      </c>
      <c r="Y1250" s="12">
        <v>42117</v>
      </c>
      <c r="Z1250" s="11">
        <v>1055.6039999999998</v>
      </c>
      <c r="AA1250" s="11">
        <v>4</v>
      </c>
      <c r="AB1250" s="11">
        <v>461.24</v>
      </c>
      <c r="AC1250" s="11">
        <v>89602</v>
      </c>
      <c r="AD1250" s="6" t="str">
        <f>IF(COUNTIF(Returns!$A$2:$A$1635,Orders!AC1250)&gt;0,"Returned","Not Returned")</f>
        <v>Not Returned</v>
      </c>
    </row>
    <row r="1251" spans="1:30" ht="12.75" customHeight="1" thickTop="1" thickBot="1" x14ac:dyDescent="0.25">
      <c r="A1251" s="8">
        <v>18142</v>
      </c>
      <c r="B1251" s="1" t="s">
        <v>37</v>
      </c>
      <c r="C1251" s="1">
        <v>0.09</v>
      </c>
      <c r="D1251" s="1">
        <v>207.48</v>
      </c>
      <c r="E1251" s="1">
        <v>0.99</v>
      </c>
      <c r="F1251" s="1">
        <v>2264</v>
      </c>
      <c r="G1251" s="6" t="str">
        <f>IF(COUNTIF(Table1[Customer ID],Table1[[#This Row],[Customer ID]])&gt;1,"Repeat Customer","One-Time Customer")</f>
        <v>One-Time Customer</v>
      </c>
      <c r="H1251" s="1" t="s">
        <v>2142</v>
      </c>
      <c r="I1251" s="1" t="s">
        <v>49</v>
      </c>
      <c r="J1251" s="1" t="s">
        <v>28</v>
      </c>
      <c r="K1251" s="1" t="s">
        <v>29</v>
      </c>
      <c r="L1251" s="1" t="s">
        <v>257</v>
      </c>
      <c r="M1251" s="1" t="s">
        <v>59</v>
      </c>
      <c r="N1251" s="1" t="s">
        <v>2143</v>
      </c>
      <c r="O1251" s="1">
        <v>0.55000000000000004</v>
      </c>
      <c r="P1251" s="6">
        <f>Table1[[#This Row],[Profit]]/Table1[[#This Row],[Sales]]</f>
        <v>0.62281263522284724</v>
      </c>
      <c r="Q1251" s="1" t="s">
        <v>33</v>
      </c>
      <c r="R1251" s="1" t="s">
        <v>61</v>
      </c>
      <c r="S1251" s="1" t="s">
        <v>506</v>
      </c>
      <c r="T1251" s="1" t="s">
        <v>2144</v>
      </c>
      <c r="U1251" s="1">
        <v>64804</v>
      </c>
      <c r="V1251" s="9">
        <v>42030</v>
      </c>
      <c r="W1251" s="13" t="str">
        <f>TEXT(Table1[[#This Row],[Order Date]],"mmmm")</f>
        <v>January</v>
      </c>
      <c r="X1251" s="7" t="str">
        <f>TEXT(Table1[[#This Row],[Order Date]],"yyyy")</f>
        <v>2015</v>
      </c>
      <c r="Y1251" s="9">
        <v>42033</v>
      </c>
      <c r="Z1251" s="1">
        <v>359.83</v>
      </c>
      <c r="AA1251" s="1">
        <v>3</v>
      </c>
      <c r="AB1251" s="1">
        <v>577.75</v>
      </c>
      <c r="AC1251" s="1">
        <v>86611</v>
      </c>
      <c r="AD1251" s="6" t="str">
        <f>IF(COUNTIF(Returns!$A$2:$A$1635,Orders!AC1251)&gt;0,"Returned","Not Returned")</f>
        <v>Not Returned</v>
      </c>
    </row>
    <row r="1252" spans="1:30" ht="12.75" customHeight="1" thickTop="1" thickBot="1" x14ac:dyDescent="0.25">
      <c r="A1252" s="10">
        <v>19171</v>
      </c>
      <c r="B1252" s="11" t="s">
        <v>47</v>
      </c>
      <c r="C1252" s="11">
        <v>0.1</v>
      </c>
      <c r="D1252" s="11">
        <v>7.45</v>
      </c>
      <c r="E1252" s="11">
        <v>6.28</v>
      </c>
      <c r="F1252" s="11">
        <v>2265</v>
      </c>
      <c r="G1252" s="6" t="str">
        <f>IF(COUNTIF(Table1[Customer ID],Table1[[#This Row],[Customer ID]])&gt;1,"Repeat Customer","One-Time Customer")</f>
        <v>Repeat Customer</v>
      </c>
      <c r="H1252" s="11" t="s">
        <v>2145</v>
      </c>
      <c r="I1252" s="11" t="s">
        <v>49</v>
      </c>
      <c r="J1252" s="11" t="s">
        <v>28</v>
      </c>
      <c r="K1252" s="11" t="s">
        <v>29</v>
      </c>
      <c r="L1252" s="11" t="s">
        <v>109</v>
      </c>
      <c r="M1252" s="11" t="s">
        <v>59</v>
      </c>
      <c r="N1252" s="11" t="s">
        <v>2146</v>
      </c>
      <c r="O1252" s="11">
        <v>0.4</v>
      </c>
      <c r="P1252" s="6">
        <f>Table1[[#This Row],[Profit]]/Table1[[#This Row],[Sales]]</f>
        <v>-1.1763299663299662</v>
      </c>
      <c r="Q1252" s="11" t="s">
        <v>33</v>
      </c>
      <c r="R1252" s="11" t="s">
        <v>61</v>
      </c>
      <c r="S1252" s="11" t="s">
        <v>506</v>
      </c>
      <c r="T1252" s="11" t="s">
        <v>2147</v>
      </c>
      <c r="U1252" s="11">
        <v>64130</v>
      </c>
      <c r="V1252" s="12">
        <v>42033</v>
      </c>
      <c r="W1252" s="13" t="str">
        <f>TEXT(Table1[[#This Row],[Order Date]],"mmmm")</f>
        <v>January</v>
      </c>
      <c r="X1252" s="7" t="str">
        <f>TEXT(Table1[[#This Row],[Order Date]],"yyyy")</f>
        <v>2015</v>
      </c>
      <c r="Y1252" s="12">
        <v>42036</v>
      </c>
      <c r="Z1252" s="11">
        <v>-69.873999999999995</v>
      </c>
      <c r="AA1252" s="11">
        <v>8</v>
      </c>
      <c r="AB1252" s="11">
        <v>59.4</v>
      </c>
      <c r="AC1252" s="11">
        <v>86612</v>
      </c>
      <c r="AD1252" s="6" t="str">
        <f>IF(COUNTIF(Returns!$A$2:$A$1635,Orders!AC1252)&gt;0,"Returned","Not Returned")</f>
        <v>Not Returned</v>
      </c>
    </row>
    <row r="1253" spans="1:30" ht="12.75" customHeight="1" thickTop="1" thickBot="1" x14ac:dyDescent="0.25">
      <c r="A1253" s="8">
        <v>19172</v>
      </c>
      <c r="B1253" s="1" t="s">
        <v>47</v>
      </c>
      <c r="C1253" s="1">
        <v>0.01</v>
      </c>
      <c r="D1253" s="1">
        <v>6.48</v>
      </c>
      <c r="E1253" s="1">
        <v>7.86</v>
      </c>
      <c r="F1253" s="1">
        <v>2265</v>
      </c>
      <c r="G1253" s="6" t="str">
        <f>IF(COUNTIF(Table1[Customer ID],Table1[[#This Row],[Customer ID]])&gt;1,"Repeat Customer","One-Time Customer")</f>
        <v>Repeat Customer</v>
      </c>
      <c r="H1253" s="1" t="s">
        <v>2145</v>
      </c>
      <c r="I1253" s="1" t="s">
        <v>49</v>
      </c>
      <c r="J1253" s="1" t="s">
        <v>28</v>
      </c>
      <c r="K1253" s="1" t="s">
        <v>29</v>
      </c>
      <c r="L1253" s="1" t="s">
        <v>93</v>
      </c>
      <c r="M1253" s="1" t="s">
        <v>59</v>
      </c>
      <c r="N1253" s="1" t="s">
        <v>1121</v>
      </c>
      <c r="O1253" s="1">
        <v>0.37</v>
      </c>
      <c r="P1253" s="6">
        <f>Table1[[#This Row],[Profit]]/Table1[[#This Row],[Sales]]</f>
        <v>-2.0424315377670781</v>
      </c>
      <c r="Q1253" s="1" t="s">
        <v>33</v>
      </c>
      <c r="R1253" s="1" t="s">
        <v>61</v>
      </c>
      <c r="S1253" s="1" t="s">
        <v>506</v>
      </c>
      <c r="T1253" s="1" t="s">
        <v>2147</v>
      </c>
      <c r="U1253" s="1">
        <v>64130</v>
      </c>
      <c r="V1253" s="9">
        <v>42033</v>
      </c>
      <c r="W1253" s="13" t="str">
        <f>TEXT(Table1[[#This Row],[Order Date]],"mmmm")</f>
        <v>January</v>
      </c>
      <c r="X1253" s="7" t="str">
        <f>TEXT(Table1[[#This Row],[Order Date]],"yyyy")</f>
        <v>2015</v>
      </c>
      <c r="Y1253" s="9">
        <v>42035</v>
      </c>
      <c r="Z1253" s="1">
        <v>-135.74</v>
      </c>
      <c r="AA1253" s="1">
        <v>10</v>
      </c>
      <c r="AB1253" s="1">
        <v>66.459999999999994</v>
      </c>
      <c r="AC1253" s="1">
        <v>86612</v>
      </c>
      <c r="AD1253" s="6" t="str">
        <f>IF(COUNTIF(Returns!$A$2:$A$1635,Orders!AC1253)&gt;0,"Returned","Not Returned")</f>
        <v>Not Returned</v>
      </c>
    </row>
    <row r="1254" spans="1:30" ht="12.75" customHeight="1" thickTop="1" thickBot="1" x14ac:dyDescent="0.25">
      <c r="A1254" s="10">
        <v>25996</v>
      </c>
      <c r="B1254" s="11" t="s">
        <v>47</v>
      </c>
      <c r="C1254" s="11">
        <v>0.02</v>
      </c>
      <c r="D1254" s="11">
        <v>11.33</v>
      </c>
      <c r="E1254" s="11">
        <v>6.12</v>
      </c>
      <c r="F1254" s="11">
        <v>2266</v>
      </c>
      <c r="G1254" s="6" t="str">
        <f>IF(COUNTIF(Table1[Customer ID],Table1[[#This Row],[Customer ID]])&gt;1,"Repeat Customer","One-Time Customer")</f>
        <v>Repeat Customer</v>
      </c>
      <c r="H1254" s="11" t="s">
        <v>2148</v>
      </c>
      <c r="I1254" s="11" t="s">
        <v>49</v>
      </c>
      <c r="J1254" s="11" t="s">
        <v>28</v>
      </c>
      <c r="K1254" s="11" t="s">
        <v>29</v>
      </c>
      <c r="L1254" s="11" t="s">
        <v>257</v>
      </c>
      <c r="M1254" s="11" t="s">
        <v>86</v>
      </c>
      <c r="N1254" s="11" t="s">
        <v>2149</v>
      </c>
      <c r="O1254" s="11">
        <v>0.42</v>
      </c>
      <c r="P1254" s="6">
        <f>Table1[[#This Row],[Profit]]/Table1[[#This Row],[Sales]]</f>
        <v>-0.41074964639321071</v>
      </c>
      <c r="Q1254" s="11" t="s">
        <v>33</v>
      </c>
      <c r="R1254" s="11" t="s">
        <v>61</v>
      </c>
      <c r="S1254" s="11" t="s">
        <v>506</v>
      </c>
      <c r="T1254" s="11" t="s">
        <v>2150</v>
      </c>
      <c r="U1254" s="11">
        <v>63122</v>
      </c>
      <c r="V1254" s="12">
        <v>42150</v>
      </c>
      <c r="W1254" s="13" t="str">
        <f>TEXT(Table1[[#This Row],[Order Date]],"mmmm")</f>
        <v>May</v>
      </c>
      <c r="X1254" s="7" t="str">
        <f>TEXT(Table1[[#This Row],[Order Date]],"yyyy")</f>
        <v>2015</v>
      </c>
      <c r="Y1254" s="12">
        <v>42152</v>
      </c>
      <c r="Z1254" s="11">
        <v>-14.52</v>
      </c>
      <c r="AA1254" s="11">
        <v>3</v>
      </c>
      <c r="AB1254" s="11">
        <v>35.35</v>
      </c>
      <c r="AC1254" s="11">
        <v>86610</v>
      </c>
      <c r="AD1254" s="6" t="str">
        <f>IF(COUNTIF(Returns!$A$2:$A$1635,Orders!AC1254)&gt;0,"Returned","Not Returned")</f>
        <v>Not Returned</v>
      </c>
    </row>
    <row r="1255" spans="1:30" ht="12.75" customHeight="1" thickTop="1" thickBot="1" x14ac:dyDescent="0.25">
      <c r="A1255" s="8">
        <v>25997</v>
      </c>
      <c r="B1255" s="1" t="s">
        <v>47</v>
      </c>
      <c r="C1255" s="1">
        <v>0.01</v>
      </c>
      <c r="D1255" s="1">
        <v>15.67</v>
      </c>
      <c r="E1255" s="1">
        <v>1.39</v>
      </c>
      <c r="F1255" s="1">
        <v>2266</v>
      </c>
      <c r="G1255" s="6" t="str">
        <f>IF(COUNTIF(Table1[Customer ID],Table1[[#This Row],[Customer ID]])&gt;1,"Repeat Customer","One-Time Customer")</f>
        <v>Repeat Customer</v>
      </c>
      <c r="H1255" s="1" t="s">
        <v>2148</v>
      </c>
      <c r="I1255" s="1" t="s">
        <v>49</v>
      </c>
      <c r="J1255" s="1" t="s">
        <v>28</v>
      </c>
      <c r="K1255" s="1" t="s">
        <v>29</v>
      </c>
      <c r="L1255" s="1" t="s">
        <v>69</v>
      </c>
      <c r="M1255" s="1" t="s">
        <v>59</v>
      </c>
      <c r="N1255" s="1" t="s">
        <v>1700</v>
      </c>
      <c r="O1255" s="1">
        <v>0.38</v>
      </c>
      <c r="P1255" s="6">
        <f>Table1[[#This Row],[Profit]]/Table1[[#This Row],[Sales]]</f>
        <v>0.69</v>
      </c>
      <c r="Q1255" s="1" t="s">
        <v>33</v>
      </c>
      <c r="R1255" s="1" t="s">
        <v>61</v>
      </c>
      <c r="S1255" s="1" t="s">
        <v>506</v>
      </c>
      <c r="T1255" s="1" t="s">
        <v>2150</v>
      </c>
      <c r="U1255" s="1">
        <v>63122</v>
      </c>
      <c r="V1255" s="9">
        <v>42150</v>
      </c>
      <c r="W1255" s="13" t="str">
        <f>TEXT(Table1[[#This Row],[Order Date]],"mmmm")</f>
        <v>May</v>
      </c>
      <c r="X1255" s="7" t="str">
        <f>TEXT(Table1[[#This Row],[Order Date]],"yyyy")</f>
        <v>2015</v>
      </c>
      <c r="Y1255" s="9">
        <v>42151</v>
      </c>
      <c r="Z1255" s="1">
        <v>171.26489999999998</v>
      </c>
      <c r="AA1255" s="1">
        <v>16</v>
      </c>
      <c r="AB1255" s="1">
        <v>248.21</v>
      </c>
      <c r="AC1255" s="1">
        <v>86610</v>
      </c>
      <c r="AD1255" s="6" t="str">
        <f>IF(COUNTIF(Returns!$A$2:$A$1635,Orders!AC1255)&gt;0,"Returned","Not Returned")</f>
        <v>Not Returned</v>
      </c>
    </row>
    <row r="1256" spans="1:30" ht="12.75" customHeight="1" thickTop="1" thickBot="1" x14ac:dyDescent="0.25">
      <c r="A1256" s="10">
        <v>19072</v>
      </c>
      <c r="B1256" s="11" t="s">
        <v>106</v>
      </c>
      <c r="C1256" s="11">
        <v>0.08</v>
      </c>
      <c r="D1256" s="11">
        <v>259.70999999999998</v>
      </c>
      <c r="E1256" s="11">
        <v>66.67</v>
      </c>
      <c r="F1256" s="11">
        <v>2268</v>
      </c>
      <c r="G1256" s="6" t="str">
        <f>IF(COUNTIF(Table1[Customer ID],Table1[[#This Row],[Customer ID]])&gt;1,"Repeat Customer","One-Time Customer")</f>
        <v>One-Time Customer</v>
      </c>
      <c r="H1256" s="11" t="s">
        <v>2151</v>
      </c>
      <c r="I1256" s="11" t="s">
        <v>39</v>
      </c>
      <c r="J1256" s="11" t="s">
        <v>58</v>
      </c>
      <c r="K1256" s="11" t="s">
        <v>41</v>
      </c>
      <c r="L1256" s="11" t="s">
        <v>152</v>
      </c>
      <c r="M1256" s="11" t="s">
        <v>121</v>
      </c>
      <c r="N1256" s="11" t="s">
        <v>342</v>
      </c>
      <c r="O1256" s="11">
        <v>0.61</v>
      </c>
      <c r="P1256" s="6">
        <f>Table1[[#This Row],[Profit]]/Table1[[#This Row],[Sales]]</f>
        <v>3.3824054814633547E-2</v>
      </c>
      <c r="Q1256" s="11" t="s">
        <v>33</v>
      </c>
      <c r="R1256" s="11" t="s">
        <v>136</v>
      </c>
      <c r="S1256" s="11" t="s">
        <v>362</v>
      </c>
      <c r="T1256" s="11" t="s">
        <v>2152</v>
      </c>
      <c r="U1256" s="11">
        <v>34639</v>
      </c>
      <c r="V1256" s="12">
        <v>42158</v>
      </c>
      <c r="W1256" s="13" t="str">
        <f>TEXT(Table1[[#This Row],[Order Date]],"mmmm")</f>
        <v>June</v>
      </c>
      <c r="X1256" s="7" t="str">
        <f>TEXT(Table1[[#This Row],[Order Date]],"yyyy")</f>
        <v>2015</v>
      </c>
      <c r="Y1256" s="12">
        <v>42162</v>
      </c>
      <c r="Z1256" s="11">
        <v>138.22199999999998</v>
      </c>
      <c r="AA1256" s="11">
        <v>17</v>
      </c>
      <c r="AB1256" s="11">
        <v>4086.5</v>
      </c>
      <c r="AC1256" s="11">
        <v>89571</v>
      </c>
      <c r="AD1256" s="6" t="str">
        <f>IF(COUNTIF(Returns!$A$2:$A$1635,Orders!AC1256)&gt;0,"Returned","Not Returned")</f>
        <v>Not Returned</v>
      </c>
    </row>
    <row r="1257" spans="1:30" ht="12.75" customHeight="1" thickTop="1" thickBot="1" x14ac:dyDescent="0.25">
      <c r="A1257" s="8">
        <v>23963</v>
      </c>
      <c r="B1257" s="1" t="s">
        <v>106</v>
      </c>
      <c r="C1257" s="1">
        <v>0.01</v>
      </c>
      <c r="D1257" s="1">
        <v>20.48</v>
      </c>
      <c r="E1257" s="1">
        <v>6.32</v>
      </c>
      <c r="F1257" s="1">
        <v>2270</v>
      </c>
      <c r="G1257" s="6" t="str">
        <f>IF(COUNTIF(Table1[Customer ID],Table1[[#This Row],[Customer ID]])&gt;1,"Repeat Customer","One-Time Customer")</f>
        <v>Repeat Customer</v>
      </c>
      <c r="H1257" s="1" t="s">
        <v>2153</v>
      </c>
      <c r="I1257" s="1" t="s">
        <v>49</v>
      </c>
      <c r="J1257" s="1" t="s">
        <v>58</v>
      </c>
      <c r="K1257" s="1" t="s">
        <v>29</v>
      </c>
      <c r="L1257" s="1" t="s">
        <v>257</v>
      </c>
      <c r="M1257" s="1" t="s">
        <v>59</v>
      </c>
      <c r="N1257" s="1" t="s">
        <v>1920</v>
      </c>
      <c r="O1257" s="1">
        <v>0.57999999999999996</v>
      </c>
      <c r="P1257" s="6">
        <f>Table1[[#This Row],[Profit]]/Table1[[#This Row],[Sales]]</f>
        <v>1.8965010799136068</v>
      </c>
      <c r="Q1257" s="1" t="s">
        <v>33</v>
      </c>
      <c r="R1257" s="1" t="s">
        <v>136</v>
      </c>
      <c r="S1257" s="1" t="s">
        <v>932</v>
      </c>
      <c r="T1257" s="1" t="s">
        <v>2154</v>
      </c>
      <c r="U1257" s="1">
        <v>29662</v>
      </c>
      <c r="V1257" s="9">
        <v>42041</v>
      </c>
      <c r="W1257" s="13" t="str">
        <f>TEXT(Table1[[#This Row],[Order Date]],"mmmm")</f>
        <v>February</v>
      </c>
      <c r="X1257" s="7" t="str">
        <f>TEXT(Table1[[#This Row],[Order Date]],"yyyy")</f>
        <v>2015</v>
      </c>
      <c r="Y1257" s="9">
        <v>42043</v>
      </c>
      <c r="Z1257" s="1">
        <v>711.24479999999994</v>
      </c>
      <c r="AA1257" s="1">
        <v>18</v>
      </c>
      <c r="AB1257" s="1">
        <v>375.03</v>
      </c>
      <c r="AC1257" s="1">
        <v>89572</v>
      </c>
      <c r="AD1257" s="6" t="str">
        <f>IF(COUNTIF(Returns!$A$2:$A$1635,Orders!AC1257)&gt;0,"Returned","Not Returned")</f>
        <v>Not Returned</v>
      </c>
    </row>
    <row r="1258" spans="1:30" ht="12.75" customHeight="1" thickTop="1" thickBot="1" x14ac:dyDescent="0.25">
      <c r="A1258" s="10">
        <v>23964</v>
      </c>
      <c r="B1258" s="11" t="s">
        <v>106</v>
      </c>
      <c r="C1258" s="11">
        <v>0.09</v>
      </c>
      <c r="D1258" s="11">
        <v>1.86</v>
      </c>
      <c r="E1258" s="11">
        <v>2.58</v>
      </c>
      <c r="F1258" s="11">
        <v>2270</v>
      </c>
      <c r="G1258" s="6" t="str">
        <f>IF(COUNTIF(Table1[Customer ID],Table1[[#This Row],[Customer ID]])&gt;1,"Repeat Customer","One-Time Customer")</f>
        <v>Repeat Customer</v>
      </c>
      <c r="H1258" s="11" t="s">
        <v>2153</v>
      </c>
      <c r="I1258" s="11" t="s">
        <v>49</v>
      </c>
      <c r="J1258" s="11" t="s">
        <v>58</v>
      </c>
      <c r="K1258" s="11" t="s">
        <v>29</v>
      </c>
      <c r="L1258" s="11" t="s">
        <v>66</v>
      </c>
      <c r="M1258" s="11" t="s">
        <v>31</v>
      </c>
      <c r="N1258" s="11" t="s">
        <v>308</v>
      </c>
      <c r="O1258" s="11">
        <v>0.82</v>
      </c>
      <c r="P1258" s="6">
        <f>Table1[[#This Row],[Profit]]/Table1[[#This Row],[Sales]]</f>
        <v>-49.065896119402993</v>
      </c>
      <c r="Q1258" s="11" t="s">
        <v>33</v>
      </c>
      <c r="R1258" s="11" t="s">
        <v>136</v>
      </c>
      <c r="S1258" s="11" t="s">
        <v>932</v>
      </c>
      <c r="T1258" s="11" t="s">
        <v>2154</v>
      </c>
      <c r="U1258" s="11">
        <v>29662</v>
      </c>
      <c r="V1258" s="12">
        <v>42041</v>
      </c>
      <c r="W1258" s="13" t="str">
        <f>TEXT(Table1[[#This Row],[Order Date]],"mmmm")</f>
        <v>February</v>
      </c>
      <c r="X1258" s="7" t="str">
        <f>TEXT(Table1[[#This Row],[Order Date]],"yyyy")</f>
        <v>2015</v>
      </c>
      <c r="Y1258" s="12">
        <v>42046</v>
      </c>
      <c r="Z1258" s="11">
        <v>-1084.8469632000001</v>
      </c>
      <c r="AA1258" s="11">
        <v>12</v>
      </c>
      <c r="AB1258" s="11">
        <v>22.11</v>
      </c>
      <c r="AC1258" s="11">
        <v>89572</v>
      </c>
      <c r="AD1258" s="6" t="str">
        <f>IF(COUNTIF(Returns!$A$2:$A$1635,Orders!AC1258)&gt;0,"Returned","Not Returned")</f>
        <v>Not Returned</v>
      </c>
    </row>
    <row r="1259" spans="1:30" ht="12.75" customHeight="1" thickTop="1" thickBot="1" x14ac:dyDescent="0.25">
      <c r="A1259" s="8">
        <v>23965</v>
      </c>
      <c r="B1259" s="1" t="s">
        <v>106</v>
      </c>
      <c r="C1259" s="1">
        <v>0.08</v>
      </c>
      <c r="D1259" s="1">
        <v>205.99</v>
      </c>
      <c r="E1259" s="1">
        <v>2.5</v>
      </c>
      <c r="F1259" s="1">
        <v>2270</v>
      </c>
      <c r="G1259" s="6" t="str">
        <f>IF(COUNTIF(Table1[Customer ID],Table1[[#This Row],[Customer ID]])&gt;1,"Repeat Customer","One-Time Customer")</f>
        <v>Repeat Customer</v>
      </c>
      <c r="H1259" s="1" t="s">
        <v>2153</v>
      </c>
      <c r="I1259" s="1" t="s">
        <v>49</v>
      </c>
      <c r="J1259" s="1" t="s">
        <v>58</v>
      </c>
      <c r="K1259" s="1" t="s">
        <v>77</v>
      </c>
      <c r="L1259" s="1" t="s">
        <v>78</v>
      </c>
      <c r="M1259" s="1" t="s">
        <v>59</v>
      </c>
      <c r="N1259" s="1" t="s">
        <v>2155</v>
      </c>
      <c r="O1259" s="1">
        <v>0.59</v>
      </c>
      <c r="P1259" s="6">
        <f>Table1[[#This Row],[Profit]]/Table1[[#This Row],[Sales]]</f>
        <v>-5.4522753751717182E-2</v>
      </c>
      <c r="Q1259" s="1" t="s">
        <v>33</v>
      </c>
      <c r="R1259" s="1" t="s">
        <v>136</v>
      </c>
      <c r="S1259" s="1" t="s">
        <v>932</v>
      </c>
      <c r="T1259" s="1" t="s">
        <v>2154</v>
      </c>
      <c r="U1259" s="1">
        <v>29662</v>
      </c>
      <c r="V1259" s="9">
        <v>42041</v>
      </c>
      <c r="W1259" s="13" t="str">
        <f>TEXT(Table1[[#This Row],[Order Date]],"mmmm")</f>
        <v>February</v>
      </c>
      <c r="X1259" s="7" t="str">
        <f>TEXT(Table1[[#This Row],[Order Date]],"yyyy")</f>
        <v>2015</v>
      </c>
      <c r="Y1259" s="9">
        <v>42046</v>
      </c>
      <c r="Z1259" s="1">
        <v>-156.77199999999999</v>
      </c>
      <c r="AA1259" s="1">
        <v>17</v>
      </c>
      <c r="AB1259" s="1">
        <v>2875.35</v>
      </c>
      <c r="AC1259" s="1">
        <v>89572</v>
      </c>
      <c r="AD1259" s="6" t="str">
        <f>IF(COUNTIF(Returns!$A$2:$A$1635,Orders!AC1259)&gt;0,"Returned","Not Returned")</f>
        <v>Not Returned</v>
      </c>
    </row>
    <row r="1260" spans="1:30" ht="12.75" customHeight="1" thickTop="1" thickBot="1" x14ac:dyDescent="0.25">
      <c r="A1260" s="10">
        <v>19438</v>
      </c>
      <c r="B1260" s="11" t="s">
        <v>25</v>
      </c>
      <c r="C1260" s="11">
        <v>0.08</v>
      </c>
      <c r="D1260" s="11">
        <v>15.73</v>
      </c>
      <c r="E1260" s="11">
        <v>7.42</v>
      </c>
      <c r="F1260" s="11">
        <v>2272</v>
      </c>
      <c r="G1260" s="6" t="str">
        <f>IF(COUNTIF(Table1[Customer ID],Table1[[#This Row],[Customer ID]])&gt;1,"Repeat Customer","One-Time Customer")</f>
        <v>One-Time Customer</v>
      </c>
      <c r="H1260" s="11" t="s">
        <v>2156</v>
      </c>
      <c r="I1260" s="11" t="s">
        <v>27</v>
      </c>
      <c r="J1260" s="11" t="s">
        <v>28</v>
      </c>
      <c r="K1260" s="11" t="s">
        <v>29</v>
      </c>
      <c r="L1260" s="11" t="s">
        <v>174</v>
      </c>
      <c r="M1260" s="11" t="s">
        <v>51</v>
      </c>
      <c r="N1260" s="11" t="s">
        <v>2157</v>
      </c>
      <c r="O1260" s="11">
        <v>0.56000000000000005</v>
      </c>
      <c r="P1260" s="6">
        <f>Table1[[#This Row],[Profit]]/Table1[[#This Row],[Sales]]</f>
        <v>-0.48155737704918034</v>
      </c>
      <c r="Q1260" s="11" t="s">
        <v>33</v>
      </c>
      <c r="R1260" s="11" t="s">
        <v>61</v>
      </c>
      <c r="S1260" s="11" t="s">
        <v>130</v>
      </c>
      <c r="T1260" s="11" t="s">
        <v>2158</v>
      </c>
      <c r="U1260" s="11">
        <v>76543</v>
      </c>
      <c r="V1260" s="12">
        <v>42079</v>
      </c>
      <c r="W1260" s="13" t="str">
        <f>TEXT(Table1[[#This Row],[Order Date]],"mmmm")</f>
        <v>March</v>
      </c>
      <c r="X1260" s="7" t="str">
        <f>TEXT(Table1[[#This Row],[Order Date]],"yyyy")</f>
        <v>2015</v>
      </c>
      <c r="Y1260" s="12">
        <v>42081</v>
      </c>
      <c r="Z1260" s="11">
        <v>-37.6</v>
      </c>
      <c r="AA1260" s="11">
        <v>5</v>
      </c>
      <c r="AB1260" s="11">
        <v>78.08</v>
      </c>
      <c r="AC1260" s="11">
        <v>90110</v>
      </c>
      <c r="AD1260" s="6" t="str">
        <f>IF(COUNTIF(Returns!$A$2:$A$1635,Orders!AC1260)&gt;0,"Returned","Not Returned")</f>
        <v>Not Returned</v>
      </c>
    </row>
    <row r="1261" spans="1:30" ht="12.75" customHeight="1" thickTop="1" thickBot="1" x14ac:dyDescent="0.25">
      <c r="A1261" s="8">
        <v>23416</v>
      </c>
      <c r="B1261" s="1" t="s">
        <v>106</v>
      </c>
      <c r="C1261" s="1">
        <v>0.04</v>
      </c>
      <c r="D1261" s="1">
        <v>120.98</v>
      </c>
      <c r="E1261" s="1">
        <v>3.99</v>
      </c>
      <c r="F1261" s="1">
        <v>2273</v>
      </c>
      <c r="G1261" s="6" t="str">
        <f>IF(COUNTIF(Table1[Customer ID],Table1[[#This Row],[Customer ID]])&gt;1,"Repeat Customer","One-Time Customer")</f>
        <v>Repeat Customer</v>
      </c>
      <c r="H1261" s="1" t="s">
        <v>2159</v>
      </c>
      <c r="I1261" s="1" t="s">
        <v>49</v>
      </c>
      <c r="J1261" s="1" t="s">
        <v>28</v>
      </c>
      <c r="K1261" s="1" t="s">
        <v>29</v>
      </c>
      <c r="L1261" s="1" t="s">
        <v>257</v>
      </c>
      <c r="M1261" s="1" t="s">
        <v>59</v>
      </c>
      <c r="N1261" s="1" t="s">
        <v>2160</v>
      </c>
      <c r="O1261" s="1">
        <v>0.6</v>
      </c>
      <c r="P1261" s="6">
        <f>Table1[[#This Row],[Profit]]/Table1[[#This Row],[Sales]]</f>
        <v>0.69</v>
      </c>
      <c r="Q1261" s="1" t="s">
        <v>33</v>
      </c>
      <c r="R1261" s="1" t="s">
        <v>61</v>
      </c>
      <c r="S1261" s="1" t="s">
        <v>130</v>
      </c>
      <c r="T1261" s="1" t="s">
        <v>2161</v>
      </c>
      <c r="U1261" s="1">
        <v>78550</v>
      </c>
      <c r="V1261" s="9">
        <v>42129</v>
      </c>
      <c r="W1261" s="13" t="str">
        <f>TEXT(Table1[[#This Row],[Order Date]],"mmmm")</f>
        <v>May</v>
      </c>
      <c r="X1261" s="7" t="str">
        <f>TEXT(Table1[[#This Row],[Order Date]],"yyyy")</f>
        <v>2015</v>
      </c>
      <c r="Y1261" s="9">
        <v>42129</v>
      </c>
      <c r="Z1261" s="1">
        <v>1389.5771999999999</v>
      </c>
      <c r="AA1261" s="1">
        <v>17</v>
      </c>
      <c r="AB1261" s="1">
        <v>2013.88</v>
      </c>
      <c r="AC1261" s="1">
        <v>90109</v>
      </c>
      <c r="AD1261" s="6" t="str">
        <f>IF(COUNTIF(Returns!$A$2:$A$1635,Orders!AC1261)&gt;0,"Returned","Not Returned")</f>
        <v>Not Returned</v>
      </c>
    </row>
    <row r="1262" spans="1:30" ht="12.75" customHeight="1" thickTop="1" thickBot="1" x14ac:dyDescent="0.25">
      <c r="A1262" s="10">
        <v>23417</v>
      </c>
      <c r="B1262" s="11" t="s">
        <v>106</v>
      </c>
      <c r="C1262" s="11">
        <v>0.02</v>
      </c>
      <c r="D1262" s="11">
        <v>55.99</v>
      </c>
      <c r="E1262" s="11">
        <v>5</v>
      </c>
      <c r="F1262" s="11">
        <v>2273</v>
      </c>
      <c r="G1262" s="6" t="str">
        <f>IF(COUNTIF(Table1[Customer ID],Table1[[#This Row],[Customer ID]])&gt;1,"Repeat Customer","One-Time Customer")</f>
        <v>Repeat Customer</v>
      </c>
      <c r="H1262" s="11" t="s">
        <v>2159</v>
      </c>
      <c r="I1262" s="11" t="s">
        <v>49</v>
      </c>
      <c r="J1262" s="11" t="s">
        <v>28</v>
      </c>
      <c r="K1262" s="11" t="s">
        <v>77</v>
      </c>
      <c r="L1262" s="11" t="s">
        <v>78</v>
      </c>
      <c r="M1262" s="11" t="s">
        <v>51</v>
      </c>
      <c r="N1262" s="11" t="s">
        <v>398</v>
      </c>
      <c r="O1262" s="11">
        <v>0.83</v>
      </c>
      <c r="P1262" s="6">
        <f>Table1[[#This Row],[Profit]]/Table1[[#This Row],[Sales]]</f>
        <v>-1.1067752831313333</v>
      </c>
      <c r="Q1262" s="11" t="s">
        <v>33</v>
      </c>
      <c r="R1262" s="11" t="s">
        <v>61</v>
      </c>
      <c r="S1262" s="11" t="s">
        <v>130</v>
      </c>
      <c r="T1262" s="11" t="s">
        <v>2161</v>
      </c>
      <c r="U1262" s="11">
        <v>78550</v>
      </c>
      <c r="V1262" s="12">
        <v>42129</v>
      </c>
      <c r="W1262" s="13" t="str">
        <f>TEXT(Table1[[#This Row],[Order Date]],"mmmm")</f>
        <v>May</v>
      </c>
      <c r="X1262" s="7" t="str">
        <f>TEXT(Table1[[#This Row],[Order Date]],"yyyy")</f>
        <v>2015</v>
      </c>
      <c r="Y1262" s="12">
        <v>42129</v>
      </c>
      <c r="Z1262" s="11">
        <v>-222.816</v>
      </c>
      <c r="AA1262" s="11">
        <v>4</v>
      </c>
      <c r="AB1262" s="11">
        <v>201.32</v>
      </c>
      <c r="AC1262" s="11">
        <v>90109</v>
      </c>
      <c r="AD1262" s="6" t="str">
        <f>IF(COUNTIF(Returns!$A$2:$A$1635,Orders!AC1262)&gt;0,"Returned","Not Returned")</f>
        <v>Not Returned</v>
      </c>
    </row>
    <row r="1263" spans="1:30" ht="12.75" customHeight="1" thickTop="1" thickBot="1" x14ac:dyDescent="0.25">
      <c r="A1263" s="8">
        <v>23418</v>
      </c>
      <c r="B1263" s="1" t="s">
        <v>106</v>
      </c>
      <c r="C1263" s="1">
        <v>0.05</v>
      </c>
      <c r="D1263" s="1">
        <v>23.99</v>
      </c>
      <c r="E1263" s="1">
        <v>15.68</v>
      </c>
      <c r="F1263" s="1">
        <v>2274</v>
      </c>
      <c r="G1263" s="6" t="str">
        <f>IF(COUNTIF(Table1[Customer ID],Table1[[#This Row],[Customer ID]])&gt;1,"Repeat Customer","One-Time Customer")</f>
        <v>One-Time Customer</v>
      </c>
      <c r="H1263" s="1" t="s">
        <v>2162</v>
      </c>
      <c r="I1263" s="1" t="s">
        <v>39</v>
      </c>
      <c r="J1263" s="1" t="s">
        <v>28</v>
      </c>
      <c r="K1263" s="1" t="s">
        <v>41</v>
      </c>
      <c r="L1263" s="1" t="s">
        <v>50</v>
      </c>
      <c r="M1263" s="1" t="s">
        <v>43</v>
      </c>
      <c r="N1263" s="1" t="s">
        <v>2163</v>
      </c>
      <c r="O1263" s="1">
        <v>0.62</v>
      </c>
      <c r="P1263" s="6">
        <f>Table1[[#This Row],[Profit]]/Table1[[#This Row],[Sales]]</f>
        <v>-0.44792469264011259</v>
      </c>
      <c r="Q1263" s="1" t="s">
        <v>33</v>
      </c>
      <c r="R1263" s="1" t="s">
        <v>61</v>
      </c>
      <c r="S1263" s="1" t="s">
        <v>130</v>
      </c>
      <c r="T1263" s="1" t="s">
        <v>2164</v>
      </c>
      <c r="U1263" s="1">
        <v>77036</v>
      </c>
      <c r="V1263" s="9">
        <v>42129</v>
      </c>
      <c r="W1263" s="13" t="str">
        <f>TEXT(Table1[[#This Row],[Order Date]],"mmmm")</f>
        <v>May</v>
      </c>
      <c r="X1263" s="7" t="str">
        <f>TEXT(Table1[[#This Row],[Order Date]],"yyyy")</f>
        <v>2015</v>
      </c>
      <c r="Y1263" s="9">
        <v>42133</v>
      </c>
      <c r="Z1263" s="1">
        <v>-133.71</v>
      </c>
      <c r="AA1263" s="1">
        <v>12</v>
      </c>
      <c r="AB1263" s="1">
        <v>298.51</v>
      </c>
      <c r="AC1263" s="1">
        <v>90109</v>
      </c>
      <c r="AD1263" s="6" t="str">
        <f>IF(COUNTIF(Returns!$A$2:$A$1635,Orders!AC1263)&gt;0,"Returned","Not Returned")</f>
        <v>Not Returned</v>
      </c>
    </row>
    <row r="1264" spans="1:30" ht="12.75" customHeight="1" thickTop="1" thickBot="1" x14ac:dyDescent="0.25">
      <c r="A1264" s="10">
        <v>24552</v>
      </c>
      <c r="B1264" s="11" t="s">
        <v>37</v>
      </c>
      <c r="C1264" s="11">
        <v>0.01</v>
      </c>
      <c r="D1264" s="11">
        <v>195.99</v>
      </c>
      <c r="E1264" s="11">
        <v>8.99</v>
      </c>
      <c r="F1264" s="11">
        <v>2276</v>
      </c>
      <c r="G1264" s="6" t="str">
        <f>IF(COUNTIF(Table1[Customer ID],Table1[[#This Row],[Customer ID]])&gt;1,"Repeat Customer","One-Time Customer")</f>
        <v>One-Time Customer</v>
      </c>
      <c r="H1264" s="11" t="s">
        <v>2165</v>
      </c>
      <c r="I1264" s="11" t="s">
        <v>49</v>
      </c>
      <c r="J1264" s="11" t="s">
        <v>114</v>
      </c>
      <c r="K1264" s="11" t="s">
        <v>77</v>
      </c>
      <c r="L1264" s="11" t="s">
        <v>78</v>
      </c>
      <c r="M1264" s="11" t="s">
        <v>59</v>
      </c>
      <c r="N1264" s="11" t="s">
        <v>734</v>
      </c>
      <c r="O1264" s="11">
        <v>0.6</v>
      </c>
      <c r="P1264" s="6">
        <f>Table1[[#This Row],[Profit]]/Table1[[#This Row],[Sales]]</f>
        <v>0.69</v>
      </c>
      <c r="Q1264" s="11" t="s">
        <v>33</v>
      </c>
      <c r="R1264" s="11" t="s">
        <v>53</v>
      </c>
      <c r="S1264" s="11" t="s">
        <v>71</v>
      </c>
      <c r="T1264" s="11" t="s">
        <v>2166</v>
      </c>
      <c r="U1264" s="11">
        <v>14304</v>
      </c>
      <c r="V1264" s="12">
        <v>42185</v>
      </c>
      <c r="W1264" s="13" t="str">
        <f>TEXT(Table1[[#This Row],[Order Date]],"mmmm")</f>
        <v>June</v>
      </c>
      <c r="X1264" s="7" t="str">
        <f>TEXT(Table1[[#This Row],[Order Date]],"yyyy")</f>
        <v>2015</v>
      </c>
      <c r="Y1264" s="12">
        <v>42185</v>
      </c>
      <c r="Z1264" s="11">
        <v>2653.7813999999998</v>
      </c>
      <c r="AA1264" s="11">
        <v>22</v>
      </c>
      <c r="AB1264" s="11">
        <v>3846.06</v>
      </c>
      <c r="AC1264" s="11">
        <v>91502</v>
      </c>
      <c r="AD1264" s="6" t="str">
        <f>IF(COUNTIF(Returns!$A$2:$A$1635,Orders!AC1264)&gt;0,"Returned","Not Returned")</f>
        <v>Not Returned</v>
      </c>
    </row>
    <row r="1265" spans="1:30" ht="12.75" customHeight="1" thickTop="1" thickBot="1" x14ac:dyDescent="0.25">
      <c r="A1265" s="8">
        <v>23572</v>
      </c>
      <c r="B1265" s="1" t="s">
        <v>106</v>
      </c>
      <c r="C1265" s="1">
        <v>0.04</v>
      </c>
      <c r="D1265" s="1">
        <v>4.4800000000000004</v>
      </c>
      <c r="E1265" s="1">
        <v>2.5</v>
      </c>
      <c r="F1265" s="1">
        <v>2279</v>
      </c>
      <c r="G1265" s="6" t="str">
        <f>IF(COUNTIF(Table1[Customer ID],Table1[[#This Row],[Customer ID]])&gt;1,"Repeat Customer","One-Time Customer")</f>
        <v>One-Time Customer</v>
      </c>
      <c r="H1265" s="1" t="s">
        <v>2167</v>
      </c>
      <c r="I1265" s="1" t="s">
        <v>27</v>
      </c>
      <c r="J1265" s="1" t="s">
        <v>40</v>
      </c>
      <c r="K1265" s="1" t="s">
        <v>29</v>
      </c>
      <c r="L1265" s="1" t="s">
        <v>69</v>
      </c>
      <c r="M1265" s="1" t="s">
        <v>59</v>
      </c>
      <c r="N1265" s="1" t="s">
        <v>1130</v>
      </c>
      <c r="O1265" s="1">
        <v>0.37</v>
      </c>
      <c r="P1265" s="6">
        <f>Table1[[#This Row],[Profit]]/Table1[[#This Row],[Sales]]</f>
        <v>0.28722516003339826</v>
      </c>
      <c r="Q1265" s="1" t="s">
        <v>33</v>
      </c>
      <c r="R1265" s="1" t="s">
        <v>53</v>
      </c>
      <c r="S1265" s="1" t="s">
        <v>234</v>
      </c>
      <c r="T1265" s="1" t="s">
        <v>2168</v>
      </c>
      <c r="U1265" s="1">
        <v>15601</v>
      </c>
      <c r="V1265" s="9">
        <v>42177</v>
      </c>
      <c r="W1265" s="13" t="str">
        <f>TEXT(Table1[[#This Row],[Order Date]],"mmmm")</f>
        <v>June</v>
      </c>
      <c r="X1265" s="7" t="str">
        <f>TEXT(Table1[[#This Row],[Order Date]],"yyyy")</f>
        <v>2015</v>
      </c>
      <c r="Y1265" s="9">
        <v>42181</v>
      </c>
      <c r="Z1265" s="1">
        <v>10.32</v>
      </c>
      <c r="AA1265" s="1">
        <v>7</v>
      </c>
      <c r="AB1265" s="1">
        <v>35.93</v>
      </c>
      <c r="AC1265" s="1">
        <v>85949</v>
      </c>
      <c r="AD1265" s="6" t="str">
        <f>IF(COUNTIF(Returns!$A$2:$A$1635,Orders!AC1265)&gt;0,"Returned","Not Returned")</f>
        <v>Not Returned</v>
      </c>
    </row>
    <row r="1266" spans="1:30" ht="12.75" customHeight="1" thickTop="1" thickBot="1" x14ac:dyDescent="0.25">
      <c r="A1266" s="10">
        <v>19615</v>
      </c>
      <c r="B1266" s="11" t="s">
        <v>37</v>
      </c>
      <c r="C1266" s="11">
        <v>0.08</v>
      </c>
      <c r="D1266" s="11">
        <v>205.99</v>
      </c>
      <c r="E1266" s="11">
        <v>2.5</v>
      </c>
      <c r="F1266" s="11">
        <v>2281</v>
      </c>
      <c r="G1266" s="6" t="str">
        <f>IF(COUNTIF(Table1[Customer ID],Table1[[#This Row],[Customer ID]])&gt;1,"Repeat Customer","One-Time Customer")</f>
        <v>One-Time Customer</v>
      </c>
      <c r="H1266" s="11" t="s">
        <v>2169</v>
      </c>
      <c r="I1266" s="11" t="s">
        <v>49</v>
      </c>
      <c r="J1266" s="11" t="s">
        <v>40</v>
      </c>
      <c r="K1266" s="11" t="s">
        <v>77</v>
      </c>
      <c r="L1266" s="11" t="s">
        <v>78</v>
      </c>
      <c r="M1266" s="11" t="s">
        <v>59</v>
      </c>
      <c r="N1266" s="11" t="s">
        <v>2155</v>
      </c>
      <c r="O1266" s="11">
        <v>0.59</v>
      </c>
      <c r="P1266" s="6">
        <f>Table1[[#This Row],[Profit]]/Table1[[#This Row],[Sales]]</f>
        <v>0.61916853318765375</v>
      </c>
      <c r="Q1266" s="11" t="s">
        <v>33</v>
      </c>
      <c r="R1266" s="11" t="s">
        <v>61</v>
      </c>
      <c r="S1266" s="11" t="s">
        <v>1858</v>
      </c>
      <c r="T1266" s="11" t="s">
        <v>2170</v>
      </c>
      <c r="U1266" s="11">
        <v>54703</v>
      </c>
      <c r="V1266" s="12">
        <v>42031</v>
      </c>
      <c r="W1266" s="13" t="str">
        <f>TEXT(Table1[[#This Row],[Order Date]],"mmmm")</f>
        <v>January</v>
      </c>
      <c r="X1266" s="7" t="str">
        <f>TEXT(Table1[[#This Row],[Order Date]],"yyyy")</f>
        <v>2015</v>
      </c>
      <c r="Y1266" s="12">
        <v>42032</v>
      </c>
      <c r="Z1266" s="11">
        <v>997.38144000000011</v>
      </c>
      <c r="AA1266" s="11">
        <v>10</v>
      </c>
      <c r="AB1266" s="11">
        <v>1610.84</v>
      </c>
      <c r="AC1266" s="11">
        <v>85948</v>
      </c>
      <c r="AD1266" s="6" t="str">
        <f>IF(COUNTIF(Returns!$A$2:$A$1635,Orders!AC1266)&gt;0,"Returned","Not Returned")</f>
        <v>Not Returned</v>
      </c>
    </row>
    <row r="1267" spans="1:30" ht="12.75" customHeight="1" thickTop="1" thickBot="1" x14ac:dyDescent="0.25">
      <c r="A1267" s="8">
        <v>21260</v>
      </c>
      <c r="B1267" s="1" t="s">
        <v>56</v>
      </c>
      <c r="C1267" s="1">
        <v>0.04</v>
      </c>
      <c r="D1267" s="1">
        <v>5.98</v>
      </c>
      <c r="E1267" s="1">
        <v>5.79</v>
      </c>
      <c r="F1267" s="1">
        <v>2282</v>
      </c>
      <c r="G1267" s="6" t="str">
        <f>IF(COUNTIF(Table1[Customer ID],Table1[[#This Row],[Customer ID]])&gt;1,"Repeat Customer","One-Time Customer")</f>
        <v>One-Time Customer</v>
      </c>
      <c r="H1267" s="1" t="s">
        <v>2171</v>
      </c>
      <c r="I1267" s="1" t="s">
        <v>49</v>
      </c>
      <c r="J1267" s="1" t="s">
        <v>40</v>
      </c>
      <c r="K1267" s="1" t="s">
        <v>29</v>
      </c>
      <c r="L1267" s="1" t="s">
        <v>93</v>
      </c>
      <c r="M1267" s="1" t="s">
        <v>59</v>
      </c>
      <c r="N1267" s="1" t="s">
        <v>123</v>
      </c>
      <c r="O1267" s="1">
        <v>0.36</v>
      </c>
      <c r="P1267" s="6">
        <f>Table1[[#This Row],[Profit]]/Table1[[#This Row],[Sales]]</f>
        <v>-0.41837900603808642</v>
      </c>
      <c r="Q1267" s="1" t="s">
        <v>33</v>
      </c>
      <c r="R1267" s="1" t="s">
        <v>61</v>
      </c>
      <c r="S1267" s="1" t="s">
        <v>1858</v>
      </c>
      <c r="T1267" s="1" t="s">
        <v>2172</v>
      </c>
      <c r="U1267" s="1">
        <v>53713</v>
      </c>
      <c r="V1267" s="9">
        <v>42040</v>
      </c>
      <c r="W1267" s="13" t="str">
        <f>TEXT(Table1[[#This Row],[Order Date]],"mmmm")</f>
        <v>February</v>
      </c>
      <c r="X1267" s="7" t="str">
        <f>TEXT(Table1[[#This Row],[Order Date]],"yyyy")</f>
        <v>2015</v>
      </c>
      <c r="Y1267" s="9">
        <v>42042</v>
      </c>
      <c r="Z1267" s="1">
        <v>-36.030800000000006</v>
      </c>
      <c r="AA1267" s="1">
        <v>14</v>
      </c>
      <c r="AB1267" s="1">
        <v>86.12</v>
      </c>
      <c r="AC1267" s="1">
        <v>85950</v>
      </c>
      <c r="AD1267" s="6" t="str">
        <f>IF(COUNTIF(Returns!$A$2:$A$1635,Orders!AC1267)&gt;0,"Returned","Not Returned")</f>
        <v>Not Returned</v>
      </c>
    </row>
    <row r="1268" spans="1:30" ht="12.75" customHeight="1" thickTop="1" thickBot="1" x14ac:dyDescent="0.25">
      <c r="A1268" s="10">
        <v>26148</v>
      </c>
      <c r="B1268" s="11" t="s">
        <v>56</v>
      </c>
      <c r="C1268" s="11">
        <v>0.01</v>
      </c>
      <c r="D1268" s="11">
        <v>11.7</v>
      </c>
      <c r="E1268" s="11">
        <v>6.96</v>
      </c>
      <c r="F1268" s="11">
        <v>2283</v>
      </c>
      <c r="G1268" s="6" t="str">
        <f>IF(COUNTIF(Table1[Customer ID],Table1[[#This Row],[Customer ID]])&gt;1,"Repeat Customer","One-Time Customer")</f>
        <v>One-Time Customer</v>
      </c>
      <c r="H1268" s="11" t="s">
        <v>2173</v>
      </c>
      <c r="I1268" s="11" t="s">
        <v>49</v>
      </c>
      <c r="J1268" s="11" t="s">
        <v>40</v>
      </c>
      <c r="K1268" s="11" t="s">
        <v>29</v>
      </c>
      <c r="L1268" s="11" t="s">
        <v>257</v>
      </c>
      <c r="M1268" s="11" t="s">
        <v>86</v>
      </c>
      <c r="N1268" s="11" t="s">
        <v>1280</v>
      </c>
      <c r="O1268" s="11">
        <v>0.5</v>
      </c>
      <c r="P1268" s="6">
        <f>Table1[[#This Row],[Profit]]/Table1[[#This Row],[Sales]]</f>
        <v>-0.37666189670872902</v>
      </c>
      <c r="Q1268" s="11" t="s">
        <v>33</v>
      </c>
      <c r="R1268" s="11" t="s">
        <v>61</v>
      </c>
      <c r="S1268" s="11" t="s">
        <v>1858</v>
      </c>
      <c r="T1268" s="11" t="s">
        <v>2174</v>
      </c>
      <c r="U1268" s="11">
        <v>53132</v>
      </c>
      <c r="V1268" s="12">
        <v>42028</v>
      </c>
      <c r="W1268" s="13" t="str">
        <f>TEXT(Table1[[#This Row],[Order Date]],"mmmm")</f>
        <v>January</v>
      </c>
      <c r="X1268" s="7" t="str">
        <f>TEXT(Table1[[#This Row],[Order Date]],"yyyy")</f>
        <v>2015</v>
      </c>
      <c r="Y1268" s="12">
        <v>42030</v>
      </c>
      <c r="Z1268" s="11">
        <v>-28.954000000000001</v>
      </c>
      <c r="AA1268" s="11">
        <v>6</v>
      </c>
      <c r="AB1268" s="11">
        <v>76.87</v>
      </c>
      <c r="AC1268" s="11">
        <v>85947</v>
      </c>
      <c r="AD1268" s="6" t="str">
        <f>IF(COUNTIF(Returns!$A$2:$A$1635,Orders!AC1268)&gt;0,"Returned","Not Returned")</f>
        <v>Not Returned</v>
      </c>
    </row>
    <row r="1269" spans="1:30" ht="12.75" customHeight="1" thickTop="1" thickBot="1" x14ac:dyDescent="0.25">
      <c r="A1269" s="8">
        <v>19460</v>
      </c>
      <c r="B1269" s="1" t="s">
        <v>56</v>
      </c>
      <c r="C1269" s="1">
        <v>0.02</v>
      </c>
      <c r="D1269" s="1">
        <v>17.7</v>
      </c>
      <c r="E1269" s="1">
        <v>9.4700000000000006</v>
      </c>
      <c r="F1269" s="1">
        <v>2285</v>
      </c>
      <c r="G1269" s="6" t="str">
        <f>IF(COUNTIF(Table1[Customer ID],Table1[[#This Row],[Customer ID]])&gt;1,"Repeat Customer","One-Time Customer")</f>
        <v>One-Time Customer</v>
      </c>
      <c r="H1269" s="1" t="s">
        <v>2175</v>
      </c>
      <c r="I1269" s="1" t="s">
        <v>27</v>
      </c>
      <c r="J1269" s="1" t="s">
        <v>28</v>
      </c>
      <c r="K1269" s="1" t="s">
        <v>29</v>
      </c>
      <c r="L1269" s="1" t="s">
        <v>141</v>
      </c>
      <c r="M1269" s="1" t="s">
        <v>59</v>
      </c>
      <c r="N1269" s="1" t="s">
        <v>1569</v>
      </c>
      <c r="O1269" s="1">
        <v>0.59</v>
      </c>
      <c r="P1269" s="6">
        <f>Table1[[#This Row],[Profit]]/Table1[[#This Row],[Sales]]</f>
        <v>-0.22696743192738919</v>
      </c>
      <c r="Q1269" s="1" t="s">
        <v>33</v>
      </c>
      <c r="R1269" s="1" t="s">
        <v>136</v>
      </c>
      <c r="S1269" s="1" t="s">
        <v>932</v>
      </c>
      <c r="T1269" s="1" t="s">
        <v>2176</v>
      </c>
      <c r="U1269" s="1">
        <v>29730</v>
      </c>
      <c r="V1269" s="9">
        <v>42076</v>
      </c>
      <c r="W1269" s="13" t="str">
        <f>TEXT(Table1[[#This Row],[Order Date]],"mmmm")</f>
        <v>March</v>
      </c>
      <c r="X1269" s="7" t="str">
        <f>TEXT(Table1[[#This Row],[Order Date]],"yyyy")</f>
        <v>2015</v>
      </c>
      <c r="Y1269" s="9">
        <v>42078</v>
      </c>
      <c r="Z1269" s="1">
        <v>-85.021999999999991</v>
      </c>
      <c r="AA1269" s="1">
        <v>21</v>
      </c>
      <c r="AB1269" s="1">
        <v>374.6</v>
      </c>
      <c r="AC1269" s="1">
        <v>90148</v>
      </c>
      <c r="AD1269" s="6" t="str">
        <f>IF(COUNTIF(Returns!$A$2:$A$1635,Orders!AC1269)&gt;0,"Returned","Not Returned")</f>
        <v>Not Returned</v>
      </c>
    </row>
    <row r="1270" spans="1:30" ht="12.75" customHeight="1" thickTop="1" thickBot="1" x14ac:dyDescent="0.25">
      <c r="A1270" s="10">
        <v>21529</v>
      </c>
      <c r="B1270" s="11" t="s">
        <v>56</v>
      </c>
      <c r="C1270" s="11">
        <v>0</v>
      </c>
      <c r="D1270" s="11">
        <v>4.91</v>
      </c>
      <c r="E1270" s="11">
        <v>0.5</v>
      </c>
      <c r="F1270" s="11">
        <v>2286</v>
      </c>
      <c r="G1270" s="6" t="str">
        <f>IF(COUNTIF(Table1[Customer ID],Table1[[#This Row],[Customer ID]])&gt;1,"Repeat Customer","One-Time Customer")</f>
        <v>Repeat Customer</v>
      </c>
      <c r="H1270" s="11" t="s">
        <v>2177</v>
      </c>
      <c r="I1270" s="11" t="s">
        <v>49</v>
      </c>
      <c r="J1270" s="11" t="s">
        <v>28</v>
      </c>
      <c r="K1270" s="11" t="s">
        <v>29</v>
      </c>
      <c r="L1270" s="11" t="s">
        <v>134</v>
      </c>
      <c r="M1270" s="11" t="s">
        <v>59</v>
      </c>
      <c r="N1270" s="11" t="s">
        <v>163</v>
      </c>
      <c r="O1270" s="11">
        <v>0.36</v>
      </c>
      <c r="P1270" s="6">
        <f>Table1[[#This Row],[Profit]]/Table1[[#This Row],[Sales]]</f>
        <v>1.6033295619848071</v>
      </c>
      <c r="Q1270" s="11" t="s">
        <v>33</v>
      </c>
      <c r="R1270" s="11" t="s">
        <v>136</v>
      </c>
      <c r="S1270" s="11" t="s">
        <v>932</v>
      </c>
      <c r="T1270" s="11" t="s">
        <v>2178</v>
      </c>
      <c r="U1270" s="11">
        <v>29301</v>
      </c>
      <c r="V1270" s="12">
        <v>42039</v>
      </c>
      <c r="W1270" s="13" t="str">
        <f>TEXT(Table1[[#This Row],[Order Date]],"mmmm")</f>
        <v>February</v>
      </c>
      <c r="X1270" s="7" t="str">
        <f>TEXT(Table1[[#This Row],[Order Date]],"yyyy")</f>
        <v>2015</v>
      </c>
      <c r="Y1270" s="12">
        <v>42041</v>
      </c>
      <c r="Z1270" s="11">
        <v>99.198000000000008</v>
      </c>
      <c r="AA1270" s="11">
        <v>12</v>
      </c>
      <c r="AB1270" s="11">
        <v>61.87</v>
      </c>
      <c r="AC1270" s="11">
        <v>90145</v>
      </c>
      <c r="AD1270" s="6" t="str">
        <f>IF(COUNTIF(Returns!$A$2:$A$1635,Orders!AC1270)&gt;0,"Returned","Not Returned")</f>
        <v>Not Returned</v>
      </c>
    </row>
    <row r="1271" spans="1:30" ht="12.75" customHeight="1" thickTop="1" thickBot="1" x14ac:dyDescent="0.25">
      <c r="A1271" s="8">
        <v>21530</v>
      </c>
      <c r="B1271" s="1" t="s">
        <v>56</v>
      </c>
      <c r="C1271" s="1">
        <v>0.01</v>
      </c>
      <c r="D1271" s="1">
        <v>7.28</v>
      </c>
      <c r="E1271" s="1">
        <v>11.15</v>
      </c>
      <c r="F1271" s="1">
        <v>2286</v>
      </c>
      <c r="G1271" s="6" t="str">
        <f>IF(COUNTIF(Table1[Customer ID],Table1[[#This Row],[Customer ID]])&gt;1,"Repeat Customer","One-Time Customer")</f>
        <v>Repeat Customer</v>
      </c>
      <c r="H1271" s="1" t="s">
        <v>2177</v>
      </c>
      <c r="I1271" s="1" t="s">
        <v>49</v>
      </c>
      <c r="J1271" s="1" t="s">
        <v>28</v>
      </c>
      <c r="K1271" s="1" t="s">
        <v>29</v>
      </c>
      <c r="L1271" s="1" t="s">
        <v>93</v>
      </c>
      <c r="M1271" s="1" t="s">
        <v>59</v>
      </c>
      <c r="N1271" s="1" t="s">
        <v>854</v>
      </c>
      <c r="O1271" s="1">
        <v>0.37</v>
      </c>
      <c r="P1271" s="6">
        <f>Table1[[#This Row],[Profit]]/Table1[[#This Row],[Sales]]</f>
        <v>2.7829664484451717</v>
      </c>
      <c r="Q1271" s="1" t="s">
        <v>33</v>
      </c>
      <c r="R1271" s="1" t="s">
        <v>136</v>
      </c>
      <c r="S1271" s="1" t="s">
        <v>932</v>
      </c>
      <c r="T1271" s="1" t="s">
        <v>2178</v>
      </c>
      <c r="U1271" s="1">
        <v>29301</v>
      </c>
      <c r="V1271" s="9">
        <v>42039</v>
      </c>
      <c r="W1271" s="13" t="str">
        <f>TEXT(Table1[[#This Row],[Order Date]],"mmmm")</f>
        <v>February</v>
      </c>
      <c r="X1271" s="7" t="str">
        <f>TEXT(Table1[[#This Row],[Order Date]],"yyyy")</f>
        <v>2015</v>
      </c>
      <c r="Y1271" s="9">
        <v>42040</v>
      </c>
      <c r="Z1271" s="1">
        <v>136.03139999999999</v>
      </c>
      <c r="AA1271" s="1">
        <v>6</v>
      </c>
      <c r="AB1271" s="1">
        <v>48.88</v>
      </c>
      <c r="AC1271" s="1">
        <v>90145</v>
      </c>
      <c r="AD1271" s="6" t="str">
        <f>IF(COUNTIF(Returns!$A$2:$A$1635,Orders!AC1271)&gt;0,"Returned","Not Returned")</f>
        <v>Not Returned</v>
      </c>
    </row>
    <row r="1272" spans="1:30" ht="12.75" customHeight="1" thickTop="1" thickBot="1" x14ac:dyDescent="0.25">
      <c r="A1272" s="10">
        <v>21531</v>
      </c>
      <c r="B1272" s="11" t="s">
        <v>56</v>
      </c>
      <c r="C1272" s="11">
        <v>0.1</v>
      </c>
      <c r="D1272" s="11">
        <v>6.68</v>
      </c>
      <c r="E1272" s="11">
        <v>6.93</v>
      </c>
      <c r="F1272" s="11">
        <v>2286</v>
      </c>
      <c r="G1272" s="6" t="str">
        <f>IF(COUNTIF(Table1[Customer ID],Table1[[#This Row],[Customer ID]])&gt;1,"Repeat Customer","One-Time Customer")</f>
        <v>Repeat Customer</v>
      </c>
      <c r="H1272" s="11" t="s">
        <v>2177</v>
      </c>
      <c r="I1272" s="11" t="s">
        <v>49</v>
      </c>
      <c r="J1272" s="11" t="s">
        <v>28</v>
      </c>
      <c r="K1272" s="11" t="s">
        <v>29</v>
      </c>
      <c r="L1272" s="11" t="s">
        <v>93</v>
      </c>
      <c r="M1272" s="11" t="s">
        <v>59</v>
      </c>
      <c r="N1272" s="11" t="s">
        <v>2135</v>
      </c>
      <c r="O1272" s="11">
        <v>0.37</v>
      </c>
      <c r="P1272" s="6">
        <f>Table1[[#This Row],[Profit]]/Table1[[#This Row],[Sales]]</f>
        <v>-4.6415584415584421</v>
      </c>
      <c r="Q1272" s="11" t="s">
        <v>33</v>
      </c>
      <c r="R1272" s="11" t="s">
        <v>136</v>
      </c>
      <c r="S1272" s="11" t="s">
        <v>932</v>
      </c>
      <c r="T1272" s="11" t="s">
        <v>2178</v>
      </c>
      <c r="U1272" s="11">
        <v>29301</v>
      </c>
      <c r="V1272" s="12">
        <v>42039</v>
      </c>
      <c r="W1272" s="13" t="str">
        <f>TEXT(Table1[[#This Row],[Order Date]],"mmmm")</f>
        <v>February</v>
      </c>
      <c r="X1272" s="7" t="str">
        <f>TEXT(Table1[[#This Row],[Order Date]],"yyyy")</f>
        <v>2015</v>
      </c>
      <c r="Y1272" s="12">
        <v>42042</v>
      </c>
      <c r="Z1272" s="11">
        <v>-100.072</v>
      </c>
      <c r="AA1272" s="11">
        <v>3</v>
      </c>
      <c r="AB1272" s="11">
        <v>21.56</v>
      </c>
      <c r="AC1272" s="11">
        <v>90145</v>
      </c>
      <c r="AD1272" s="6" t="str">
        <f>IF(COUNTIF(Returns!$A$2:$A$1635,Orders!AC1272)&gt;0,"Returned","Not Returned")</f>
        <v>Not Returned</v>
      </c>
    </row>
    <row r="1273" spans="1:30" ht="12.75" customHeight="1" thickTop="1" thickBot="1" x14ac:dyDescent="0.25">
      <c r="A1273" s="8">
        <v>25183</v>
      </c>
      <c r="B1273" s="1" t="s">
        <v>37</v>
      </c>
      <c r="C1273" s="1">
        <v>0.01</v>
      </c>
      <c r="D1273" s="1">
        <v>18.97</v>
      </c>
      <c r="E1273" s="1">
        <v>9.0299999999999994</v>
      </c>
      <c r="F1273" s="1">
        <v>2287</v>
      </c>
      <c r="G1273" s="6" t="str">
        <f>IF(COUNTIF(Table1[Customer ID],Table1[[#This Row],[Customer ID]])&gt;1,"Repeat Customer","One-Time Customer")</f>
        <v>Repeat Customer</v>
      </c>
      <c r="H1273" s="1" t="s">
        <v>2179</v>
      </c>
      <c r="I1273" s="1" t="s">
        <v>49</v>
      </c>
      <c r="J1273" s="1" t="s">
        <v>28</v>
      </c>
      <c r="K1273" s="1" t="s">
        <v>29</v>
      </c>
      <c r="L1273" s="1" t="s">
        <v>93</v>
      </c>
      <c r="M1273" s="1" t="s">
        <v>59</v>
      </c>
      <c r="N1273" s="1" t="s">
        <v>775</v>
      </c>
      <c r="O1273" s="1">
        <v>0.37</v>
      </c>
      <c r="P1273" s="6">
        <f>Table1[[#This Row],[Profit]]/Table1[[#This Row],[Sales]]</f>
        <v>-7.3035161231554013E-2</v>
      </c>
      <c r="Q1273" s="1" t="s">
        <v>33</v>
      </c>
      <c r="R1273" s="1" t="s">
        <v>136</v>
      </c>
      <c r="S1273" s="1" t="s">
        <v>932</v>
      </c>
      <c r="T1273" s="1" t="s">
        <v>2180</v>
      </c>
      <c r="U1273" s="1">
        <v>29483</v>
      </c>
      <c r="V1273" s="9">
        <v>42088</v>
      </c>
      <c r="W1273" s="13" t="str">
        <f>TEXT(Table1[[#This Row],[Order Date]],"mmmm")</f>
        <v>March</v>
      </c>
      <c r="X1273" s="7" t="str">
        <f>TEXT(Table1[[#This Row],[Order Date]],"yyyy")</f>
        <v>2015</v>
      </c>
      <c r="Y1273" s="9">
        <v>42088</v>
      </c>
      <c r="Z1273" s="1">
        <v>-12.026699999999998</v>
      </c>
      <c r="AA1273" s="1">
        <v>8</v>
      </c>
      <c r="AB1273" s="1">
        <v>164.67</v>
      </c>
      <c r="AC1273" s="1">
        <v>90146</v>
      </c>
      <c r="AD1273" s="6" t="str">
        <f>IF(COUNTIF(Returns!$A$2:$A$1635,Orders!AC1273)&gt;0,"Returned","Not Returned")</f>
        <v>Not Returned</v>
      </c>
    </row>
    <row r="1274" spans="1:30" ht="12.75" customHeight="1" thickTop="1" thickBot="1" x14ac:dyDescent="0.25">
      <c r="A1274" s="10">
        <v>25184</v>
      </c>
      <c r="B1274" s="11" t="s">
        <v>37</v>
      </c>
      <c r="C1274" s="11">
        <v>0.03</v>
      </c>
      <c r="D1274" s="11">
        <v>12.28</v>
      </c>
      <c r="E1274" s="11">
        <v>4.8600000000000003</v>
      </c>
      <c r="F1274" s="11">
        <v>2287</v>
      </c>
      <c r="G1274" s="6" t="str">
        <f>IF(COUNTIF(Table1[Customer ID],Table1[[#This Row],[Customer ID]])&gt;1,"Repeat Customer","One-Time Customer")</f>
        <v>Repeat Customer</v>
      </c>
      <c r="H1274" s="11" t="s">
        <v>2179</v>
      </c>
      <c r="I1274" s="11" t="s">
        <v>49</v>
      </c>
      <c r="J1274" s="11" t="s">
        <v>28</v>
      </c>
      <c r="K1274" s="11" t="s">
        <v>29</v>
      </c>
      <c r="L1274" s="11" t="s">
        <v>93</v>
      </c>
      <c r="M1274" s="11" t="s">
        <v>59</v>
      </c>
      <c r="N1274" s="11" t="s">
        <v>303</v>
      </c>
      <c r="O1274" s="11">
        <v>0.38</v>
      </c>
      <c r="P1274" s="6">
        <f>Table1[[#This Row],[Profit]]/Table1[[#This Row],[Sales]]</f>
        <v>1.6841902667033271</v>
      </c>
      <c r="Q1274" s="11" t="s">
        <v>33</v>
      </c>
      <c r="R1274" s="11" t="s">
        <v>136</v>
      </c>
      <c r="S1274" s="11" t="s">
        <v>932</v>
      </c>
      <c r="T1274" s="11" t="s">
        <v>2180</v>
      </c>
      <c r="U1274" s="11">
        <v>29483</v>
      </c>
      <c r="V1274" s="12">
        <v>42088</v>
      </c>
      <c r="W1274" s="13" t="str">
        <f>TEXT(Table1[[#This Row],[Order Date]],"mmmm")</f>
        <v>March</v>
      </c>
      <c r="X1274" s="7" t="str">
        <f>TEXT(Table1[[#This Row],[Order Date]],"yyyy")</f>
        <v>2015</v>
      </c>
      <c r="Y1274" s="12">
        <v>42089</v>
      </c>
      <c r="Z1274" s="11">
        <v>122.508</v>
      </c>
      <c r="AA1274" s="11">
        <v>6</v>
      </c>
      <c r="AB1274" s="11">
        <v>72.739999999999995</v>
      </c>
      <c r="AC1274" s="11">
        <v>90146</v>
      </c>
      <c r="AD1274" s="6" t="str">
        <f>IF(COUNTIF(Returns!$A$2:$A$1635,Orders!AC1274)&gt;0,"Returned","Not Returned")</f>
        <v>Not Returned</v>
      </c>
    </row>
    <row r="1275" spans="1:30" ht="12.75" customHeight="1" thickTop="1" thickBot="1" x14ac:dyDescent="0.25">
      <c r="A1275" s="8">
        <v>25185</v>
      </c>
      <c r="B1275" s="1" t="s">
        <v>37</v>
      </c>
      <c r="C1275" s="1">
        <v>0.05</v>
      </c>
      <c r="D1275" s="1">
        <v>34.99</v>
      </c>
      <c r="E1275" s="1">
        <v>7.73</v>
      </c>
      <c r="F1275" s="1">
        <v>2287</v>
      </c>
      <c r="G1275" s="6" t="str">
        <f>IF(COUNTIF(Table1[Customer ID],Table1[[#This Row],[Customer ID]])&gt;1,"Repeat Customer","One-Time Customer")</f>
        <v>Repeat Customer</v>
      </c>
      <c r="H1275" s="1" t="s">
        <v>2179</v>
      </c>
      <c r="I1275" s="1" t="s">
        <v>27</v>
      </c>
      <c r="J1275" s="1" t="s">
        <v>28</v>
      </c>
      <c r="K1275" s="1" t="s">
        <v>29</v>
      </c>
      <c r="L1275" s="1" t="s">
        <v>30</v>
      </c>
      <c r="M1275" s="1" t="s">
        <v>59</v>
      </c>
      <c r="N1275" s="1" t="s">
        <v>101</v>
      </c>
      <c r="O1275" s="1">
        <v>0.59</v>
      </c>
      <c r="P1275" s="6">
        <f>Table1[[#This Row],[Profit]]/Table1[[#This Row],[Sales]]</f>
        <v>-2.8720477611940295E-2</v>
      </c>
      <c r="Q1275" s="1" t="s">
        <v>33</v>
      </c>
      <c r="R1275" s="1" t="s">
        <v>136</v>
      </c>
      <c r="S1275" s="1" t="s">
        <v>932</v>
      </c>
      <c r="T1275" s="1" t="s">
        <v>2180</v>
      </c>
      <c r="U1275" s="1">
        <v>29483</v>
      </c>
      <c r="V1275" s="9">
        <v>42088</v>
      </c>
      <c r="W1275" s="13" t="str">
        <f>TEXT(Table1[[#This Row],[Order Date]],"mmmm")</f>
        <v>March</v>
      </c>
      <c r="X1275" s="7" t="str">
        <f>TEXT(Table1[[#This Row],[Order Date]],"yyyy")</f>
        <v>2015</v>
      </c>
      <c r="Y1275" s="9">
        <v>42090</v>
      </c>
      <c r="Z1275" s="1">
        <v>-12.026699999999998</v>
      </c>
      <c r="AA1275" s="1">
        <v>12</v>
      </c>
      <c r="AB1275" s="1">
        <v>418.75</v>
      </c>
      <c r="AC1275" s="1">
        <v>90146</v>
      </c>
      <c r="AD1275" s="6" t="str">
        <f>IF(COUNTIF(Returns!$A$2:$A$1635,Orders!AC1275)&gt;0,"Returned","Not Returned")</f>
        <v>Not Returned</v>
      </c>
    </row>
    <row r="1276" spans="1:30" ht="12.75" customHeight="1" thickTop="1" thickBot="1" x14ac:dyDescent="0.25">
      <c r="A1276" s="10">
        <v>24396</v>
      </c>
      <c r="B1276" s="11" t="s">
        <v>106</v>
      </c>
      <c r="C1276" s="11">
        <v>0.1</v>
      </c>
      <c r="D1276" s="11">
        <v>54.1</v>
      </c>
      <c r="E1276" s="11">
        <v>19.989999999999998</v>
      </c>
      <c r="F1276" s="11">
        <v>2287</v>
      </c>
      <c r="G1276" s="6" t="str">
        <f>IF(COUNTIF(Table1[Customer ID],Table1[[#This Row],[Customer ID]])&gt;1,"Repeat Customer","One-Time Customer")</f>
        <v>Repeat Customer</v>
      </c>
      <c r="H1276" s="11" t="s">
        <v>2179</v>
      </c>
      <c r="I1276" s="11" t="s">
        <v>49</v>
      </c>
      <c r="J1276" s="11" t="s">
        <v>28</v>
      </c>
      <c r="K1276" s="11" t="s">
        <v>29</v>
      </c>
      <c r="L1276" s="11" t="s">
        <v>141</v>
      </c>
      <c r="M1276" s="11" t="s">
        <v>59</v>
      </c>
      <c r="N1276" s="11" t="s">
        <v>2181</v>
      </c>
      <c r="O1276" s="11">
        <v>0.59</v>
      </c>
      <c r="P1276" s="6">
        <f>Table1[[#This Row],[Profit]]/Table1[[#This Row],[Sales]]</f>
        <v>7.2548393279243589E-2</v>
      </c>
      <c r="Q1276" s="11" t="s">
        <v>33</v>
      </c>
      <c r="R1276" s="11" t="s">
        <v>136</v>
      </c>
      <c r="S1276" s="11" t="s">
        <v>932</v>
      </c>
      <c r="T1276" s="11" t="s">
        <v>2180</v>
      </c>
      <c r="U1276" s="11">
        <v>29483</v>
      </c>
      <c r="V1276" s="12">
        <v>42054</v>
      </c>
      <c r="W1276" s="13" t="str">
        <f>TEXT(Table1[[#This Row],[Order Date]],"mmmm")</f>
        <v>February</v>
      </c>
      <c r="X1276" s="7" t="str">
        <f>TEXT(Table1[[#This Row],[Order Date]],"yyyy")</f>
        <v>2015</v>
      </c>
      <c r="Y1276" s="12">
        <v>42059</v>
      </c>
      <c r="Z1276" s="11">
        <v>34.067999999999998</v>
      </c>
      <c r="AA1276" s="11">
        <v>9</v>
      </c>
      <c r="AB1276" s="11">
        <v>469.59</v>
      </c>
      <c r="AC1276" s="11">
        <v>90147</v>
      </c>
      <c r="AD1276" s="6" t="str">
        <f>IF(COUNTIF(Returns!$A$2:$A$1635,Orders!AC1276)&gt;0,"Returned","Not Returned")</f>
        <v>Not Returned</v>
      </c>
    </row>
    <row r="1277" spans="1:30" ht="12.75" customHeight="1" thickTop="1" thickBot="1" x14ac:dyDescent="0.25">
      <c r="A1277" s="8">
        <v>19243</v>
      </c>
      <c r="B1277" s="1" t="s">
        <v>47</v>
      </c>
      <c r="C1277" s="1">
        <v>0.01</v>
      </c>
      <c r="D1277" s="1">
        <v>7.59</v>
      </c>
      <c r="E1277" s="1">
        <v>4</v>
      </c>
      <c r="F1277" s="1">
        <v>2289</v>
      </c>
      <c r="G1277" s="6" t="str">
        <f>IF(COUNTIF(Table1[Customer ID],Table1[[#This Row],[Customer ID]])&gt;1,"Repeat Customer","One-Time Customer")</f>
        <v>One-Time Customer</v>
      </c>
      <c r="H1277" s="1" t="s">
        <v>2182</v>
      </c>
      <c r="I1277" s="1" t="s">
        <v>49</v>
      </c>
      <c r="J1277" s="1" t="s">
        <v>40</v>
      </c>
      <c r="K1277" s="1" t="s">
        <v>41</v>
      </c>
      <c r="L1277" s="1" t="s">
        <v>50</v>
      </c>
      <c r="M1277" s="1" t="s">
        <v>31</v>
      </c>
      <c r="N1277" s="1" t="s">
        <v>444</v>
      </c>
      <c r="O1277" s="1">
        <v>0.42</v>
      </c>
      <c r="P1277" s="6">
        <f>Table1[[#This Row],[Profit]]/Table1[[#This Row],[Sales]]</f>
        <v>2.1798165137614685E-2</v>
      </c>
      <c r="Q1277" s="1" t="s">
        <v>33</v>
      </c>
      <c r="R1277" s="1" t="s">
        <v>61</v>
      </c>
      <c r="S1277" s="1" t="s">
        <v>62</v>
      </c>
      <c r="T1277" s="1" t="s">
        <v>2104</v>
      </c>
      <c r="U1277" s="1">
        <v>55337</v>
      </c>
      <c r="V1277" s="9">
        <v>42128</v>
      </c>
      <c r="W1277" s="13" t="str">
        <f>TEXT(Table1[[#This Row],[Order Date]],"mmmm")</f>
        <v>May</v>
      </c>
      <c r="X1277" s="7" t="str">
        <f>TEXT(Table1[[#This Row],[Order Date]],"yyyy")</f>
        <v>2015</v>
      </c>
      <c r="Y1277" s="9">
        <v>42128</v>
      </c>
      <c r="Z1277" s="1">
        <v>2.9700000000000006</v>
      </c>
      <c r="AA1277" s="1">
        <v>17</v>
      </c>
      <c r="AB1277" s="1">
        <v>136.25</v>
      </c>
      <c r="AC1277" s="1">
        <v>88165</v>
      </c>
      <c r="AD1277" s="6" t="str">
        <f>IF(COUNTIF(Returns!$A$2:$A$1635,Orders!AC1277)&gt;0,"Returned","Not Returned")</f>
        <v>Not Returned</v>
      </c>
    </row>
    <row r="1278" spans="1:30" ht="12.75" customHeight="1" thickTop="1" thickBot="1" x14ac:dyDescent="0.25">
      <c r="A1278" s="10">
        <v>21334</v>
      </c>
      <c r="B1278" s="11" t="s">
        <v>37</v>
      </c>
      <c r="C1278" s="11">
        <v>0</v>
      </c>
      <c r="D1278" s="11">
        <v>42.98</v>
      </c>
      <c r="E1278" s="11">
        <v>4.62</v>
      </c>
      <c r="F1278" s="11">
        <v>2290</v>
      </c>
      <c r="G1278" s="6" t="str">
        <f>IF(COUNTIF(Table1[Customer ID],Table1[[#This Row],[Customer ID]])&gt;1,"Repeat Customer","One-Time Customer")</f>
        <v>Repeat Customer</v>
      </c>
      <c r="H1278" s="11" t="s">
        <v>2183</v>
      </c>
      <c r="I1278" s="11" t="s">
        <v>49</v>
      </c>
      <c r="J1278" s="11" t="s">
        <v>40</v>
      </c>
      <c r="K1278" s="11" t="s">
        <v>29</v>
      </c>
      <c r="L1278" s="11" t="s">
        <v>257</v>
      </c>
      <c r="M1278" s="11" t="s">
        <v>59</v>
      </c>
      <c r="N1278" s="11" t="s">
        <v>1888</v>
      </c>
      <c r="O1278" s="11">
        <v>0.56000000000000005</v>
      </c>
      <c r="P1278" s="6">
        <f>Table1[[#This Row],[Profit]]/Table1[[#This Row],[Sales]]</f>
        <v>0.69</v>
      </c>
      <c r="Q1278" s="11" t="s">
        <v>33</v>
      </c>
      <c r="R1278" s="11" t="s">
        <v>61</v>
      </c>
      <c r="S1278" s="11" t="s">
        <v>62</v>
      </c>
      <c r="T1278" s="11" t="s">
        <v>2184</v>
      </c>
      <c r="U1278" s="11">
        <v>55433</v>
      </c>
      <c r="V1278" s="12">
        <v>42010</v>
      </c>
      <c r="W1278" s="13" t="str">
        <f>TEXT(Table1[[#This Row],[Order Date]],"mmmm")</f>
        <v>January</v>
      </c>
      <c r="X1278" s="7" t="str">
        <f>TEXT(Table1[[#This Row],[Order Date]],"yyyy")</f>
        <v>2015</v>
      </c>
      <c r="Y1278" s="12">
        <v>42012</v>
      </c>
      <c r="Z1278" s="11">
        <v>385.30289999999997</v>
      </c>
      <c r="AA1278" s="11">
        <v>12</v>
      </c>
      <c r="AB1278" s="11">
        <v>558.41</v>
      </c>
      <c r="AC1278" s="11">
        <v>88163</v>
      </c>
      <c r="AD1278" s="6" t="str">
        <f>IF(COUNTIF(Returns!$A$2:$A$1635,Orders!AC1278)&gt;0,"Returned","Not Returned")</f>
        <v>Not Returned</v>
      </c>
    </row>
    <row r="1279" spans="1:30" ht="12.75" customHeight="1" thickTop="1" thickBot="1" x14ac:dyDescent="0.25">
      <c r="A1279" s="8">
        <v>21335</v>
      </c>
      <c r="B1279" s="1" t="s">
        <v>37</v>
      </c>
      <c r="C1279" s="1">
        <v>0.03</v>
      </c>
      <c r="D1279" s="1">
        <v>21.78</v>
      </c>
      <c r="E1279" s="1">
        <v>5.94</v>
      </c>
      <c r="F1279" s="1">
        <v>2290</v>
      </c>
      <c r="G1279" s="6" t="str">
        <f>IF(COUNTIF(Table1[Customer ID],Table1[[#This Row],[Customer ID]])&gt;1,"Repeat Customer","One-Time Customer")</f>
        <v>Repeat Customer</v>
      </c>
      <c r="H1279" s="1" t="s">
        <v>2183</v>
      </c>
      <c r="I1279" s="1" t="s">
        <v>49</v>
      </c>
      <c r="J1279" s="1" t="s">
        <v>40</v>
      </c>
      <c r="K1279" s="1" t="s">
        <v>29</v>
      </c>
      <c r="L1279" s="1" t="s">
        <v>257</v>
      </c>
      <c r="M1279" s="1" t="s">
        <v>86</v>
      </c>
      <c r="N1279" s="1" t="s">
        <v>2185</v>
      </c>
      <c r="O1279" s="1">
        <v>0.5</v>
      </c>
      <c r="P1279" s="6">
        <f>Table1[[#This Row],[Profit]]/Table1[[#This Row],[Sales]]</f>
        <v>0.64502790986148428</v>
      </c>
      <c r="Q1279" s="1" t="s">
        <v>33</v>
      </c>
      <c r="R1279" s="1" t="s">
        <v>61</v>
      </c>
      <c r="S1279" s="1" t="s">
        <v>62</v>
      </c>
      <c r="T1279" s="1" t="s">
        <v>2184</v>
      </c>
      <c r="U1279" s="1">
        <v>55433</v>
      </c>
      <c r="V1279" s="9">
        <v>42010</v>
      </c>
      <c r="W1279" s="13" t="str">
        <f>TEXT(Table1[[#This Row],[Order Date]],"mmmm")</f>
        <v>January</v>
      </c>
      <c r="X1279" s="7" t="str">
        <f>TEXT(Table1[[#This Row],[Order Date]],"yyyy")</f>
        <v>2015</v>
      </c>
      <c r="Y1279" s="9">
        <v>42012</v>
      </c>
      <c r="Z1279" s="1">
        <v>187.2</v>
      </c>
      <c r="AA1279" s="1">
        <v>13</v>
      </c>
      <c r="AB1279" s="1">
        <v>290.22000000000003</v>
      </c>
      <c r="AC1279" s="1">
        <v>88163</v>
      </c>
      <c r="AD1279" s="6" t="str">
        <f>IF(COUNTIF(Returns!$A$2:$A$1635,Orders!AC1279)&gt;0,"Returned","Not Returned")</f>
        <v>Not Returned</v>
      </c>
    </row>
    <row r="1280" spans="1:30" ht="12.75" customHeight="1" thickTop="1" thickBot="1" x14ac:dyDescent="0.25">
      <c r="A1280" s="10">
        <v>19723</v>
      </c>
      <c r="B1280" s="11" t="s">
        <v>56</v>
      </c>
      <c r="C1280" s="11">
        <v>7.0000000000000007E-2</v>
      </c>
      <c r="D1280" s="11">
        <v>80.98</v>
      </c>
      <c r="E1280" s="11">
        <v>7.18</v>
      </c>
      <c r="F1280" s="11">
        <v>2290</v>
      </c>
      <c r="G1280" s="6" t="str">
        <f>IF(COUNTIF(Table1[Customer ID],Table1[[#This Row],[Customer ID]])&gt;1,"Repeat Customer","One-Time Customer")</f>
        <v>Repeat Customer</v>
      </c>
      <c r="H1280" s="11" t="s">
        <v>2183</v>
      </c>
      <c r="I1280" s="11" t="s">
        <v>49</v>
      </c>
      <c r="J1280" s="11" t="s">
        <v>28</v>
      </c>
      <c r="K1280" s="11" t="s">
        <v>77</v>
      </c>
      <c r="L1280" s="11" t="s">
        <v>180</v>
      </c>
      <c r="M1280" s="11" t="s">
        <v>59</v>
      </c>
      <c r="N1280" s="11" t="s">
        <v>2186</v>
      </c>
      <c r="O1280" s="11">
        <v>0.48</v>
      </c>
      <c r="P1280" s="6">
        <f>Table1[[#This Row],[Profit]]/Table1[[#This Row],[Sales]]</f>
        <v>0.69</v>
      </c>
      <c r="Q1280" s="11" t="s">
        <v>33</v>
      </c>
      <c r="R1280" s="11" t="s">
        <v>61</v>
      </c>
      <c r="S1280" s="11" t="s">
        <v>62</v>
      </c>
      <c r="T1280" s="11" t="s">
        <v>2184</v>
      </c>
      <c r="U1280" s="11">
        <v>55433</v>
      </c>
      <c r="V1280" s="12">
        <v>42039</v>
      </c>
      <c r="W1280" s="13" t="str">
        <f>TEXT(Table1[[#This Row],[Order Date]],"mmmm")</f>
        <v>February</v>
      </c>
      <c r="X1280" s="7" t="str">
        <f>TEXT(Table1[[#This Row],[Order Date]],"yyyy")</f>
        <v>2015</v>
      </c>
      <c r="Y1280" s="12">
        <v>42041</v>
      </c>
      <c r="Z1280" s="11">
        <v>779.47230000000002</v>
      </c>
      <c r="AA1280" s="11">
        <v>15</v>
      </c>
      <c r="AB1280" s="11">
        <v>1129.67</v>
      </c>
      <c r="AC1280" s="11">
        <v>88164</v>
      </c>
      <c r="AD1280" s="6" t="str">
        <f>IF(COUNTIF(Returns!$A$2:$A$1635,Orders!AC1280)&gt;0,"Returned","Not Returned")</f>
        <v>Not Returned</v>
      </c>
    </row>
    <row r="1281" spans="1:30" ht="12.75" customHeight="1" thickTop="1" thickBot="1" x14ac:dyDescent="0.25">
      <c r="A1281" s="8">
        <v>24673</v>
      </c>
      <c r="B1281" s="1" t="s">
        <v>47</v>
      </c>
      <c r="C1281" s="1">
        <v>7.0000000000000007E-2</v>
      </c>
      <c r="D1281" s="1">
        <v>270.98</v>
      </c>
      <c r="E1281" s="1">
        <v>50</v>
      </c>
      <c r="F1281" s="1">
        <v>2302</v>
      </c>
      <c r="G1281" s="6" t="str">
        <f>IF(COUNTIF(Table1[Customer ID],Table1[[#This Row],[Customer ID]])&gt;1,"Repeat Customer","One-Time Customer")</f>
        <v>Repeat Customer</v>
      </c>
      <c r="H1281" s="1" t="s">
        <v>2187</v>
      </c>
      <c r="I1281" s="1" t="s">
        <v>39</v>
      </c>
      <c r="J1281" s="1" t="s">
        <v>28</v>
      </c>
      <c r="K1281" s="1" t="s">
        <v>41</v>
      </c>
      <c r="L1281" s="1" t="s">
        <v>42</v>
      </c>
      <c r="M1281" s="1" t="s">
        <v>43</v>
      </c>
      <c r="N1281" s="1" t="s">
        <v>2188</v>
      </c>
      <c r="O1281" s="1">
        <v>0.77</v>
      </c>
      <c r="P1281" s="6">
        <f>Table1[[#This Row],[Profit]]/Table1[[#This Row],[Sales]]</f>
        <v>1.1366049430795656E-2</v>
      </c>
      <c r="Q1281" s="1" t="s">
        <v>33</v>
      </c>
      <c r="R1281" s="1" t="s">
        <v>136</v>
      </c>
      <c r="S1281" s="1" t="s">
        <v>362</v>
      </c>
      <c r="T1281" s="1" t="s">
        <v>2189</v>
      </c>
      <c r="U1281" s="1">
        <v>32404</v>
      </c>
      <c r="V1281" s="9">
        <v>42046</v>
      </c>
      <c r="W1281" s="13" t="str">
        <f>TEXT(Table1[[#This Row],[Order Date]],"mmmm")</f>
        <v>February</v>
      </c>
      <c r="X1281" s="7" t="str">
        <f>TEXT(Table1[[#This Row],[Order Date]],"yyyy")</f>
        <v>2015</v>
      </c>
      <c r="Y1281" s="9">
        <v>42048</v>
      </c>
      <c r="Z1281" s="1">
        <v>27.725999999999999</v>
      </c>
      <c r="AA1281" s="1">
        <v>9</v>
      </c>
      <c r="AB1281" s="1">
        <v>2439.37</v>
      </c>
      <c r="AC1281" s="1">
        <v>87695</v>
      </c>
      <c r="AD1281" s="6" t="str">
        <f>IF(COUNTIF(Returns!$A$2:$A$1635,Orders!AC1281)&gt;0,"Returned","Not Returned")</f>
        <v>Not Returned</v>
      </c>
    </row>
    <row r="1282" spans="1:30" ht="12.75" customHeight="1" thickTop="1" thickBot="1" x14ac:dyDescent="0.25">
      <c r="A1282" s="10">
        <v>23344</v>
      </c>
      <c r="B1282" s="11" t="s">
        <v>25</v>
      </c>
      <c r="C1282" s="11">
        <v>0.1</v>
      </c>
      <c r="D1282" s="11">
        <v>12.53</v>
      </c>
      <c r="E1282" s="11">
        <v>0.49</v>
      </c>
      <c r="F1282" s="11">
        <v>2302</v>
      </c>
      <c r="G1282" s="6" t="str">
        <f>IF(COUNTIF(Table1[Customer ID],Table1[[#This Row],[Customer ID]])&gt;1,"Repeat Customer","One-Time Customer")</f>
        <v>Repeat Customer</v>
      </c>
      <c r="H1282" s="11" t="s">
        <v>2187</v>
      </c>
      <c r="I1282" s="11" t="s">
        <v>49</v>
      </c>
      <c r="J1282" s="11" t="s">
        <v>28</v>
      </c>
      <c r="K1282" s="11" t="s">
        <v>29</v>
      </c>
      <c r="L1282" s="11" t="s">
        <v>134</v>
      </c>
      <c r="M1282" s="11" t="s">
        <v>59</v>
      </c>
      <c r="N1282" s="11" t="s">
        <v>1016</v>
      </c>
      <c r="O1282" s="11">
        <v>0.38</v>
      </c>
      <c r="P1282" s="6">
        <f>Table1[[#This Row],[Profit]]/Table1[[#This Row],[Sales]]</f>
        <v>2.6566398608998045</v>
      </c>
      <c r="Q1282" s="11" t="s">
        <v>33</v>
      </c>
      <c r="R1282" s="11" t="s">
        <v>136</v>
      </c>
      <c r="S1282" s="11" t="s">
        <v>362</v>
      </c>
      <c r="T1282" s="11" t="s">
        <v>2189</v>
      </c>
      <c r="U1282" s="11">
        <v>32404</v>
      </c>
      <c r="V1282" s="12">
        <v>42007</v>
      </c>
      <c r="W1282" s="13" t="str">
        <f>TEXT(Table1[[#This Row],[Order Date]],"mmmm")</f>
        <v>January</v>
      </c>
      <c r="X1282" s="7" t="str">
        <f>TEXT(Table1[[#This Row],[Order Date]],"yyyy")</f>
        <v>2015</v>
      </c>
      <c r="Y1282" s="12">
        <v>42008</v>
      </c>
      <c r="Z1282" s="11">
        <v>244.464</v>
      </c>
      <c r="AA1282" s="11">
        <v>8</v>
      </c>
      <c r="AB1282" s="11">
        <v>92.02</v>
      </c>
      <c r="AC1282" s="11">
        <v>87696</v>
      </c>
      <c r="AD1282" s="6" t="str">
        <f>IF(COUNTIF(Returns!$A$2:$A$1635,Orders!AC1282)&gt;0,"Returned","Not Returned")</f>
        <v>Not Returned</v>
      </c>
    </row>
    <row r="1283" spans="1:30" ht="12.75" customHeight="1" thickTop="1" thickBot="1" x14ac:dyDescent="0.25">
      <c r="A1283" s="8">
        <v>23345</v>
      </c>
      <c r="B1283" s="1" t="s">
        <v>25</v>
      </c>
      <c r="C1283" s="1">
        <v>0.1</v>
      </c>
      <c r="D1283" s="1">
        <v>146.34</v>
      </c>
      <c r="E1283" s="1">
        <v>43.75</v>
      </c>
      <c r="F1283" s="1">
        <v>2302</v>
      </c>
      <c r="G1283" s="6" t="str">
        <f>IF(COUNTIF(Table1[Customer ID],Table1[[#This Row],[Customer ID]])&gt;1,"Repeat Customer","One-Time Customer")</f>
        <v>Repeat Customer</v>
      </c>
      <c r="H1283" s="1" t="s">
        <v>2187</v>
      </c>
      <c r="I1283" s="1" t="s">
        <v>39</v>
      </c>
      <c r="J1283" s="1" t="s">
        <v>28</v>
      </c>
      <c r="K1283" s="1" t="s">
        <v>41</v>
      </c>
      <c r="L1283" s="1" t="s">
        <v>152</v>
      </c>
      <c r="M1283" s="1" t="s">
        <v>121</v>
      </c>
      <c r="N1283" s="1" t="s">
        <v>2190</v>
      </c>
      <c r="O1283" s="1">
        <v>0.64</v>
      </c>
      <c r="P1283" s="6">
        <f>Table1[[#This Row],[Profit]]/Table1[[#This Row],[Sales]]</f>
        <v>-1.6701745723858223</v>
      </c>
      <c r="Q1283" s="1" t="s">
        <v>33</v>
      </c>
      <c r="R1283" s="1" t="s">
        <v>136</v>
      </c>
      <c r="S1283" s="1" t="s">
        <v>362</v>
      </c>
      <c r="T1283" s="1" t="s">
        <v>2189</v>
      </c>
      <c r="U1283" s="1">
        <v>32404</v>
      </c>
      <c r="V1283" s="9">
        <v>42007</v>
      </c>
      <c r="W1283" s="13" t="str">
        <f>TEXT(Table1[[#This Row],[Order Date]],"mmmm")</f>
        <v>January</v>
      </c>
      <c r="X1283" s="7" t="str">
        <f>TEXT(Table1[[#This Row],[Order Date]],"yyyy")</f>
        <v>2015</v>
      </c>
      <c r="Y1283" s="9">
        <v>42008</v>
      </c>
      <c r="Z1283" s="1">
        <v>-473.57799999999997</v>
      </c>
      <c r="AA1283" s="1">
        <v>2</v>
      </c>
      <c r="AB1283" s="1">
        <v>283.55</v>
      </c>
      <c r="AC1283" s="1">
        <v>87696</v>
      </c>
      <c r="AD1283" s="6" t="str">
        <f>IF(COUNTIF(Returns!$A$2:$A$1635,Orders!AC1283)&gt;0,"Returned","Not Returned")</f>
        <v>Not Returned</v>
      </c>
    </row>
    <row r="1284" spans="1:30" ht="12.75" customHeight="1" thickTop="1" thickBot="1" x14ac:dyDescent="0.25">
      <c r="A1284" s="10">
        <v>6673</v>
      </c>
      <c r="B1284" s="11" t="s">
        <v>47</v>
      </c>
      <c r="C1284" s="11">
        <v>7.0000000000000007E-2</v>
      </c>
      <c r="D1284" s="11">
        <v>270.98</v>
      </c>
      <c r="E1284" s="11">
        <v>50</v>
      </c>
      <c r="F1284" s="11">
        <v>2303</v>
      </c>
      <c r="G1284" s="6" t="str">
        <f>IF(COUNTIF(Table1[Customer ID],Table1[[#This Row],[Customer ID]])&gt;1,"Repeat Customer","One-Time Customer")</f>
        <v>Repeat Customer</v>
      </c>
      <c r="H1284" s="11" t="s">
        <v>2191</v>
      </c>
      <c r="I1284" s="11" t="s">
        <v>39</v>
      </c>
      <c r="J1284" s="11" t="s">
        <v>28</v>
      </c>
      <c r="K1284" s="11" t="s">
        <v>41</v>
      </c>
      <c r="L1284" s="11" t="s">
        <v>42</v>
      </c>
      <c r="M1284" s="11" t="s">
        <v>43</v>
      </c>
      <c r="N1284" s="11" t="s">
        <v>2188</v>
      </c>
      <c r="O1284" s="11">
        <v>0.77</v>
      </c>
      <c r="P1284" s="6">
        <f>Table1[[#This Row],[Profit]]/Table1[[#This Row],[Sales]]</f>
        <v>-9.8437301434386743E-3</v>
      </c>
      <c r="Q1284" s="11" t="s">
        <v>33</v>
      </c>
      <c r="R1284" s="11" t="s">
        <v>53</v>
      </c>
      <c r="S1284" s="11" t="s">
        <v>71</v>
      </c>
      <c r="T1284" s="11" t="s">
        <v>90</v>
      </c>
      <c r="U1284" s="11">
        <v>10011</v>
      </c>
      <c r="V1284" s="12">
        <v>42046</v>
      </c>
      <c r="W1284" s="13" t="str">
        <f>TEXT(Table1[[#This Row],[Order Date]],"mmmm")</f>
        <v>February</v>
      </c>
      <c r="X1284" s="7" t="str">
        <f>TEXT(Table1[[#This Row],[Order Date]],"yyyy")</f>
        <v>2015</v>
      </c>
      <c r="Y1284" s="12">
        <v>42048</v>
      </c>
      <c r="Z1284" s="11">
        <v>-96.05</v>
      </c>
      <c r="AA1284" s="11">
        <v>36</v>
      </c>
      <c r="AB1284" s="11">
        <v>9757.48</v>
      </c>
      <c r="AC1284" s="11">
        <v>47493</v>
      </c>
      <c r="AD1284" s="6" t="str">
        <f>IF(COUNTIF(Returns!$A$2:$A$1635,Orders!AC1284)&gt;0,"Returned","Not Returned")</f>
        <v>Not Returned</v>
      </c>
    </row>
    <row r="1285" spans="1:30" ht="12.75" customHeight="1" thickTop="1" thickBot="1" x14ac:dyDescent="0.25">
      <c r="A1285" s="8">
        <v>5345</v>
      </c>
      <c r="B1285" s="1" t="s">
        <v>25</v>
      </c>
      <c r="C1285" s="1">
        <v>0.1</v>
      </c>
      <c r="D1285" s="1">
        <v>146.34</v>
      </c>
      <c r="E1285" s="1">
        <v>43.75</v>
      </c>
      <c r="F1285" s="1">
        <v>2303</v>
      </c>
      <c r="G1285" s="6" t="str">
        <f>IF(COUNTIF(Table1[Customer ID],Table1[[#This Row],[Customer ID]])&gt;1,"Repeat Customer","One-Time Customer")</f>
        <v>Repeat Customer</v>
      </c>
      <c r="H1285" s="1" t="s">
        <v>2191</v>
      </c>
      <c r="I1285" s="1" t="s">
        <v>39</v>
      </c>
      <c r="J1285" s="1" t="s">
        <v>28</v>
      </c>
      <c r="K1285" s="1" t="s">
        <v>41</v>
      </c>
      <c r="L1285" s="1" t="s">
        <v>152</v>
      </c>
      <c r="M1285" s="1" t="s">
        <v>121</v>
      </c>
      <c r="N1285" s="1" t="s">
        <v>2190</v>
      </c>
      <c r="O1285" s="1">
        <v>0.64</v>
      </c>
      <c r="P1285" s="6">
        <f>Table1[[#This Row],[Profit]]/Table1[[#This Row],[Sales]]</f>
        <v>-0.31840731684378826</v>
      </c>
      <c r="Q1285" s="1" t="s">
        <v>33</v>
      </c>
      <c r="R1285" s="1" t="s">
        <v>53</v>
      </c>
      <c r="S1285" s="1" t="s">
        <v>71</v>
      </c>
      <c r="T1285" s="1" t="s">
        <v>90</v>
      </c>
      <c r="U1285" s="1">
        <v>10011</v>
      </c>
      <c r="V1285" s="9">
        <v>42007</v>
      </c>
      <c r="W1285" s="13" t="str">
        <f>TEXT(Table1[[#This Row],[Order Date]],"mmmm")</f>
        <v>January</v>
      </c>
      <c r="X1285" s="7" t="str">
        <f>TEXT(Table1[[#This Row],[Order Date]],"yyyy")</f>
        <v>2015</v>
      </c>
      <c r="Y1285" s="9">
        <v>42008</v>
      </c>
      <c r="Z1285" s="1">
        <v>-270.85000000000002</v>
      </c>
      <c r="AA1285" s="1">
        <v>6</v>
      </c>
      <c r="AB1285" s="1">
        <v>850.64</v>
      </c>
      <c r="AC1285" s="1">
        <v>37987</v>
      </c>
      <c r="AD1285" s="6" t="str">
        <f>IF(COUNTIF(Returns!$A$2:$A$1635,Orders!AC1285)&gt;0,"Returned","Not Returned")</f>
        <v>Not Returned</v>
      </c>
    </row>
    <row r="1286" spans="1:30" ht="12.75" customHeight="1" thickTop="1" thickBot="1" x14ac:dyDescent="0.25">
      <c r="A1286" s="10">
        <v>19934</v>
      </c>
      <c r="B1286" s="11" t="s">
        <v>25</v>
      </c>
      <c r="C1286" s="11">
        <v>0</v>
      </c>
      <c r="D1286" s="11">
        <v>90.48</v>
      </c>
      <c r="E1286" s="11">
        <v>19.989999999999998</v>
      </c>
      <c r="F1286" s="11">
        <v>2305</v>
      </c>
      <c r="G1286" s="6" t="str">
        <f>IF(COUNTIF(Table1[Customer ID],Table1[[#This Row],[Customer ID]])&gt;1,"Repeat Customer","One-Time Customer")</f>
        <v>One-Time Customer</v>
      </c>
      <c r="H1286" s="11" t="s">
        <v>2192</v>
      </c>
      <c r="I1286" s="11" t="s">
        <v>49</v>
      </c>
      <c r="J1286" s="11" t="s">
        <v>58</v>
      </c>
      <c r="K1286" s="11" t="s">
        <v>29</v>
      </c>
      <c r="L1286" s="11" t="s">
        <v>69</v>
      </c>
      <c r="M1286" s="11" t="s">
        <v>59</v>
      </c>
      <c r="N1286" s="11" t="s">
        <v>1840</v>
      </c>
      <c r="O1286" s="11">
        <v>0.4</v>
      </c>
      <c r="P1286" s="6">
        <f>Table1[[#This Row],[Profit]]/Table1[[#This Row],[Sales]]</f>
        <v>0.69</v>
      </c>
      <c r="Q1286" s="11" t="s">
        <v>33</v>
      </c>
      <c r="R1286" s="11" t="s">
        <v>61</v>
      </c>
      <c r="S1286" s="11" t="s">
        <v>2193</v>
      </c>
      <c r="T1286" s="11" t="s">
        <v>456</v>
      </c>
      <c r="U1286" s="11">
        <v>57201</v>
      </c>
      <c r="V1286" s="12">
        <v>42176</v>
      </c>
      <c r="W1286" s="13" t="str">
        <f>TEXT(Table1[[#This Row],[Order Date]],"mmmm")</f>
        <v>June</v>
      </c>
      <c r="X1286" s="7" t="str">
        <f>TEXT(Table1[[#This Row],[Order Date]],"yyyy")</f>
        <v>2015</v>
      </c>
      <c r="Y1286" s="12">
        <v>42179</v>
      </c>
      <c r="Z1286" s="11">
        <v>800.25509999999986</v>
      </c>
      <c r="AA1286" s="11">
        <v>12</v>
      </c>
      <c r="AB1286" s="11">
        <v>1159.79</v>
      </c>
      <c r="AC1286" s="11">
        <v>89869</v>
      </c>
      <c r="AD1286" s="6" t="str">
        <f>IF(COUNTIF(Returns!$A$2:$A$1635,Orders!AC1286)&gt;0,"Returned","Not Returned")</f>
        <v>Not Returned</v>
      </c>
    </row>
    <row r="1287" spans="1:30" ht="12.75" customHeight="1" thickTop="1" thickBot="1" x14ac:dyDescent="0.25">
      <c r="A1287" s="8">
        <v>23313</v>
      </c>
      <c r="B1287" s="1" t="s">
        <v>106</v>
      </c>
      <c r="C1287" s="1">
        <v>0.08</v>
      </c>
      <c r="D1287" s="1">
        <v>9.48</v>
      </c>
      <c r="E1287" s="1">
        <v>7.29</v>
      </c>
      <c r="F1287" s="1">
        <v>2308</v>
      </c>
      <c r="G1287" s="6" t="str">
        <f>IF(COUNTIF(Table1[Customer ID],Table1[[#This Row],[Customer ID]])&gt;1,"Repeat Customer","One-Time Customer")</f>
        <v>Repeat Customer</v>
      </c>
      <c r="H1287" s="1" t="s">
        <v>2194</v>
      </c>
      <c r="I1287" s="1" t="s">
        <v>49</v>
      </c>
      <c r="J1287" s="1" t="s">
        <v>58</v>
      </c>
      <c r="K1287" s="1" t="s">
        <v>41</v>
      </c>
      <c r="L1287" s="1" t="s">
        <v>50</v>
      </c>
      <c r="M1287" s="1" t="s">
        <v>51</v>
      </c>
      <c r="N1287" s="1" t="s">
        <v>52</v>
      </c>
      <c r="O1287" s="1">
        <v>0.45</v>
      </c>
      <c r="P1287" s="6">
        <f>Table1[[#This Row],[Profit]]/Table1[[#This Row],[Sales]]</f>
        <v>-2.4925816023738872</v>
      </c>
      <c r="Q1287" s="1" t="s">
        <v>33</v>
      </c>
      <c r="R1287" s="1" t="s">
        <v>136</v>
      </c>
      <c r="S1287" s="1" t="s">
        <v>362</v>
      </c>
      <c r="T1287" s="1" t="s">
        <v>2195</v>
      </c>
      <c r="U1287" s="1">
        <v>33971</v>
      </c>
      <c r="V1287" s="9">
        <v>42087</v>
      </c>
      <c r="W1287" s="13" t="str">
        <f>TEXT(Table1[[#This Row],[Order Date]],"mmmm")</f>
        <v>March</v>
      </c>
      <c r="X1287" s="7" t="str">
        <f>TEXT(Table1[[#This Row],[Order Date]],"yyyy")</f>
        <v>2015</v>
      </c>
      <c r="Y1287" s="9">
        <v>42089</v>
      </c>
      <c r="Z1287" s="1">
        <v>-50.4</v>
      </c>
      <c r="AA1287" s="1">
        <v>2</v>
      </c>
      <c r="AB1287" s="1">
        <v>20.22</v>
      </c>
      <c r="AC1287" s="1">
        <v>90557</v>
      </c>
      <c r="AD1287" s="6" t="str">
        <f>IF(COUNTIF(Returns!$A$2:$A$1635,Orders!AC1287)&gt;0,"Returned","Not Returned")</f>
        <v>Not Returned</v>
      </c>
    </row>
    <row r="1288" spans="1:30" ht="12.75" customHeight="1" thickTop="1" thickBot="1" x14ac:dyDescent="0.25">
      <c r="A1288" s="10">
        <v>23314</v>
      </c>
      <c r="B1288" s="11" t="s">
        <v>106</v>
      </c>
      <c r="C1288" s="11">
        <v>0.03</v>
      </c>
      <c r="D1288" s="11">
        <v>193.17</v>
      </c>
      <c r="E1288" s="11">
        <v>19.989999999999998</v>
      </c>
      <c r="F1288" s="11">
        <v>2308</v>
      </c>
      <c r="G1288" s="6" t="str">
        <f>IF(COUNTIF(Table1[Customer ID],Table1[[#This Row],[Customer ID]])&gt;1,"Repeat Customer","One-Time Customer")</f>
        <v>Repeat Customer</v>
      </c>
      <c r="H1288" s="11" t="s">
        <v>2194</v>
      </c>
      <c r="I1288" s="11" t="s">
        <v>49</v>
      </c>
      <c r="J1288" s="11" t="s">
        <v>58</v>
      </c>
      <c r="K1288" s="11" t="s">
        <v>29</v>
      </c>
      <c r="L1288" s="11" t="s">
        <v>141</v>
      </c>
      <c r="M1288" s="11" t="s">
        <v>59</v>
      </c>
      <c r="N1288" s="11" t="s">
        <v>1523</v>
      </c>
      <c r="O1288" s="11">
        <v>0.71</v>
      </c>
      <c r="P1288" s="6">
        <f>Table1[[#This Row],[Profit]]/Table1[[#This Row],[Sales]]</f>
        <v>-0.22515219791216098</v>
      </c>
      <c r="Q1288" s="11" t="s">
        <v>33</v>
      </c>
      <c r="R1288" s="11" t="s">
        <v>136</v>
      </c>
      <c r="S1288" s="11" t="s">
        <v>362</v>
      </c>
      <c r="T1288" s="11" t="s">
        <v>2195</v>
      </c>
      <c r="U1288" s="11">
        <v>33971</v>
      </c>
      <c r="V1288" s="12">
        <v>42087</v>
      </c>
      <c r="W1288" s="13" t="str">
        <f>TEXT(Table1[[#This Row],[Order Date]],"mmmm")</f>
        <v>March</v>
      </c>
      <c r="X1288" s="7" t="str">
        <f>TEXT(Table1[[#This Row],[Order Date]],"yyyy")</f>
        <v>2015</v>
      </c>
      <c r="Y1288" s="12">
        <v>42091</v>
      </c>
      <c r="Z1288" s="11">
        <v>-348.75400000000002</v>
      </c>
      <c r="AA1288" s="11">
        <v>8</v>
      </c>
      <c r="AB1288" s="11">
        <v>1548.97</v>
      </c>
      <c r="AC1288" s="11">
        <v>90557</v>
      </c>
      <c r="AD1288" s="6" t="str">
        <f>IF(COUNTIF(Returns!$A$2:$A$1635,Orders!AC1288)&gt;0,"Returned","Not Returned")</f>
        <v>Not Returned</v>
      </c>
    </row>
    <row r="1289" spans="1:30" ht="12.75" customHeight="1" thickTop="1" thickBot="1" x14ac:dyDescent="0.25">
      <c r="A1289" s="8">
        <v>26048</v>
      </c>
      <c r="B1289" s="1" t="s">
        <v>25</v>
      </c>
      <c r="C1289" s="1">
        <v>0.08</v>
      </c>
      <c r="D1289" s="1">
        <v>68.81</v>
      </c>
      <c r="E1289" s="1">
        <v>60</v>
      </c>
      <c r="F1289" s="1">
        <v>2323</v>
      </c>
      <c r="G1289" s="6" t="str">
        <f>IF(COUNTIF(Table1[Customer ID],Table1[[#This Row],[Customer ID]])&gt;1,"Repeat Customer","One-Time Customer")</f>
        <v>Repeat Customer</v>
      </c>
      <c r="H1289" s="1" t="s">
        <v>2196</v>
      </c>
      <c r="I1289" s="1" t="s">
        <v>39</v>
      </c>
      <c r="J1289" s="1" t="s">
        <v>58</v>
      </c>
      <c r="K1289" s="1" t="s">
        <v>29</v>
      </c>
      <c r="L1289" s="1" t="s">
        <v>257</v>
      </c>
      <c r="M1289" s="1" t="s">
        <v>43</v>
      </c>
      <c r="N1289" s="1" t="s">
        <v>2197</v>
      </c>
      <c r="O1289" s="1">
        <v>0.41</v>
      </c>
      <c r="P1289" s="6">
        <f>Table1[[#This Row],[Profit]]/Table1[[#This Row],[Sales]]</f>
        <v>-1.6291659267152072</v>
      </c>
      <c r="Q1289" s="1" t="s">
        <v>33</v>
      </c>
      <c r="R1289" s="1" t="s">
        <v>34</v>
      </c>
      <c r="S1289" s="1" t="s">
        <v>45</v>
      </c>
      <c r="T1289" s="1" t="s">
        <v>2198</v>
      </c>
      <c r="U1289" s="1">
        <v>92236</v>
      </c>
      <c r="V1289" s="9">
        <v>42079</v>
      </c>
      <c r="W1289" s="13" t="str">
        <f>TEXT(Table1[[#This Row],[Order Date]],"mmmm")</f>
        <v>March</v>
      </c>
      <c r="X1289" s="7" t="str">
        <f>TEXT(Table1[[#This Row],[Order Date]],"yyyy")</f>
        <v>2015</v>
      </c>
      <c r="Y1289" s="9">
        <v>42080</v>
      </c>
      <c r="Z1289" s="1">
        <v>-550.42999999999995</v>
      </c>
      <c r="AA1289" s="1">
        <v>5</v>
      </c>
      <c r="AB1289" s="1">
        <v>337.86</v>
      </c>
      <c r="AC1289" s="1">
        <v>88721</v>
      </c>
      <c r="AD1289" s="6" t="str">
        <f>IF(COUNTIF(Returns!$A$2:$A$1635,Orders!AC1289)&gt;0,"Returned","Not Returned")</f>
        <v>Not Returned</v>
      </c>
    </row>
    <row r="1290" spans="1:30" ht="12.75" customHeight="1" thickTop="1" thickBot="1" x14ac:dyDescent="0.25">
      <c r="A1290" s="10">
        <v>26049</v>
      </c>
      <c r="B1290" s="11" t="s">
        <v>25</v>
      </c>
      <c r="C1290" s="11">
        <v>0.04</v>
      </c>
      <c r="D1290" s="11">
        <v>21.38</v>
      </c>
      <c r="E1290" s="11">
        <v>8.99</v>
      </c>
      <c r="F1290" s="11">
        <v>2323</v>
      </c>
      <c r="G1290" s="6" t="str">
        <f>IF(COUNTIF(Table1[Customer ID],Table1[[#This Row],[Customer ID]])&gt;1,"Repeat Customer","One-Time Customer")</f>
        <v>Repeat Customer</v>
      </c>
      <c r="H1290" s="11" t="s">
        <v>2196</v>
      </c>
      <c r="I1290" s="11" t="s">
        <v>49</v>
      </c>
      <c r="J1290" s="11" t="s">
        <v>58</v>
      </c>
      <c r="K1290" s="11" t="s">
        <v>29</v>
      </c>
      <c r="L1290" s="11" t="s">
        <v>30</v>
      </c>
      <c r="M1290" s="11" t="s">
        <v>51</v>
      </c>
      <c r="N1290" s="11" t="s">
        <v>2199</v>
      </c>
      <c r="O1290" s="11">
        <v>0.59</v>
      </c>
      <c r="P1290" s="6">
        <f>Table1[[#This Row],[Profit]]/Table1[[#This Row],[Sales]]</f>
        <v>-0.61892886830542693</v>
      </c>
      <c r="Q1290" s="11" t="s">
        <v>33</v>
      </c>
      <c r="R1290" s="11" t="s">
        <v>34</v>
      </c>
      <c r="S1290" s="11" t="s">
        <v>45</v>
      </c>
      <c r="T1290" s="11" t="s">
        <v>2198</v>
      </c>
      <c r="U1290" s="11">
        <v>92236</v>
      </c>
      <c r="V1290" s="12">
        <v>42079</v>
      </c>
      <c r="W1290" s="13" t="str">
        <f>TEXT(Table1[[#This Row],[Order Date]],"mmmm")</f>
        <v>March</v>
      </c>
      <c r="X1290" s="7" t="str">
        <f>TEXT(Table1[[#This Row],[Order Date]],"yyyy")</f>
        <v>2015</v>
      </c>
      <c r="Y1290" s="12">
        <v>42081</v>
      </c>
      <c r="Z1290" s="11">
        <v>-52.12</v>
      </c>
      <c r="AA1290" s="11">
        <v>4</v>
      </c>
      <c r="AB1290" s="11">
        <v>84.21</v>
      </c>
      <c r="AC1290" s="11">
        <v>88721</v>
      </c>
      <c r="AD1290" s="6" t="str">
        <f>IF(COUNTIF(Returns!$A$2:$A$1635,Orders!AC1290)&gt;0,"Returned","Not Returned")</f>
        <v>Not Returned</v>
      </c>
    </row>
    <row r="1291" spans="1:30" ht="12.75" customHeight="1" thickTop="1" thickBot="1" x14ac:dyDescent="0.25">
      <c r="A1291" s="8">
        <v>23053</v>
      </c>
      <c r="B1291" s="1" t="s">
        <v>37</v>
      </c>
      <c r="C1291" s="1">
        <v>0.06</v>
      </c>
      <c r="D1291" s="1">
        <v>4.9800000000000004</v>
      </c>
      <c r="E1291" s="1">
        <v>4.62</v>
      </c>
      <c r="F1291" s="1">
        <v>2323</v>
      </c>
      <c r="G1291" s="6" t="str">
        <f>IF(COUNTIF(Table1[Customer ID],Table1[[#This Row],[Customer ID]])&gt;1,"Repeat Customer","One-Time Customer")</f>
        <v>Repeat Customer</v>
      </c>
      <c r="H1291" s="1" t="s">
        <v>2196</v>
      </c>
      <c r="I1291" s="1" t="s">
        <v>27</v>
      </c>
      <c r="J1291" s="1" t="s">
        <v>58</v>
      </c>
      <c r="K1291" s="1" t="s">
        <v>77</v>
      </c>
      <c r="L1291" s="1" t="s">
        <v>180</v>
      </c>
      <c r="M1291" s="1" t="s">
        <v>51</v>
      </c>
      <c r="N1291" s="1" t="s">
        <v>411</v>
      </c>
      <c r="O1291" s="1">
        <v>0.64</v>
      </c>
      <c r="P1291" s="6">
        <f>Table1[[#This Row],[Profit]]/Table1[[#This Row],[Sales]]</f>
        <v>-0.69708311822405777</v>
      </c>
      <c r="Q1291" s="1" t="s">
        <v>33</v>
      </c>
      <c r="R1291" s="1" t="s">
        <v>34</v>
      </c>
      <c r="S1291" s="1" t="s">
        <v>45</v>
      </c>
      <c r="T1291" s="1" t="s">
        <v>2198</v>
      </c>
      <c r="U1291" s="1">
        <v>92236</v>
      </c>
      <c r="V1291" s="9">
        <v>42174</v>
      </c>
      <c r="W1291" s="13" t="str">
        <f>TEXT(Table1[[#This Row],[Order Date]],"mmmm")</f>
        <v>June</v>
      </c>
      <c r="X1291" s="7" t="str">
        <f>TEXT(Table1[[#This Row],[Order Date]],"yyyy")</f>
        <v>2015</v>
      </c>
      <c r="Y1291" s="9">
        <v>42174</v>
      </c>
      <c r="Z1291" s="1">
        <v>-27.004999999999999</v>
      </c>
      <c r="AA1291" s="1">
        <v>7</v>
      </c>
      <c r="AB1291" s="1">
        <v>38.74</v>
      </c>
      <c r="AC1291" s="1">
        <v>88722</v>
      </c>
      <c r="AD1291" s="6" t="str">
        <f>IF(COUNTIF(Returns!$A$2:$A$1635,Orders!AC1291)&gt;0,"Returned","Not Returned")</f>
        <v>Not Returned</v>
      </c>
    </row>
    <row r="1292" spans="1:30" ht="12.75" customHeight="1" thickTop="1" thickBot="1" x14ac:dyDescent="0.25">
      <c r="A1292" s="10">
        <v>25456</v>
      </c>
      <c r="B1292" s="11" t="s">
        <v>56</v>
      </c>
      <c r="C1292" s="11">
        <v>0.06</v>
      </c>
      <c r="D1292" s="11">
        <v>28.53</v>
      </c>
      <c r="E1292" s="11">
        <v>1.49</v>
      </c>
      <c r="F1292" s="11">
        <v>2330</v>
      </c>
      <c r="G1292" s="6" t="str">
        <f>IF(COUNTIF(Table1[Customer ID],Table1[[#This Row],[Customer ID]])&gt;1,"Repeat Customer","One-Time Customer")</f>
        <v>One-Time Customer</v>
      </c>
      <c r="H1292" s="11" t="s">
        <v>2200</v>
      </c>
      <c r="I1292" s="11" t="s">
        <v>49</v>
      </c>
      <c r="J1292" s="11" t="s">
        <v>40</v>
      </c>
      <c r="K1292" s="11" t="s">
        <v>29</v>
      </c>
      <c r="L1292" s="11" t="s">
        <v>109</v>
      </c>
      <c r="M1292" s="11" t="s">
        <v>59</v>
      </c>
      <c r="N1292" s="11" t="s">
        <v>332</v>
      </c>
      <c r="O1292" s="11">
        <v>0.38</v>
      </c>
      <c r="P1292" s="6">
        <f>Table1[[#This Row],[Profit]]/Table1[[#This Row],[Sales]]</f>
        <v>0.55662987545678277</v>
      </c>
      <c r="Q1292" s="11" t="s">
        <v>33</v>
      </c>
      <c r="R1292" s="11" t="s">
        <v>61</v>
      </c>
      <c r="S1292" s="11" t="s">
        <v>330</v>
      </c>
      <c r="T1292" s="11" t="s">
        <v>2201</v>
      </c>
      <c r="U1292" s="11">
        <v>52302</v>
      </c>
      <c r="V1292" s="12">
        <v>42087</v>
      </c>
      <c r="W1292" s="13" t="str">
        <f>TEXT(Table1[[#This Row],[Order Date]],"mmmm")</f>
        <v>March</v>
      </c>
      <c r="X1292" s="7" t="str">
        <f>TEXT(Table1[[#This Row],[Order Date]],"yyyy")</f>
        <v>2015</v>
      </c>
      <c r="Y1292" s="12">
        <v>42090</v>
      </c>
      <c r="Z1292" s="11">
        <v>74.638500000000008</v>
      </c>
      <c r="AA1292" s="11">
        <v>5</v>
      </c>
      <c r="AB1292" s="11">
        <v>134.09</v>
      </c>
      <c r="AC1292" s="11">
        <v>90964</v>
      </c>
      <c r="AD1292" s="6" t="str">
        <f>IF(COUNTIF(Returns!$A$2:$A$1635,Orders!AC1292)&gt;0,"Returned","Not Returned")</f>
        <v>Not Returned</v>
      </c>
    </row>
    <row r="1293" spans="1:30" ht="12.75" customHeight="1" thickTop="1" thickBot="1" x14ac:dyDescent="0.25">
      <c r="A1293" s="8">
        <v>19441</v>
      </c>
      <c r="B1293" s="1" t="s">
        <v>25</v>
      </c>
      <c r="C1293" s="1">
        <v>0.06</v>
      </c>
      <c r="D1293" s="1">
        <v>180.98</v>
      </c>
      <c r="E1293" s="1">
        <v>26.2</v>
      </c>
      <c r="F1293" s="1">
        <v>2333</v>
      </c>
      <c r="G1293" s="6" t="str">
        <f>IF(COUNTIF(Table1[Customer ID],Table1[[#This Row],[Customer ID]])&gt;1,"Repeat Customer","One-Time Customer")</f>
        <v>One-Time Customer</v>
      </c>
      <c r="H1293" s="1" t="s">
        <v>2202</v>
      </c>
      <c r="I1293" s="1" t="s">
        <v>39</v>
      </c>
      <c r="J1293" s="1" t="s">
        <v>58</v>
      </c>
      <c r="K1293" s="1" t="s">
        <v>41</v>
      </c>
      <c r="L1293" s="1" t="s">
        <v>42</v>
      </c>
      <c r="M1293" s="1" t="s">
        <v>43</v>
      </c>
      <c r="N1293" s="1" t="s">
        <v>241</v>
      </c>
      <c r="O1293" s="1">
        <v>0.59</v>
      </c>
      <c r="P1293" s="6">
        <f>Table1[[#This Row],[Profit]]/Table1[[#This Row],[Sales]]</f>
        <v>-0.63753716163354723</v>
      </c>
      <c r="Q1293" s="1" t="s">
        <v>33</v>
      </c>
      <c r="R1293" s="1" t="s">
        <v>61</v>
      </c>
      <c r="S1293" s="1" t="s">
        <v>1858</v>
      </c>
      <c r="T1293" s="1" t="s">
        <v>2203</v>
      </c>
      <c r="U1293" s="1">
        <v>54302</v>
      </c>
      <c r="V1293" s="9">
        <v>42178</v>
      </c>
      <c r="W1293" s="13" t="str">
        <f>TEXT(Table1[[#This Row],[Order Date]],"mmmm")</f>
        <v>June</v>
      </c>
      <c r="X1293" s="7" t="str">
        <f>TEXT(Table1[[#This Row],[Order Date]],"yyyy")</f>
        <v>2015</v>
      </c>
      <c r="Y1293" s="9">
        <v>42179</v>
      </c>
      <c r="Z1293" s="1">
        <v>-122.235</v>
      </c>
      <c r="AA1293" s="1">
        <v>1</v>
      </c>
      <c r="AB1293" s="1">
        <v>191.73</v>
      </c>
      <c r="AC1293" s="1">
        <v>89611</v>
      </c>
      <c r="AD1293" s="6" t="str">
        <f>IF(COUNTIF(Returns!$A$2:$A$1635,Orders!AC1293)&gt;0,"Returned","Not Returned")</f>
        <v>Not Returned</v>
      </c>
    </row>
    <row r="1294" spans="1:30" ht="12.75" customHeight="1" thickTop="1" thickBot="1" x14ac:dyDescent="0.25">
      <c r="A1294" s="10">
        <v>23721</v>
      </c>
      <c r="B1294" s="11" t="s">
        <v>106</v>
      </c>
      <c r="C1294" s="11">
        <v>0.06</v>
      </c>
      <c r="D1294" s="11">
        <v>60.65</v>
      </c>
      <c r="E1294" s="11">
        <v>12.23</v>
      </c>
      <c r="F1294" s="11">
        <v>2334</v>
      </c>
      <c r="G1294" s="6" t="str">
        <f>IF(COUNTIF(Table1[Customer ID],Table1[[#This Row],[Customer ID]])&gt;1,"Repeat Customer","One-Time Customer")</f>
        <v>Repeat Customer</v>
      </c>
      <c r="H1294" s="11" t="s">
        <v>2204</v>
      </c>
      <c r="I1294" s="11" t="s">
        <v>49</v>
      </c>
      <c r="J1294" s="11" t="s">
        <v>114</v>
      </c>
      <c r="K1294" s="11" t="s">
        <v>41</v>
      </c>
      <c r="L1294" s="11" t="s">
        <v>50</v>
      </c>
      <c r="M1294" s="11" t="s">
        <v>86</v>
      </c>
      <c r="N1294" s="11" t="s">
        <v>1761</v>
      </c>
      <c r="O1294" s="11">
        <v>0.64</v>
      </c>
      <c r="P1294" s="6">
        <f>Table1[[#This Row],[Profit]]/Table1[[#This Row],[Sales]]</f>
        <v>0.69</v>
      </c>
      <c r="Q1294" s="11" t="s">
        <v>33</v>
      </c>
      <c r="R1294" s="11" t="s">
        <v>61</v>
      </c>
      <c r="S1294" s="11" t="s">
        <v>1858</v>
      </c>
      <c r="T1294" s="11" t="s">
        <v>2205</v>
      </c>
      <c r="U1294" s="11">
        <v>53220</v>
      </c>
      <c r="V1294" s="12">
        <v>42100</v>
      </c>
      <c r="W1294" s="13" t="str">
        <f>TEXT(Table1[[#This Row],[Order Date]],"mmmm")</f>
        <v>April</v>
      </c>
      <c r="X1294" s="7" t="str">
        <f>TEXT(Table1[[#This Row],[Order Date]],"yyyy")</f>
        <v>2015</v>
      </c>
      <c r="Y1294" s="12">
        <v>42102</v>
      </c>
      <c r="Z1294" s="11">
        <v>427.00649999999996</v>
      </c>
      <c r="AA1294" s="11">
        <v>10</v>
      </c>
      <c r="AB1294" s="11">
        <v>618.85</v>
      </c>
      <c r="AC1294" s="11">
        <v>89608</v>
      </c>
      <c r="AD1294" s="6" t="str">
        <f>IF(COUNTIF(Returns!$A$2:$A$1635,Orders!AC1294)&gt;0,"Returned","Not Returned")</f>
        <v>Not Returned</v>
      </c>
    </row>
    <row r="1295" spans="1:30" ht="12.75" customHeight="1" thickTop="1" thickBot="1" x14ac:dyDescent="0.25">
      <c r="A1295" s="8">
        <v>23693</v>
      </c>
      <c r="B1295" s="1" t="s">
        <v>37</v>
      </c>
      <c r="C1295" s="1">
        <v>0.05</v>
      </c>
      <c r="D1295" s="1">
        <v>14.81</v>
      </c>
      <c r="E1295" s="1">
        <v>13.32</v>
      </c>
      <c r="F1295" s="1">
        <v>2334</v>
      </c>
      <c r="G1295" s="6" t="str">
        <f>IF(COUNTIF(Table1[Customer ID],Table1[[#This Row],[Customer ID]])&gt;1,"Repeat Customer","One-Time Customer")</f>
        <v>Repeat Customer</v>
      </c>
      <c r="H1295" s="1" t="s">
        <v>2204</v>
      </c>
      <c r="I1295" s="1" t="s">
        <v>49</v>
      </c>
      <c r="J1295" s="1" t="s">
        <v>58</v>
      </c>
      <c r="K1295" s="1" t="s">
        <v>29</v>
      </c>
      <c r="L1295" s="1" t="s">
        <v>257</v>
      </c>
      <c r="M1295" s="1" t="s">
        <v>59</v>
      </c>
      <c r="N1295" s="1" t="s">
        <v>833</v>
      </c>
      <c r="O1295" s="1">
        <v>0.43</v>
      </c>
      <c r="P1295" s="6">
        <f>Table1[[#This Row],[Profit]]/Table1[[#This Row],[Sales]]</f>
        <v>-1.6422967497198036</v>
      </c>
      <c r="Q1295" s="1" t="s">
        <v>33</v>
      </c>
      <c r="R1295" s="1" t="s">
        <v>61</v>
      </c>
      <c r="S1295" s="1" t="s">
        <v>1858</v>
      </c>
      <c r="T1295" s="1" t="s">
        <v>2205</v>
      </c>
      <c r="U1295" s="1">
        <v>53220</v>
      </c>
      <c r="V1295" s="9">
        <v>42103</v>
      </c>
      <c r="W1295" s="13" t="str">
        <f>TEXT(Table1[[#This Row],[Order Date]],"mmmm")</f>
        <v>April</v>
      </c>
      <c r="X1295" s="7" t="str">
        <f>TEXT(Table1[[#This Row],[Order Date]],"yyyy")</f>
        <v>2015</v>
      </c>
      <c r="Y1295" s="9">
        <v>42105</v>
      </c>
      <c r="Z1295" s="1">
        <v>-190.49</v>
      </c>
      <c r="AA1295" s="1">
        <v>8</v>
      </c>
      <c r="AB1295" s="1">
        <v>115.99</v>
      </c>
      <c r="AC1295" s="1">
        <v>89609</v>
      </c>
      <c r="AD1295" s="6" t="str">
        <f>IF(COUNTIF(Returns!$A$2:$A$1635,Orders!AC1295)&gt;0,"Returned","Not Returned")</f>
        <v>Not Returned</v>
      </c>
    </row>
    <row r="1296" spans="1:30" ht="12.75" customHeight="1" thickTop="1" thickBot="1" x14ac:dyDescent="0.25">
      <c r="A1296" s="10">
        <v>23694</v>
      </c>
      <c r="B1296" s="11" t="s">
        <v>37</v>
      </c>
      <c r="C1296" s="11">
        <v>0.08</v>
      </c>
      <c r="D1296" s="11">
        <v>2.78</v>
      </c>
      <c r="E1296" s="11">
        <v>1.25</v>
      </c>
      <c r="F1296" s="11">
        <v>2334</v>
      </c>
      <c r="G1296" s="6" t="str">
        <f>IF(COUNTIF(Table1[Customer ID],Table1[[#This Row],[Customer ID]])&gt;1,"Repeat Customer","One-Time Customer")</f>
        <v>Repeat Customer</v>
      </c>
      <c r="H1296" s="11" t="s">
        <v>2204</v>
      </c>
      <c r="I1296" s="11" t="s">
        <v>49</v>
      </c>
      <c r="J1296" s="11" t="s">
        <v>58</v>
      </c>
      <c r="K1296" s="11" t="s">
        <v>29</v>
      </c>
      <c r="L1296" s="11" t="s">
        <v>30</v>
      </c>
      <c r="M1296" s="11" t="s">
        <v>31</v>
      </c>
      <c r="N1296" s="11" t="s">
        <v>2206</v>
      </c>
      <c r="O1296" s="11">
        <v>0.59</v>
      </c>
      <c r="P1296" s="6">
        <f>Table1[[#This Row],[Profit]]/Table1[[#This Row],[Sales]]</f>
        <v>-0.45066803699897223</v>
      </c>
      <c r="Q1296" s="11" t="s">
        <v>33</v>
      </c>
      <c r="R1296" s="11" t="s">
        <v>61</v>
      </c>
      <c r="S1296" s="11" t="s">
        <v>1858</v>
      </c>
      <c r="T1296" s="11" t="s">
        <v>2205</v>
      </c>
      <c r="U1296" s="11">
        <v>53220</v>
      </c>
      <c r="V1296" s="12">
        <v>42103</v>
      </c>
      <c r="W1296" s="13" t="str">
        <f>TEXT(Table1[[#This Row],[Order Date]],"mmmm")</f>
        <v>April</v>
      </c>
      <c r="X1296" s="7" t="str">
        <f>TEXT(Table1[[#This Row],[Order Date]],"yyyy")</f>
        <v>2015</v>
      </c>
      <c r="Y1296" s="12">
        <v>42104</v>
      </c>
      <c r="Z1296" s="11">
        <v>-8.77</v>
      </c>
      <c r="AA1296" s="11">
        <v>7</v>
      </c>
      <c r="AB1296" s="11">
        <v>19.46</v>
      </c>
      <c r="AC1296" s="11">
        <v>89609</v>
      </c>
      <c r="AD1296" s="6" t="str">
        <f>IF(COUNTIF(Returns!$A$2:$A$1635,Orders!AC1296)&gt;0,"Returned","Not Returned")</f>
        <v>Not Returned</v>
      </c>
    </row>
    <row r="1297" spans="1:30" ht="12.75" customHeight="1" thickTop="1" thickBot="1" x14ac:dyDescent="0.25">
      <c r="A1297" s="8">
        <v>24952</v>
      </c>
      <c r="B1297" s="1" t="s">
        <v>106</v>
      </c>
      <c r="C1297" s="1">
        <v>0.06</v>
      </c>
      <c r="D1297" s="1">
        <v>3.74</v>
      </c>
      <c r="E1297" s="1">
        <v>0.94</v>
      </c>
      <c r="F1297" s="1">
        <v>2334</v>
      </c>
      <c r="G1297" s="6" t="str">
        <f>IF(COUNTIF(Table1[Customer ID],Table1[[#This Row],[Customer ID]])&gt;1,"Repeat Customer","One-Time Customer")</f>
        <v>Repeat Customer</v>
      </c>
      <c r="H1297" s="1" t="s">
        <v>2204</v>
      </c>
      <c r="I1297" s="1" t="s">
        <v>49</v>
      </c>
      <c r="J1297" s="1" t="s">
        <v>40</v>
      </c>
      <c r="K1297" s="1" t="s">
        <v>29</v>
      </c>
      <c r="L1297" s="1" t="s">
        <v>66</v>
      </c>
      <c r="M1297" s="1" t="s">
        <v>31</v>
      </c>
      <c r="N1297" s="1" t="s">
        <v>2207</v>
      </c>
      <c r="O1297" s="1">
        <v>0.83</v>
      </c>
      <c r="P1297" s="6">
        <f>Table1[[#This Row],[Profit]]/Table1[[#This Row],[Sales]]</f>
        <v>-0.17173184357541899</v>
      </c>
      <c r="Q1297" s="1" t="s">
        <v>33</v>
      </c>
      <c r="R1297" s="1" t="s">
        <v>61</v>
      </c>
      <c r="S1297" s="1" t="s">
        <v>1858</v>
      </c>
      <c r="T1297" s="1" t="s">
        <v>2205</v>
      </c>
      <c r="U1297" s="1">
        <v>53220</v>
      </c>
      <c r="V1297" s="9">
        <v>42157</v>
      </c>
      <c r="W1297" s="13" t="str">
        <f>TEXT(Table1[[#This Row],[Order Date]],"mmmm")</f>
        <v>June</v>
      </c>
      <c r="X1297" s="7" t="str">
        <f>TEXT(Table1[[#This Row],[Order Date]],"yyyy")</f>
        <v>2015</v>
      </c>
      <c r="Y1297" s="9">
        <v>42164</v>
      </c>
      <c r="Z1297" s="1">
        <v>-7.6849999999999996</v>
      </c>
      <c r="AA1297" s="1">
        <v>12</v>
      </c>
      <c r="AB1297" s="1">
        <v>44.75</v>
      </c>
      <c r="AC1297" s="1">
        <v>89610</v>
      </c>
      <c r="AD1297" s="6" t="str">
        <f>IF(COUNTIF(Returns!$A$2:$A$1635,Orders!AC1297)&gt;0,"Returned","Not Returned")</f>
        <v>Not Returned</v>
      </c>
    </row>
    <row r="1298" spans="1:30" ht="12.75" customHeight="1" thickTop="1" thickBot="1" x14ac:dyDescent="0.25">
      <c r="A1298" s="10">
        <v>25241</v>
      </c>
      <c r="B1298" s="11" t="s">
        <v>47</v>
      </c>
      <c r="C1298" s="11">
        <v>0.06</v>
      </c>
      <c r="D1298" s="11">
        <v>2.08</v>
      </c>
      <c r="E1298" s="11">
        <v>5.33</v>
      </c>
      <c r="F1298" s="11">
        <v>2338</v>
      </c>
      <c r="G1298" s="6" t="str">
        <f>IF(COUNTIF(Table1[Customer ID],Table1[[#This Row],[Customer ID]])&gt;1,"Repeat Customer","One-Time Customer")</f>
        <v>Repeat Customer</v>
      </c>
      <c r="H1298" s="11" t="s">
        <v>2208</v>
      </c>
      <c r="I1298" s="11" t="s">
        <v>49</v>
      </c>
      <c r="J1298" s="11" t="s">
        <v>40</v>
      </c>
      <c r="K1298" s="11" t="s">
        <v>41</v>
      </c>
      <c r="L1298" s="11" t="s">
        <v>50</v>
      </c>
      <c r="M1298" s="11" t="s">
        <v>59</v>
      </c>
      <c r="N1298" s="11" t="s">
        <v>744</v>
      </c>
      <c r="O1298" s="11">
        <v>0.43</v>
      </c>
      <c r="P1298" s="6">
        <f>Table1[[#This Row],[Profit]]/Table1[[#This Row],[Sales]]</f>
        <v>-8.9446587215601294</v>
      </c>
      <c r="Q1298" s="11" t="s">
        <v>33</v>
      </c>
      <c r="R1298" s="11" t="s">
        <v>53</v>
      </c>
      <c r="S1298" s="11" t="s">
        <v>415</v>
      </c>
      <c r="T1298" s="11" t="s">
        <v>2109</v>
      </c>
      <c r="U1298" s="11">
        <v>20740</v>
      </c>
      <c r="V1298" s="12">
        <v>42017</v>
      </c>
      <c r="W1298" s="13" t="str">
        <f>TEXT(Table1[[#This Row],[Order Date]],"mmmm")</f>
        <v>January</v>
      </c>
      <c r="X1298" s="7" t="str">
        <f>TEXT(Table1[[#This Row],[Order Date]],"yyyy")</f>
        <v>2015</v>
      </c>
      <c r="Y1298" s="12">
        <v>42017</v>
      </c>
      <c r="Z1298" s="11">
        <v>-82.559200000000004</v>
      </c>
      <c r="AA1298" s="11">
        <v>4</v>
      </c>
      <c r="AB1298" s="11">
        <v>9.23</v>
      </c>
      <c r="AC1298" s="11">
        <v>91480</v>
      </c>
      <c r="AD1298" s="6" t="str">
        <f>IF(COUNTIF(Returns!$A$2:$A$1635,Orders!AC1298)&gt;0,"Returned","Not Returned")</f>
        <v>Not Returned</v>
      </c>
    </row>
    <row r="1299" spans="1:30" ht="12.75" customHeight="1" thickTop="1" thickBot="1" x14ac:dyDescent="0.25">
      <c r="A1299" s="8">
        <v>26137</v>
      </c>
      <c r="B1299" s="1" t="s">
        <v>25</v>
      </c>
      <c r="C1299" s="1">
        <v>0.1</v>
      </c>
      <c r="D1299" s="1">
        <v>6.75</v>
      </c>
      <c r="E1299" s="1">
        <v>2.99</v>
      </c>
      <c r="F1299" s="1">
        <v>2338</v>
      </c>
      <c r="G1299" s="6" t="str">
        <f>IF(COUNTIF(Table1[Customer ID],Table1[[#This Row],[Customer ID]])&gt;1,"Repeat Customer","One-Time Customer")</f>
        <v>Repeat Customer</v>
      </c>
      <c r="H1299" s="1" t="s">
        <v>2208</v>
      </c>
      <c r="I1299" s="1" t="s">
        <v>49</v>
      </c>
      <c r="J1299" s="1" t="s">
        <v>40</v>
      </c>
      <c r="K1299" s="1" t="s">
        <v>29</v>
      </c>
      <c r="L1299" s="1" t="s">
        <v>109</v>
      </c>
      <c r="M1299" s="1" t="s">
        <v>59</v>
      </c>
      <c r="N1299" s="1" t="s">
        <v>2209</v>
      </c>
      <c r="O1299" s="1">
        <v>0.35</v>
      </c>
      <c r="P1299" s="6">
        <f>Table1[[#This Row],[Profit]]/Table1[[#This Row],[Sales]]</f>
        <v>0.18878081764277543</v>
      </c>
      <c r="Q1299" s="1" t="s">
        <v>33</v>
      </c>
      <c r="R1299" s="1" t="s">
        <v>53</v>
      </c>
      <c r="S1299" s="1" t="s">
        <v>415</v>
      </c>
      <c r="T1299" s="1" t="s">
        <v>2109</v>
      </c>
      <c r="U1299" s="1">
        <v>20740</v>
      </c>
      <c r="V1299" s="9">
        <v>42092</v>
      </c>
      <c r="W1299" s="13" t="str">
        <f>TEXT(Table1[[#This Row],[Order Date]],"mmmm")</f>
        <v>March</v>
      </c>
      <c r="X1299" s="7" t="str">
        <f>TEXT(Table1[[#This Row],[Order Date]],"yyyy")</f>
        <v>2015</v>
      </c>
      <c r="Y1299" s="9">
        <v>42092</v>
      </c>
      <c r="Z1299" s="1">
        <v>18.147500000000001</v>
      </c>
      <c r="AA1299" s="1">
        <v>15</v>
      </c>
      <c r="AB1299" s="1">
        <v>96.13</v>
      </c>
      <c r="AC1299" s="1">
        <v>91481</v>
      </c>
      <c r="AD1299" s="6" t="str">
        <f>IF(COUNTIF(Returns!$A$2:$A$1635,Orders!AC1299)&gt;0,"Returned","Not Returned")</f>
        <v>Not Returned</v>
      </c>
    </row>
    <row r="1300" spans="1:30" ht="12.75" customHeight="1" thickTop="1" thickBot="1" x14ac:dyDescent="0.25">
      <c r="A1300" s="10">
        <v>22526</v>
      </c>
      <c r="B1300" s="11" t="s">
        <v>56</v>
      </c>
      <c r="C1300" s="11">
        <v>0.05</v>
      </c>
      <c r="D1300" s="11">
        <v>11.58</v>
      </c>
      <c r="E1300" s="11">
        <v>6.97</v>
      </c>
      <c r="F1300" s="11">
        <v>2339</v>
      </c>
      <c r="G1300" s="6" t="str">
        <f>IF(COUNTIF(Table1[Customer ID],Table1[[#This Row],[Customer ID]])&gt;1,"Repeat Customer","One-Time Customer")</f>
        <v>One-Time Customer</v>
      </c>
      <c r="H1300" s="11" t="s">
        <v>2210</v>
      </c>
      <c r="I1300" s="11" t="s">
        <v>49</v>
      </c>
      <c r="J1300" s="11" t="s">
        <v>40</v>
      </c>
      <c r="K1300" s="11" t="s">
        <v>29</v>
      </c>
      <c r="L1300" s="11" t="s">
        <v>69</v>
      </c>
      <c r="M1300" s="11" t="s">
        <v>59</v>
      </c>
      <c r="N1300" s="11" t="s">
        <v>686</v>
      </c>
      <c r="O1300" s="11">
        <v>0.35</v>
      </c>
      <c r="P1300" s="6">
        <f>Table1[[#This Row],[Profit]]/Table1[[#This Row],[Sales]]</f>
        <v>3.7939426717144439E-2</v>
      </c>
      <c r="Q1300" s="11" t="s">
        <v>33</v>
      </c>
      <c r="R1300" s="11" t="s">
        <v>61</v>
      </c>
      <c r="S1300" s="11" t="s">
        <v>130</v>
      </c>
      <c r="T1300" s="11" t="s">
        <v>2211</v>
      </c>
      <c r="U1300" s="11">
        <v>77015</v>
      </c>
      <c r="V1300" s="12">
        <v>42149</v>
      </c>
      <c r="W1300" s="13" t="str">
        <f>TEXT(Table1[[#This Row],[Order Date]],"mmmm")</f>
        <v>May</v>
      </c>
      <c r="X1300" s="7" t="str">
        <f>TEXT(Table1[[#This Row],[Order Date]],"yyyy")</f>
        <v>2015</v>
      </c>
      <c r="Y1300" s="12">
        <v>42152</v>
      </c>
      <c r="Z1300" s="11">
        <v>2.8060000000000027</v>
      </c>
      <c r="AA1300" s="11">
        <v>6</v>
      </c>
      <c r="AB1300" s="11">
        <v>73.959999999999994</v>
      </c>
      <c r="AC1300" s="11">
        <v>91482</v>
      </c>
      <c r="AD1300" s="6" t="str">
        <f>IF(COUNTIF(Returns!$A$2:$A$1635,Orders!AC1300)&gt;0,"Returned","Not Returned")</f>
        <v>Not Returned</v>
      </c>
    </row>
    <row r="1301" spans="1:30" ht="12.75" customHeight="1" thickTop="1" thickBot="1" x14ac:dyDescent="0.25">
      <c r="A1301" s="8">
        <v>19052</v>
      </c>
      <c r="B1301" s="1" t="s">
        <v>56</v>
      </c>
      <c r="C1301" s="1">
        <v>7.0000000000000007E-2</v>
      </c>
      <c r="D1301" s="1">
        <v>200.98</v>
      </c>
      <c r="E1301" s="1">
        <v>23.76</v>
      </c>
      <c r="F1301" s="1">
        <v>2345</v>
      </c>
      <c r="G1301" s="6" t="str">
        <f>IF(COUNTIF(Table1[Customer ID],Table1[[#This Row],[Customer ID]])&gt;1,"Repeat Customer","One-Time Customer")</f>
        <v>Repeat Customer</v>
      </c>
      <c r="H1301" s="1" t="s">
        <v>2212</v>
      </c>
      <c r="I1301" s="1" t="s">
        <v>39</v>
      </c>
      <c r="J1301" s="1" t="s">
        <v>28</v>
      </c>
      <c r="K1301" s="1" t="s">
        <v>41</v>
      </c>
      <c r="L1301" s="1" t="s">
        <v>42</v>
      </c>
      <c r="M1301" s="1" t="s">
        <v>43</v>
      </c>
      <c r="N1301" s="1" t="s">
        <v>2213</v>
      </c>
      <c r="O1301" s="1">
        <v>0.57999999999999996</v>
      </c>
      <c r="P1301" s="6">
        <f>Table1[[#This Row],[Profit]]/Table1[[#This Row],[Sales]]</f>
        <v>-7.3329641729885375E-2</v>
      </c>
      <c r="Q1301" s="1" t="s">
        <v>33</v>
      </c>
      <c r="R1301" s="1" t="s">
        <v>136</v>
      </c>
      <c r="S1301" s="1" t="s">
        <v>613</v>
      </c>
      <c r="T1301" s="1" t="s">
        <v>2129</v>
      </c>
      <c r="U1301" s="1">
        <v>42003</v>
      </c>
      <c r="V1301" s="9">
        <v>42077</v>
      </c>
      <c r="W1301" s="13" t="str">
        <f>TEXT(Table1[[#This Row],[Order Date]],"mmmm")</f>
        <v>March</v>
      </c>
      <c r="X1301" s="7" t="str">
        <f>TEXT(Table1[[#This Row],[Order Date]],"yyyy")</f>
        <v>2015</v>
      </c>
      <c r="Y1301" s="9">
        <v>42078</v>
      </c>
      <c r="Z1301" s="1">
        <v>-132.42600000000002</v>
      </c>
      <c r="AA1301" s="1">
        <v>9</v>
      </c>
      <c r="AB1301" s="1">
        <v>1805.9</v>
      </c>
      <c r="AC1301" s="1">
        <v>89504</v>
      </c>
      <c r="AD1301" s="6" t="str">
        <f>IF(COUNTIF(Returns!$A$2:$A$1635,Orders!AC1301)&gt;0,"Returned","Not Returned")</f>
        <v>Not Returned</v>
      </c>
    </row>
    <row r="1302" spans="1:30" ht="12.75" customHeight="1" thickTop="1" thickBot="1" x14ac:dyDescent="0.25">
      <c r="A1302" s="10">
        <v>19053</v>
      </c>
      <c r="B1302" s="11" t="s">
        <v>56</v>
      </c>
      <c r="C1302" s="11">
        <v>0.02</v>
      </c>
      <c r="D1302" s="11">
        <v>179.29</v>
      </c>
      <c r="E1302" s="11">
        <v>29.21</v>
      </c>
      <c r="F1302" s="11">
        <v>2345</v>
      </c>
      <c r="G1302" s="6" t="str">
        <f>IF(COUNTIF(Table1[Customer ID],Table1[[#This Row],[Customer ID]])&gt;1,"Repeat Customer","One-Time Customer")</f>
        <v>Repeat Customer</v>
      </c>
      <c r="H1302" s="11" t="s">
        <v>2212</v>
      </c>
      <c r="I1302" s="11" t="s">
        <v>39</v>
      </c>
      <c r="J1302" s="11" t="s">
        <v>28</v>
      </c>
      <c r="K1302" s="11" t="s">
        <v>41</v>
      </c>
      <c r="L1302" s="11" t="s">
        <v>152</v>
      </c>
      <c r="M1302" s="11" t="s">
        <v>121</v>
      </c>
      <c r="N1302" s="11" t="s">
        <v>629</v>
      </c>
      <c r="O1302" s="11">
        <v>0.76</v>
      </c>
      <c r="P1302" s="6">
        <f>Table1[[#This Row],[Profit]]/Table1[[#This Row],[Sales]]</f>
        <v>-1.3205613178767539</v>
      </c>
      <c r="Q1302" s="11" t="s">
        <v>33</v>
      </c>
      <c r="R1302" s="11" t="s">
        <v>136</v>
      </c>
      <c r="S1302" s="11" t="s">
        <v>613</v>
      </c>
      <c r="T1302" s="11" t="s">
        <v>2129</v>
      </c>
      <c r="U1302" s="11">
        <v>42003</v>
      </c>
      <c r="V1302" s="12">
        <v>42077</v>
      </c>
      <c r="W1302" s="13" t="str">
        <f>TEXT(Table1[[#This Row],[Order Date]],"mmmm")</f>
        <v>March</v>
      </c>
      <c r="X1302" s="7" t="str">
        <f>TEXT(Table1[[#This Row],[Order Date]],"yyyy")</f>
        <v>2015</v>
      </c>
      <c r="Y1302" s="12">
        <v>42077</v>
      </c>
      <c r="Z1302" s="11">
        <v>-411.23599999999999</v>
      </c>
      <c r="AA1302" s="11">
        <v>2</v>
      </c>
      <c r="AB1302" s="11">
        <v>311.41000000000003</v>
      </c>
      <c r="AC1302" s="11">
        <v>89504</v>
      </c>
      <c r="AD1302" s="6" t="str">
        <f>IF(COUNTIF(Returns!$A$2:$A$1635,Orders!AC1302)&gt;0,"Returned","Not Returned")</f>
        <v>Not Returned</v>
      </c>
    </row>
    <row r="1303" spans="1:30" ht="12.75" customHeight="1" thickTop="1" thickBot="1" x14ac:dyDescent="0.25">
      <c r="A1303" s="8">
        <v>20776</v>
      </c>
      <c r="B1303" s="1" t="s">
        <v>106</v>
      </c>
      <c r="C1303" s="1">
        <v>0.03</v>
      </c>
      <c r="D1303" s="1">
        <v>297.64</v>
      </c>
      <c r="E1303" s="1">
        <v>14.7</v>
      </c>
      <c r="F1303" s="1">
        <v>2346</v>
      </c>
      <c r="G1303" s="6" t="str">
        <f>IF(COUNTIF(Table1[Customer ID],Table1[[#This Row],[Customer ID]])&gt;1,"Repeat Customer","One-Time Customer")</f>
        <v>Repeat Customer</v>
      </c>
      <c r="H1303" s="1" t="s">
        <v>2214</v>
      </c>
      <c r="I1303" s="1" t="s">
        <v>39</v>
      </c>
      <c r="J1303" s="1" t="s">
        <v>28</v>
      </c>
      <c r="K1303" s="1" t="s">
        <v>77</v>
      </c>
      <c r="L1303" s="1" t="s">
        <v>85</v>
      </c>
      <c r="M1303" s="1" t="s">
        <v>43</v>
      </c>
      <c r="N1303" s="1" t="s">
        <v>565</v>
      </c>
      <c r="O1303" s="1">
        <v>0.56999999999999995</v>
      </c>
      <c r="P1303" s="6">
        <f>Table1[[#This Row],[Profit]]/Table1[[#This Row],[Sales]]</f>
        <v>-1.3210504309356495E-2</v>
      </c>
      <c r="Q1303" s="1" t="s">
        <v>33</v>
      </c>
      <c r="R1303" s="1" t="s">
        <v>136</v>
      </c>
      <c r="S1303" s="1" t="s">
        <v>613</v>
      </c>
      <c r="T1303" s="1" t="s">
        <v>2215</v>
      </c>
      <c r="U1303" s="1">
        <v>40258</v>
      </c>
      <c r="V1303" s="9">
        <v>42014</v>
      </c>
      <c r="W1303" s="13" t="str">
        <f>TEXT(Table1[[#This Row],[Order Date]],"mmmm")</f>
        <v>January</v>
      </c>
      <c r="X1303" s="7" t="str">
        <f>TEXT(Table1[[#This Row],[Order Date]],"yyyy")</f>
        <v>2015</v>
      </c>
      <c r="Y1303" s="9">
        <v>42019</v>
      </c>
      <c r="Z1303" s="1">
        <v>-48.971999999999994</v>
      </c>
      <c r="AA1303" s="1">
        <v>12</v>
      </c>
      <c r="AB1303" s="1">
        <v>3707.05</v>
      </c>
      <c r="AC1303" s="1">
        <v>89503</v>
      </c>
      <c r="AD1303" s="6" t="str">
        <f>IF(COUNTIF(Returns!$A$2:$A$1635,Orders!AC1303)&gt;0,"Returned","Not Returned")</f>
        <v>Not Returned</v>
      </c>
    </row>
    <row r="1304" spans="1:30" ht="12.75" customHeight="1" thickTop="1" thickBot="1" x14ac:dyDescent="0.25">
      <c r="A1304" s="10">
        <v>21627</v>
      </c>
      <c r="B1304" s="11" t="s">
        <v>25</v>
      </c>
      <c r="C1304" s="11">
        <v>0.1</v>
      </c>
      <c r="D1304" s="11">
        <v>218.75</v>
      </c>
      <c r="E1304" s="11">
        <v>69.64</v>
      </c>
      <c r="F1304" s="11">
        <v>2346</v>
      </c>
      <c r="G1304" s="6" t="str">
        <f>IF(COUNTIF(Table1[Customer ID],Table1[[#This Row],[Customer ID]])&gt;1,"Repeat Customer","One-Time Customer")</f>
        <v>Repeat Customer</v>
      </c>
      <c r="H1304" s="11" t="s">
        <v>2214</v>
      </c>
      <c r="I1304" s="11" t="s">
        <v>39</v>
      </c>
      <c r="J1304" s="11" t="s">
        <v>28</v>
      </c>
      <c r="K1304" s="11" t="s">
        <v>41</v>
      </c>
      <c r="L1304" s="11" t="s">
        <v>152</v>
      </c>
      <c r="M1304" s="11" t="s">
        <v>121</v>
      </c>
      <c r="N1304" s="11" t="s">
        <v>655</v>
      </c>
      <c r="O1304" s="11">
        <v>0.77</v>
      </c>
      <c r="P1304" s="6">
        <f>Table1[[#This Row],[Profit]]/Table1[[#This Row],[Sales]]</f>
        <v>2.2208200543280644E-2</v>
      </c>
      <c r="Q1304" s="11" t="s">
        <v>33</v>
      </c>
      <c r="R1304" s="11" t="s">
        <v>136</v>
      </c>
      <c r="S1304" s="11" t="s">
        <v>613</v>
      </c>
      <c r="T1304" s="11" t="s">
        <v>2215</v>
      </c>
      <c r="U1304" s="11">
        <v>40258</v>
      </c>
      <c r="V1304" s="12">
        <v>42144</v>
      </c>
      <c r="W1304" s="13" t="str">
        <f>TEXT(Table1[[#This Row],[Order Date]],"mmmm")</f>
        <v>May</v>
      </c>
      <c r="X1304" s="7" t="str">
        <f>TEXT(Table1[[#This Row],[Order Date]],"yyyy")</f>
        <v>2015</v>
      </c>
      <c r="Y1304" s="12">
        <v>42145</v>
      </c>
      <c r="Z1304" s="11">
        <v>62.297999999999995</v>
      </c>
      <c r="AA1304" s="11">
        <v>17</v>
      </c>
      <c r="AB1304" s="11">
        <v>2805.18</v>
      </c>
      <c r="AC1304" s="11">
        <v>89505</v>
      </c>
      <c r="AD1304" s="6" t="str">
        <f>IF(COUNTIF(Returns!$A$2:$A$1635,Orders!AC1304)&gt;0,"Returned","Not Returned")</f>
        <v>Not Returned</v>
      </c>
    </row>
    <row r="1305" spans="1:30" ht="12.75" customHeight="1" thickTop="1" thickBot="1" x14ac:dyDescent="0.25">
      <c r="A1305" s="8">
        <v>18675</v>
      </c>
      <c r="B1305" s="1" t="s">
        <v>47</v>
      </c>
      <c r="C1305" s="1">
        <v>0.08</v>
      </c>
      <c r="D1305" s="1">
        <v>6.48</v>
      </c>
      <c r="E1305" s="1">
        <v>7.49</v>
      </c>
      <c r="F1305" s="1">
        <v>2351</v>
      </c>
      <c r="G1305" s="6" t="str">
        <f>IF(COUNTIF(Table1[Customer ID],Table1[[#This Row],[Customer ID]])&gt;1,"Repeat Customer","One-Time Customer")</f>
        <v>One-Time Customer</v>
      </c>
      <c r="H1305" s="1" t="s">
        <v>2216</v>
      </c>
      <c r="I1305" s="1" t="s">
        <v>49</v>
      </c>
      <c r="J1305" s="1" t="s">
        <v>28</v>
      </c>
      <c r="K1305" s="1" t="s">
        <v>29</v>
      </c>
      <c r="L1305" s="1" t="s">
        <v>93</v>
      </c>
      <c r="M1305" s="1" t="s">
        <v>59</v>
      </c>
      <c r="N1305" s="1" t="s">
        <v>1950</v>
      </c>
      <c r="O1305" s="1">
        <v>0.37</v>
      </c>
      <c r="P1305" s="6">
        <f>Table1[[#This Row],[Profit]]/Table1[[#This Row],[Sales]]</f>
        <v>-1.4756369032896364</v>
      </c>
      <c r="Q1305" s="1" t="s">
        <v>33</v>
      </c>
      <c r="R1305" s="1" t="s">
        <v>53</v>
      </c>
      <c r="S1305" s="1" t="s">
        <v>415</v>
      </c>
      <c r="T1305" s="1" t="s">
        <v>2217</v>
      </c>
      <c r="U1305" s="1">
        <v>21114</v>
      </c>
      <c r="V1305" s="9">
        <v>42093</v>
      </c>
      <c r="W1305" s="13" t="str">
        <f>TEXT(Table1[[#This Row],[Order Date]],"mmmm")</f>
        <v>March</v>
      </c>
      <c r="X1305" s="7" t="str">
        <f>TEXT(Table1[[#This Row],[Order Date]],"yyyy")</f>
        <v>2015</v>
      </c>
      <c r="Y1305" s="9">
        <v>42096</v>
      </c>
      <c r="Z1305" s="1">
        <v>-119.32</v>
      </c>
      <c r="AA1305" s="1">
        <v>13</v>
      </c>
      <c r="AB1305" s="1">
        <v>80.86</v>
      </c>
      <c r="AC1305" s="1">
        <v>86163</v>
      </c>
      <c r="AD1305" s="6" t="str">
        <f>IF(COUNTIF(Returns!$A$2:$A$1635,Orders!AC1305)&gt;0,"Returned","Not Returned")</f>
        <v>Not Returned</v>
      </c>
    </row>
    <row r="1306" spans="1:30" ht="12.75" customHeight="1" thickTop="1" thickBot="1" x14ac:dyDescent="0.25">
      <c r="A1306" s="10">
        <v>20904</v>
      </c>
      <c r="B1306" s="11" t="s">
        <v>47</v>
      </c>
      <c r="C1306" s="11">
        <v>0.06</v>
      </c>
      <c r="D1306" s="11">
        <v>59.76</v>
      </c>
      <c r="E1306" s="11">
        <v>9.7100000000000009</v>
      </c>
      <c r="F1306" s="11">
        <v>2352</v>
      </c>
      <c r="G1306" s="6" t="str">
        <f>IF(COUNTIF(Table1[Customer ID],Table1[[#This Row],[Customer ID]])&gt;1,"Repeat Customer","One-Time Customer")</f>
        <v>Repeat Customer</v>
      </c>
      <c r="H1306" s="11" t="s">
        <v>2218</v>
      </c>
      <c r="I1306" s="11" t="s">
        <v>49</v>
      </c>
      <c r="J1306" s="11" t="s">
        <v>114</v>
      </c>
      <c r="K1306" s="11" t="s">
        <v>29</v>
      </c>
      <c r="L1306" s="11" t="s">
        <v>141</v>
      </c>
      <c r="M1306" s="11" t="s">
        <v>59</v>
      </c>
      <c r="N1306" s="11" t="s">
        <v>1028</v>
      </c>
      <c r="O1306" s="11">
        <v>0.56999999999999995</v>
      </c>
      <c r="P1306" s="6">
        <f>Table1[[#This Row],[Profit]]/Table1[[#This Row],[Sales]]</f>
        <v>0.69</v>
      </c>
      <c r="Q1306" s="11" t="s">
        <v>33</v>
      </c>
      <c r="R1306" s="11" t="s">
        <v>53</v>
      </c>
      <c r="S1306" s="11" t="s">
        <v>415</v>
      </c>
      <c r="T1306" s="11" t="s">
        <v>2219</v>
      </c>
      <c r="U1306" s="11">
        <v>21501</v>
      </c>
      <c r="V1306" s="12">
        <v>42175</v>
      </c>
      <c r="W1306" s="13" t="str">
        <f>TEXT(Table1[[#This Row],[Order Date]],"mmmm")</f>
        <v>June</v>
      </c>
      <c r="X1306" s="7" t="str">
        <f>TEXT(Table1[[#This Row],[Order Date]],"yyyy")</f>
        <v>2015</v>
      </c>
      <c r="Y1306" s="12">
        <v>42178</v>
      </c>
      <c r="Z1306" s="11">
        <v>756.67470000000003</v>
      </c>
      <c r="AA1306" s="11">
        <v>18</v>
      </c>
      <c r="AB1306" s="11">
        <v>1096.6300000000001</v>
      </c>
      <c r="AC1306" s="11">
        <v>86165</v>
      </c>
      <c r="AD1306" s="6" t="str">
        <f>IF(COUNTIF(Returns!$A$2:$A$1635,Orders!AC1306)&gt;0,"Returned","Not Returned")</f>
        <v>Not Returned</v>
      </c>
    </row>
    <row r="1307" spans="1:30" ht="12.75" customHeight="1" thickTop="1" thickBot="1" x14ac:dyDescent="0.25">
      <c r="A1307" s="8">
        <v>20905</v>
      </c>
      <c r="B1307" s="1" t="s">
        <v>47</v>
      </c>
      <c r="C1307" s="1">
        <v>7.0000000000000007E-2</v>
      </c>
      <c r="D1307" s="1">
        <v>195.99</v>
      </c>
      <c r="E1307" s="1">
        <v>4.2</v>
      </c>
      <c r="F1307" s="1">
        <v>2352</v>
      </c>
      <c r="G1307" s="6" t="str">
        <f>IF(COUNTIF(Table1[Customer ID],Table1[[#This Row],[Customer ID]])&gt;1,"Repeat Customer","One-Time Customer")</f>
        <v>Repeat Customer</v>
      </c>
      <c r="H1307" s="1" t="s">
        <v>2218</v>
      </c>
      <c r="I1307" s="1" t="s">
        <v>49</v>
      </c>
      <c r="J1307" s="1" t="s">
        <v>114</v>
      </c>
      <c r="K1307" s="1" t="s">
        <v>77</v>
      </c>
      <c r="L1307" s="1" t="s">
        <v>78</v>
      </c>
      <c r="M1307" s="1" t="s">
        <v>59</v>
      </c>
      <c r="N1307" s="1" t="s">
        <v>2220</v>
      </c>
      <c r="O1307" s="1">
        <v>0.56000000000000005</v>
      </c>
      <c r="P1307" s="6">
        <f>Table1[[#This Row],[Profit]]/Table1[[#This Row],[Sales]]</f>
        <v>-0.35174175789407075</v>
      </c>
      <c r="Q1307" s="1" t="s">
        <v>33</v>
      </c>
      <c r="R1307" s="1" t="s">
        <v>53</v>
      </c>
      <c r="S1307" s="1" t="s">
        <v>415</v>
      </c>
      <c r="T1307" s="1" t="s">
        <v>2219</v>
      </c>
      <c r="U1307" s="1">
        <v>21501</v>
      </c>
      <c r="V1307" s="9">
        <v>42175</v>
      </c>
      <c r="W1307" s="13" t="str">
        <f>TEXT(Table1[[#This Row],[Order Date]],"mmmm")</f>
        <v>June</v>
      </c>
      <c r="X1307" s="7" t="str">
        <f>TEXT(Table1[[#This Row],[Order Date]],"yyyy")</f>
        <v>2015</v>
      </c>
      <c r="Y1307" s="9">
        <v>42178</v>
      </c>
      <c r="Z1307" s="1">
        <v>-222.34299999999999</v>
      </c>
      <c r="AA1307" s="1">
        <v>4</v>
      </c>
      <c r="AB1307" s="1">
        <v>632.12</v>
      </c>
      <c r="AC1307" s="1">
        <v>86165</v>
      </c>
      <c r="AD1307" s="6" t="str">
        <f>IF(COUNTIF(Returns!$A$2:$A$1635,Orders!AC1307)&gt;0,"Returned","Not Returned")</f>
        <v>Not Returned</v>
      </c>
    </row>
    <row r="1308" spans="1:30" ht="12.75" customHeight="1" thickTop="1" thickBot="1" x14ac:dyDescent="0.25">
      <c r="A1308" s="10">
        <v>19270</v>
      </c>
      <c r="B1308" s="11" t="s">
        <v>37</v>
      </c>
      <c r="C1308" s="11">
        <v>0.09</v>
      </c>
      <c r="D1308" s="11">
        <v>71.37</v>
      </c>
      <c r="E1308" s="11">
        <v>69</v>
      </c>
      <c r="F1308" s="11">
        <v>2352</v>
      </c>
      <c r="G1308" s="6" t="str">
        <f>IF(COUNTIF(Table1[Customer ID],Table1[[#This Row],[Customer ID]])&gt;1,"Repeat Customer","One-Time Customer")</f>
        <v>Repeat Customer</v>
      </c>
      <c r="H1308" s="11" t="s">
        <v>2218</v>
      </c>
      <c r="I1308" s="11" t="s">
        <v>49</v>
      </c>
      <c r="J1308" s="11" t="s">
        <v>40</v>
      </c>
      <c r="K1308" s="11" t="s">
        <v>41</v>
      </c>
      <c r="L1308" s="11" t="s">
        <v>152</v>
      </c>
      <c r="M1308" s="11" t="s">
        <v>236</v>
      </c>
      <c r="N1308" s="11" t="s">
        <v>2221</v>
      </c>
      <c r="O1308" s="11">
        <v>0.68</v>
      </c>
      <c r="P1308" s="6">
        <f>Table1[[#This Row],[Profit]]/Table1[[#This Row],[Sales]]</f>
        <v>-1.1797077468572044</v>
      </c>
      <c r="Q1308" s="11" t="s">
        <v>33</v>
      </c>
      <c r="R1308" s="11" t="s">
        <v>53</v>
      </c>
      <c r="S1308" s="11" t="s">
        <v>415</v>
      </c>
      <c r="T1308" s="11" t="s">
        <v>2219</v>
      </c>
      <c r="U1308" s="11">
        <v>21501</v>
      </c>
      <c r="V1308" s="12">
        <v>42178</v>
      </c>
      <c r="W1308" s="13" t="str">
        <f>TEXT(Table1[[#This Row],[Order Date]],"mmmm")</f>
        <v>June</v>
      </c>
      <c r="X1308" s="7" t="str">
        <f>TEXT(Table1[[#This Row],[Order Date]],"yyyy")</f>
        <v>2015</v>
      </c>
      <c r="Y1308" s="12">
        <v>42179</v>
      </c>
      <c r="Z1308" s="11">
        <v>-1537.1356000000003</v>
      </c>
      <c r="AA1308" s="11">
        <v>19</v>
      </c>
      <c r="AB1308" s="11">
        <v>1302.98</v>
      </c>
      <c r="AC1308" s="11">
        <v>86166</v>
      </c>
      <c r="AD1308" s="6" t="str">
        <f>IF(COUNTIF(Returns!$A$2:$A$1635,Orders!AC1308)&gt;0,"Returned","Not Returned")</f>
        <v>Not Returned</v>
      </c>
    </row>
    <row r="1309" spans="1:30" ht="12.75" customHeight="1" thickTop="1" thickBot="1" x14ac:dyDescent="0.25">
      <c r="A1309" s="8">
        <v>25338</v>
      </c>
      <c r="B1309" s="1" t="s">
        <v>47</v>
      </c>
      <c r="C1309" s="1">
        <v>0.04</v>
      </c>
      <c r="D1309" s="1">
        <v>5.98</v>
      </c>
      <c r="E1309" s="1">
        <v>0.96</v>
      </c>
      <c r="F1309" s="1">
        <v>2353</v>
      </c>
      <c r="G1309" s="6" t="str">
        <f>IF(COUNTIF(Table1[Customer ID],Table1[[#This Row],[Customer ID]])&gt;1,"Repeat Customer","One-Time Customer")</f>
        <v>Repeat Customer</v>
      </c>
      <c r="H1309" s="1" t="s">
        <v>2222</v>
      </c>
      <c r="I1309" s="1" t="s">
        <v>49</v>
      </c>
      <c r="J1309" s="1" t="s">
        <v>28</v>
      </c>
      <c r="K1309" s="1" t="s">
        <v>29</v>
      </c>
      <c r="L1309" s="1" t="s">
        <v>30</v>
      </c>
      <c r="M1309" s="1" t="s">
        <v>31</v>
      </c>
      <c r="N1309" s="1" t="s">
        <v>1819</v>
      </c>
      <c r="O1309" s="1">
        <v>0.6</v>
      </c>
      <c r="P1309" s="6">
        <f>Table1[[#This Row],[Profit]]/Table1[[#This Row],[Sales]]</f>
        <v>0.39986038394415363</v>
      </c>
      <c r="Q1309" s="1" t="s">
        <v>33</v>
      </c>
      <c r="R1309" s="1" t="s">
        <v>53</v>
      </c>
      <c r="S1309" s="1" t="s">
        <v>415</v>
      </c>
      <c r="T1309" s="1" t="s">
        <v>2223</v>
      </c>
      <c r="U1309" s="1">
        <v>21040</v>
      </c>
      <c r="V1309" s="9">
        <v>42123</v>
      </c>
      <c r="W1309" s="13" t="str">
        <f>TEXT(Table1[[#This Row],[Order Date]],"mmmm")</f>
        <v>April</v>
      </c>
      <c r="X1309" s="7" t="str">
        <f>TEXT(Table1[[#This Row],[Order Date]],"yyyy")</f>
        <v>2015</v>
      </c>
      <c r="Y1309" s="9">
        <v>42124</v>
      </c>
      <c r="Z1309" s="1">
        <v>52.697600000000001</v>
      </c>
      <c r="AA1309" s="1">
        <v>22</v>
      </c>
      <c r="AB1309" s="1">
        <v>131.79</v>
      </c>
      <c r="AC1309" s="1">
        <v>86164</v>
      </c>
      <c r="AD1309" s="6" t="str">
        <f>IF(COUNTIF(Returns!$A$2:$A$1635,Orders!AC1309)&gt;0,"Returned","Not Returned")</f>
        <v>Not Returned</v>
      </c>
    </row>
    <row r="1310" spans="1:30" ht="12.75" customHeight="1" thickTop="1" thickBot="1" x14ac:dyDescent="0.25">
      <c r="A1310" s="10">
        <v>25339</v>
      </c>
      <c r="B1310" s="11" t="s">
        <v>47</v>
      </c>
      <c r="C1310" s="11">
        <v>0.01</v>
      </c>
      <c r="D1310" s="11">
        <v>20.99</v>
      </c>
      <c r="E1310" s="11">
        <v>0.99</v>
      </c>
      <c r="F1310" s="11">
        <v>2353</v>
      </c>
      <c r="G1310" s="6" t="str">
        <f>IF(COUNTIF(Table1[Customer ID],Table1[[#This Row],[Customer ID]])&gt;1,"Repeat Customer","One-Time Customer")</f>
        <v>Repeat Customer</v>
      </c>
      <c r="H1310" s="11" t="s">
        <v>2222</v>
      </c>
      <c r="I1310" s="11" t="s">
        <v>49</v>
      </c>
      <c r="J1310" s="11" t="s">
        <v>28</v>
      </c>
      <c r="K1310" s="11" t="s">
        <v>77</v>
      </c>
      <c r="L1310" s="11" t="s">
        <v>78</v>
      </c>
      <c r="M1310" s="11" t="s">
        <v>31</v>
      </c>
      <c r="N1310" s="11" t="s">
        <v>596</v>
      </c>
      <c r="O1310" s="11">
        <v>0.56999999999999995</v>
      </c>
      <c r="P1310" s="6">
        <f>Table1[[#This Row],[Profit]]/Table1[[#This Row],[Sales]]</f>
        <v>-2.2132510614208885</v>
      </c>
      <c r="Q1310" s="11" t="s">
        <v>33</v>
      </c>
      <c r="R1310" s="11" t="s">
        <v>53</v>
      </c>
      <c r="S1310" s="11" t="s">
        <v>415</v>
      </c>
      <c r="T1310" s="11" t="s">
        <v>2223</v>
      </c>
      <c r="U1310" s="11">
        <v>21040</v>
      </c>
      <c r="V1310" s="12">
        <v>42123</v>
      </c>
      <c r="W1310" s="13" t="str">
        <f>TEXT(Table1[[#This Row],[Order Date]],"mmmm")</f>
        <v>April</v>
      </c>
      <c r="X1310" s="7" t="str">
        <f>TEXT(Table1[[#This Row],[Order Date]],"yyyy")</f>
        <v>2015</v>
      </c>
      <c r="Y1310" s="12">
        <v>42124</v>
      </c>
      <c r="Z1310" s="11">
        <v>-78.194159999999982</v>
      </c>
      <c r="AA1310" s="11">
        <v>2</v>
      </c>
      <c r="AB1310" s="11">
        <v>35.33</v>
      </c>
      <c r="AC1310" s="11">
        <v>86164</v>
      </c>
      <c r="AD1310" s="6" t="str">
        <f>IF(COUNTIF(Returns!$A$2:$A$1635,Orders!AC1310)&gt;0,"Returned","Not Returned")</f>
        <v>Not Returned</v>
      </c>
    </row>
    <row r="1311" spans="1:30" ht="12.75" customHeight="1" thickTop="1" thickBot="1" x14ac:dyDescent="0.25">
      <c r="A1311" s="8">
        <v>22649</v>
      </c>
      <c r="B1311" s="1" t="s">
        <v>37</v>
      </c>
      <c r="C1311" s="1">
        <v>0.1</v>
      </c>
      <c r="D1311" s="1">
        <v>78.69</v>
      </c>
      <c r="E1311" s="1">
        <v>19.989999999999998</v>
      </c>
      <c r="F1311" s="1">
        <v>2355</v>
      </c>
      <c r="G1311" s="6" t="str">
        <f>IF(COUNTIF(Table1[Customer ID],Table1[[#This Row],[Customer ID]])&gt;1,"Repeat Customer","One-Time Customer")</f>
        <v>Repeat Customer</v>
      </c>
      <c r="H1311" s="1" t="s">
        <v>2224</v>
      </c>
      <c r="I1311" s="1" t="s">
        <v>49</v>
      </c>
      <c r="J1311" s="1" t="s">
        <v>114</v>
      </c>
      <c r="K1311" s="1" t="s">
        <v>41</v>
      </c>
      <c r="L1311" s="1" t="s">
        <v>50</v>
      </c>
      <c r="M1311" s="1" t="s">
        <v>59</v>
      </c>
      <c r="N1311" s="1" t="s">
        <v>60</v>
      </c>
      <c r="O1311" s="1">
        <v>0.43</v>
      </c>
      <c r="P1311" s="6">
        <f>Table1[[#This Row],[Profit]]/Table1[[#This Row],[Sales]]</f>
        <v>0.69</v>
      </c>
      <c r="Q1311" s="1" t="s">
        <v>33</v>
      </c>
      <c r="R1311" s="1" t="s">
        <v>34</v>
      </c>
      <c r="S1311" s="1" t="s">
        <v>45</v>
      </c>
      <c r="T1311" s="1" t="s">
        <v>2198</v>
      </c>
      <c r="U1311" s="1">
        <v>92236</v>
      </c>
      <c r="V1311" s="9">
        <v>42050</v>
      </c>
      <c r="W1311" s="13" t="str">
        <f>TEXT(Table1[[#This Row],[Order Date]],"mmmm")</f>
        <v>February</v>
      </c>
      <c r="X1311" s="7" t="str">
        <f>TEXT(Table1[[#This Row],[Order Date]],"yyyy")</f>
        <v>2015</v>
      </c>
      <c r="Y1311" s="9">
        <v>42051</v>
      </c>
      <c r="Z1311" s="1">
        <v>465.43949999999995</v>
      </c>
      <c r="AA1311" s="1">
        <v>9</v>
      </c>
      <c r="AB1311" s="1">
        <v>674.55</v>
      </c>
      <c r="AC1311" s="1">
        <v>91304</v>
      </c>
      <c r="AD1311" s="6" t="str">
        <f>IF(COUNTIF(Returns!$A$2:$A$1635,Orders!AC1311)&gt;0,"Returned","Not Returned")</f>
        <v>Not Returned</v>
      </c>
    </row>
    <row r="1312" spans="1:30" ht="12.75" customHeight="1" thickTop="1" thickBot="1" x14ac:dyDescent="0.25">
      <c r="A1312" s="10">
        <v>21511</v>
      </c>
      <c r="B1312" s="11" t="s">
        <v>56</v>
      </c>
      <c r="C1312" s="11">
        <v>0.06</v>
      </c>
      <c r="D1312" s="11">
        <v>146.34</v>
      </c>
      <c r="E1312" s="11">
        <v>43.75</v>
      </c>
      <c r="F1312" s="11">
        <v>2355</v>
      </c>
      <c r="G1312" s="6" t="str">
        <f>IF(COUNTIF(Table1[Customer ID],Table1[[#This Row],[Customer ID]])&gt;1,"Repeat Customer","One-Time Customer")</f>
        <v>Repeat Customer</v>
      </c>
      <c r="H1312" s="11" t="s">
        <v>2224</v>
      </c>
      <c r="I1312" s="11" t="s">
        <v>39</v>
      </c>
      <c r="J1312" s="11" t="s">
        <v>114</v>
      </c>
      <c r="K1312" s="11" t="s">
        <v>41</v>
      </c>
      <c r="L1312" s="11" t="s">
        <v>152</v>
      </c>
      <c r="M1312" s="11" t="s">
        <v>121</v>
      </c>
      <c r="N1312" s="11" t="s">
        <v>2190</v>
      </c>
      <c r="O1312" s="11">
        <v>0.65</v>
      </c>
      <c r="P1312" s="6">
        <f>Table1[[#This Row],[Profit]]/Table1[[#This Row],[Sales]]</f>
        <v>-5.1863772629034882E-2</v>
      </c>
      <c r="Q1312" s="11" t="s">
        <v>33</v>
      </c>
      <c r="R1312" s="11" t="s">
        <v>34</v>
      </c>
      <c r="S1312" s="11" t="s">
        <v>45</v>
      </c>
      <c r="T1312" s="11" t="s">
        <v>2198</v>
      </c>
      <c r="U1312" s="11">
        <v>92236</v>
      </c>
      <c r="V1312" s="12">
        <v>42171</v>
      </c>
      <c r="W1312" s="13" t="str">
        <f>TEXT(Table1[[#This Row],[Order Date]],"mmmm")</f>
        <v>June</v>
      </c>
      <c r="X1312" s="7" t="str">
        <f>TEXT(Table1[[#This Row],[Order Date]],"yyyy")</f>
        <v>2015</v>
      </c>
      <c r="Y1312" s="12">
        <v>42173</v>
      </c>
      <c r="Z1312" s="11">
        <v>-89.27</v>
      </c>
      <c r="AA1312" s="11">
        <v>12</v>
      </c>
      <c r="AB1312" s="11">
        <v>1721.24</v>
      </c>
      <c r="AC1312" s="11">
        <v>91306</v>
      </c>
      <c r="AD1312" s="6" t="str">
        <f>IF(COUNTIF(Returns!$A$2:$A$1635,Orders!AC1312)&gt;0,"Returned","Not Returned")</f>
        <v>Not Returned</v>
      </c>
    </row>
    <row r="1313" spans="1:30" ht="12.75" customHeight="1" thickTop="1" thickBot="1" x14ac:dyDescent="0.25">
      <c r="A1313" s="8">
        <v>24526</v>
      </c>
      <c r="B1313" s="1" t="s">
        <v>56</v>
      </c>
      <c r="C1313" s="1">
        <v>0</v>
      </c>
      <c r="D1313" s="1">
        <v>29.34</v>
      </c>
      <c r="E1313" s="1">
        <v>7.87</v>
      </c>
      <c r="F1313" s="1">
        <v>2356</v>
      </c>
      <c r="G1313" s="6" t="str">
        <f>IF(COUNTIF(Table1[Customer ID],Table1[[#This Row],[Customer ID]])&gt;1,"Repeat Customer","One-Time Customer")</f>
        <v>One-Time Customer</v>
      </c>
      <c r="H1313" s="1" t="s">
        <v>2225</v>
      </c>
      <c r="I1313" s="1" t="s">
        <v>49</v>
      </c>
      <c r="J1313" s="1" t="s">
        <v>114</v>
      </c>
      <c r="K1313" s="1" t="s">
        <v>41</v>
      </c>
      <c r="L1313" s="1" t="s">
        <v>50</v>
      </c>
      <c r="M1313" s="1" t="s">
        <v>59</v>
      </c>
      <c r="N1313" s="1" t="s">
        <v>556</v>
      </c>
      <c r="O1313" s="1">
        <v>0.54</v>
      </c>
      <c r="P1313" s="6">
        <f>Table1[[#This Row],[Profit]]/Table1[[#This Row],[Sales]]</f>
        <v>0.57657320685837399</v>
      </c>
      <c r="Q1313" s="1" t="s">
        <v>33</v>
      </c>
      <c r="R1313" s="1" t="s">
        <v>34</v>
      </c>
      <c r="S1313" s="1" t="s">
        <v>2226</v>
      </c>
      <c r="T1313" s="1" t="s">
        <v>2227</v>
      </c>
      <c r="U1313" s="1">
        <v>82901</v>
      </c>
      <c r="V1313" s="9">
        <v>42078</v>
      </c>
      <c r="W1313" s="13" t="str">
        <f>TEXT(Table1[[#This Row],[Order Date]],"mmmm")</f>
        <v>March</v>
      </c>
      <c r="X1313" s="7" t="str">
        <f>TEXT(Table1[[#This Row],[Order Date]],"yyyy")</f>
        <v>2015</v>
      </c>
      <c r="Y1313" s="9">
        <v>42080</v>
      </c>
      <c r="Z1313" s="1">
        <v>385.37</v>
      </c>
      <c r="AA1313" s="1">
        <v>22</v>
      </c>
      <c r="AB1313" s="1">
        <v>668.38</v>
      </c>
      <c r="AC1313" s="1">
        <v>91305</v>
      </c>
      <c r="AD1313" s="6" t="str">
        <f>IF(COUNTIF(Returns!$A$2:$A$1635,Orders!AC1313)&gt;0,"Returned","Not Returned")</f>
        <v>Not Returned</v>
      </c>
    </row>
    <row r="1314" spans="1:30" ht="12.75" customHeight="1" thickTop="1" thickBot="1" x14ac:dyDescent="0.25">
      <c r="A1314" s="10">
        <v>20798</v>
      </c>
      <c r="B1314" s="11" t="s">
        <v>106</v>
      </c>
      <c r="C1314" s="11">
        <v>0.1</v>
      </c>
      <c r="D1314" s="11">
        <v>205.99</v>
      </c>
      <c r="E1314" s="11">
        <v>8.99</v>
      </c>
      <c r="F1314" s="11">
        <v>2358</v>
      </c>
      <c r="G1314" s="6" t="str">
        <f>IF(COUNTIF(Table1[Customer ID],Table1[[#This Row],[Customer ID]])&gt;1,"Repeat Customer","One-Time Customer")</f>
        <v>Repeat Customer</v>
      </c>
      <c r="H1314" s="11" t="s">
        <v>2228</v>
      </c>
      <c r="I1314" s="11" t="s">
        <v>49</v>
      </c>
      <c r="J1314" s="11" t="s">
        <v>28</v>
      </c>
      <c r="K1314" s="11" t="s">
        <v>77</v>
      </c>
      <c r="L1314" s="11" t="s">
        <v>78</v>
      </c>
      <c r="M1314" s="11" t="s">
        <v>59</v>
      </c>
      <c r="N1314" s="11" t="s">
        <v>107</v>
      </c>
      <c r="O1314" s="11">
        <v>0.56000000000000005</v>
      </c>
      <c r="P1314" s="6">
        <f>Table1[[#This Row],[Profit]]/Table1[[#This Row],[Sales]]</f>
        <v>0.45283716345265235</v>
      </c>
      <c r="Q1314" s="11" t="s">
        <v>33</v>
      </c>
      <c r="R1314" s="11" t="s">
        <v>136</v>
      </c>
      <c r="S1314" s="11" t="s">
        <v>362</v>
      </c>
      <c r="T1314" s="11" t="s">
        <v>2056</v>
      </c>
      <c r="U1314" s="11">
        <v>33311</v>
      </c>
      <c r="V1314" s="12">
        <v>42067</v>
      </c>
      <c r="W1314" s="13" t="str">
        <f>TEXT(Table1[[#This Row],[Order Date]],"mmmm")</f>
        <v>March</v>
      </c>
      <c r="X1314" s="7" t="str">
        <f>TEXT(Table1[[#This Row],[Order Date]],"yyyy")</f>
        <v>2015</v>
      </c>
      <c r="Y1314" s="12">
        <v>42071</v>
      </c>
      <c r="Z1314" s="11">
        <v>147</v>
      </c>
      <c r="AA1314" s="11">
        <v>2</v>
      </c>
      <c r="AB1314" s="11">
        <v>324.62</v>
      </c>
      <c r="AC1314" s="11">
        <v>88267</v>
      </c>
      <c r="AD1314" s="6" t="str">
        <f>IF(COUNTIF(Returns!$A$2:$A$1635,Orders!AC1314)&gt;0,"Returned","Not Returned")</f>
        <v>Not Returned</v>
      </c>
    </row>
    <row r="1315" spans="1:30" ht="12.75" customHeight="1" thickTop="1" thickBot="1" x14ac:dyDescent="0.25">
      <c r="A1315" s="8">
        <v>18892</v>
      </c>
      <c r="B1315" s="1" t="s">
        <v>47</v>
      </c>
      <c r="C1315" s="1">
        <v>0.05</v>
      </c>
      <c r="D1315" s="1">
        <v>2.08</v>
      </c>
      <c r="E1315" s="1">
        <v>2.56</v>
      </c>
      <c r="F1315" s="1">
        <v>2358</v>
      </c>
      <c r="G1315" s="6" t="str">
        <f>IF(COUNTIF(Table1[Customer ID],Table1[[#This Row],[Customer ID]])&gt;1,"Repeat Customer","One-Time Customer")</f>
        <v>Repeat Customer</v>
      </c>
      <c r="H1315" s="1" t="s">
        <v>2228</v>
      </c>
      <c r="I1315" s="1" t="s">
        <v>49</v>
      </c>
      <c r="J1315" s="1" t="s">
        <v>40</v>
      </c>
      <c r="K1315" s="1" t="s">
        <v>29</v>
      </c>
      <c r="L1315" s="1" t="s">
        <v>174</v>
      </c>
      <c r="M1315" s="1" t="s">
        <v>51</v>
      </c>
      <c r="N1315" s="1" t="s">
        <v>316</v>
      </c>
      <c r="O1315" s="1">
        <v>0.55000000000000004</v>
      </c>
      <c r="P1315" s="6">
        <f>Table1[[#This Row],[Profit]]/Table1[[#This Row],[Sales]]</f>
        <v>-25.531785976056685</v>
      </c>
      <c r="Q1315" s="1" t="s">
        <v>33</v>
      </c>
      <c r="R1315" s="1" t="s">
        <v>136</v>
      </c>
      <c r="S1315" s="1" t="s">
        <v>362</v>
      </c>
      <c r="T1315" s="1" t="s">
        <v>2056</v>
      </c>
      <c r="U1315" s="1">
        <v>33311</v>
      </c>
      <c r="V1315" s="9">
        <v>42049</v>
      </c>
      <c r="W1315" s="13" t="str">
        <f>TEXT(Table1[[#This Row],[Order Date]],"mmmm")</f>
        <v>February</v>
      </c>
      <c r="X1315" s="7" t="str">
        <f>TEXT(Table1[[#This Row],[Order Date]],"yyyy")</f>
        <v>2015</v>
      </c>
      <c r="Y1315" s="9">
        <v>42051</v>
      </c>
      <c r="Z1315" s="1">
        <v>-1045.0160000000001</v>
      </c>
      <c r="AA1315" s="1">
        <v>19</v>
      </c>
      <c r="AB1315" s="1">
        <v>40.93</v>
      </c>
      <c r="AC1315" s="1">
        <v>88268</v>
      </c>
      <c r="AD1315" s="6" t="str">
        <f>IF(COUNTIF(Returns!$A$2:$A$1635,Orders!AC1315)&gt;0,"Returned","Not Returned")</f>
        <v>Not Returned</v>
      </c>
    </row>
    <row r="1316" spans="1:30" ht="12.75" customHeight="1" thickTop="1" thickBot="1" x14ac:dyDescent="0.25">
      <c r="A1316" s="10">
        <v>21772</v>
      </c>
      <c r="B1316" s="11" t="s">
        <v>47</v>
      </c>
      <c r="C1316" s="11">
        <v>0</v>
      </c>
      <c r="D1316" s="11">
        <v>7.28</v>
      </c>
      <c r="E1316" s="11">
        <v>1.77</v>
      </c>
      <c r="F1316" s="11">
        <v>2359</v>
      </c>
      <c r="G1316" s="6" t="str">
        <f>IF(COUNTIF(Table1[Customer ID],Table1[[#This Row],[Customer ID]])&gt;1,"Repeat Customer","One-Time Customer")</f>
        <v>One-Time Customer</v>
      </c>
      <c r="H1316" s="11" t="s">
        <v>2229</v>
      </c>
      <c r="I1316" s="11" t="s">
        <v>49</v>
      </c>
      <c r="J1316" s="11" t="s">
        <v>40</v>
      </c>
      <c r="K1316" s="11" t="s">
        <v>29</v>
      </c>
      <c r="L1316" s="11" t="s">
        <v>93</v>
      </c>
      <c r="M1316" s="11" t="s">
        <v>31</v>
      </c>
      <c r="N1316" s="11" t="s">
        <v>2230</v>
      </c>
      <c r="O1316" s="11">
        <v>0.37</v>
      </c>
      <c r="P1316" s="6">
        <f>Table1[[#This Row],[Profit]]/Table1[[#This Row],[Sales]]</f>
        <v>3.1291651067016102</v>
      </c>
      <c r="Q1316" s="11" t="s">
        <v>33</v>
      </c>
      <c r="R1316" s="11" t="s">
        <v>136</v>
      </c>
      <c r="S1316" s="11" t="s">
        <v>362</v>
      </c>
      <c r="T1316" s="11" t="s">
        <v>2231</v>
      </c>
      <c r="U1316" s="11">
        <v>33917</v>
      </c>
      <c r="V1316" s="12">
        <v>42040</v>
      </c>
      <c r="W1316" s="13" t="str">
        <f>TEXT(Table1[[#This Row],[Order Date]],"mmmm")</f>
        <v>February</v>
      </c>
      <c r="X1316" s="7" t="str">
        <f>TEXT(Table1[[#This Row],[Order Date]],"yyyy")</f>
        <v>2015</v>
      </c>
      <c r="Y1316" s="12">
        <v>42040</v>
      </c>
      <c r="Z1316" s="11">
        <v>167.16000000000003</v>
      </c>
      <c r="AA1316" s="11">
        <v>7</v>
      </c>
      <c r="AB1316" s="11">
        <v>53.42</v>
      </c>
      <c r="AC1316" s="11">
        <v>88265</v>
      </c>
      <c r="AD1316" s="6" t="str">
        <f>IF(COUNTIF(Returns!$A$2:$A$1635,Orders!AC1316)&gt;0,"Returned","Not Returned")</f>
        <v>Not Returned</v>
      </c>
    </row>
    <row r="1317" spans="1:30" ht="12.75" customHeight="1" thickTop="1" thickBot="1" x14ac:dyDescent="0.25">
      <c r="A1317" s="8">
        <v>24890</v>
      </c>
      <c r="B1317" s="1" t="s">
        <v>25</v>
      </c>
      <c r="C1317" s="1">
        <v>0.06</v>
      </c>
      <c r="D1317" s="1">
        <v>8.33</v>
      </c>
      <c r="E1317" s="1">
        <v>1.99</v>
      </c>
      <c r="F1317" s="1">
        <v>2361</v>
      </c>
      <c r="G1317" s="6" t="str">
        <f>IF(COUNTIF(Table1[Customer ID],Table1[[#This Row],[Customer ID]])&gt;1,"Repeat Customer","One-Time Customer")</f>
        <v>One-Time Customer</v>
      </c>
      <c r="H1317" s="1" t="s">
        <v>2232</v>
      </c>
      <c r="I1317" s="1" t="s">
        <v>49</v>
      </c>
      <c r="J1317" s="1" t="s">
        <v>28</v>
      </c>
      <c r="K1317" s="1" t="s">
        <v>77</v>
      </c>
      <c r="L1317" s="1" t="s">
        <v>180</v>
      </c>
      <c r="M1317" s="1" t="s">
        <v>51</v>
      </c>
      <c r="N1317" s="1" t="s">
        <v>414</v>
      </c>
      <c r="O1317" s="1">
        <v>0.52</v>
      </c>
      <c r="P1317" s="6">
        <f>Table1[[#This Row],[Profit]]/Table1[[#This Row],[Sales]]</f>
        <v>-40.614840989399298</v>
      </c>
      <c r="Q1317" s="1" t="s">
        <v>33</v>
      </c>
      <c r="R1317" s="1" t="s">
        <v>136</v>
      </c>
      <c r="S1317" s="1" t="s">
        <v>362</v>
      </c>
      <c r="T1317" s="1" t="s">
        <v>2233</v>
      </c>
      <c r="U1317" s="1">
        <v>32259</v>
      </c>
      <c r="V1317" s="9">
        <v>42060</v>
      </c>
      <c r="W1317" s="13" t="str">
        <f>TEXT(Table1[[#This Row],[Order Date]],"mmmm")</f>
        <v>February</v>
      </c>
      <c r="X1317" s="7" t="str">
        <f>TEXT(Table1[[#This Row],[Order Date]],"yyyy")</f>
        <v>2015</v>
      </c>
      <c r="Y1317" s="9">
        <v>42061</v>
      </c>
      <c r="Z1317" s="1">
        <v>-344.82000000000005</v>
      </c>
      <c r="AA1317" s="1">
        <v>1</v>
      </c>
      <c r="AB1317" s="1">
        <v>8.49</v>
      </c>
      <c r="AC1317" s="1">
        <v>88266</v>
      </c>
      <c r="AD1317" s="6" t="str">
        <f>IF(COUNTIF(Returns!$A$2:$A$1635,Orders!AC1317)&gt;0,"Returned","Not Returned")</f>
        <v>Not Returned</v>
      </c>
    </row>
    <row r="1318" spans="1:30" ht="12.75" customHeight="1" thickTop="1" thickBot="1" x14ac:dyDescent="0.25">
      <c r="A1318" s="10">
        <v>19369</v>
      </c>
      <c r="B1318" s="11" t="s">
        <v>25</v>
      </c>
      <c r="C1318" s="11">
        <v>0</v>
      </c>
      <c r="D1318" s="11">
        <v>5.77</v>
      </c>
      <c r="E1318" s="11">
        <v>5.92</v>
      </c>
      <c r="F1318" s="11">
        <v>2363</v>
      </c>
      <c r="G1318" s="6" t="str">
        <f>IF(COUNTIF(Table1[Customer ID],Table1[[#This Row],[Customer ID]])&gt;1,"Repeat Customer","One-Time Customer")</f>
        <v>One-Time Customer</v>
      </c>
      <c r="H1318" s="11" t="s">
        <v>2234</v>
      </c>
      <c r="I1318" s="11" t="s">
        <v>49</v>
      </c>
      <c r="J1318" s="11" t="s">
        <v>40</v>
      </c>
      <c r="K1318" s="11" t="s">
        <v>41</v>
      </c>
      <c r="L1318" s="11" t="s">
        <v>50</v>
      </c>
      <c r="M1318" s="11" t="s">
        <v>86</v>
      </c>
      <c r="N1318" s="11" t="s">
        <v>2235</v>
      </c>
      <c r="O1318" s="11">
        <v>0.55000000000000004</v>
      </c>
      <c r="P1318" s="6">
        <f>Table1[[#This Row],[Profit]]/Table1[[#This Row],[Sales]]</f>
        <v>-0.88034912004578625</v>
      </c>
      <c r="Q1318" s="11" t="s">
        <v>33</v>
      </c>
      <c r="R1318" s="11" t="s">
        <v>53</v>
      </c>
      <c r="S1318" s="11" t="s">
        <v>154</v>
      </c>
      <c r="T1318" s="11" t="s">
        <v>2118</v>
      </c>
      <c r="U1318" s="11">
        <v>44256</v>
      </c>
      <c r="V1318" s="12">
        <v>42105</v>
      </c>
      <c r="W1318" s="13" t="str">
        <f>TEXT(Table1[[#This Row],[Order Date]],"mmmm")</f>
        <v>April</v>
      </c>
      <c r="X1318" s="7" t="str">
        <f>TEXT(Table1[[#This Row],[Order Date]],"yyyy")</f>
        <v>2015</v>
      </c>
      <c r="Y1318" s="12">
        <v>42107</v>
      </c>
      <c r="Z1318" s="11">
        <v>-61.5276</v>
      </c>
      <c r="AA1318" s="11">
        <v>11</v>
      </c>
      <c r="AB1318" s="11">
        <v>69.89</v>
      </c>
      <c r="AC1318" s="11">
        <v>90040</v>
      </c>
      <c r="AD1318" s="6" t="str">
        <f>IF(COUNTIF(Returns!$A$2:$A$1635,Orders!AC1318)&gt;0,"Returned","Not Returned")</f>
        <v>Not Returned</v>
      </c>
    </row>
    <row r="1319" spans="1:30" ht="12.75" customHeight="1" thickTop="1" thickBot="1" x14ac:dyDescent="0.25">
      <c r="A1319" s="8">
        <v>21582</v>
      </c>
      <c r="B1319" s="1" t="s">
        <v>106</v>
      </c>
      <c r="C1319" s="1">
        <v>7.0000000000000007E-2</v>
      </c>
      <c r="D1319" s="1">
        <v>5.98</v>
      </c>
      <c r="E1319" s="1">
        <v>5.79</v>
      </c>
      <c r="F1319" s="1">
        <v>2369</v>
      </c>
      <c r="G1319" s="6" t="str">
        <f>IF(COUNTIF(Table1[Customer ID],Table1[[#This Row],[Customer ID]])&gt;1,"Repeat Customer","One-Time Customer")</f>
        <v>One-Time Customer</v>
      </c>
      <c r="H1319" s="1" t="s">
        <v>2236</v>
      </c>
      <c r="I1319" s="1" t="s">
        <v>49</v>
      </c>
      <c r="J1319" s="1" t="s">
        <v>114</v>
      </c>
      <c r="K1319" s="1" t="s">
        <v>29</v>
      </c>
      <c r="L1319" s="1" t="s">
        <v>93</v>
      </c>
      <c r="M1319" s="1" t="s">
        <v>59</v>
      </c>
      <c r="N1319" s="1" t="s">
        <v>123</v>
      </c>
      <c r="O1319" s="1">
        <v>0.36</v>
      </c>
      <c r="P1319" s="6">
        <f>Table1[[#This Row],[Profit]]/Table1[[#This Row],[Sales]]</f>
        <v>-0.54214285714285715</v>
      </c>
      <c r="Q1319" s="1" t="s">
        <v>33</v>
      </c>
      <c r="R1319" s="1" t="s">
        <v>136</v>
      </c>
      <c r="S1319" s="1" t="s">
        <v>362</v>
      </c>
      <c r="T1319" s="1" t="s">
        <v>2237</v>
      </c>
      <c r="U1319" s="1">
        <v>33024</v>
      </c>
      <c r="V1319" s="9">
        <v>42017</v>
      </c>
      <c r="W1319" s="13" t="str">
        <f>TEXT(Table1[[#This Row],[Order Date]],"mmmm")</f>
        <v>January</v>
      </c>
      <c r="X1319" s="7" t="str">
        <f>TEXT(Table1[[#This Row],[Order Date]],"yyyy")</f>
        <v>2015</v>
      </c>
      <c r="Y1319" s="9">
        <v>42019</v>
      </c>
      <c r="Z1319" s="1">
        <v>-41.972700000000003</v>
      </c>
      <c r="AA1319" s="1">
        <v>13</v>
      </c>
      <c r="AB1319" s="1">
        <v>77.42</v>
      </c>
      <c r="AC1319" s="1">
        <v>90408</v>
      </c>
      <c r="AD1319" s="6" t="str">
        <f>IF(COUNTIF(Returns!$A$2:$A$1635,Orders!AC1319)&gt;0,"Returned","Not Returned")</f>
        <v>Not Returned</v>
      </c>
    </row>
    <row r="1320" spans="1:30" ht="12.75" customHeight="1" thickTop="1" thickBot="1" x14ac:dyDescent="0.25">
      <c r="A1320" s="10">
        <v>21988</v>
      </c>
      <c r="B1320" s="11" t="s">
        <v>56</v>
      </c>
      <c r="C1320" s="11">
        <v>0.01</v>
      </c>
      <c r="D1320" s="11">
        <v>1.76</v>
      </c>
      <c r="E1320" s="11">
        <v>0.7</v>
      </c>
      <c r="F1320" s="11">
        <v>2372</v>
      </c>
      <c r="G1320" s="6" t="str">
        <f>IF(COUNTIF(Table1[Customer ID],Table1[[#This Row],[Customer ID]])&gt;1,"Repeat Customer","One-Time Customer")</f>
        <v>One-Time Customer</v>
      </c>
      <c r="H1320" s="11" t="s">
        <v>2238</v>
      </c>
      <c r="I1320" s="11" t="s">
        <v>49</v>
      </c>
      <c r="J1320" s="11" t="s">
        <v>28</v>
      </c>
      <c r="K1320" s="11" t="s">
        <v>29</v>
      </c>
      <c r="L1320" s="11" t="s">
        <v>30</v>
      </c>
      <c r="M1320" s="11" t="s">
        <v>31</v>
      </c>
      <c r="N1320" s="11" t="s">
        <v>127</v>
      </c>
      <c r="O1320" s="11">
        <v>0.56000000000000005</v>
      </c>
      <c r="P1320" s="6">
        <f>Table1[[#This Row],[Profit]]/Table1[[#This Row],[Sales]]</f>
        <v>-0.21666666666666667</v>
      </c>
      <c r="Q1320" s="11" t="s">
        <v>33</v>
      </c>
      <c r="R1320" s="11" t="s">
        <v>61</v>
      </c>
      <c r="S1320" s="11" t="s">
        <v>62</v>
      </c>
      <c r="T1320" s="11" t="s">
        <v>2239</v>
      </c>
      <c r="U1320" s="11">
        <v>55803</v>
      </c>
      <c r="V1320" s="12">
        <v>42078</v>
      </c>
      <c r="W1320" s="13" t="str">
        <f>TEXT(Table1[[#This Row],[Order Date]],"mmmm")</f>
        <v>March</v>
      </c>
      <c r="X1320" s="7" t="str">
        <f>TEXT(Table1[[#This Row],[Order Date]],"yyyy")</f>
        <v>2015</v>
      </c>
      <c r="Y1320" s="12">
        <v>42079</v>
      </c>
      <c r="Z1320" s="11">
        <v>-1.56</v>
      </c>
      <c r="AA1320" s="11">
        <v>4</v>
      </c>
      <c r="AB1320" s="11">
        <v>7.2</v>
      </c>
      <c r="AC1320" s="11">
        <v>90714</v>
      </c>
      <c r="AD1320" s="6" t="str">
        <f>IF(COUNTIF(Returns!$A$2:$A$1635,Orders!AC1320)&gt;0,"Returned","Not Returned")</f>
        <v>Not Returned</v>
      </c>
    </row>
    <row r="1321" spans="1:30" ht="12.75" customHeight="1" thickTop="1" thickBot="1" x14ac:dyDescent="0.25">
      <c r="A1321" s="8">
        <v>22827</v>
      </c>
      <c r="B1321" s="1" t="s">
        <v>25</v>
      </c>
      <c r="C1321" s="1">
        <v>0.05</v>
      </c>
      <c r="D1321" s="1">
        <v>3.28</v>
      </c>
      <c r="E1321" s="1">
        <v>3.97</v>
      </c>
      <c r="F1321" s="1">
        <v>2376</v>
      </c>
      <c r="G1321" s="6" t="str">
        <f>IF(COUNTIF(Table1[Customer ID],Table1[[#This Row],[Customer ID]])&gt;1,"Repeat Customer","One-Time Customer")</f>
        <v>Repeat Customer</v>
      </c>
      <c r="H1321" s="1" t="s">
        <v>2240</v>
      </c>
      <c r="I1321" s="1" t="s">
        <v>49</v>
      </c>
      <c r="J1321" s="1" t="s">
        <v>28</v>
      </c>
      <c r="K1321" s="1" t="s">
        <v>29</v>
      </c>
      <c r="L1321" s="1" t="s">
        <v>30</v>
      </c>
      <c r="M1321" s="1" t="s">
        <v>31</v>
      </c>
      <c r="N1321" s="1" t="s">
        <v>1793</v>
      </c>
      <c r="O1321" s="1">
        <v>0.56000000000000005</v>
      </c>
      <c r="P1321" s="6">
        <f>Table1[[#This Row],[Profit]]/Table1[[#This Row],[Sales]]</f>
        <v>-1.635503344754446</v>
      </c>
      <c r="Q1321" s="1" t="s">
        <v>33</v>
      </c>
      <c r="R1321" s="1" t="s">
        <v>34</v>
      </c>
      <c r="S1321" s="1" t="s">
        <v>1741</v>
      </c>
      <c r="T1321" s="1" t="s">
        <v>1742</v>
      </c>
      <c r="U1321" s="1">
        <v>83843</v>
      </c>
      <c r="V1321" s="9">
        <v>42068</v>
      </c>
      <c r="W1321" s="13" t="str">
        <f>TEXT(Table1[[#This Row],[Order Date]],"mmmm")</f>
        <v>March</v>
      </c>
      <c r="X1321" s="7" t="str">
        <f>TEXT(Table1[[#This Row],[Order Date]],"yyyy")</f>
        <v>2015</v>
      </c>
      <c r="Y1321" s="9">
        <v>42069</v>
      </c>
      <c r="Z1321" s="1">
        <v>-100.24</v>
      </c>
      <c r="AA1321" s="1">
        <v>18</v>
      </c>
      <c r="AB1321" s="1">
        <v>61.29</v>
      </c>
      <c r="AC1321" s="1">
        <v>91321</v>
      </c>
      <c r="AD1321" s="6" t="str">
        <f>IF(COUNTIF(Returns!$A$2:$A$1635,Orders!AC1321)&gt;0,"Returned","Not Returned")</f>
        <v>Not Returned</v>
      </c>
    </row>
    <row r="1322" spans="1:30" ht="12.75" customHeight="1" thickTop="1" thickBot="1" x14ac:dyDescent="0.25">
      <c r="A1322" s="10">
        <v>22828</v>
      </c>
      <c r="B1322" s="11" t="s">
        <v>25</v>
      </c>
      <c r="C1322" s="11">
        <v>0.03</v>
      </c>
      <c r="D1322" s="11">
        <v>6.98</v>
      </c>
      <c r="E1322" s="11">
        <v>9.69</v>
      </c>
      <c r="F1322" s="11">
        <v>2376</v>
      </c>
      <c r="G1322" s="6" t="str">
        <f>IF(COUNTIF(Table1[Customer ID],Table1[[#This Row],[Customer ID]])&gt;1,"Repeat Customer","One-Time Customer")</f>
        <v>Repeat Customer</v>
      </c>
      <c r="H1322" s="11" t="s">
        <v>2240</v>
      </c>
      <c r="I1322" s="11" t="s">
        <v>49</v>
      </c>
      <c r="J1322" s="11" t="s">
        <v>28</v>
      </c>
      <c r="K1322" s="11" t="s">
        <v>29</v>
      </c>
      <c r="L1322" s="11" t="s">
        <v>141</v>
      </c>
      <c r="M1322" s="11" t="s">
        <v>59</v>
      </c>
      <c r="N1322" s="11" t="s">
        <v>2241</v>
      </c>
      <c r="O1322" s="11">
        <v>0.83</v>
      </c>
      <c r="P1322" s="6">
        <f>Table1[[#This Row],[Profit]]/Table1[[#This Row],[Sales]]</f>
        <v>-2.4060467246907926</v>
      </c>
      <c r="Q1322" s="11" t="s">
        <v>33</v>
      </c>
      <c r="R1322" s="11" t="s">
        <v>34</v>
      </c>
      <c r="S1322" s="11" t="s">
        <v>1741</v>
      </c>
      <c r="T1322" s="11" t="s">
        <v>1742</v>
      </c>
      <c r="U1322" s="11">
        <v>83843</v>
      </c>
      <c r="V1322" s="12">
        <v>42068</v>
      </c>
      <c r="W1322" s="13" t="str">
        <f>TEXT(Table1[[#This Row],[Order Date]],"mmmm")</f>
        <v>March</v>
      </c>
      <c r="X1322" s="7" t="str">
        <f>TEXT(Table1[[#This Row],[Order Date]],"yyyy")</f>
        <v>2015</v>
      </c>
      <c r="Y1322" s="12">
        <v>42070</v>
      </c>
      <c r="Z1322" s="11">
        <v>-262.62</v>
      </c>
      <c r="AA1322" s="11">
        <v>15</v>
      </c>
      <c r="AB1322" s="11">
        <v>109.15</v>
      </c>
      <c r="AC1322" s="11">
        <v>91321</v>
      </c>
      <c r="AD1322" s="6" t="str">
        <f>IF(COUNTIF(Returns!$A$2:$A$1635,Orders!AC1322)&gt;0,"Returned","Not Returned")</f>
        <v>Not Returned</v>
      </c>
    </row>
    <row r="1323" spans="1:30" ht="12.75" customHeight="1" thickTop="1" thickBot="1" x14ac:dyDescent="0.25">
      <c r="A1323" s="8">
        <v>18151</v>
      </c>
      <c r="B1323" s="1" t="s">
        <v>106</v>
      </c>
      <c r="C1323" s="1">
        <v>0.06</v>
      </c>
      <c r="D1323" s="1">
        <v>122.99</v>
      </c>
      <c r="E1323" s="1">
        <v>19.989999999999998</v>
      </c>
      <c r="F1323" s="1">
        <v>2379</v>
      </c>
      <c r="G1323" s="6" t="str">
        <f>IF(COUNTIF(Table1[Customer ID],Table1[[#This Row],[Customer ID]])&gt;1,"Repeat Customer","One-Time Customer")</f>
        <v>One-Time Customer</v>
      </c>
      <c r="H1323" s="1" t="s">
        <v>2242</v>
      </c>
      <c r="I1323" s="1" t="s">
        <v>49</v>
      </c>
      <c r="J1323" s="1" t="s">
        <v>58</v>
      </c>
      <c r="K1323" s="1" t="s">
        <v>29</v>
      </c>
      <c r="L1323" s="1" t="s">
        <v>109</v>
      </c>
      <c r="M1323" s="1" t="s">
        <v>59</v>
      </c>
      <c r="N1323" s="1" t="s">
        <v>2243</v>
      </c>
      <c r="O1323" s="1">
        <v>0.37</v>
      </c>
      <c r="P1323" s="6">
        <f>Table1[[#This Row],[Profit]]/Table1[[#This Row],[Sales]]</f>
        <v>0.69</v>
      </c>
      <c r="Q1323" s="1" t="s">
        <v>33</v>
      </c>
      <c r="R1323" s="1" t="s">
        <v>61</v>
      </c>
      <c r="S1323" s="1" t="s">
        <v>300</v>
      </c>
      <c r="T1323" s="1" t="s">
        <v>2001</v>
      </c>
      <c r="U1323" s="1">
        <v>48135</v>
      </c>
      <c r="V1323" s="9">
        <v>42129</v>
      </c>
      <c r="W1323" s="13" t="str">
        <f>TEXT(Table1[[#This Row],[Order Date]],"mmmm")</f>
        <v>May</v>
      </c>
      <c r="X1323" s="7" t="str">
        <f>TEXT(Table1[[#This Row],[Order Date]],"yyyy")</f>
        <v>2015</v>
      </c>
      <c r="Y1323" s="9">
        <v>42131</v>
      </c>
      <c r="Z1323" s="1">
        <v>1019.7095999999999</v>
      </c>
      <c r="AA1323" s="1">
        <v>12</v>
      </c>
      <c r="AB1323" s="1">
        <v>1477.84</v>
      </c>
      <c r="AC1323" s="1">
        <v>86655</v>
      </c>
      <c r="AD1323" s="6" t="str">
        <f>IF(COUNTIF(Returns!$A$2:$A$1635,Orders!AC1323)&gt;0,"Returned","Not Returned")</f>
        <v>Not Returned</v>
      </c>
    </row>
    <row r="1324" spans="1:30" ht="12.75" customHeight="1" thickTop="1" thickBot="1" x14ac:dyDescent="0.25">
      <c r="A1324" s="10">
        <v>19898</v>
      </c>
      <c r="B1324" s="11" t="s">
        <v>37</v>
      </c>
      <c r="C1324" s="11">
        <v>7.0000000000000007E-2</v>
      </c>
      <c r="D1324" s="11">
        <v>3.38</v>
      </c>
      <c r="E1324" s="11">
        <v>0.85</v>
      </c>
      <c r="F1324" s="11">
        <v>2380</v>
      </c>
      <c r="G1324" s="6" t="str">
        <f>IF(COUNTIF(Table1[Customer ID],Table1[[#This Row],[Customer ID]])&gt;1,"Repeat Customer","One-Time Customer")</f>
        <v>Repeat Customer</v>
      </c>
      <c r="H1324" s="11" t="s">
        <v>2244</v>
      </c>
      <c r="I1324" s="11" t="s">
        <v>49</v>
      </c>
      <c r="J1324" s="11" t="s">
        <v>58</v>
      </c>
      <c r="K1324" s="11" t="s">
        <v>29</v>
      </c>
      <c r="L1324" s="11" t="s">
        <v>30</v>
      </c>
      <c r="M1324" s="11" t="s">
        <v>31</v>
      </c>
      <c r="N1324" s="11" t="s">
        <v>1469</v>
      </c>
      <c r="O1324" s="11">
        <v>0.48</v>
      </c>
      <c r="P1324" s="6">
        <f>Table1[[#This Row],[Profit]]/Table1[[#This Row],[Sales]]</f>
        <v>0.65474552957359011</v>
      </c>
      <c r="Q1324" s="11" t="s">
        <v>33</v>
      </c>
      <c r="R1324" s="11" t="s">
        <v>61</v>
      </c>
      <c r="S1324" s="11" t="s">
        <v>300</v>
      </c>
      <c r="T1324" s="11" t="s">
        <v>2245</v>
      </c>
      <c r="U1324" s="11">
        <v>49505</v>
      </c>
      <c r="V1324" s="12">
        <v>42120</v>
      </c>
      <c r="W1324" s="13" t="str">
        <f>TEXT(Table1[[#This Row],[Order Date]],"mmmm")</f>
        <v>April</v>
      </c>
      <c r="X1324" s="7" t="str">
        <f>TEXT(Table1[[#This Row],[Order Date]],"yyyy")</f>
        <v>2015</v>
      </c>
      <c r="Y1324" s="12">
        <v>42122</v>
      </c>
      <c r="Z1324" s="11">
        <v>19.04</v>
      </c>
      <c r="AA1324" s="11">
        <v>9</v>
      </c>
      <c r="AB1324" s="11">
        <v>29.08</v>
      </c>
      <c r="AC1324" s="11">
        <v>86654</v>
      </c>
      <c r="AD1324" s="6" t="str">
        <f>IF(COUNTIF(Returns!$A$2:$A$1635,Orders!AC1324)&gt;0,"Returned","Not Returned")</f>
        <v>Not Returned</v>
      </c>
    </row>
    <row r="1325" spans="1:30" ht="12.75" customHeight="1" thickTop="1" thickBot="1" x14ac:dyDescent="0.25">
      <c r="A1325" s="8">
        <v>18152</v>
      </c>
      <c r="B1325" s="1" t="s">
        <v>106</v>
      </c>
      <c r="C1325" s="1">
        <v>0.08</v>
      </c>
      <c r="D1325" s="1">
        <v>68.81</v>
      </c>
      <c r="E1325" s="1">
        <v>60</v>
      </c>
      <c r="F1325" s="1">
        <v>2380</v>
      </c>
      <c r="G1325" s="6" t="str">
        <f>IF(COUNTIF(Table1[Customer ID],Table1[[#This Row],[Customer ID]])&gt;1,"Repeat Customer","One-Time Customer")</f>
        <v>Repeat Customer</v>
      </c>
      <c r="H1325" s="1" t="s">
        <v>2244</v>
      </c>
      <c r="I1325" s="1" t="s">
        <v>39</v>
      </c>
      <c r="J1325" s="1" t="s">
        <v>58</v>
      </c>
      <c r="K1325" s="1" t="s">
        <v>29</v>
      </c>
      <c r="L1325" s="1" t="s">
        <v>257</v>
      </c>
      <c r="M1325" s="1" t="s">
        <v>43</v>
      </c>
      <c r="N1325" s="1" t="s">
        <v>2197</v>
      </c>
      <c r="O1325" s="1">
        <v>0.41</v>
      </c>
      <c r="P1325" s="6">
        <f>Table1[[#This Row],[Profit]]/Table1[[#This Row],[Sales]]</f>
        <v>-0.92022091082703916</v>
      </c>
      <c r="Q1325" s="1" t="s">
        <v>33</v>
      </c>
      <c r="R1325" s="1" t="s">
        <v>61</v>
      </c>
      <c r="S1325" s="1" t="s">
        <v>300</v>
      </c>
      <c r="T1325" s="1" t="s">
        <v>2245</v>
      </c>
      <c r="U1325" s="1">
        <v>49505</v>
      </c>
      <c r="V1325" s="9">
        <v>42129</v>
      </c>
      <c r="W1325" s="13" t="str">
        <f>TEXT(Table1[[#This Row],[Order Date]],"mmmm")</f>
        <v>May</v>
      </c>
      <c r="X1325" s="7" t="str">
        <f>TEXT(Table1[[#This Row],[Order Date]],"yyyy")</f>
        <v>2015</v>
      </c>
      <c r="Y1325" s="9">
        <v>42131</v>
      </c>
      <c r="Z1325" s="1">
        <v>-1069.72</v>
      </c>
      <c r="AA1325" s="1">
        <v>17</v>
      </c>
      <c r="AB1325" s="1">
        <v>1162.46</v>
      </c>
      <c r="AC1325" s="1">
        <v>86655</v>
      </c>
      <c r="AD1325" s="6" t="str">
        <f>IF(COUNTIF(Returns!$A$2:$A$1635,Orders!AC1325)&gt;0,"Returned","Not Returned")</f>
        <v>Not Returned</v>
      </c>
    </row>
    <row r="1326" spans="1:30" ht="12.75" customHeight="1" thickTop="1" thickBot="1" x14ac:dyDescent="0.25">
      <c r="A1326" s="10">
        <v>1898</v>
      </c>
      <c r="B1326" s="11" t="s">
        <v>37</v>
      </c>
      <c r="C1326" s="11">
        <v>7.0000000000000007E-2</v>
      </c>
      <c r="D1326" s="11">
        <v>3.38</v>
      </c>
      <c r="E1326" s="11">
        <v>0.85</v>
      </c>
      <c r="F1326" s="11">
        <v>2382</v>
      </c>
      <c r="G1326" s="6" t="str">
        <f>IF(COUNTIF(Table1[Customer ID],Table1[[#This Row],[Customer ID]])&gt;1,"Repeat Customer","One-Time Customer")</f>
        <v>Repeat Customer</v>
      </c>
      <c r="H1326" s="11" t="s">
        <v>2246</v>
      </c>
      <c r="I1326" s="11" t="s">
        <v>49</v>
      </c>
      <c r="J1326" s="11" t="s">
        <v>58</v>
      </c>
      <c r="K1326" s="11" t="s">
        <v>29</v>
      </c>
      <c r="L1326" s="11" t="s">
        <v>30</v>
      </c>
      <c r="M1326" s="11" t="s">
        <v>31</v>
      </c>
      <c r="N1326" s="11" t="s">
        <v>1469</v>
      </c>
      <c r="O1326" s="11">
        <v>0.48</v>
      </c>
      <c r="P1326" s="6">
        <f>Table1[[#This Row],[Profit]]/Table1[[#This Row],[Sales]]</f>
        <v>0.17331148734753321</v>
      </c>
      <c r="Q1326" s="11" t="s">
        <v>33</v>
      </c>
      <c r="R1326" s="11" t="s">
        <v>53</v>
      </c>
      <c r="S1326" s="11" t="s">
        <v>71</v>
      </c>
      <c r="T1326" s="11" t="s">
        <v>90</v>
      </c>
      <c r="U1326" s="11">
        <v>10024</v>
      </c>
      <c r="V1326" s="12">
        <v>42120</v>
      </c>
      <c r="W1326" s="13" t="str">
        <f>TEXT(Table1[[#This Row],[Order Date]],"mmmm")</f>
        <v>April</v>
      </c>
      <c r="X1326" s="7" t="str">
        <f>TEXT(Table1[[#This Row],[Order Date]],"yyyy")</f>
        <v>2015</v>
      </c>
      <c r="Y1326" s="12">
        <v>42122</v>
      </c>
      <c r="Z1326" s="11">
        <v>19.04</v>
      </c>
      <c r="AA1326" s="11">
        <v>34</v>
      </c>
      <c r="AB1326" s="11">
        <v>109.86</v>
      </c>
      <c r="AC1326" s="11">
        <v>13606</v>
      </c>
      <c r="AD1326" s="6" t="str">
        <f>IF(COUNTIF(Returns!$A$2:$A$1635,Orders!AC1326)&gt;0,"Returned","Not Returned")</f>
        <v>Not Returned</v>
      </c>
    </row>
    <row r="1327" spans="1:30" ht="12.75" customHeight="1" thickTop="1" thickBot="1" x14ac:dyDescent="0.25">
      <c r="A1327" s="8">
        <v>151</v>
      </c>
      <c r="B1327" s="1" t="s">
        <v>106</v>
      </c>
      <c r="C1327" s="1">
        <v>0.06</v>
      </c>
      <c r="D1327" s="1">
        <v>122.99</v>
      </c>
      <c r="E1327" s="1">
        <v>19.989999999999998</v>
      </c>
      <c r="F1327" s="1">
        <v>2382</v>
      </c>
      <c r="G1327" s="6" t="str">
        <f>IF(COUNTIF(Table1[Customer ID],Table1[[#This Row],[Customer ID]])&gt;1,"Repeat Customer","One-Time Customer")</f>
        <v>Repeat Customer</v>
      </c>
      <c r="H1327" s="1" t="s">
        <v>2246</v>
      </c>
      <c r="I1327" s="1" t="s">
        <v>49</v>
      </c>
      <c r="J1327" s="1" t="s">
        <v>58</v>
      </c>
      <c r="K1327" s="1" t="s">
        <v>29</v>
      </c>
      <c r="L1327" s="1" t="s">
        <v>109</v>
      </c>
      <c r="M1327" s="1" t="s">
        <v>59</v>
      </c>
      <c r="N1327" s="1" t="s">
        <v>2243</v>
      </c>
      <c r="O1327" s="1">
        <v>0.37</v>
      </c>
      <c r="P1327" s="6">
        <f>Table1[[#This Row],[Profit]]/Table1[[#This Row],[Sales]]</f>
        <v>0.23821741226623358</v>
      </c>
      <c r="Q1327" s="1" t="s">
        <v>33</v>
      </c>
      <c r="R1327" s="1" t="s">
        <v>53</v>
      </c>
      <c r="S1327" s="1" t="s">
        <v>71</v>
      </c>
      <c r="T1327" s="1" t="s">
        <v>90</v>
      </c>
      <c r="U1327" s="1">
        <v>10024</v>
      </c>
      <c r="V1327" s="9">
        <v>42129</v>
      </c>
      <c r="W1327" s="13" t="str">
        <f>TEXT(Table1[[#This Row],[Order Date]],"mmmm")</f>
        <v>May</v>
      </c>
      <c r="X1327" s="7" t="str">
        <f>TEXT(Table1[[#This Row],[Order Date]],"yyyy")</f>
        <v>2015</v>
      </c>
      <c r="Y1327" s="9">
        <v>42131</v>
      </c>
      <c r="Z1327" s="1">
        <v>1408.1865</v>
      </c>
      <c r="AA1327" s="1">
        <v>48</v>
      </c>
      <c r="AB1327" s="1">
        <v>5911.35</v>
      </c>
      <c r="AC1327" s="1">
        <v>962</v>
      </c>
      <c r="AD1327" s="6" t="str">
        <f>IF(COUNTIF(Returns!$A$2:$A$1635,Orders!AC1327)&gt;0,"Returned","Not Returned")</f>
        <v>Not Returned</v>
      </c>
    </row>
    <row r="1328" spans="1:30" ht="12.75" customHeight="1" thickTop="1" thickBot="1" x14ac:dyDescent="0.25">
      <c r="A1328" s="10">
        <v>152</v>
      </c>
      <c r="B1328" s="11" t="s">
        <v>106</v>
      </c>
      <c r="C1328" s="11">
        <v>0.08</v>
      </c>
      <c r="D1328" s="11">
        <v>68.81</v>
      </c>
      <c r="E1328" s="11">
        <v>60</v>
      </c>
      <c r="F1328" s="11">
        <v>2382</v>
      </c>
      <c r="G1328" s="6" t="str">
        <f>IF(COUNTIF(Table1[Customer ID],Table1[[#This Row],[Customer ID]])&gt;1,"Repeat Customer","One-Time Customer")</f>
        <v>Repeat Customer</v>
      </c>
      <c r="H1328" s="11" t="s">
        <v>2246</v>
      </c>
      <c r="I1328" s="11" t="s">
        <v>39</v>
      </c>
      <c r="J1328" s="11" t="s">
        <v>58</v>
      </c>
      <c r="K1328" s="11" t="s">
        <v>29</v>
      </c>
      <c r="L1328" s="11" t="s">
        <v>257</v>
      </c>
      <c r="M1328" s="11" t="s">
        <v>43</v>
      </c>
      <c r="N1328" s="11" t="s">
        <v>2197</v>
      </c>
      <c r="O1328" s="11">
        <v>0.41</v>
      </c>
      <c r="P1328" s="6">
        <f>Table1[[#This Row],[Profit]]/Table1[[#This Row],[Sales]]</f>
        <v>-0.23005473294837467</v>
      </c>
      <c r="Q1328" s="11" t="s">
        <v>33</v>
      </c>
      <c r="R1328" s="11" t="s">
        <v>53</v>
      </c>
      <c r="S1328" s="11" t="s">
        <v>71</v>
      </c>
      <c r="T1328" s="11" t="s">
        <v>90</v>
      </c>
      <c r="U1328" s="11">
        <v>10024</v>
      </c>
      <c r="V1328" s="12">
        <v>42129</v>
      </c>
      <c r="W1328" s="13" t="str">
        <f>TEXT(Table1[[#This Row],[Order Date]],"mmmm")</f>
        <v>May</v>
      </c>
      <c r="X1328" s="7" t="str">
        <f>TEXT(Table1[[#This Row],[Order Date]],"yyyy")</f>
        <v>2015</v>
      </c>
      <c r="Y1328" s="12">
        <v>42131</v>
      </c>
      <c r="Z1328" s="11">
        <v>-1069.72</v>
      </c>
      <c r="AA1328" s="11">
        <v>68</v>
      </c>
      <c r="AB1328" s="11">
        <v>4649.8500000000004</v>
      </c>
      <c r="AC1328" s="11">
        <v>962</v>
      </c>
      <c r="AD1328" s="6" t="str">
        <f>IF(COUNTIF(Returns!$A$2:$A$1635,Orders!AC1328)&gt;0,"Returned","Not Returned")</f>
        <v>Not Returned</v>
      </c>
    </row>
    <row r="1329" spans="1:30" ht="12.75" customHeight="1" thickTop="1" thickBot="1" x14ac:dyDescent="0.25">
      <c r="A1329" s="8">
        <v>21171</v>
      </c>
      <c r="B1329" s="1" t="s">
        <v>47</v>
      </c>
      <c r="C1329" s="1">
        <v>0.1</v>
      </c>
      <c r="D1329" s="1">
        <v>130.97999999999999</v>
      </c>
      <c r="E1329" s="1">
        <v>30</v>
      </c>
      <c r="F1329" s="1">
        <v>2385</v>
      </c>
      <c r="G1329" s="6" t="str">
        <f>IF(COUNTIF(Table1[Customer ID],Table1[[#This Row],[Customer ID]])&gt;1,"Repeat Customer","One-Time Customer")</f>
        <v>One-Time Customer</v>
      </c>
      <c r="H1329" s="1" t="s">
        <v>2247</v>
      </c>
      <c r="I1329" s="1" t="s">
        <v>39</v>
      </c>
      <c r="J1329" s="1" t="s">
        <v>58</v>
      </c>
      <c r="K1329" s="1" t="s">
        <v>41</v>
      </c>
      <c r="L1329" s="1" t="s">
        <v>42</v>
      </c>
      <c r="M1329" s="1" t="s">
        <v>43</v>
      </c>
      <c r="N1329" s="1" t="s">
        <v>546</v>
      </c>
      <c r="O1329" s="1">
        <v>0.78</v>
      </c>
      <c r="P1329" s="6">
        <f>Table1[[#This Row],[Profit]]/Table1[[#This Row],[Sales]]</f>
        <v>0.88500834074487056</v>
      </c>
      <c r="Q1329" s="1" t="s">
        <v>33</v>
      </c>
      <c r="R1329" s="1" t="s">
        <v>34</v>
      </c>
      <c r="S1329" s="1" t="s">
        <v>366</v>
      </c>
      <c r="T1329" s="1" t="s">
        <v>2248</v>
      </c>
      <c r="U1329" s="1">
        <v>88001</v>
      </c>
      <c r="V1329" s="9">
        <v>42146</v>
      </c>
      <c r="W1329" s="13" t="str">
        <f>TEXT(Table1[[#This Row],[Order Date]],"mmmm")</f>
        <v>May</v>
      </c>
      <c r="X1329" s="7" t="str">
        <f>TEXT(Table1[[#This Row],[Order Date]],"yyyy")</f>
        <v>2015</v>
      </c>
      <c r="Y1329" s="9">
        <v>42148</v>
      </c>
      <c r="Z1329" s="1">
        <v>2000.11</v>
      </c>
      <c r="AA1329" s="1">
        <v>18</v>
      </c>
      <c r="AB1329" s="1">
        <v>2259.9899999999998</v>
      </c>
      <c r="AC1329" s="1">
        <v>89184</v>
      </c>
      <c r="AD1329" s="6" t="str">
        <f>IF(COUNTIF(Returns!$A$2:$A$1635,Orders!AC1329)&gt;0,"Returned","Not Returned")</f>
        <v>Not Returned</v>
      </c>
    </row>
    <row r="1330" spans="1:30" ht="12.75" customHeight="1" thickTop="1" thickBot="1" x14ac:dyDescent="0.25">
      <c r="A1330" s="10">
        <v>23557</v>
      </c>
      <c r="B1330" s="11" t="s">
        <v>37</v>
      </c>
      <c r="C1330" s="11">
        <v>0.06</v>
      </c>
      <c r="D1330" s="11">
        <v>4.7699999999999996</v>
      </c>
      <c r="E1330" s="11">
        <v>2.39</v>
      </c>
      <c r="F1330" s="11">
        <v>2391</v>
      </c>
      <c r="G1330" s="6" t="str">
        <f>IF(COUNTIF(Table1[Customer ID],Table1[[#This Row],[Customer ID]])&gt;1,"Repeat Customer","One-Time Customer")</f>
        <v>Repeat Customer</v>
      </c>
      <c r="H1330" s="11" t="s">
        <v>2249</v>
      </c>
      <c r="I1330" s="11" t="s">
        <v>49</v>
      </c>
      <c r="J1330" s="11" t="s">
        <v>28</v>
      </c>
      <c r="K1330" s="11" t="s">
        <v>77</v>
      </c>
      <c r="L1330" s="11" t="s">
        <v>180</v>
      </c>
      <c r="M1330" s="11" t="s">
        <v>51</v>
      </c>
      <c r="N1330" s="11" t="s">
        <v>2250</v>
      </c>
      <c r="O1330" s="11">
        <v>0.72</v>
      </c>
      <c r="P1330" s="6">
        <f>Table1[[#This Row],[Profit]]/Table1[[#This Row],[Sales]]</f>
        <v>-1.0748940178991993</v>
      </c>
      <c r="Q1330" s="11" t="s">
        <v>33</v>
      </c>
      <c r="R1330" s="11" t="s">
        <v>53</v>
      </c>
      <c r="S1330" s="11" t="s">
        <v>71</v>
      </c>
      <c r="T1330" s="11" t="s">
        <v>2251</v>
      </c>
      <c r="U1330" s="11">
        <v>11572</v>
      </c>
      <c r="V1330" s="12">
        <v>42149</v>
      </c>
      <c r="W1330" s="13" t="str">
        <f>TEXT(Table1[[#This Row],[Order Date]],"mmmm")</f>
        <v>May</v>
      </c>
      <c r="X1330" s="7" t="str">
        <f>TEXT(Table1[[#This Row],[Order Date]],"yyyy")</f>
        <v>2015</v>
      </c>
      <c r="Y1330" s="12">
        <v>42150</v>
      </c>
      <c r="Z1330" s="11">
        <v>-45.64</v>
      </c>
      <c r="AA1330" s="11">
        <v>9</v>
      </c>
      <c r="AB1330" s="11">
        <v>42.46</v>
      </c>
      <c r="AC1330" s="11">
        <v>91122</v>
      </c>
      <c r="AD1330" s="6" t="str">
        <f>IF(COUNTIF(Returns!$A$2:$A$1635,Orders!AC1330)&gt;0,"Returned","Not Returned")</f>
        <v>Not Returned</v>
      </c>
    </row>
    <row r="1331" spans="1:30" ht="12.75" customHeight="1" thickTop="1" thickBot="1" x14ac:dyDescent="0.25">
      <c r="A1331" s="8">
        <v>23558</v>
      </c>
      <c r="B1331" s="1" t="s">
        <v>37</v>
      </c>
      <c r="C1331" s="1">
        <v>0.1</v>
      </c>
      <c r="D1331" s="1">
        <v>27.18</v>
      </c>
      <c r="E1331" s="1">
        <v>8.23</v>
      </c>
      <c r="F1331" s="1">
        <v>2391</v>
      </c>
      <c r="G1331" s="6" t="str">
        <f>IF(COUNTIF(Table1[Customer ID],Table1[[#This Row],[Customer ID]])&gt;1,"Repeat Customer","One-Time Customer")</f>
        <v>Repeat Customer</v>
      </c>
      <c r="H1331" s="1" t="s">
        <v>2249</v>
      </c>
      <c r="I1331" s="1" t="s">
        <v>49</v>
      </c>
      <c r="J1331" s="1" t="s">
        <v>28</v>
      </c>
      <c r="K1331" s="1" t="s">
        <v>29</v>
      </c>
      <c r="L1331" s="1" t="s">
        <v>69</v>
      </c>
      <c r="M1331" s="1" t="s">
        <v>59</v>
      </c>
      <c r="N1331" s="1" t="s">
        <v>2252</v>
      </c>
      <c r="O1331" s="1">
        <v>0.38</v>
      </c>
      <c r="P1331" s="6">
        <f>Table1[[#This Row],[Profit]]/Table1[[#This Row],[Sales]]</f>
        <v>0.65111762083678282</v>
      </c>
      <c r="Q1331" s="1" t="s">
        <v>33</v>
      </c>
      <c r="R1331" s="1" t="s">
        <v>53</v>
      </c>
      <c r="S1331" s="1" t="s">
        <v>71</v>
      </c>
      <c r="T1331" s="1" t="s">
        <v>2251</v>
      </c>
      <c r="U1331" s="1">
        <v>11572</v>
      </c>
      <c r="V1331" s="9">
        <v>42149</v>
      </c>
      <c r="W1331" s="13" t="str">
        <f>TEXT(Table1[[#This Row],[Order Date]],"mmmm")</f>
        <v>May</v>
      </c>
      <c r="X1331" s="7" t="str">
        <f>TEXT(Table1[[#This Row],[Order Date]],"yyyy")</f>
        <v>2015</v>
      </c>
      <c r="Y1331" s="9">
        <v>42151</v>
      </c>
      <c r="Z1331" s="1">
        <v>204.49</v>
      </c>
      <c r="AA1331" s="1">
        <v>12</v>
      </c>
      <c r="AB1331" s="1">
        <v>314.06</v>
      </c>
      <c r="AC1331" s="1">
        <v>91122</v>
      </c>
      <c r="AD1331" s="6" t="str">
        <f>IF(COUNTIF(Returns!$A$2:$A$1635,Orders!AC1331)&gt;0,"Returned","Not Returned")</f>
        <v>Not Returned</v>
      </c>
    </row>
    <row r="1332" spans="1:30" ht="12.75" customHeight="1" thickTop="1" thickBot="1" x14ac:dyDescent="0.25">
      <c r="A1332" s="10">
        <v>21462</v>
      </c>
      <c r="B1332" s="11" t="s">
        <v>37</v>
      </c>
      <c r="C1332" s="11">
        <v>0</v>
      </c>
      <c r="D1332" s="11">
        <v>999.99</v>
      </c>
      <c r="E1332" s="11">
        <v>13.99</v>
      </c>
      <c r="F1332" s="11">
        <v>2391</v>
      </c>
      <c r="G1332" s="6" t="str">
        <f>IF(COUNTIF(Table1[Customer ID],Table1[[#This Row],[Customer ID]])&gt;1,"Repeat Customer","One-Time Customer")</f>
        <v>Repeat Customer</v>
      </c>
      <c r="H1332" s="11" t="s">
        <v>2249</v>
      </c>
      <c r="I1332" s="11" t="s">
        <v>49</v>
      </c>
      <c r="J1332" s="11" t="s">
        <v>28</v>
      </c>
      <c r="K1332" s="11" t="s">
        <v>77</v>
      </c>
      <c r="L1332" s="11" t="s">
        <v>85</v>
      </c>
      <c r="M1332" s="11" t="s">
        <v>86</v>
      </c>
      <c r="N1332" s="11" t="s">
        <v>530</v>
      </c>
      <c r="O1332" s="11">
        <v>0.36</v>
      </c>
      <c r="P1332" s="6">
        <f>Table1[[#This Row],[Profit]]/Table1[[#This Row],[Sales]]</f>
        <v>-1.4415956593629637</v>
      </c>
      <c r="Q1332" s="11" t="s">
        <v>33</v>
      </c>
      <c r="R1332" s="11" t="s">
        <v>53</v>
      </c>
      <c r="S1332" s="11" t="s">
        <v>71</v>
      </c>
      <c r="T1332" s="11" t="s">
        <v>2251</v>
      </c>
      <c r="U1332" s="11">
        <v>11572</v>
      </c>
      <c r="V1332" s="12">
        <v>42159</v>
      </c>
      <c r="W1332" s="13" t="str">
        <f>TEXT(Table1[[#This Row],[Order Date]],"mmmm")</f>
        <v>June</v>
      </c>
      <c r="X1332" s="7" t="str">
        <f>TEXT(Table1[[#This Row],[Order Date]],"yyyy")</f>
        <v>2015</v>
      </c>
      <c r="Y1332" s="12">
        <v>42161</v>
      </c>
      <c r="Z1332" s="11">
        <v>-1455.9971999999998</v>
      </c>
      <c r="AA1332" s="11">
        <v>1</v>
      </c>
      <c r="AB1332" s="11">
        <v>1009.99</v>
      </c>
      <c r="AC1332" s="11">
        <v>91123</v>
      </c>
      <c r="AD1332" s="6" t="str">
        <f>IF(COUNTIF(Returns!$A$2:$A$1635,Orders!AC1332)&gt;0,"Returned","Not Returned")</f>
        <v>Not Returned</v>
      </c>
    </row>
    <row r="1333" spans="1:30" ht="12.75" customHeight="1" thickTop="1" thickBot="1" x14ac:dyDescent="0.25">
      <c r="A1333" s="8">
        <v>21463</v>
      </c>
      <c r="B1333" s="1" t="s">
        <v>37</v>
      </c>
      <c r="C1333" s="1">
        <v>0.05</v>
      </c>
      <c r="D1333" s="1">
        <v>6.48</v>
      </c>
      <c r="E1333" s="1">
        <v>5.14</v>
      </c>
      <c r="F1333" s="1">
        <v>2391</v>
      </c>
      <c r="G1333" s="6" t="str">
        <f>IF(COUNTIF(Table1[Customer ID],Table1[[#This Row],[Customer ID]])&gt;1,"Repeat Customer","One-Time Customer")</f>
        <v>Repeat Customer</v>
      </c>
      <c r="H1333" s="1" t="s">
        <v>2249</v>
      </c>
      <c r="I1333" s="1" t="s">
        <v>27</v>
      </c>
      <c r="J1333" s="1" t="s">
        <v>28</v>
      </c>
      <c r="K1333" s="1" t="s">
        <v>29</v>
      </c>
      <c r="L1333" s="1" t="s">
        <v>93</v>
      </c>
      <c r="M1333" s="1" t="s">
        <v>59</v>
      </c>
      <c r="N1333" s="1" t="s">
        <v>938</v>
      </c>
      <c r="O1333" s="1">
        <v>0.37</v>
      </c>
      <c r="P1333" s="6">
        <f>Table1[[#This Row],[Profit]]/Table1[[#This Row],[Sales]]</f>
        <v>-0.24479166666666666</v>
      </c>
      <c r="Q1333" s="1" t="s">
        <v>33</v>
      </c>
      <c r="R1333" s="1" t="s">
        <v>53</v>
      </c>
      <c r="S1333" s="1" t="s">
        <v>71</v>
      </c>
      <c r="T1333" s="1" t="s">
        <v>2251</v>
      </c>
      <c r="U1333" s="1">
        <v>11572</v>
      </c>
      <c r="V1333" s="9">
        <v>42159</v>
      </c>
      <c r="W1333" s="13" t="str">
        <f>TEXT(Table1[[#This Row],[Order Date]],"mmmm")</f>
        <v>June</v>
      </c>
      <c r="X1333" s="7" t="str">
        <f>TEXT(Table1[[#This Row],[Order Date]],"yyyy")</f>
        <v>2015</v>
      </c>
      <c r="Y1333" s="9">
        <v>42160</v>
      </c>
      <c r="Z1333" s="1">
        <v>-22.56</v>
      </c>
      <c r="AA1333" s="1">
        <v>13</v>
      </c>
      <c r="AB1333" s="1">
        <v>92.16</v>
      </c>
      <c r="AC1333" s="1">
        <v>91123</v>
      </c>
      <c r="AD1333" s="6" t="str">
        <f>IF(COUNTIF(Returns!$A$2:$A$1635,Orders!AC1333)&gt;0,"Returned","Not Returned")</f>
        <v>Not Returned</v>
      </c>
    </row>
    <row r="1334" spans="1:30" ht="12.75" customHeight="1" thickTop="1" thickBot="1" x14ac:dyDescent="0.25">
      <c r="A1334" s="10">
        <v>18277</v>
      </c>
      <c r="B1334" s="11" t="s">
        <v>56</v>
      </c>
      <c r="C1334" s="11">
        <v>0.02</v>
      </c>
      <c r="D1334" s="11">
        <v>6.48</v>
      </c>
      <c r="E1334" s="11">
        <v>7.91</v>
      </c>
      <c r="F1334" s="11">
        <v>2393</v>
      </c>
      <c r="G1334" s="6" t="str">
        <f>IF(COUNTIF(Table1[Customer ID],Table1[[#This Row],[Customer ID]])&gt;1,"Repeat Customer","One-Time Customer")</f>
        <v>Repeat Customer</v>
      </c>
      <c r="H1334" s="11" t="s">
        <v>2253</v>
      </c>
      <c r="I1334" s="11" t="s">
        <v>49</v>
      </c>
      <c r="J1334" s="11" t="s">
        <v>28</v>
      </c>
      <c r="K1334" s="11" t="s">
        <v>29</v>
      </c>
      <c r="L1334" s="11" t="s">
        <v>93</v>
      </c>
      <c r="M1334" s="11" t="s">
        <v>59</v>
      </c>
      <c r="N1334" s="11" t="s">
        <v>2254</v>
      </c>
      <c r="O1334" s="11">
        <v>0.37</v>
      </c>
      <c r="P1334" s="6">
        <f>Table1[[#This Row],[Profit]]/Table1[[#This Row],[Sales]]</f>
        <v>-72.213696969696969</v>
      </c>
      <c r="Q1334" s="11" t="s">
        <v>33</v>
      </c>
      <c r="R1334" s="11" t="s">
        <v>136</v>
      </c>
      <c r="S1334" s="11" t="s">
        <v>387</v>
      </c>
      <c r="T1334" s="11" t="s">
        <v>652</v>
      </c>
      <c r="U1334" s="11">
        <v>30076</v>
      </c>
      <c r="V1334" s="12">
        <v>42153</v>
      </c>
      <c r="W1334" s="13" t="str">
        <f>TEXT(Table1[[#This Row],[Order Date]],"mmmm")</f>
        <v>May</v>
      </c>
      <c r="X1334" s="7" t="str">
        <f>TEXT(Table1[[#This Row],[Order Date]],"yyyy")</f>
        <v>2015</v>
      </c>
      <c r="Y1334" s="12">
        <v>42155</v>
      </c>
      <c r="Z1334" s="11">
        <v>-1191.5260000000001</v>
      </c>
      <c r="AA1334" s="11">
        <v>2</v>
      </c>
      <c r="AB1334" s="11">
        <v>16.5</v>
      </c>
      <c r="AC1334" s="11">
        <v>86950</v>
      </c>
      <c r="AD1334" s="6" t="str">
        <f>IF(COUNTIF(Returns!$A$2:$A$1635,Orders!AC1334)&gt;0,"Returned","Not Returned")</f>
        <v>Not Returned</v>
      </c>
    </row>
    <row r="1335" spans="1:30" ht="12.75" customHeight="1" thickTop="1" thickBot="1" x14ac:dyDescent="0.25">
      <c r="A1335" s="8">
        <v>18197</v>
      </c>
      <c r="B1335" s="1" t="s">
        <v>25</v>
      </c>
      <c r="C1335" s="1">
        <v>0.06</v>
      </c>
      <c r="D1335" s="1">
        <v>105.29</v>
      </c>
      <c r="E1335" s="1">
        <v>10.119999999999999</v>
      </c>
      <c r="F1335" s="1">
        <v>2393</v>
      </c>
      <c r="G1335" s="6" t="str">
        <f>IF(COUNTIF(Table1[Customer ID],Table1[[#This Row],[Customer ID]])&gt;1,"Repeat Customer","One-Time Customer")</f>
        <v>Repeat Customer</v>
      </c>
      <c r="H1335" s="1" t="s">
        <v>2253</v>
      </c>
      <c r="I1335" s="1" t="s">
        <v>49</v>
      </c>
      <c r="J1335" s="1" t="s">
        <v>28</v>
      </c>
      <c r="K1335" s="1" t="s">
        <v>41</v>
      </c>
      <c r="L1335" s="1" t="s">
        <v>50</v>
      </c>
      <c r="M1335" s="1" t="s">
        <v>236</v>
      </c>
      <c r="N1335" s="1" t="s">
        <v>1507</v>
      </c>
      <c r="O1335" s="1">
        <v>0.79</v>
      </c>
      <c r="P1335" s="6">
        <f>Table1[[#This Row],[Profit]]/Table1[[#This Row],[Sales]]</f>
        <v>-3.7425373754843429E-2</v>
      </c>
      <c r="Q1335" s="1" t="s">
        <v>33</v>
      </c>
      <c r="R1335" s="1" t="s">
        <v>136</v>
      </c>
      <c r="S1335" s="1" t="s">
        <v>387</v>
      </c>
      <c r="T1335" s="1" t="s">
        <v>652</v>
      </c>
      <c r="U1335" s="1">
        <v>30076</v>
      </c>
      <c r="V1335" s="9">
        <v>42008</v>
      </c>
      <c r="W1335" s="13" t="str">
        <f>TEXT(Table1[[#This Row],[Order Date]],"mmmm")</f>
        <v>January</v>
      </c>
      <c r="X1335" s="7" t="str">
        <f>TEXT(Table1[[#This Row],[Order Date]],"yyyy")</f>
        <v>2015</v>
      </c>
      <c r="Y1335" s="9">
        <v>42010</v>
      </c>
      <c r="Z1335" s="1">
        <v>-45.01</v>
      </c>
      <c r="AA1335" s="1">
        <v>12</v>
      </c>
      <c r="AB1335" s="1">
        <v>1202.6600000000001</v>
      </c>
      <c r="AC1335" s="1">
        <v>86951</v>
      </c>
      <c r="AD1335" s="6" t="str">
        <f>IF(COUNTIF(Returns!$A$2:$A$1635,Orders!AC1335)&gt;0,"Returned","Not Returned")</f>
        <v>Not Returned</v>
      </c>
    </row>
    <row r="1336" spans="1:30" ht="12.75" customHeight="1" thickTop="1" thickBot="1" x14ac:dyDescent="0.25">
      <c r="A1336" s="10">
        <v>20197</v>
      </c>
      <c r="B1336" s="11" t="s">
        <v>47</v>
      </c>
      <c r="C1336" s="11">
        <v>0.01</v>
      </c>
      <c r="D1336" s="11">
        <v>11.7</v>
      </c>
      <c r="E1336" s="11">
        <v>5.63</v>
      </c>
      <c r="F1336" s="11">
        <v>2394</v>
      </c>
      <c r="G1336" s="6" t="str">
        <f>IF(COUNTIF(Table1[Customer ID],Table1[[#This Row],[Customer ID]])&gt;1,"Repeat Customer","One-Time Customer")</f>
        <v>Repeat Customer</v>
      </c>
      <c r="H1336" s="11" t="s">
        <v>2255</v>
      </c>
      <c r="I1336" s="11" t="s">
        <v>49</v>
      </c>
      <c r="J1336" s="11" t="s">
        <v>28</v>
      </c>
      <c r="K1336" s="11" t="s">
        <v>29</v>
      </c>
      <c r="L1336" s="11" t="s">
        <v>109</v>
      </c>
      <c r="M1336" s="11" t="s">
        <v>59</v>
      </c>
      <c r="N1336" s="11" t="s">
        <v>2256</v>
      </c>
      <c r="O1336" s="11">
        <v>0.4</v>
      </c>
      <c r="P1336" s="6">
        <f>Table1[[#This Row],[Profit]]/Table1[[#This Row],[Sales]]</f>
        <v>0.19934922975240224</v>
      </c>
      <c r="Q1336" s="11" t="s">
        <v>33</v>
      </c>
      <c r="R1336" s="11" t="s">
        <v>136</v>
      </c>
      <c r="S1336" s="11" t="s">
        <v>387</v>
      </c>
      <c r="T1336" s="11" t="s">
        <v>2257</v>
      </c>
      <c r="U1336" s="11">
        <v>30328</v>
      </c>
      <c r="V1336" s="12">
        <v>42125</v>
      </c>
      <c r="W1336" s="13" t="str">
        <f>TEXT(Table1[[#This Row],[Order Date]],"mmmm")</f>
        <v>May</v>
      </c>
      <c r="X1336" s="7" t="str">
        <f>TEXT(Table1[[#This Row],[Order Date]],"yyyy")</f>
        <v>2015</v>
      </c>
      <c r="Y1336" s="12">
        <v>42127</v>
      </c>
      <c r="Z1336" s="11">
        <v>39.209999999999994</v>
      </c>
      <c r="AA1336" s="11">
        <v>16</v>
      </c>
      <c r="AB1336" s="11">
        <v>196.69</v>
      </c>
      <c r="AC1336" s="11">
        <v>86949</v>
      </c>
      <c r="AD1336" s="6" t="str">
        <f>IF(COUNTIF(Returns!$A$2:$A$1635,Orders!AC1336)&gt;0,"Returned","Not Returned")</f>
        <v>Not Returned</v>
      </c>
    </row>
    <row r="1337" spans="1:30" ht="12.75" customHeight="1" thickTop="1" thickBot="1" x14ac:dyDescent="0.25">
      <c r="A1337" s="8">
        <v>20198</v>
      </c>
      <c r="B1337" s="1" t="s">
        <v>47</v>
      </c>
      <c r="C1337" s="1">
        <v>0.03</v>
      </c>
      <c r="D1337" s="1">
        <v>4.55</v>
      </c>
      <c r="E1337" s="1">
        <v>1.49</v>
      </c>
      <c r="F1337" s="1">
        <v>2394</v>
      </c>
      <c r="G1337" s="6" t="str">
        <f>IF(COUNTIF(Table1[Customer ID],Table1[[#This Row],[Customer ID]])&gt;1,"Repeat Customer","One-Time Customer")</f>
        <v>Repeat Customer</v>
      </c>
      <c r="H1337" s="1" t="s">
        <v>2255</v>
      </c>
      <c r="I1337" s="1" t="s">
        <v>49</v>
      </c>
      <c r="J1337" s="1" t="s">
        <v>28</v>
      </c>
      <c r="K1337" s="1" t="s">
        <v>29</v>
      </c>
      <c r="L1337" s="1" t="s">
        <v>109</v>
      </c>
      <c r="M1337" s="1" t="s">
        <v>59</v>
      </c>
      <c r="N1337" s="1" t="s">
        <v>1441</v>
      </c>
      <c r="O1337" s="1">
        <v>0.35</v>
      </c>
      <c r="P1337" s="6">
        <f>Table1[[#This Row],[Profit]]/Table1[[#This Row],[Sales]]</f>
        <v>2.4920556107249259</v>
      </c>
      <c r="Q1337" s="1" t="s">
        <v>33</v>
      </c>
      <c r="R1337" s="1" t="s">
        <v>136</v>
      </c>
      <c r="S1337" s="1" t="s">
        <v>387</v>
      </c>
      <c r="T1337" s="1" t="s">
        <v>2257</v>
      </c>
      <c r="U1337" s="1">
        <v>30328</v>
      </c>
      <c r="V1337" s="9">
        <v>42125</v>
      </c>
      <c r="W1337" s="13" t="str">
        <f>TEXT(Table1[[#This Row],[Order Date]],"mmmm")</f>
        <v>May</v>
      </c>
      <c r="X1337" s="7" t="str">
        <f>TEXT(Table1[[#This Row],[Order Date]],"yyyy")</f>
        <v>2015</v>
      </c>
      <c r="Y1337" s="9">
        <v>42125</v>
      </c>
      <c r="Z1337" s="1">
        <v>100.38000000000001</v>
      </c>
      <c r="AA1337" s="1">
        <v>9</v>
      </c>
      <c r="AB1337" s="1">
        <v>40.28</v>
      </c>
      <c r="AC1337" s="1">
        <v>86949</v>
      </c>
      <c r="AD1337" s="6" t="str">
        <f>IF(COUNTIF(Returns!$A$2:$A$1635,Orders!AC1337)&gt;0,"Returned","Not Returned")</f>
        <v>Not Returned</v>
      </c>
    </row>
    <row r="1338" spans="1:30" ht="12.75" customHeight="1" thickTop="1" thickBot="1" x14ac:dyDescent="0.25">
      <c r="A1338" s="10">
        <v>24954</v>
      </c>
      <c r="B1338" s="11" t="s">
        <v>37</v>
      </c>
      <c r="C1338" s="11">
        <v>0.04</v>
      </c>
      <c r="D1338" s="11">
        <v>60.97</v>
      </c>
      <c r="E1338" s="11">
        <v>4.5</v>
      </c>
      <c r="F1338" s="11">
        <v>2395</v>
      </c>
      <c r="G1338" s="6" t="str">
        <f>IF(COUNTIF(Table1[Customer ID],Table1[[#This Row],[Customer ID]])&gt;1,"Repeat Customer","One-Time Customer")</f>
        <v>One-Time Customer</v>
      </c>
      <c r="H1338" s="11" t="s">
        <v>2258</v>
      </c>
      <c r="I1338" s="11" t="s">
        <v>49</v>
      </c>
      <c r="J1338" s="11" t="s">
        <v>28</v>
      </c>
      <c r="K1338" s="11" t="s">
        <v>29</v>
      </c>
      <c r="L1338" s="11" t="s">
        <v>257</v>
      </c>
      <c r="M1338" s="11" t="s">
        <v>59</v>
      </c>
      <c r="N1338" s="11" t="s">
        <v>2132</v>
      </c>
      <c r="O1338" s="11">
        <v>0.56000000000000005</v>
      </c>
      <c r="P1338" s="6">
        <f>Table1[[#This Row],[Profit]]/Table1[[#This Row],[Sales]]</f>
        <v>8.7827404319315294E-2</v>
      </c>
      <c r="Q1338" s="11" t="s">
        <v>33</v>
      </c>
      <c r="R1338" s="11" t="s">
        <v>136</v>
      </c>
      <c r="S1338" s="11" t="s">
        <v>387</v>
      </c>
      <c r="T1338" s="11" t="s">
        <v>2259</v>
      </c>
      <c r="U1338" s="11">
        <v>31401</v>
      </c>
      <c r="V1338" s="12">
        <v>42086</v>
      </c>
      <c r="W1338" s="13" t="str">
        <f>TEXT(Table1[[#This Row],[Order Date]],"mmmm")</f>
        <v>March</v>
      </c>
      <c r="X1338" s="7" t="str">
        <f>TEXT(Table1[[#This Row],[Order Date]],"yyyy")</f>
        <v>2015</v>
      </c>
      <c r="Y1338" s="12">
        <v>42087</v>
      </c>
      <c r="Z1338" s="11">
        <v>79.423200000000008</v>
      </c>
      <c r="AA1338" s="11">
        <v>15</v>
      </c>
      <c r="AB1338" s="11">
        <v>904.31</v>
      </c>
      <c r="AC1338" s="11">
        <v>86952</v>
      </c>
      <c r="AD1338" s="6" t="str">
        <f>IF(COUNTIF(Returns!$A$2:$A$1635,Orders!AC1338)&gt;0,"Returned","Not Returned")</f>
        <v>Not Returned</v>
      </c>
    </row>
    <row r="1339" spans="1:30" ht="12.75" customHeight="1" thickTop="1" thickBot="1" x14ac:dyDescent="0.25">
      <c r="A1339" s="8">
        <v>22369</v>
      </c>
      <c r="B1339" s="1" t="s">
        <v>37</v>
      </c>
      <c r="C1339" s="1">
        <v>0.03</v>
      </c>
      <c r="D1339" s="1">
        <v>7.64</v>
      </c>
      <c r="E1339" s="1">
        <v>5.83</v>
      </c>
      <c r="F1339" s="1">
        <v>2398</v>
      </c>
      <c r="G1339" s="6" t="str">
        <f>IF(COUNTIF(Table1[Customer ID],Table1[[#This Row],[Customer ID]])&gt;1,"Repeat Customer","One-Time Customer")</f>
        <v>One-Time Customer</v>
      </c>
      <c r="H1339" s="1" t="s">
        <v>2260</v>
      </c>
      <c r="I1339" s="1" t="s">
        <v>49</v>
      </c>
      <c r="J1339" s="1" t="s">
        <v>28</v>
      </c>
      <c r="K1339" s="1" t="s">
        <v>29</v>
      </c>
      <c r="L1339" s="1" t="s">
        <v>93</v>
      </c>
      <c r="M1339" s="1" t="s">
        <v>31</v>
      </c>
      <c r="N1339" s="1" t="s">
        <v>1026</v>
      </c>
      <c r="O1339" s="1">
        <v>0.36</v>
      </c>
      <c r="P1339" s="6">
        <f>Table1[[#This Row],[Profit]]/Table1[[#This Row],[Sales]]</f>
        <v>-0.15579599421845963</v>
      </c>
      <c r="Q1339" s="1" t="s">
        <v>33</v>
      </c>
      <c r="R1339" s="1" t="s">
        <v>61</v>
      </c>
      <c r="S1339" s="1" t="s">
        <v>178</v>
      </c>
      <c r="T1339" s="1" t="s">
        <v>2261</v>
      </c>
      <c r="U1339" s="1">
        <v>60103</v>
      </c>
      <c r="V1339" s="9">
        <v>42059</v>
      </c>
      <c r="W1339" s="13" t="str">
        <f>TEXT(Table1[[#This Row],[Order Date]],"mmmm")</f>
        <v>February</v>
      </c>
      <c r="X1339" s="7" t="str">
        <f>TEXT(Table1[[#This Row],[Order Date]],"yyyy")</f>
        <v>2015</v>
      </c>
      <c r="Y1339" s="9">
        <v>42061</v>
      </c>
      <c r="Z1339" s="1">
        <v>-15.090400000000001</v>
      </c>
      <c r="AA1339" s="1">
        <v>12</v>
      </c>
      <c r="AB1339" s="1">
        <v>96.86</v>
      </c>
      <c r="AC1339" s="1">
        <v>86373</v>
      </c>
      <c r="AD1339" s="6" t="str">
        <f>IF(COUNTIF(Returns!$A$2:$A$1635,Orders!AC1339)&gt;0,"Returned","Not Returned")</f>
        <v>Not Returned</v>
      </c>
    </row>
    <row r="1340" spans="1:30" ht="12.75" customHeight="1" thickTop="1" thickBot="1" x14ac:dyDescent="0.25">
      <c r="A1340" s="10">
        <v>19001</v>
      </c>
      <c r="B1340" s="11" t="s">
        <v>56</v>
      </c>
      <c r="C1340" s="11">
        <v>0</v>
      </c>
      <c r="D1340" s="11">
        <v>65.989999999999995</v>
      </c>
      <c r="E1340" s="11">
        <v>3.99</v>
      </c>
      <c r="F1340" s="11">
        <v>2417</v>
      </c>
      <c r="G1340" s="6" t="str">
        <f>IF(COUNTIF(Table1[Customer ID],Table1[[#This Row],[Customer ID]])&gt;1,"Repeat Customer","One-Time Customer")</f>
        <v>One-Time Customer</v>
      </c>
      <c r="H1340" s="11" t="s">
        <v>2262</v>
      </c>
      <c r="I1340" s="11" t="s">
        <v>49</v>
      </c>
      <c r="J1340" s="11" t="s">
        <v>114</v>
      </c>
      <c r="K1340" s="11" t="s">
        <v>77</v>
      </c>
      <c r="L1340" s="11" t="s">
        <v>78</v>
      </c>
      <c r="M1340" s="11" t="s">
        <v>59</v>
      </c>
      <c r="N1340" s="11" t="s">
        <v>1053</v>
      </c>
      <c r="O1340" s="11">
        <v>0.59</v>
      </c>
      <c r="P1340" s="6">
        <f>Table1[[#This Row],[Profit]]/Table1[[#This Row],[Sales]]</f>
        <v>-7.9101417096584595E-2</v>
      </c>
      <c r="Q1340" s="11" t="s">
        <v>33</v>
      </c>
      <c r="R1340" s="11" t="s">
        <v>136</v>
      </c>
      <c r="S1340" s="11" t="s">
        <v>137</v>
      </c>
      <c r="T1340" s="11" t="s">
        <v>2027</v>
      </c>
      <c r="U1340" s="11">
        <v>22124</v>
      </c>
      <c r="V1340" s="12">
        <v>42077</v>
      </c>
      <c r="W1340" s="13" t="str">
        <f>TEXT(Table1[[#This Row],[Order Date]],"mmmm")</f>
        <v>March</v>
      </c>
      <c r="X1340" s="7" t="str">
        <f>TEXT(Table1[[#This Row],[Order Date]],"yyyy")</f>
        <v>2015</v>
      </c>
      <c r="Y1340" s="12">
        <v>42078</v>
      </c>
      <c r="Z1340" s="11">
        <v>-60.563999999999993</v>
      </c>
      <c r="AA1340" s="11">
        <v>13</v>
      </c>
      <c r="AB1340" s="11">
        <v>765.65</v>
      </c>
      <c r="AC1340" s="11">
        <v>86754</v>
      </c>
      <c r="AD1340" s="6" t="str">
        <f>IF(COUNTIF(Returns!$A$2:$A$1635,Orders!AC1340)&gt;0,"Returned","Not Returned")</f>
        <v>Not Returned</v>
      </c>
    </row>
    <row r="1341" spans="1:30" ht="12.75" customHeight="1" thickTop="1" thickBot="1" x14ac:dyDescent="0.25">
      <c r="A1341" s="8">
        <v>20325</v>
      </c>
      <c r="B1341" s="1" t="s">
        <v>47</v>
      </c>
      <c r="C1341" s="1">
        <v>0.03</v>
      </c>
      <c r="D1341" s="1">
        <v>2.1</v>
      </c>
      <c r="E1341" s="1">
        <v>0.7</v>
      </c>
      <c r="F1341" s="1">
        <v>2418</v>
      </c>
      <c r="G1341" s="6" t="str">
        <f>IF(COUNTIF(Table1[Customer ID],Table1[[#This Row],[Customer ID]])&gt;1,"Repeat Customer","One-Time Customer")</f>
        <v>Repeat Customer</v>
      </c>
      <c r="H1341" s="1" t="s">
        <v>2263</v>
      </c>
      <c r="I1341" s="1" t="s">
        <v>49</v>
      </c>
      <c r="J1341" s="1" t="s">
        <v>114</v>
      </c>
      <c r="K1341" s="1" t="s">
        <v>29</v>
      </c>
      <c r="L1341" s="1" t="s">
        <v>30</v>
      </c>
      <c r="M1341" s="1" t="s">
        <v>31</v>
      </c>
      <c r="N1341" s="1" t="s">
        <v>2264</v>
      </c>
      <c r="O1341" s="1">
        <v>0.56999999999999995</v>
      </c>
      <c r="P1341" s="6">
        <f>Table1[[#This Row],[Profit]]/Table1[[#This Row],[Sales]]</f>
        <v>-169.02591743119265</v>
      </c>
      <c r="Q1341" s="1" t="s">
        <v>33</v>
      </c>
      <c r="R1341" s="1" t="s">
        <v>136</v>
      </c>
      <c r="S1341" s="1" t="s">
        <v>137</v>
      </c>
      <c r="T1341" s="1" t="s">
        <v>2265</v>
      </c>
      <c r="U1341" s="1">
        <v>23805</v>
      </c>
      <c r="V1341" s="9">
        <v>42010</v>
      </c>
      <c r="W1341" s="13" t="str">
        <f>TEXT(Table1[[#This Row],[Order Date]],"mmmm")</f>
        <v>January</v>
      </c>
      <c r="X1341" s="7" t="str">
        <f>TEXT(Table1[[#This Row],[Order Date]],"yyyy")</f>
        <v>2015</v>
      </c>
      <c r="Y1341" s="9">
        <v>42011</v>
      </c>
      <c r="Z1341" s="1">
        <v>-1473.9059999999999</v>
      </c>
      <c r="AA1341" s="1">
        <v>4</v>
      </c>
      <c r="AB1341" s="1">
        <v>8.7200000000000006</v>
      </c>
      <c r="AC1341" s="1">
        <v>86750</v>
      </c>
      <c r="AD1341" s="6" t="str">
        <f>IF(COUNTIF(Returns!$A$2:$A$1635,Orders!AC1341)&gt;0,"Returned","Not Returned")</f>
        <v>Not Returned</v>
      </c>
    </row>
    <row r="1342" spans="1:30" ht="12.75" customHeight="1" thickTop="1" thickBot="1" x14ac:dyDescent="0.25">
      <c r="A1342" s="10">
        <v>21724</v>
      </c>
      <c r="B1342" s="11" t="s">
        <v>25</v>
      </c>
      <c r="C1342" s="11">
        <v>0.1</v>
      </c>
      <c r="D1342" s="11">
        <v>599.99</v>
      </c>
      <c r="E1342" s="11">
        <v>24.49</v>
      </c>
      <c r="F1342" s="11">
        <v>2418</v>
      </c>
      <c r="G1342" s="6" t="str">
        <f>IF(COUNTIF(Table1[Customer ID],Table1[[#This Row],[Customer ID]])&gt;1,"Repeat Customer","One-Time Customer")</f>
        <v>Repeat Customer</v>
      </c>
      <c r="H1342" s="11" t="s">
        <v>2263</v>
      </c>
      <c r="I1342" s="11" t="s">
        <v>49</v>
      </c>
      <c r="J1342" s="11" t="s">
        <v>114</v>
      </c>
      <c r="K1342" s="11" t="s">
        <v>77</v>
      </c>
      <c r="L1342" s="11" t="s">
        <v>587</v>
      </c>
      <c r="M1342" s="11" t="s">
        <v>236</v>
      </c>
      <c r="N1342" s="11" t="s">
        <v>2266</v>
      </c>
      <c r="O1342" s="11">
        <v>0.5</v>
      </c>
      <c r="P1342" s="6">
        <f>Table1[[#This Row],[Profit]]/Table1[[#This Row],[Sales]]</f>
        <v>-5.3987214606124594E-2</v>
      </c>
      <c r="Q1342" s="11" t="s">
        <v>33</v>
      </c>
      <c r="R1342" s="11" t="s">
        <v>136</v>
      </c>
      <c r="S1342" s="11" t="s">
        <v>137</v>
      </c>
      <c r="T1342" s="11" t="s">
        <v>2265</v>
      </c>
      <c r="U1342" s="11">
        <v>23805</v>
      </c>
      <c r="V1342" s="12">
        <v>42014</v>
      </c>
      <c r="W1342" s="13" t="str">
        <f>TEXT(Table1[[#This Row],[Order Date]],"mmmm")</f>
        <v>January</v>
      </c>
      <c r="X1342" s="7" t="str">
        <f>TEXT(Table1[[#This Row],[Order Date]],"yyyy")</f>
        <v>2015</v>
      </c>
      <c r="Y1342" s="12">
        <v>42015</v>
      </c>
      <c r="Z1342" s="11">
        <v>-343.12599999999998</v>
      </c>
      <c r="AA1342" s="11">
        <v>11</v>
      </c>
      <c r="AB1342" s="11">
        <v>6355.69</v>
      </c>
      <c r="AC1342" s="11">
        <v>86753</v>
      </c>
      <c r="AD1342" s="6" t="str">
        <f>IF(COUNTIF(Returns!$A$2:$A$1635,Orders!AC1342)&gt;0,"Returned","Not Returned")</f>
        <v>Not Returned</v>
      </c>
    </row>
    <row r="1343" spans="1:30" ht="12.75" customHeight="1" thickTop="1" thickBot="1" x14ac:dyDescent="0.25">
      <c r="A1343" s="8">
        <v>21725</v>
      </c>
      <c r="B1343" s="1" t="s">
        <v>25</v>
      </c>
      <c r="C1343" s="1">
        <v>0.06</v>
      </c>
      <c r="D1343" s="1">
        <v>2.78</v>
      </c>
      <c r="E1343" s="1">
        <v>1.25</v>
      </c>
      <c r="F1343" s="1">
        <v>2418</v>
      </c>
      <c r="G1343" s="6" t="str">
        <f>IF(COUNTIF(Table1[Customer ID],Table1[[#This Row],[Customer ID]])&gt;1,"Repeat Customer","One-Time Customer")</f>
        <v>Repeat Customer</v>
      </c>
      <c r="H1343" s="1" t="s">
        <v>2263</v>
      </c>
      <c r="I1343" s="1" t="s">
        <v>49</v>
      </c>
      <c r="J1343" s="1" t="s">
        <v>114</v>
      </c>
      <c r="K1343" s="1" t="s">
        <v>29</v>
      </c>
      <c r="L1343" s="1" t="s">
        <v>30</v>
      </c>
      <c r="M1343" s="1" t="s">
        <v>31</v>
      </c>
      <c r="N1343" s="1" t="s">
        <v>2206</v>
      </c>
      <c r="O1343" s="1">
        <v>0.59</v>
      </c>
      <c r="P1343" s="6">
        <f>Table1[[#This Row],[Profit]]/Table1[[#This Row],[Sales]]</f>
        <v>2.3624065503737981</v>
      </c>
      <c r="Q1343" s="1" t="s">
        <v>33</v>
      </c>
      <c r="R1343" s="1" t="s">
        <v>136</v>
      </c>
      <c r="S1343" s="1" t="s">
        <v>137</v>
      </c>
      <c r="T1343" s="1" t="s">
        <v>2265</v>
      </c>
      <c r="U1343" s="1">
        <v>23805</v>
      </c>
      <c r="V1343" s="9">
        <v>42014</v>
      </c>
      <c r="W1343" s="13" t="str">
        <f>TEXT(Table1[[#This Row],[Order Date]],"mmmm")</f>
        <v>January</v>
      </c>
      <c r="X1343" s="7" t="str">
        <f>TEXT(Table1[[#This Row],[Order Date]],"yyyy")</f>
        <v>2015</v>
      </c>
      <c r="Y1343" s="9">
        <v>42016</v>
      </c>
      <c r="Z1343" s="1">
        <v>66.359999999999985</v>
      </c>
      <c r="AA1343" s="1">
        <v>10</v>
      </c>
      <c r="AB1343" s="1">
        <v>28.09</v>
      </c>
      <c r="AC1343" s="1">
        <v>86753</v>
      </c>
      <c r="AD1343" s="6" t="str">
        <f>IF(COUNTIF(Returns!$A$2:$A$1635,Orders!AC1343)&gt;0,"Returned","Not Returned")</f>
        <v>Not Returned</v>
      </c>
    </row>
    <row r="1344" spans="1:30" ht="12.75" customHeight="1" thickTop="1" thickBot="1" x14ac:dyDescent="0.25">
      <c r="A1344" s="10">
        <v>22376</v>
      </c>
      <c r="B1344" s="11" t="s">
        <v>37</v>
      </c>
      <c r="C1344" s="11">
        <v>7.0000000000000007E-2</v>
      </c>
      <c r="D1344" s="11">
        <v>225.04</v>
      </c>
      <c r="E1344" s="11">
        <v>11.79</v>
      </c>
      <c r="F1344" s="11">
        <v>2419</v>
      </c>
      <c r="G1344" s="6" t="str">
        <f>IF(COUNTIF(Table1[Customer ID],Table1[[#This Row],[Customer ID]])&gt;1,"Repeat Customer","One-Time Customer")</f>
        <v>Repeat Customer</v>
      </c>
      <c r="H1344" s="11" t="s">
        <v>2267</v>
      </c>
      <c r="I1344" s="11" t="s">
        <v>49</v>
      </c>
      <c r="J1344" s="11" t="s">
        <v>114</v>
      </c>
      <c r="K1344" s="11" t="s">
        <v>29</v>
      </c>
      <c r="L1344" s="11" t="s">
        <v>257</v>
      </c>
      <c r="M1344" s="11" t="s">
        <v>86</v>
      </c>
      <c r="N1344" s="11" t="s">
        <v>2268</v>
      </c>
      <c r="O1344" s="11">
        <v>0.42</v>
      </c>
      <c r="P1344" s="6">
        <f>Table1[[#This Row],[Profit]]/Table1[[#This Row],[Sales]]</f>
        <v>-0.14415608547537936</v>
      </c>
      <c r="Q1344" s="11" t="s">
        <v>33</v>
      </c>
      <c r="R1344" s="11" t="s">
        <v>136</v>
      </c>
      <c r="S1344" s="11" t="s">
        <v>137</v>
      </c>
      <c r="T1344" s="11" t="s">
        <v>1449</v>
      </c>
      <c r="U1344" s="11">
        <v>23701</v>
      </c>
      <c r="V1344" s="12">
        <v>42089</v>
      </c>
      <c r="W1344" s="13" t="str">
        <f>TEXT(Table1[[#This Row],[Order Date]],"mmmm")</f>
        <v>March</v>
      </c>
      <c r="X1344" s="7" t="str">
        <f>TEXT(Table1[[#This Row],[Order Date]],"yyyy")</f>
        <v>2015</v>
      </c>
      <c r="Y1344" s="12">
        <v>42089</v>
      </c>
      <c r="Z1344" s="11">
        <v>-162.91800000000001</v>
      </c>
      <c r="AA1344" s="11">
        <v>5</v>
      </c>
      <c r="AB1344" s="11">
        <v>1130.1500000000001</v>
      </c>
      <c r="AC1344" s="11">
        <v>86751</v>
      </c>
      <c r="AD1344" s="6" t="str">
        <f>IF(COUNTIF(Returns!$A$2:$A$1635,Orders!AC1344)&gt;0,"Returned","Not Returned")</f>
        <v>Not Returned</v>
      </c>
    </row>
    <row r="1345" spans="1:30" ht="12.75" customHeight="1" thickTop="1" thickBot="1" x14ac:dyDescent="0.25">
      <c r="A1345" s="8">
        <v>22377</v>
      </c>
      <c r="B1345" s="1" t="s">
        <v>37</v>
      </c>
      <c r="C1345" s="1">
        <v>0.03</v>
      </c>
      <c r="D1345" s="1">
        <v>7.84</v>
      </c>
      <c r="E1345" s="1">
        <v>4.71</v>
      </c>
      <c r="F1345" s="1">
        <v>2419</v>
      </c>
      <c r="G1345" s="6" t="str">
        <f>IF(COUNTIF(Table1[Customer ID],Table1[[#This Row],[Customer ID]])&gt;1,"Repeat Customer","One-Time Customer")</f>
        <v>Repeat Customer</v>
      </c>
      <c r="H1345" s="1" t="s">
        <v>2267</v>
      </c>
      <c r="I1345" s="1" t="s">
        <v>49</v>
      </c>
      <c r="J1345" s="1" t="s">
        <v>114</v>
      </c>
      <c r="K1345" s="1" t="s">
        <v>29</v>
      </c>
      <c r="L1345" s="1" t="s">
        <v>109</v>
      </c>
      <c r="M1345" s="1" t="s">
        <v>59</v>
      </c>
      <c r="N1345" s="1" t="s">
        <v>2269</v>
      </c>
      <c r="O1345" s="1">
        <v>0.35</v>
      </c>
      <c r="P1345" s="6">
        <f>Table1[[#This Row],[Profit]]/Table1[[#This Row],[Sales]]</f>
        <v>15.812356078719882</v>
      </c>
      <c r="Q1345" s="1" t="s">
        <v>33</v>
      </c>
      <c r="R1345" s="1" t="s">
        <v>136</v>
      </c>
      <c r="S1345" s="1" t="s">
        <v>137</v>
      </c>
      <c r="T1345" s="1" t="s">
        <v>1449</v>
      </c>
      <c r="U1345" s="1">
        <v>23701</v>
      </c>
      <c r="V1345" s="9">
        <v>42089</v>
      </c>
      <c r="W1345" s="13" t="str">
        <f>TEXT(Table1[[#This Row],[Order Date]],"mmmm")</f>
        <v>March</v>
      </c>
      <c r="X1345" s="7" t="str">
        <f>TEXT(Table1[[#This Row],[Order Date]],"yyyy")</f>
        <v>2015</v>
      </c>
      <c r="Y1345" s="9">
        <v>42092</v>
      </c>
      <c r="Z1345" s="1">
        <v>859.7177999999999</v>
      </c>
      <c r="AA1345" s="1">
        <v>7</v>
      </c>
      <c r="AB1345" s="1">
        <v>54.37</v>
      </c>
      <c r="AC1345" s="1">
        <v>86751</v>
      </c>
      <c r="AD1345" s="6" t="str">
        <f>IF(COUNTIF(Returns!$A$2:$A$1635,Orders!AC1345)&gt;0,"Returned","Not Returned")</f>
        <v>Not Returned</v>
      </c>
    </row>
    <row r="1346" spans="1:30" ht="12.75" customHeight="1" thickTop="1" thickBot="1" x14ac:dyDescent="0.25">
      <c r="A1346" s="10">
        <v>25271</v>
      </c>
      <c r="B1346" s="11" t="s">
        <v>25</v>
      </c>
      <c r="C1346" s="11">
        <v>0.04</v>
      </c>
      <c r="D1346" s="11">
        <v>9.11</v>
      </c>
      <c r="E1346" s="11">
        <v>2.15</v>
      </c>
      <c r="F1346" s="11">
        <v>2420</v>
      </c>
      <c r="G1346" s="6" t="str">
        <f>IF(COUNTIF(Table1[Customer ID],Table1[[#This Row],[Customer ID]])&gt;1,"Repeat Customer","One-Time Customer")</f>
        <v>One-Time Customer</v>
      </c>
      <c r="H1346" s="11" t="s">
        <v>2270</v>
      </c>
      <c r="I1346" s="11" t="s">
        <v>49</v>
      </c>
      <c r="J1346" s="11" t="s">
        <v>114</v>
      </c>
      <c r="K1346" s="11" t="s">
        <v>29</v>
      </c>
      <c r="L1346" s="11" t="s">
        <v>93</v>
      </c>
      <c r="M1346" s="11" t="s">
        <v>31</v>
      </c>
      <c r="N1346" s="11" t="s">
        <v>1258</v>
      </c>
      <c r="O1346" s="11">
        <v>0.4</v>
      </c>
      <c r="P1346" s="6">
        <f>Table1[[#This Row],[Profit]]/Table1[[#This Row],[Sales]]</f>
        <v>-0.22873004857737683</v>
      </c>
      <c r="Q1346" s="11" t="s">
        <v>33</v>
      </c>
      <c r="R1346" s="11" t="s">
        <v>136</v>
      </c>
      <c r="S1346" s="11" t="s">
        <v>137</v>
      </c>
      <c r="T1346" s="11" t="s">
        <v>1567</v>
      </c>
      <c r="U1346" s="11">
        <v>23223</v>
      </c>
      <c r="V1346" s="12">
        <v>42130</v>
      </c>
      <c r="W1346" s="13" t="str">
        <f>TEXT(Table1[[#This Row],[Order Date]],"mmmm")</f>
        <v>May</v>
      </c>
      <c r="X1346" s="7" t="str">
        <f>TEXT(Table1[[#This Row],[Order Date]],"yyyy")</f>
        <v>2015</v>
      </c>
      <c r="Y1346" s="12">
        <v>42130</v>
      </c>
      <c r="Z1346" s="11">
        <v>-23.072000000000003</v>
      </c>
      <c r="AA1346" s="11">
        <v>11</v>
      </c>
      <c r="AB1346" s="11">
        <v>100.87</v>
      </c>
      <c r="AC1346" s="11">
        <v>86752</v>
      </c>
      <c r="AD1346" s="6" t="str">
        <f>IF(COUNTIF(Returns!$A$2:$A$1635,Orders!AC1346)&gt;0,"Returned","Not Returned")</f>
        <v>Not Returned</v>
      </c>
    </row>
    <row r="1347" spans="1:30" ht="12.75" customHeight="1" thickTop="1" thickBot="1" x14ac:dyDescent="0.25">
      <c r="A1347" s="8">
        <v>18802</v>
      </c>
      <c r="B1347" s="1" t="s">
        <v>37</v>
      </c>
      <c r="C1347" s="1">
        <v>0.05</v>
      </c>
      <c r="D1347" s="1">
        <v>150.97999999999999</v>
      </c>
      <c r="E1347" s="1">
        <v>43.71</v>
      </c>
      <c r="F1347" s="1">
        <v>2422</v>
      </c>
      <c r="G1347" s="6" t="str">
        <f>IF(COUNTIF(Table1[Customer ID],Table1[[#This Row],[Customer ID]])&gt;1,"Repeat Customer","One-Time Customer")</f>
        <v>Repeat Customer</v>
      </c>
      <c r="H1347" s="1" t="s">
        <v>2271</v>
      </c>
      <c r="I1347" s="1" t="s">
        <v>39</v>
      </c>
      <c r="J1347" s="1" t="s">
        <v>40</v>
      </c>
      <c r="K1347" s="1" t="s">
        <v>41</v>
      </c>
      <c r="L1347" s="1" t="s">
        <v>42</v>
      </c>
      <c r="M1347" s="1" t="s">
        <v>43</v>
      </c>
      <c r="N1347" s="1" t="s">
        <v>2272</v>
      </c>
      <c r="O1347" s="1">
        <v>0.55000000000000004</v>
      </c>
      <c r="P1347" s="6">
        <f>Table1[[#This Row],[Profit]]/Table1[[#This Row],[Sales]]</f>
        <v>0.3501733904839856</v>
      </c>
      <c r="Q1347" s="1" t="s">
        <v>33</v>
      </c>
      <c r="R1347" s="1" t="s">
        <v>61</v>
      </c>
      <c r="S1347" s="1" t="s">
        <v>130</v>
      </c>
      <c r="T1347" s="1" t="s">
        <v>2273</v>
      </c>
      <c r="U1347" s="1">
        <v>77340</v>
      </c>
      <c r="V1347" s="9">
        <v>42148</v>
      </c>
      <c r="W1347" s="13" t="str">
        <f>TEXT(Table1[[#This Row],[Order Date]],"mmmm")</f>
        <v>May</v>
      </c>
      <c r="X1347" s="7" t="str">
        <f>TEXT(Table1[[#This Row],[Order Date]],"yyyy")</f>
        <v>2015</v>
      </c>
      <c r="Y1347" s="9">
        <v>42149</v>
      </c>
      <c r="Z1347" s="1">
        <v>650.29999999999995</v>
      </c>
      <c r="AA1347" s="1">
        <v>12</v>
      </c>
      <c r="AB1347" s="1">
        <v>1857.08</v>
      </c>
      <c r="AC1347" s="1">
        <v>89053</v>
      </c>
      <c r="AD1347" s="6" t="str">
        <f>IF(COUNTIF(Returns!$A$2:$A$1635,Orders!AC1347)&gt;0,"Returned","Not Returned")</f>
        <v>Not Returned</v>
      </c>
    </row>
    <row r="1348" spans="1:30" ht="12.75" customHeight="1" thickTop="1" thickBot="1" x14ac:dyDescent="0.25">
      <c r="A1348" s="10">
        <v>19817</v>
      </c>
      <c r="B1348" s="11" t="s">
        <v>56</v>
      </c>
      <c r="C1348" s="11">
        <v>0.09</v>
      </c>
      <c r="D1348" s="11">
        <v>3.89</v>
      </c>
      <c r="E1348" s="11">
        <v>7.01</v>
      </c>
      <c r="F1348" s="11">
        <v>2422</v>
      </c>
      <c r="G1348" s="6" t="str">
        <f>IF(COUNTIF(Table1[Customer ID],Table1[[#This Row],[Customer ID]])&gt;1,"Repeat Customer","One-Time Customer")</f>
        <v>Repeat Customer</v>
      </c>
      <c r="H1348" s="11" t="s">
        <v>2271</v>
      </c>
      <c r="I1348" s="11" t="s">
        <v>27</v>
      </c>
      <c r="J1348" s="11" t="s">
        <v>40</v>
      </c>
      <c r="K1348" s="11" t="s">
        <v>29</v>
      </c>
      <c r="L1348" s="11" t="s">
        <v>109</v>
      </c>
      <c r="M1348" s="11" t="s">
        <v>59</v>
      </c>
      <c r="N1348" s="11" t="s">
        <v>1340</v>
      </c>
      <c r="O1348" s="11">
        <v>0.37</v>
      </c>
      <c r="P1348" s="6">
        <f>Table1[[#This Row],[Profit]]/Table1[[#This Row],[Sales]]</f>
        <v>-3.6256343984962407</v>
      </c>
      <c r="Q1348" s="11" t="s">
        <v>33</v>
      </c>
      <c r="R1348" s="11" t="s">
        <v>61</v>
      </c>
      <c r="S1348" s="11" t="s">
        <v>130</v>
      </c>
      <c r="T1348" s="11" t="s">
        <v>2273</v>
      </c>
      <c r="U1348" s="11">
        <v>77340</v>
      </c>
      <c r="V1348" s="12">
        <v>42026</v>
      </c>
      <c r="W1348" s="13" t="str">
        <f>TEXT(Table1[[#This Row],[Order Date]],"mmmm")</f>
        <v>January</v>
      </c>
      <c r="X1348" s="7" t="str">
        <f>TEXT(Table1[[#This Row],[Order Date]],"yyyy")</f>
        <v>2015</v>
      </c>
      <c r="Y1348" s="12">
        <v>42028</v>
      </c>
      <c r="Z1348" s="11">
        <v>-154.30700000000002</v>
      </c>
      <c r="AA1348" s="11">
        <v>10</v>
      </c>
      <c r="AB1348" s="11">
        <v>42.56</v>
      </c>
      <c r="AC1348" s="11">
        <v>89055</v>
      </c>
      <c r="AD1348" s="6" t="str">
        <f>IF(COUNTIF(Returns!$A$2:$A$1635,Orders!AC1348)&gt;0,"Returned","Not Returned")</f>
        <v>Not Returned</v>
      </c>
    </row>
    <row r="1349" spans="1:30" ht="12.75" customHeight="1" thickTop="1" thickBot="1" x14ac:dyDescent="0.25">
      <c r="A1349" s="8">
        <v>25126</v>
      </c>
      <c r="B1349" s="1" t="s">
        <v>106</v>
      </c>
      <c r="C1349" s="1">
        <v>0.04</v>
      </c>
      <c r="D1349" s="1">
        <v>100.98</v>
      </c>
      <c r="E1349" s="1">
        <v>7.18</v>
      </c>
      <c r="F1349" s="1">
        <v>2423</v>
      </c>
      <c r="G1349" s="6" t="str">
        <f>IF(COUNTIF(Table1[Customer ID],Table1[[#This Row],[Customer ID]])&gt;1,"Repeat Customer","One-Time Customer")</f>
        <v>One-Time Customer</v>
      </c>
      <c r="H1349" s="1" t="s">
        <v>2274</v>
      </c>
      <c r="I1349" s="1" t="s">
        <v>49</v>
      </c>
      <c r="J1349" s="1" t="s">
        <v>40</v>
      </c>
      <c r="K1349" s="1" t="s">
        <v>77</v>
      </c>
      <c r="L1349" s="1" t="s">
        <v>180</v>
      </c>
      <c r="M1349" s="1" t="s">
        <v>59</v>
      </c>
      <c r="N1349" s="1" t="s">
        <v>2275</v>
      </c>
      <c r="O1349" s="1">
        <v>0.4</v>
      </c>
      <c r="P1349" s="6">
        <f>Table1[[#This Row],[Profit]]/Table1[[#This Row],[Sales]]</f>
        <v>0.65059892506808703</v>
      </c>
      <c r="Q1349" s="1" t="s">
        <v>33</v>
      </c>
      <c r="R1349" s="1" t="s">
        <v>61</v>
      </c>
      <c r="S1349" s="1" t="s">
        <v>130</v>
      </c>
      <c r="T1349" s="1" t="s">
        <v>2276</v>
      </c>
      <c r="U1349" s="1">
        <v>76053</v>
      </c>
      <c r="V1349" s="9">
        <v>42025</v>
      </c>
      <c r="W1349" s="13" t="str">
        <f>TEXT(Table1[[#This Row],[Order Date]],"mmmm")</f>
        <v>January</v>
      </c>
      <c r="X1349" s="7" t="str">
        <f>TEXT(Table1[[#This Row],[Order Date]],"yyyy")</f>
        <v>2015</v>
      </c>
      <c r="Y1349" s="9">
        <v>42030</v>
      </c>
      <c r="Z1349" s="1">
        <v>269.94</v>
      </c>
      <c r="AA1349" s="1">
        <v>4</v>
      </c>
      <c r="AB1349" s="1">
        <v>414.91</v>
      </c>
      <c r="AC1349" s="1">
        <v>89054</v>
      </c>
      <c r="AD1349" s="6" t="str">
        <f>IF(COUNTIF(Returns!$A$2:$A$1635,Orders!AC1349)&gt;0,"Returned","Not Returned")</f>
        <v>Not Returned</v>
      </c>
    </row>
    <row r="1350" spans="1:30" ht="12.75" customHeight="1" thickTop="1" thickBot="1" x14ac:dyDescent="0.25">
      <c r="A1350" s="10">
        <v>21761</v>
      </c>
      <c r="B1350" s="11" t="s">
        <v>25</v>
      </c>
      <c r="C1350" s="11">
        <v>0.08</v>
      </c>
      <c r="D1350" s="11">
        <v>30.93</v>
      </c>
      <c r="E1350" s="11">
        <v>3.92</v>
      </c>
      <c r="F1350" s="11">
        <v>2426</v>
      </c>
      <c r="G1350" s="6" t="str">
        <f>IF(COUNTIF(Table1[Customer ID],Table1[[#This Row],[Customer ID]])&gt;1,"Repeat Customer","One-Time Customer")</f>
        <v>Repeat Customer</v>
      </c>
      <c r="H1350" s="11" t="s">
        <v>2277</v>
      </c>
      <c r="I1350" s="11" t="s">
        <v>49</v>
      </c>
      <c r="J1350" s="11" t="s">
        <v>58</v>
      </c>
      <c r="K1350" s="11" t="s">
        <v>41</v>
      </c>
      <c r="L1350" s="11" t="s">
        <v>50</v>
      </c>
      <c r="M1350" s="11" t="s">
        <v>51</v>
      </c>
      <c r="N1350" s="11" t="s">
        <v>1750</v>
      </c>
      <c r="O1350" s="11">
        <v>0.44</v>
      </c>
      <c r="P1350" s="6">
        <f>Table1[[#This Row],[Profit]]/Table1[[#This Row],[Sales]]</f>
        <v>0.69</v>
      </c>
      <c r="Q1350" s="11" t="s">
        <v>33</v>
      </c>
      <c r="R1350" s="11" t="s">
        <v>61</v>
      </c>
      <c r="S1350" s="11" t="s">
        <v>130</v>
      </c>
      <c r="T1350" s="11" t="s">
        <v>2278</v>
      </c>
      <c r="U1350" s="11">
        <v>75061</v>
      </c>
      <c r="V1350" s="12">
        <v>42078</v>
      </c>
      <c r="W1350" s="13" t="str">
        <f>TEXT(Table1[[#This Row],[Order Date]],"mmmm")</f>
        <v>March</v>
      </c>
      <c r="X1350" s="7" t="str">
        <f>TEXT(Table1[[#This Row],[Order Date]],"yyyy")</f>
        <v>2015</v>
      </c>
      <c r="Y1350" s="12">
        <v>42079</v>
      </c>
      <c r="Z1350" s="11">
        <v>63.059099999999994</v>
      </c>
      <c r="AA1350" s="11">
        <v>3</v>
      </c>
      <c r="AB1350" s="11">
        <v>91.39</v>
      </c>
      <c r="AC1350" s="11">
        <v>90859</v>
      </c>
      <c r="AD1350" s="6" t="str">
        <f>IF(COUNTIF(Returns!$A$2:$A$1635,Orders!AC1350)&gt;0,"Returned","Not Returned")</f>
        <v>Not Returned</v>
      </c>
    </row>
    <row r="1351" spans="1:30" ht="12.75" customHeight="1" thickTop="1" thickBot="1" x14ac:dyDescent="0.25">
      <c r="A1351" s="8">
        <v>20496</v>
      </c>
      <c r="B1351" s="1" t="s">
        <v>106</v>
      </c>
      <c r="C1351" s="1">
        <v>0.08</v>
      </c>
      <c r="D1351" s="1">
        <v>4.4800000000000004</v>
      </c>
      <c r="E1351" s="1">
        <v>49</v>
      </c>
      <c r="F1351" s="1">
        <v>2426</v>
      </c>
      <c r="G1351" s="6" t="str">
        <f>IF(COUNTIF(Table1[Customer ID],Table1[[#This Row],[Customer ID]])&gt;1,"Repeat Customer","One-Time Customer")</f>
        <v>Repeat Customer</v>
      </c>
      <c r="H1351" s="1" t="s">
        <v>2277</v>
      </c>
      <c r="I1351" s="1" t="s">
        <v>49</v>
      </c>
      <c r="J1351" s="1" t="s">
        <v>58</v>
      </c>
      <c r="K1351" s="1" t="s">
        <v>29</v>
      </c>
      <c r="L1351" s="1" t="s">
        <v>257</v>
      </c>
      <c r="M1351" s="1" t="s">
        <v>236</v>
      </c>
      <c r="N1351" s="1" t="s">
        <v>680</v>
      </c>
      <c r="O1351" s="1">
        <v>0.6</v>
      </c>
      <c r="P1351" s="6">
        <f>Table1[[#This Row],[Profit]]/Table1[[#This Row],[Sales]]</f>
        <v>0.69</v>
      </c>
      <c r="Q1351" s="1" t="s">
        <v>33</v>
      </c>
      <c r="R1351" s="1" t="s">
        <v>61</v>
      </c>
      <c r="S1351" s="1" t="s">
        <v>130</v>
      </c>
      <c r="T1351" s="1" t="s">
        <v>2278</v>
      </c>
      <c r="U1351" s="1">
        <v>75061</v>
      </c>
      <c r="V1351" s="9">
        <v>42126</v>
      </c>
      <c r="W1351" s="13" t="str">
        <f>TEXT(Table1[[#This Row],[Order Date]],"mmmm")</f>
        <v>May</v>
      </c>
      <c r="X1351" s="7" t="str">
        <f>TEXT(Table1[[#This Row],[Order Date]],"yyyy")</f>
        <v>2015</v>
      </c>
      <c r="Y1351" s="9">
        <v>42126</v>
      </c>
      <c r="Z1351" s="1">
        <v>139.58009999999999</v>
      </c>
      <c r="AA1351" s="1">
        <v>37</v>
      </c>
      <c r="AB1351" s="1">
        <v>202.29</v>
      </c>
      <c r="AC1351" s="1">
        <v>90861</v>
      </c>
      <c r="AD1351" s="6" t="str">
        <f>IF(COUNTIF(Returns!$A$2:$A$1635,Orders!AC1351)&gt;0,"Returned","Not Returned")</f>
        <v>Not Returned</v>
      </c>
    </row>
    <row r="1352" spans="1:30" ht="12.75" customHeight="1" thickTop="1" thickBot="1" x14ac:dyDescent="0.25">
      <c r="A1352" s="10">
        <v>20497</v>
      </c>
      <c r="B1352" s="11" t="s">
        <v>106</v>
      </c>
      <c r="C1352" s="11">
        <v>0</v>
      </c>
      <c r="D1352" s="11">
        <v>17.670000000000002</v>
      </c>
      <c r="E1352" s="11">
        <v>8.99</v>
      </c>
      <c r="F1352" s="11">
        <v>2426</v>
      </c>
      <c r="G1352" s="6" t="str">
        <f>IF(COUNTIF(Table1[Customer ID],Table1[[#This Row],[Customer ID]])&gt;1,"Repeat Customer","One-Time Customer")</f>
        <v>Repeat Customer</v>
      </c>
      <c r="H1352" s="11" t="s">
        <v>2277</v>
      </c>
      <c r="I1352" s="11" t="s">
        <v>49</v>
      </c>
      <c r="J1352" s="11" t="s">
        <v>58</v>
      </c>
      <c r="K1352" s="11" t="s">
        <v>41</v>
      </c>
      <c r="L1352" s="11" t="s">
        <v>50</v>
      </c>
      <c r="M1352" s="11" t="s">
        <v>51</v>
      </c>
      <c r="N1352" s="11" t="s">
        <v>807</v>
      </c>
      <c r="O1352" s="11">
        <v>0.47</v>
      </c>
      <c r="P1352" s="6">
        <f>Table1[[#This Row],[Profit]]/Table1[[#This Row],[Sales]]</f>
        <v>0.65005038231284462</v>
      </c>
      <c r="Q1352" s="11" t="s">
        <v>33</v>
      </c>
      <c r="R1352" s="11" t="s">
        <v>61</v>
      </c>
      <c r="S1352" s="11" t="s">
        <v>130</v>
      </c>
      <c r="T1352" s="11" t="s">
        <v>2278</v>
      </c>
      <c r="U1352" s="11">
        <v>75061</v>
      </c>
      <c r="V1352" s="12">
        <v>42126</v>
      </c>
      <c r="W1352" s="13" t="str">
        <f>TEXT(Table1[[#This Row],[Order Date]],"mmmm")</f>
        <v>May</v>
      </c>
      <c r="X1352" s="7" t="str">
        <f>TEXT(Table1[[#This Row],[Order Date]],"yyyy")</f>
        <v>2015</v>
      </c>
      <c r="Y1352" s="12">
        <v>42133</v>
      </c>
      <c r="Z1352" s="11">
        <v>109.67000000000002</v>
      </c>
      <c r="AA1352" s="11">
        <v>9</v>
      </c>
      <c r="AB1352" s="11">
        <v>168.71</v>
      </c>
      <c r="AC1352" s="11">
        <v>90861</v>
      </c>
      <c r="AD1352" s="6" t="str">
        <f>IF(COUNTIF(Returns!$A$2:$A$1635,Orders!AC1352)&gt;0,"Returned","Not Returned")</f>
        <v>Not Returned</v>
      </c>
    </row>
    <row r="1353" spans="1:30" ht="12.75" customHeight="1" thickTop="1" thickBot="1" x14ac:dyDescent="0.25">
      <c r="A1353" s="8">
        <v>23729</v>
      </c>
      <c r="B1353" s="1" t="s">
        <v>25</v>
      </c>
      <c r="C1353" s="1">
        <v>0.03</v>
      </c>
      <c r="D1353" s="1">
        <v>40.99</v>
      </c>
      <c r="E1353" s="1">
        <v>19.989999999999998</v>
      </c>
      <c r="F1353" s="1">
        <v>2427</v>
      </c>
      <c r="G1353" s="6" t="str">
        <f>IF(COUNTIF(Table1[Customer ID],Table1[[#This Row],[Customer ID]])&gt;1,"Repeat Customer","One-Time Customer")</f>
        <v>One-Time Customer</v>
      </c>
      <c r="H1353" s="1" t="s">
        <v>2279</v>
      </c>
      <c r="I1353" s="1" t="s">
        <v>49</v>
      </c>
      <c r="J1353" s="1" t="s">
        <v>28</v>
      </c>
      <c r="K1353" s="1" t="s">
        <v>29</v>
      </c>
      <c r="L1353" s="1" t="s">
        <v>93</v>
      </c>
      <c r="M1353" s="1" t="s">
        <v>59</v>
      </c>
      <c r="N1353" s="1" t="s">
        <v>1934</v>
      </c>
      <c r="O1353" s="1">
        <v>0.36</v>
      </c>
      <c r="P1353" s="6">
        <f>Table1[[#This Row],[Profit]]/Table1[[#This Row],[Sales]]</f>
        <v>0.44634788008807091</v>
      </c>
      <c r="Q1353" s="1" t="s">
        <v>33</v>
      </c>
      <c r="R1353" s="1" t="s">
        <v>61</v>
      </c>
      <c r="S1353" s="1" t="s">
        <v>130</v>
      </c>
      <c r="T1353" s="1" t="s">
        <v>2280</v>
      </c>
      <c r="U1353" s="1">
        <v>76248</v>
      </c>
      <c r="V1353" s="9">
        <v>42052</v>
      </c>
      <c r="W1353" s="13" t="str">
        <f>TEXT(Table1[[#This Row],[Order Date]],"mmmm")</f>
        <v>February</v>
      </c>
      <c r="X1353" s="7" t="str">
        <f>TEXT(Table1[[#This Row],[Order Date]],"yyyy")</f>
        <v>2015</v>
      </c>
      <c r="Y1353" s="9">
        <v>42053</v>
      </c>
      <c r="Z1353" s="1">
        <v>395.30799999999999</v>
      </c>
      <c r="AA1353" s="1">
        <v>21</v>
      </c>
      <c r="AB1353" s="1">
        <v>885.65</v>
      </c>
      <c r="AC1353" s="1">
        <v>90860</v>
      </c>
      <c r="AD1353" s="6" t="str">
        <f>IF(COUNTIF(Returns!$A$2:$A$1635,Orders!AC1353)&gt;0,"Returned","Not Returned")</f>
        <v>Not Returned</v>
      </c>
    </row>
    <row r="1354" spans="1:30" ht="12.75" customHeight="1" thickTop="1" thickBot="1" x14ac:dyDescent="0.25">
      <c r="A1354" s="10">
        <v>22562</v>
      </c>
      <c r="B1354" s="11" t="s">
        <v>37</v>
      </c>
      <c r="C1354" s="11">
        <v>0.1</v>
      </c>
      <c r="D1354" s="11">
        <v>14.28</v>
      </c>
      <c r="E1354" s="11">
        <v>2.99</v>
      </c>
      <c r="F1354" s="11">
        <v>2430</v>
      </c>
      <c r="G1354" s="6" t="str">
        <f>IF(COUNTIF(Table1[Customer ID],Table1[[#This Row],[Customer ID]])&gt;1,"Repeat Customer","One-Time Customer")</f>
        <v>Repeat Customer</v>
      </c>
      <c r="H1354" s="11" t="s">
        <v>2281</v>
      </c>
      <c r="I1354" s="11" t="s">
        <v>49</v>
      </c>
      <c r="J1354" s="11" t="s">
        <v>40</v>
      </c>
      <c r="K1354" s="11" t="s">
        <v>29</v>
      </c>
      <c r="L1354" s="11" t="s">
        <v>109</v>
      </c>
      <c r="M1354" s="11" t="s">
        <v>59</v>
      </c>
      <c r="N1354" s="11" t="s">
        <v>1713</v>
      </c>
      <c r="O1354" s="11">
        <v>0.39</v>
      </c>
      <c r="P1354" s="6">
        <f>Table1[[#This Row],[Profit]]/Table1[[#This Row],[Sales]]</f>
        <v>0.69</v>
      </c>
      <c r="Q1354" s="11" t="s">
        <v>33</v>
      </c>
      <c r="R1354" s="11" t="s">
        <v>61</v>
      </c>
      <c r="S1354" s="11" t="s">
        <v>130</v>
      </c>
      <c r="T1354" s="11" t="s">
        <v>2282</v>
      </c>
      <c r="U1354" s="11">
        <v>76541</v>
      </c>
      <c r="V1354" s="12">
        <v>42087</v>
      </c>
      <c r="W1354" s="13" t="str">
        <f>TEXT(Table1[[#This Row],[Order Date]],"mmmm")</f>
        <v>March</v>
      </c>
      <c r="X1354" s="7" t="str">
        <f>TEXT(Table1[[#This Row],[Order Date]],"yyyy")</f>
        <v>2015</v>
      </c>
      <c r="Y1354" s="12">
        <v>42088</v>
      </c>
      <c r="Z1354" s="11">
        <v>104.9145</v>
      </c>
      <c r="AA1354" s="11">
        <v>11</v>
      </c>
      <c r="AB1354" s="11">
        <v>152.05000000000001</v>
      </c>
      <c r="AC1354" s="11">
        <v>91108</v>
      </c>
      <c r="AD1354" s="6" t="str">
        <f>IF(COUNTIF(Returns!$A$2:$A$1635,Orders!AC1354)&gt;0,"Returned","Not Returned")</f>
        <v>Not Returned</v>
      </c>
    </row>
    <row r="1355" spans="1:30" ht="12.75" customHeight="1" thickTop="1" thickBot="1" x14ac:dyDescent="0.25">
      <c r="A1355" s="8">
        <v>22105</v>
      </c>
      <c r="B1355" s="1" t="s">
        <v>37</v>
      </c>
      <c r="C1355" s="1">
        <v>0.04</v>
      </c>
      <c r="D1355" s="1">
        <v>7.08</v>
      </c>
      <c r="E1355" s="1">
        <v>2.35</v>
      </c>
      <c r="F1355" s="1">
        <v>2430</v>
      </c>
      <c r="G1355" s="6" t="str">
        <f>IF(COUNTIF(Table1[Customer ID],Table1[[#This Row],[Customer ID]])&gt;1,"Repeat Customer","One-Time Customer")</f>
        <v>Repeat Customer</v>
      </c>
      <c r="H1355" s="1" t="s">
        <v>2281</v>
      </c>
      <c r="I1355" s="1" t="s">
        <v>49</v>
      </c>
      <c r="J1355" s="1" t="s">
        <v>40</v>
      </c>
      <c r="K1355" s="1" t="s">
        <v>29</v>
      </c>
      <c r="L1355" s="1" t="s">
        <v>30</v>
      </c>
      <c r="M1355" s="1" t="s">
        <v>31</v>
      </c>
      <c r="N1355" s="1" t="s">
        <v>1144</v>
      </c>
      <c r="O1355" s="1">
        <v>0.47</v>
      </c>
      <c r="P1355" s="6">
        <f>Table1[[#This Row],[Profit]]/Table1[[#This Row],[Sales]]</f>
        <v>0.50081466395112018</v>
      </c>
      <c r="Q1355" s="1" t="s">
        <v>33</v>
      </c>
      <c r="R1355" s="1" t="s">
        <v>61</v>
      </c>
      <c r="S1355" s="1" t="s">
        <v>130</v>
      </c>
      <c r="T1355" s="1" t="s">
        <v>2282</v>
      </c>
      <c r="U1355" s="1">
        <v>76541</v>
      </c>
      <c r="V1355" s="9">
        <v>42104</v>
      </c>
      <c r="W1355" s="13" t="str">
        <f>TEXT(Table1[[#This Row],[Order Date]],"mmmm")</f>
        <v>April</v>
      </c>
      <c r="X1355" s="7" t="str">
        <f>TEXT(Table1[[#This Row],[Order Date]],"yyyy")</f>
        <v>2015</v>
      </c>
      <c r="Y1355" s="9">
        <v>42105</v>
      </c>
      <c r="Z1355" s="1">
        <v>24.59</v>
      </c>
      <c r="AA1355" s="1">
        <v>7</v>
      </c>
      <c r="AB1355" s="1">
        <v>49.1</v>
      </c>
      <c r="AC1355" s="1">
        <v>91109</v>
      </c>
      <c r="AD1355" s="6" t="str">
        <f>IF(COUNTIF(Returns!$A$2:$A$1635,Orders!AC1355)&gt;0,"Returned","Not Returned")</f>
        <v>Not Returned</v>
      </c>
    </row>
    <row r="1356" spans="1:30" ht="12.75" customHeight="1" thickTop="1" thickBot="1" x14ac:dyDescent="0.25">
      <c r="A1356" s="10">
        <v>20731</v>
      </c>
      <c r="B1356" s="11" t="s">
        <v>106</v>
      </c>
      <c r="C1356" s="11">
        <v>0.03</v>
      </c>
      <c r="D1356" s="11">
        <v>140.99</v>
      </c>
      <c r="E1356" s="11">
        <v>4.2</v>
      </c>
      <c r="F1356" s="11">
        <v>2430</v>
      </c>
      <c r="G1356" s="6" t="str">
        <f>IF(COUNTIF(Table1[Customer ID],Table1[[#This Row],[Customer ID]])&gt;1,"Repeat Customer","One-Time Customer")</f>
        <v>Repeat Customer</v>
      </c>
      <c r="H1356" s="11" t="s">
        <v>2281</v>
      </c>
      <c r="I1356" s="11" t="s">
        <v>49</v>
      </c>
      <c r="J1356" s="11" t="s">
        <v>40</v>
      </c>
      <c r="K1356" s="11" t="s">
        <v>77</v>
      </c>
      <c r="L1356" s="11" t="s">
        <v>78</v>
      </c>
      <c r="M1356" s="11" t="s">
        <v>59</v>
      </c>
      <c r="N1356" s="11" t="s">
        <v>2283</v>
      </c>
      <c r="O1356" s="11">
        <v>0.59</v>
      </c>
      <c r="P1356" s="6">
        <f>Table1[[#This Row],[Profit]]/Table1[[#This Row],[Sales]]</f>
        <v>-1.8614835254017206</v>
      </c>
      <c r="Q1356" s="11" t="s">
        <v>33</v>
      </c>
      <c r="R1356" s="11" t="s">
        <v>61</v>
      </c>
      <c r="S1356" s="11" t="s">
        <v>130</v>
      </c>
      <c r="T1356" s="11" t="s">
        <v>2282</v>
      </c>
      <c r="U1356" s="11">
        <v>76541</v>
      </c>
      <c r="V1356" s="12">
        <v>42092</v>
      </c>
      <c r="W1356" s="13" t="str">
        <f>TEXT(Table1[[#This Row],[Order Date]],"mmmm")</f>
        <v>March</v>
      </c>
      <c r="X1356" s="7" t="str">
        <f>TEXT(Table1[[#This Row],[Order Date]],"yyyy")</f>
        <v>2015</v>
      </c>
      <c r="Y1356" s="12">
        <v>42100</v>
      </c>
      <c r="Z1356" s="11">
        <v>-458.74400000000003</v>
      </c>
      <c r="AA1356" s="11">
        <v>2</v>
      </c>
      <c r="AB1356" s="11">
        <v>246.44</v>
      </c>
      <c r="AC1356" s="11">
        <v>91110</v>
      </c>
      <c r="AD1356" s="6" t="str">
        <f>IF(COUNTIF(Returns!$A$2:$A$1635,Orders!AC1356)&gt;0,"Returned","Not Returned")</f>
        <v>Not Returned</v>
      </c>
    </row>
    <row r="1357" spans="1:30" ht="12.75" customHeight="1" thickTop="1" thickBot="1" x14ac:dyDescent="0.25">
      <c r="A1357" s="8">
        <v>3490</v>
      </c>
      <c r="B1357" s="1" t="s">
        <v>37</v>
      </c>
      <c r="C1357" s="1">
        <v>0.05</v>
      </c>
      <c r="D1357" s="1">
        <v>8.85</v>
      </c>
      <c r="E1357" s="1">
        <v>5.6</v>
      </c>
      <c r="F1357" s="1">
        <v>2431</v>
      </c>
      <c r="G1357" s="6" t="str">
        <f>IF(COUNTIF(Table1[Customer ID],Table1[[#This Row],[Customer ID]])&gt;1,"Repeat Customer","One-Time Customer")</f>
        <v>Repeat Customer</v>
      </c>
      <c r="H1357" s="1" t="s">
        <v>2284</v>
      </c>
      <c r="I1357" s="1" t="s">
        <v>49</v>
      </c>
      <c r="J1357" s="1" t="s">
        <v>114</v>
      </c>
      <c r="K1357" s="1" t="s">
        <v>29</v>
      </c>
      <c r="L1357" s="1" t="s">
        <v>109</v>
      </c>
      <c r="M1357" s="1" t="s">
        <v>59</v>
      </c>
      <c r="N1357" s="1" t="s">
        <v>2285</v>
      </c>
      <c r="O1357" s="1">
        <v>0.36</v>
      </c>
      <c r="P1357" s="6">
        <f>Table1[[#This Row],[Profit]]/Table1[[#This Row],[Sales]]</f>
        <v>-4.6097046413502103E-2</v>
      </c>
      <c r="Q1357" s="1" t="s">
        <v>33</v>
      </c>
      <c r="R1357" s="1" t="s">
        <v>34</v>
      </c>
      <c r="S1357" s="1" t="s">
        <v>45</v>
      </c>
      <c r="T1357" s="1" t="s">
        <v>663</v>
      </c>
      <c r="U1357" s="1">
        <v>90004</v>
      </c>
      <c r="V1357" s="9">
        <v>42165</v>
      </c>
      <c r="W1357" s="13" t="str">
        <f>TEXT(Table1[[#This Row],[Order Date]],"mmmm")</f>
        <v>June</v>
      </c>
      <c r="X1357" s="7" t="str">
        <f>TEXT(Table1[[#This Row],[Order Date]],"yyyy")</f>
        <v>2015</v>
      </c>
      <c r="Y1357" s="9">
        <v>42166</v>
      </c>
      <c r="Z1357" s="1">
        <v>-9.1769999999999996</v>
      </c>
      <c r="AA1357" s="1">
        <v>21</v>
      </c>
      <c r="AB1357" s="1">
        <v>199.08</v>
      </c>
      <c r="AC1357" s="1">
        <v>24869</v>
      </c>
      <c r="AD1357" s="6" t="str">
        <f>IF(COUNTIF(Returns!$A$2:$A$1635,Orders!AC1357)&gt;0,"Returned","Not Returned")</f>
        <v>Not Returned</v>
      </c>
    </row>
    <row r="1358" spans="1:30" ht="12.75" customHeight="1" thickTop="1" thickBot="1" x14ac:dyDescent="0.25">
      <c r="A1358" s="10">
        <v>819</v>
      </c>
      <c r="B1358" s="11" t="s">
        <v>25</v>
      </c>
      <c r="C1358" s="11">
        <v>7.0000000000000007E-2</v>
      </c>
      <c r="D1358" s="11">
        <v>155.06</v>
      </c>
      <c r="E1358" s="11">
        <v>7.07</v>
      </c>
      <c r="F1358" s="11">
        <v>2431</v>
      </c>
      <c r="G1358" s="6" t="str">
        <f>IF(COUNTIF(Table1[Customer ID],Table1[[#This Row],[Customer ID]])&gt;1,"Repeat Customer","One-Time Customer")</f>
        <v>Repeat Customer</v>
      </c>
      <c r="H1358" s="11" t="s">
        <v>2284</v>
      </c>
      <c r="I1358" s="11" t="s">
        <v>49</v>
      </c>
      <c r="J1358" s="11" t="s">
        <v>114</v>
      </c>
      <c r="K1358" s="11" t="s">
        <v>29</v>
      </c>
      <c r="L1358" s="11" t="s">
        <v>141</v>
      </c>
      <c r="M1358" s="11" t="s">
        <v>59</v>
      </c>
      <c r="N1358" s="11" t="s">
        <v>142</v>
      </c>
      <c r="O1358" s="11">
        <v>0.59</v>
      </c>
      <c r="P1358" s="6">
        <f>Table1[[#This Row],[Profit]]/Table1[[#This Row],[Sales]]</f>
        <v>-5.9708592642724378E-2</v>
      </c>
      <c r="Q1358" s="11" t="s">
        <v>33</v>
      </c>
      <c r="R1358" s="11" t="s">
        <v>34</v>
      </c>
      <c r="S1358" s="11" t="s">
        <v>45</v>
      </c>
      <c r="T1358" s="11" t="s">
        <v>663</v>
      </c>
      <c r="U1358" s="11">
        <v>90004</v>
      </c>
      <c r="V1358" s="12">
        <v>42143</v>
      </c>
      <c r="W1358" s="13" t="str">
        <f>TEXT(Table1[[#This Row],[Order Date]],"mmmm")</f>
        <v>May</v>
      </c>
      <c r="X1358" s="7" t="str">
        <f>TEXT(Table1[[#This Row],[Order Date]],"yyyy")</f>
        <v>2015</v>
      </c>
      <c r="Y1358" s="12">
        <v>42143</v>
      </c>
      <c r="Z1358" s="11">
        <v>-121.75</v>
      </c>
      <c r="AA1358" s="11">
        <v>14</v>
      </c>
      <c r="AB1358" s="11">
        <v>2039.07</v>
      </c>
      <c r="AC1358" s="11">
        <v>5920</v>
      </c>
      <c r="AD1358" s="6" t="str">
        <f>IF(COUNTIF(Returns!$A$2:$A$1635,Orders!AC1358)&gt;0,"Returned","Not Returned")</f>
        <v>Not Returned</v>
      </c>
    </row>
    <row r="1359" spans="1:30" ht="12.75" customHeight="1" thickTop="1" thickBot="1" x14ac:dyDescent="0.25">
      <c r="A1359" s="8">
        <v>18819</v>
      </c>
      <c r="B1359" s="1" t="s">
        <v>25</v>
      </c>
      <c r="C1359" s="1">
        <v>7.0000000000000007E-2</v>
      </c>
      <c r="D1359" s="1">
        <v>155.06</v>
      </c>
      <c r="E1359" s="1">
        <v>7.07</v>
      </c>
      <c r="F1359" s="1">
        <v>2432</v>
      </c>
      <c r="G1359" s="6" t="str">
        <f>IF(COUNTIF(Table1[Customer ID],Table1[[#This Row],[Customer ID]])&gt;1,"Repeat Customer","One-Time Customer")</f>
        <v>Repeat Customer</v>
      </c>
      <c r="H1359" s="1" t="s">
        <v>2286</v>
      </c>
      <c r="I1359" s="1" t="s">
        <v>49</v>
      </c>
      <c r="J1359" s="1" t="s">
        <v>114</v>
      </c>
      <c r="K1359" s="1" t="s">
        <v>29</v>
      </c>
      <c r="L1359" s="1" t="s">
        <v>141</v>
      </c>
      <c r="M1359" s="1" t="s">
        <v>59</v>
      </c>
      <c r="N1359" s="1" t="s">
        <v>142</v>
      </c>
      <c r="O1359" s="1">
        <v>0.59</v>
      </c>
      <c r="P1359" s="6">
        <f>Table1[[#This Row],[Profit]]/Table1[[#This Row],[Sales]]</f>
        <v>5.5728475305533993E-2</v>
      </c>
      <c r="Q1359" s="1" t="s">
        <v>33</v>
      </c>
      <c r="R1359" s="1" t="s">
        <v>61</v>
      </c>
      <c r="S1359" s="1" t="s">
        <v>304</v>
      </c>
      <c r="T1359" s="1" t="s">
        <v>2287</v>
      </c>
      <c r="U1359" s="1">
        <v>73110</v>
      </c>
      <c r="V1359" s="9">
        <v>42143</v>
      </c>
      <c r="W1359" s="13" t="str">
        <f>TEXT(Table1[[#This Row],[Order Date]],"mmmm")</f>
        <v>May</v>
      </c>
      <c r="X1359" s="7" t="str">
        <f>TEXT(Table1[[#This Row],[Order Date]],"yyyy")</f>
        <v>2015</v>
      </c>
      <c r="Y1359" s="9">
        <v>42143</v>
      </c>
      <c r="Z1359" s="1">
        <v>24.350000000000023</v>
      </c>
      <c r="AA1359" s="1">
        <v>3</v>
      </c>
      <c r="AB1359" s="1">
        <v>436.94</v>
      </c>
      <c r="AC1359" s="1">
        <v>89096</v>
      </c>
      <c r="AD1359" s="6" t="str">
        <f>IF(COUNTIF(Returns!$A$2:$A$1635,Orders!AC1359)&gt;0,"Returned","Not Returned")</f>
        <v>Not Returned</v>
      </c>
    </row>
    <row r="1360" spans="1:30" ht="12.75" customHeight="1" thickTop="1" thickBot="1" x14ac:dyDescent="0.25">
      <c r="A1360" s="10">
        <v>20286</v>
      </c>
      <c r="B1360" s="11" t="s">
        <v>37</v>
      </c>
      <c r="C1360" s="11">
        <v>0.09</v>
      </c>
      <c r="D1360" s="11">
        <v>5.4</v>
      </c>
      <c r="E1360" s="11">
        <v>7.78</v>
      </c>
      <c r="F1360" s="11">
        <v>2432</v>
      </c>
      <c r="G1360" s="6" t="str">
        <f>IF(COUNTIF(Table1[Customer ID],Table1[[#This Row],[Customer ID]])&gt;1,"Repeat Customer","One-Time Customer")</f>
        <v>Repeat Customer</v>
      </c>
      <c r="H1360" s="11" t="s">
        <v>2286</v>
      </c>
      <c r="I1360" s="11" t="s">
        <v>27</v>
      </c>
      <c r="J1360" s="11" t="s">
        <v>114</v>
      </c>
      <c r="K1360" s="11" t="s">
        <v>29</v>
      </c>
      <c r="L1360" s="11" t="s">
        <v>109</v>
      </c>
      <c r="M1360" s="11" t="s">
        <v>59</v>
      </c>
      <c r="N1360" s="11" t="s">
        <v>310</v>
      </c>
      <c r="O1360" s="11">
        <v>0.37</v>
      </c>
      <c r="P1360" s="6">
        <f>Table1[[#This Row],[Profit]]/Table1[[#This Row],[Sales]]</f>
        <v>-0.93002942750133755</v>
      </c>
      <c r="Q1360" s="11" t="s">
        <v>33</v>
      </c>
      <c r="R1360" s="11" t="s">
        <v>61</v>
      </c>
      <c r="S1360" s="11" t="s">
        <v>304</v>
      </c>
      <c r="T1360" s="11" t="s">
        <v>2287</v>
      </c>
      <c r="U1360" s="11">
        <v>73110</v>
      </c>
      <c r="V1360" s="12">
        <v>42161</v>
      </c>
      <c r="W1360" s="13" t="str">
        <f>TEXT(Table1[[#This Row],[Order Date]],"mmmm")</f>
        <v>June</v>
      </c>
      <c r="X1360" s="7" t="str">
        <f>TEXT(Table1[[#This Row],[Order Date]],"yyyy")</f>
        <v>2015</v>
      </c>
      <c r="Y1360" s="12">
        <v>42163</v>
      </c>
      <c r="Z1360" s="11">
        <v>-34.764499999999998</v>
      </c>
      <c r="AA1360" s="11">
        <v>6</v>
      </c>
      <c r="AB1360" s="11">
        <v>37.380000000000003</v>
      </c>
      <c r="AC1360" s="11">
        <v>89097</v>
      </c>
      <c r="AD1360" s="6" t="str">
        <f>IF(COUNTIF(Returns!$A$2:$A$1635,Orders!AC1360)&gt;0,"Returned","Not Returned")</f>
        <v>Not Returned</v>
      </c>
    </row>
    <row r="1361" spans="1:30" ht="12.75" customHeight="1" thickTop="1" thickBot="1" x14ac:dyDescent="0.25">
      <c r="A1361" s="8">
        <v>21490</v>
      </c>
      <c r="B1361" s="1" t="s">
        <v>37</v>
      </c>
      <c r="C1361" s="1">
        <v>0.05</v>
      </c>
      <c r="D1361" s="1">
        <v>8.85</v>
      </c>
      <c r="E1361" s="1">
        <v>5.6</v>
      </c>
      <c r="F1361" s="1">
        <v>2433</v>
      </c>
      <c r="G1361" s="6" t="str">
        <f>IF(COUNTIF(Table1[Customer ID],Table1[[#This Row],[Customer ID]])&gt;1,"Repeat Customer","One-Time Customer")</f>
        <v>One-Time Customer</v>
      </c>
      <c r="H1361" s="1" t="s">
        <v>2288</v>
      </c>
      <c r="I1361" s="1" t="s">
        <v>49</v>
      </c>
      <c r="J1361" s="1" t="s">
        <v>114</v>
      </c>
      <c r="K1361" s="1" t="s">
        <v>29</v>
      </c>
      <c r="L1361" s="1" t="s">
        <v>109</v>
      </c>
      <c r="M1361" s="1" t="s">
        <v>59</v>
      </c>
      <c r="N1361" s="1" t="s">
        <v>2285</v>
      </c>
      <c r="O1361" s="1">
        <v>0.36</v>
      </c>
      <c r="P1361" s="6">
        <f>Table1[[#This Row],[Profit]]/Table1[[#This Row],[Sales]]</f>
        <v>-0.1548860759493671</v>
      </c>
      <c r="Q1361" s="1" t="s">
        <v>33</v>
      </c>
      <c r="R1361" s="1" t="s">
        <v>61</v>
      </c>
      <c r="S1361" s="1" t="s">
        <v>304</v>
      </c>
      <c r="T1361" s="1" t="s">
        <v>2289</v>
      </c>
      <c r="U1361" s="1">
        <v>73160</v>
      </c>
      <c r="V1361" s="9">
        <v>42165</v>
      </c>
      <c r="W1361" s="13" t="str">
        <f>TEXT(Table1[[#This Row],[Order Date]],"mmmm")</f>
        <v>June</v>
      </c>
      <c r="X1361" s="7" t="str">
        <f>TEXT(Table1[[#This Row],[Order Date]],"yyyy")</f>
        <v>2015</v>
      </c>
      <c r="Y1361" s="9">
        <v>42166</v>
      </c>
      <c r="Z1361" s="1">
        <v>-7.3415999999999997</v>
      </c>
      <c r="AA1361" s="1">
        <v>5</v>
      </c>
      <c r="AB1361" s="1">
        <v>47.4</v>
      </c>
      <c r="AC1361" s="1">
        <v>89095</v>
      </c>
      <c r="AD1361" s="6" t="str">
        <f>IF(COUNTIF(Returns!$A$2:$A$1635,Orders!AC1361)&gt;0,"Returned","Not Returned")</f>
        <v>Not Returned</v>
      </c>
    </row>
    <row r="1362" spans="1:30" ht="12.75" customHeight="1" thickTop="1" thickBot="1" x14ac:dyDescent="0.25">
      <c r="A1362" s="10">
        <v>19566</v>
      </c>
      <c r="B1362" s="11" t="s">
        <v>106</v>
      </c>
      <c r="C1362" s="11">
        <v>0.09</v>
      </c>
      <c r="D1362" s="11">
        <v>90.97</v>
      </c>
      <c r="E1362" s="11">
        <v>14</v>
      </c>
      <c r="F1362" s="11">
        <v>2437</v>
      </c>
      <c r="G1362" s="6" t="str">
        <f>IF(COUNTIF(Table1[Customer ID],Table1[[#This Row],[Customer ID]])&gt;1,"Repeat Customer","One-Time Customer")</f>
        <v>One-Time Customer</v>
      </c>
      <c r="H1362" s="11" t="s">
        <v>2290</v>
      </c>
      <c r="I1362" s="11" t="s">
        <v>39</v>
      </c>
      <c r="J1362" s="11" t="s">
        <v>40</v>
      </c>
      <c r="K1362" s="11" t="s">
        <v>77</v>
      </c>
      <c r="L1362" s="11" t="s">
        <v>85</v>
      </c>
      <c r="M1362" s="11" t="s">
        <v>43</v>
      </c>
      <c r="N1362" s="11" t="s">
        <v>1805</v>
      </c>
      <c r="O1362" s="11">
        <v>0.36</v>
      </c>
      <c r="P1362" s="6">
        <f>Table1[[#This Row],[Profit]]/Table1[[#This Row],[Sales]]</f>
        <v>0.13573076923076943</v>
      </c>
      <c r="Q1362" s="11" t="s">
        <v>33</v>
      </c>
      <c r="R1362" s="11" t="s">
        <v>61</v>
      </c>
      <c r="S1362" s="11" t="s">
        <v>1858</v>
      </c>
      <c r="T1362" s="11" t="s">
        <v>2291</v>
      </c>
      <c r="U1362" s="11">
        <v>53150</v>
      </c>
      <c r="V1362" s="12">
        <v>42064</v>
      </c>
      <c r="W1362" s="13" t="str">
        <f>TEXT(Table1[[#This Row],[Order Date]],"mmmm")</f>
        <v>March</v>
      </c>
      <c r="X1362" s="7" t="str">
        <f>TEXT(Table1[[#This Row],[Order Date]],"yyyy")</f>
        <v>2015</v>
      </c>
      <c r="Y1362" s="12">
        <v>42066</v>
      </c>
      <c r="Z1362" s="11">
        <v>35.290000000000049</v>
      </c>
      <c r="AA1362" s="11">
        <v>3</v>
      </c>
      <c r="AB1362" s="11">
        <v>260</v>
      </c>
      <c r="AC1362" s="11">
        <v>90301</v>
      </c>
      <c r="AD1362" s="6" t="str">
        <f>IF(COUNTIF(Returns!$A$2:$A$1635,Orders!AC1362)&gt;0,"Returned","Not Returned")</f>
        <v>Not Returned</v>
      </c>
    </row>
    <row r="1363" spans="1:30" ht="12.75" customHeight="1" thickTop="1" thickBot="1" x14ac:dyDescent="0.25">
      <c r="A1363" s="8">
        <v>20157</v>
      </c>
      <c r="B1363" s="1" t="s">
        <v>56</v>
      </c>
      <c r="C1363" s="1">
        <v>0.02</v>
      </c>
      <c r="D1363" s="1">
        <v>63.94</v>
      </c>
      <c r="E1363" s="1">
        <v>14.48</v>
      </c>
      <c r="F1363" s="1">
        <v>2441</v>
      </c>
      <c r="G1363" s="6" t="str">
        <f>IF(COUNTIF(Table1[Customer ID],Table1[[#This Row],[Customer ID]])&gt;1,"Repeat Customer","One-Time Customer")</f>
        <v>One-Time Customer</v>
      </c>
      <c r="H1363" s="1" t="s">
        <v>2292</v>
      </c>
      <c r="I1363" s="1" t="s">
        <v>49</v>
      </c>
      <c r="J1363" s="1" t="s">
        <v>114</v>
      </c>
      <c r="K1363" s="1" t="s">
        <v>41</v>
      </c>
      <c r="L1363" s="1" t="s">
        <v>50</v>
      </c>
      <c r="M1363" s="1" t="s">
        <v>59</v>
      </c>
      <c r="N1363" s="1" t="s">
        <v>519</v>
      </c>
      <c r="O1363" s="1">
        <v>0.46</v>
      </c>
      <c r="P1363" s="6">
        <f>Table1[[#This Row],[Profit]]/Table1[[#This Row],[Sales]]</f>
        <v>-0.14114414541355502</v>
      </c>
      <c r="Q1363" s="1" t="s">
        <v>33</v>
      </c>
      <c r="R1363" s="1" t="s">
        <v>136</v>
      </c>
      <c r="S1363" s="1" t="s">
        <v>362</v>
      </c>
      <c r="T1363" s="1" t="s">
        <v>2293</v>
      </c>
      <c r="U1363" s="1">
        <v>32935</v>
      </c>
      <c r="V1363" s="9">
        <v>42098</v>
      </c>
      <c r="W1363" s="13" t="str">
        <f>TEXT(Table1[[#This Row],[Order Date]],"mmmm")</f>
        <v>April</v>
      </c>
      <c r="X1363" s="7" t="str">
        <f>TEXT(Table1[[#This Row],[Order Date]],"yyyy")</f>
        <v>2015</v>
      </c>
      <c r="Y1363" s="9">
        <v>42098</v>
      </c>
      <c r="Z1363" s="1">
        <v>-100.17</v>
      </c>
      <c r="AA1363" s="1">
        <v>11</v>
      </c>
      <c r="AB1363" s="1">
        <v>709.7</v>
      </c>
      <c r="AC1363" s="1">
        <v>89300</v>
      </c>
      <c r="AD1363" s="6" t="str">
        <f>IF(COUNTIF(Returns!$A$2:$A$1635,Orders!AC1363)&gt;0,"Returned","Not Returned")</f>
        <v>Not Returned</v>
      </c>
    </row>
    <row r="1364" spans="1:30" ht="12.75" customHeight="1" thickTop="1" thickBot="1" x14ac:dyDescent="0.25">
      <c r="A1364" s="10">
        <v>20158</v>
      </c>
      <c r="B1364" s="11" t="s">
        <v>56</v>
      </c>
      <c r="C1364" s="11">
        <v>0.01</v>
      </c>
      <c r="D1364" s="11">
        <v>5.0199999999999996</v>
      </c>
      <c r="E1364" s="11">
        <v>5.14</v>
      </c>
      <c r="F1364" s="11">
        <v>2442</v>
      </c>
      <c r="G1364" s="6" t="str">
        <f>IF(COUNTIF(Table1[Customer ID],Table1[[#This Row],[Customer ID]])&gt;1,"Repeat Customer","One-Time Customer")</f>
        <v>One-Time Customer</v>
      </c>
      <c r="H1364" s="11" t="s">
        <v>2294</v>
      </c>
      <c r="I1364" s="11" t="s">
        <v>49</v>
      </c>
      <c r="J1364" s="11" t="s">
        <v>114</v>
      </c>
      <c r="K1364" s="11" t="s">
        <v>77</v>
      </c>
      <c r="L1364" s="11" t="s">
        <v>180</v>
      </c>
      <c r="M1364" s="11" t="s">
        <v>51</v>
      </c>
      <c r="N1364" s="11" t="s">
        <v>840</v>
      </c>
      <c r="O1364" s="11">
        <v>0.79</v>
      </c>
      <c r="P1364" s="6">
        <f>Table1[[#This Row],[Profit]]/Table1[[#This Row],[Sales]]</f>
        <v>-0.14398249452954046</v>
      </c>
      <c r="Q1364" s="11" t="s">
        <v>33</v>
      </c>
      <c r="R1364" s="11" t="s">
        <v>136</v>
      </c>
      <c r="S1364" s="11" t="s">
        <v>362</v>
      </c>
      <c r="T1364" s="11" t="s">
        <v>2295</v>
      </c>
      <c r="U1364" s="11">
        <v>32953</v>
      </c>
      <c r="V1364" s="12">
        <v>42098</v>
      </c>
      <c r="W1364" s="13" t="str">
        <f>TEXT(Table1[[#This Row],[Order Date]],"mmmm")</f>
        <v>April</v>
      </c>
      <c r="X1364" s="7" t="str">
        <f>TEXT(Table1[[#This Row],[Order Date]],"yyyy")</f>
        <v>2015</v>
      </c>
      <c r="Y1364" s="12">
        <v>42100</v>
      </c>
      <c r="Z1364" s="11">
        <v>-3.9479999999999995</v>
      </c>
      <c r="AA1364" s="11">
        <v>5</v>
      </c>
      <c r="AB1364" s="11">
        <v>27.42</v>
      </c>
      <c r="AC1364" s="11">
        <v>89300</v>
      </c>
      <c r="AD1364" s="6" t="str">
        <f>IF(COUNTIF(Returns!$A$2:$A$1635,Orders!AC1364)&gt;0,"Returned","Not Returned")</f>
        <v>Not Returned</v>
      </c>
    </row>
    <row r="1365" spans="1:30" ht="12.75" customHeight="1" thickTop="1" thickBot="1" x14ac:dyDescent="0.25">
      <c r="A1365" s="8">
        <v>21084</v>
      </c>
      <c r="B1365" s="1" t="s">
        <v>25</v>
      </c>
      <c r="C1365" s="1">
        <v>0.05</v>
      </c>
      <c r="D1365" s="1">
        <v>58.1</v>
      </c>
      <c r="E1365" s="1">
        <v>1.49</v>
      </c>
      <c r="F1365" s="1">
        <v>2443</v>
      </c>
      <c r="G1365" s="6" t="str">
        <f>IF(COUNTIF(Table1[Customer ID],Table1[[#This Row],[Customer ID]])&gt;1,"Repeat Customer","One-Time Customer")</f>
        <v>Repeat Customer</v>
      </c>
      <c r="H1365" s="1" t="s">
        <v>2296</v>
      </c>
      <c r="I1365" s="1" t="s">
        <v>49</v>
      </c>
      <c r="J1365" s="1" t="s">
        <v>28</v>
      </c>
      <c r="K1365" s="1" t="s">
        <v>29</v>
      </c>
      <c r="L1365" s="1" t="s">
        <v>109</v>
      </c>
      <c r="M1365" s="1" t="s">
        <v>59</v>
      </c>
      <c r="N1365" s="1" t="s">
        <v>283</v>
      </c>
      <c r="O1365" s="1">
        <v>0.38</v>
      </c>
      <c r="P1365" s="6">
        <f>Table1[[#This Row],[Profit]]/Table1[[#This Row],[Sales]]</f>
        <v>2.2108976267150164</v>
      </c>
      <c r="Q1365" s="1" t="s">
        <v>33</v>
      </c>
      <c r="R1365" s="1" t="s">
        <v>136</v>
      </c>
      <c r="S1365" s="1" t="s">
        <v>362</v>
      </c>
      <c r="T1365" s="1" t="s">
        <v>447</v>
      </c>
      <c r="U1365" s="1">
        <v>33142</v>
      </c>
      <c r="V1365" s="9">
        <v>42022</v>
      </c>
      <c r="W1365" s="13" t="str">
        <f>TEXT(Table1[[#This Row],[Order Date]],"mmmm")</f>
        <v>January</v>
      </c>
      <c r="X1365" s="7" t="str">
        <f>TEXT(Table1[[#This Row],[Order Date]],"yyyy")</f>
        <v>2015</v>
      </c>
      <c r="Y1365" s="9">
        <v>42022</v>
      </c>
      <c r="Z1365" s="1">
        <v>1633.9859999999999</v>
      </c>
      <c r="AA1365" s="1">
        <v>13</v>
      </c>
      <c r="AB1365" s="1">
        <v>739.06</v>
      </c>
      <c r="AC1365" s="1">
        <v>89299</v>
      </c>
      <c r="AD1365" s="6" t="str">
        <f>IF(COUNTIF(Returns!$A$2:$A$1635,Orders!AC1365)&gt;0,"Returned","Not Returned")</f>
        <v>Not Returned</v>
      </c>
    </row>
    <row r="1366" spans="1:30" ht="12.75" customHeight="1" thickTop="1" thickBot="1" x14ac:dyDescent="0.25">
      <c r="A1366" s="10">
        <v>25304</v>
      </c>
      <c r="B1366" s="11" t="s">
        <v>37</v>
      </c>
      <c r="C1366" s="11">
        <v>0.06</v>
      </c>
      <c r="D1366" s="11">
        <v>2.2799999999999998</v>
      </c>
      <c r="E1366" s="11">
        <v>5.2</v>
      </c>
      <c r="F1366" s="11">
        <v>2443</v>
      </c>
      <c r="G1366" s="6" t="str">
        <f>IF(COUNTIF(Table1[Customer ID],Table1[[#This Row],[Customer ID]])&gt;1,"Repeat Customer","One-Time Customer")</f>
        <v>Repeat Customer</v>
      </c>
      <c r="H1366" s="11" t="s">
        <v>2296</v>
      </c>
      <c r="I1366" s="11" t="s">
        <v>49</v>
      </c>
      <c r="J1366" s="11" t="s">
        <v>28</v>
      </c>
      <c r="K1366" s="11" t="s">
        <v>29</v>
      </c>
      <c r="L1366" s="11" t="s">
        <v>30</v>
      </c>
      <c r="M1366" s="11" t="s">
        <v>31</v>
      </c>
      <c r="N1366" s="11" t="s">
        <v>2297</v>
      </c>
      <c r="O1366" s="11">
        <v>0.41</v>
      </c>
      <c r="P1366" s="6">
        <f>Table1[[#This Row],[Profit]]/Table1[[#This Row],[Sales]]</f>
        <v>-65.72469314079423</v>
      </c>
      <c r="Q1366" s="11" t="s">
        <v>33</v>
      </c>
      <c r="R1366" s="11" t="s">
        <v>136</v>
      </c>
      <c r="S1366" s="11" t="s">
        <v>362</v>
      </c>
      <c r="T1366" s="11" t="s">
        <v>447</v>
      </c>
      <c r="U1366" s="11">
        <v>33142</v>
      </c>
      <c r="V1366" s="12">
        <v>42156</v>
      </c>
      <c r="W1366" s="13" t="str">
        <f>TEXT(Table1[[#This Row],[Order Date]],"mmmm")</f>
        <v>June</v>
      </c>
      <c r="X1366" s="7" t="str">
        <f>TEXT(Table1[[#This Row],[Order Date]],"yyyy")</f>
        <v>2015</v>
      </c>
      <c r="Y1366" s="12">
        <v>42158</v>
      </c>
      <c r="Z1366" s="11">
        <v>-2002.6314000000002</v>
      </c>
      <c r="AA1366" s="11">
        <v>13</v>
      </c>
      <c r="AB1366" s="11">
        <v>30.47</v>
      </c>
      <c r="AC1366" s="11">
        <v>89301</v>
      </c>
      <c r="AD1366" s="6" t="str">
        <f>IF(COUNTIF(Returns!$A$2:$A$1635,Orders!AC1366)&gt;0,"Returned","Not Returned")</f>
        <v>Not Returned</v>
      </c>
    </row>
    <row r="1367" spans="1:30" ht="12.75" customHeight="1" thickTop="1" thickBot="1" x14ac:dyDescent="0.25">
      <c r="A1367" s="8">
        <v>25742</v>
      </c>
      <c r="B1367" s="1" t="s">
        <v>25</v>
      </c>
      <c r="C1367" s="1">
        <v>0.09</v>
      </c>
      <c r="D1367" s="1">
        <v>6.48</v>
      </c>
      <c r="E1367" s="1">
        <v>7.03</v>
      </c>
      <c r="F1367" s="1">
        <v>2448</v>
      </c>
      <c r="G1367" s="6" t="str">
        <f>IF(COUNTIF(Table1[Customer ID],Table1[[#This Row],[Customer ID]])&gt;1,"Repeat Customer","One-Time Customer")</f>
        <v>One-Time Customer</v>
      </c>
      <c r="H1367" s="1" t="s">
        <v>2298</v>
      </c>
      <c r="I1367" s="1" t="s">
        <v>49</v>
      </c>
      <c r="J1367" s="1" t="s">
        <v>114</v>
      </c>
      <c r="K1367" s="1" t="s">
        <v>29</v>
      </c>
      <c r="L1367" s="1" t="s">
        <v>93</v>
      </c>
      <c r="M1367" s="1" t="s">
        <v>59</v>
      </c>
      <c r="N1367" s="1" t="s">
        <v>374</v>
      </c>
      <c r="O1367" s="1">
        <v>0.37</v>
      </c>
      <c r="P1367" s="6">
        <f>Table1[[#This Row],[Profit]]/Table1[[#This Row],[Sales]]</f>
        <v>-1.3016501650165018</v>
      </c>
      <c r="Q1367" s="1" t="s">
        <v>33</v>
      </c>
      <c r="R1367" s="1" t="s">
        <v>61</v>
      </c>
      <c r="S1367" s="1" t="s">
        <v>62</v>
      </c>
      <c r="T1367" s="1" t="s">
        <v>2299</v>
      </c>
      <c r="U1367" s="1">
        <v>55410</v>
      </c>
      <c r="V1367" s="9">
        <v>42184</v>
      </c>
      <c r="W1367" s="13" t="str">
        <f>TEXT(Table1[[#This Row],[Order Date]],"mmmm")</f>
        <v>June</v>
      </c>
      <c r="X1367" s="7" t="str">
        <f>TEXT(Table1[[#This Row],[Order Date]],"yyyy")</f>
        <v>2015</v>
      </c>
      <c r="Y1367" s="9">
        <v>42186</v>
      </c>
      <c r="Z1367" s="1">
        <v>-126.208</v>
      </c>
      <c r="AA1367" s="1">
        <v>16</v>
      </c>
      <c r="AB1367" s="1">
        <v>96.96</v>
      </c>
      <c r="AC1367" s="1">
        <v>87790</v>
      </c>
      <c r="AD1367" s="6" t="str">
        <f>IF(COUNTIF(Returns!$A$2:$A$1635,Orders!AC1367)&gt;0,"Returned","Not Returned")</f>
        <v>Not Returned</v>
      </c>
    </row>
    <row r="1368" spans="1:30" ht="12.75" customHeight="1" thickTop="1" thickBot="1" x14ac:dyDescent="0.25">
      <c r="A1368" s="10">
        <v>20687</v>
      </c>
      <c r="B1368" s="11" t="s">
        <v>37</v>
      </c>
      <c r="C1368" s="11">
        <v>0.08</v>
      </c>
      <c r="D1368" s="11">
        <v>4.13</v>
      </c>
      <c r="E1368" s="11">
        <v>1.17</v>
      </c>
      <c r="F1368" s="11">
        <v>2450</v>
      </c>
      <c r="G1368" s="6" t="str">
        <f>IF(COUNTIF(Table1[Customer ID],Table1[[#This Row],[Customer ID]])&gt;1,"Repeat Customer","One-Time Customer")</f>
        <v>One-Time Customer</v>
      </c>
      <c r="H1368" s="11" t="s">
        <v>2300</v>
      </c>
      <c r="I1368" s="11" t="s">
        <v>49</v>
      </c>
      <c r="J1368" s="11" t="s">
        <v>40</v>
      </c>
      <c r="K1368" s="11" t="s">
        <v>29</v>
      </c>
      <c r="L1368" s="11" t="s">
        <v>30</v>
      </c>
      <c r="M1368" s="11" t="s">
        <v>31</v>
      </c>
      <c r="N1368" s="11" t="s">
        <v>2301</v>
      </c>
      <c r="O1368" s="11">
        <v>0.56999999999999995</v>
      </c>
      <c r="P1368" s="6">
        <f>Table1[[#This Row],[Profit]]/Table1[[#This Row],[Sales]]</f>
        <v>-1.3159144893111638</v>
      </c>
      <c r="Q1368" s="11" t="s">
        <v>33</v>
      </c>
      <c r="R1368" s="11" t="s">
        <v>61</v>
      </c>
      <c r="S1368" s="11" t="s">
        <v>1858</v>
      </c>
      <c r="T1368" s="11" t="s">
        <v>2302</v>
      </c>
      <c r="U1368" s="11">
        <v>53545</v>
      </c>
      <c r="V1368" s="12">
        <v>42147</v>
      </c>
      <c r="W1368" s="13" t="str">
        <f>TEXT(Table1[[#This Row],[Order Date]],"mmmm")</f>
        <v>May</v>
      </c>
      <c r="X1368" s="7" t="str">
        <f>TEXT(Table1[[#This Row],[Order Date]],"yyyy")</f>
        <v>2015</v>
      </c>
      <c r="Y1368" s="12">
        <v>42149</v>
      </c>
      <c r="Z1368" s="11">
        <v>-5.54</v>
      </c>
      <c r="AA1368" s="11">
        <v>1</v>
      </c>
      <c r="AB1368" s="11">
        <v>4.21</v>
      </c>
      <c r="AC1368" s="11">
        <v>90322</v>
      </c>
      <c r="AD1368" s="6" t="str">
        <f>IF(COUNTIF(Returns!$A$2:$A$1635,Orders!AC1368)&gt;0,"Returned","Not Returned")</f>
        <v>Not Returned</v>
      </c>
    </row>
    <row r="1369" spans="1:30" ht="12.75" customHeight="1" thickTop="1" thickBot="1" x14ac:dyDescent="0.25">
      <c r="A1369" s="8">
        <v>21198</v>
      </c>
      <c r="B1369" s="1" t="s">
        <v>56</v>
      </c>
      <c r="C1369" s="1">
        <v>0.06</v>
      </c>
      <c r="D1369" s="1">
        <v>3499.99</v>
      </c>
      <c r="E1369" s="1">
        <v>24.49</v>
      </c>
      <c r="F1369" s="1">
        <v>2454</v>
      </c>
      <c r="G1369" s="6" t="str">
        <f>IF(COUNTIF(Table1[Customer ID],Table1[[#This Row],[Customer ID]])&gt;1,"Repeat Customer","One-Time Customer")</f>
        <v>One-Time Customer</v>
      </c>
      <c r="H1369" s="1" t="s">
        <v>2303</v>
      </c>
      <c r="I1369" s="1" t="s">
        <v>27</v>
      </c>
      <c r="J1369" s="1" t="s">
        <v>28</v>
      </c>
      <c r="K1369" s="1" t="s">
        <v>77</v>
      </c>
      <c r="L1369" s="1" t="s">
        <v>587</v>
      </c>
      <c r="M1369" s="1" t="s">
        <v>236</v>
      </c>
      <c r="N1369" s="1" t="s">
        <v>1309</v>
      </c>
      <c r="O1369" s="1">
        <v>0.37</v>
      </c>
      <c r="P1369" s="6">
        <f>Table1[[#This Row],[Profit]]/Table1[[#This Row],[Sales]]</f>
        <v>-1.9275099428777448E-2</v>
      </c>
      <c r="Q1369" s="1" t="s">
        <v>33</v>
      </c>
      <c r="R1369" s="1" t="s">
        <v>136</v>
      </c>
      <c r="S1369" s="1" t="s">
        <v>1278</v>
      </c>
      <c r="T1369" s="1" t="s">
        <v>2304</v>
      </c>
      <c r="U1369" s="1">
        <v>35244</v>
      </c>
      <c r="V1369" s="9">
        <v>42064</v>
      </c>
      <c r="W1369" s="13" t="str">
        <f>TEXT(Table1[[#This Row],[Order Date]],"mmmm")</f>
        <v>March</v>
      </c>
      <c r="X1369" s="7" t="str">
        <f>TEXT(Table1[[#This Row],[Order Date]],"yyyy")</f>
        <v>2015</v>
      </c>
      <c r="Y1369" s="9">
        <v>42067</v>
      </c>
      <c r="Z1369" s="1">
        <v>-68.432000000000002</v>
      </c>
      <c r="AA1369" s="1">
        <v>1</v>
      </c>
      <c r="AB1369" s="1">
        <v>3550.28</v>
      </c>
      <c r="AC1369" s="1">
        <v>89219</v>
      </c>
      <c r="AD1369" s="6" t="str">
        <f>IF(COUNTIF(Returns!$A$2:$A$1635,Orders!AC1369)&gt;0,"Returned","Not Returned")</f>
        <v>Not Returned</v>
      </c>
    </row>
    <row r="1370" spans="1:30" ht="12.75" customHeight="1" thickTop="1" thickBot="1" x14ac:dyDescent="0.25">
      <c r="A1370" s="10">
        <v>25536</v>
      </c>
      <c r="B1370" s="11" t="s">
        <v>25</v>
      </c>
      <c r="C1370" s="11">
        <v>7.0000000000000007E-2</v>
      </c>
      <c r="D1370" s="11">
        <v>179.99</v>
      </c>
      <c r="E1370" s="11">
        <v>19.989999999999998</v>
      </c>
      <c r="F1370" s="11">
        <v>2456</v>
      </c>
      <c r="G1370" s="6" t="str">
        <f>IF(COUNTIF(Table1[Customer ID],Table1[[#This Row],[Customer ID]])&gt;1,"Repeat Customer","One-Time Customer")</f>
        <v>Repeat Customer</v>
      </c>
      <c r="H1370" s="11" t="s">
        <v>2305</v>
      </c>
      <c r="I1370" s="11" t="s">
        <v>49</v>
      </c>
      <c r="J1370" s="11" t="s">
        <v>40</v>
      </c>
      <c r="K1370" s="11" t="s">
        <v>77</v>
      </c>
      <c r="L1370" s="11" t="s">
        <v>180</v>
      </c>
      <c r="M1370" s="11" t="s">
        <v>59</v>
      </c>
      <c r="N1370" s="11" t="s">
        <v>579</v>
      </c>
      <c r="O1370" s="11">
        <v>0.48</v>
      </c>
      <c r="P1370" s="6">
        <f>Table1[[#This Row],[Profit]]/Table1[[#This Row],[Sales]]</f>
        <v>0.61691375785568259</v>
      </c>
      <c r="Q1370" s="11" t="s">
        <v>33</v>
      </c>
      <c r="R1370" s="11" t="s">
        <v>136</v>
      </c>
      <c r="S1370" s="11" t="s">
        <v>1278</v>
      </c>
      <c r="T1370" s="11" t="s">
        <v>2306</v>
      </c>
      <c r="U1370" s="11">
        <v>36608</v>
      </c>
      <c r="V1370" s="12">
        <v>42026</v>
      </c>
      <c r="W1370" s="13" t="str">
        <f>TEXT(Table1[[#This Row],[Order Date]],"mmmm")</f>
        <v>January</v>
      </c>
      <c r="X1370" s="7" t="str">
        <f>TEXT(Table1[[#This Row],[Order Date]],"yyyy")</f>
        <v>2015</v>
      </c>
      <c r="Y1370" s="12">
        <v>42027</v>
      </c>
      <c r="Z1370" s="11">
        <v>733.2822000000001</v>
      </c>
      <c r="AA1370" s="11">
        <v>7</v>
      </c>
      <c r="AB1370" s="11">
        <v>1188.6300000000001</v>
      </c>
      <c r="AC1370" s="11">
        <v>89218</v>
      </c>
      <c r="AD1370" s="6" t="str">
        <f>IF(COUNTIF(Returns!$A$2:$A$1635,Orders!AC1370)&gt;0,"Returned","Not Returned")</f>
        <v>Not Returned</v>
      </c>
    </row>
    <row r="1371" spans="1:30" ht="12.75" customHeight="1" thickTop="1" thickBot="1" x14ac:dyDescent="0.25">
      <c r="A1371" s="8">
        <v>25537</v>
      </c>
      <c r="B1371" s="1" t="s">
        <v>25</v>
      </c>
      <c r="C1371" s="1">
        <v>0.02</v>
      </c>
      <c r="D1371" s="1">
        <v>92.23</v>
      </c>
      <c r="E1371" s="1">
        <v>39.61</v>
      </c>
      <c r="F1371" s="1">
        <v>2456</v>
      </c>
      <c r="G1371" s="6" t="str">
        <f>IF(COUNTIF(Table1[Customer ID],Table1[[#This Row],[Customer ID]])&gt;1,"Repeat Customer","One-Time Customer")</f>
        <v>Repeat Customer</v>
      </c>
      <c r="H1371" s="1" t="s">
        <v>2305</v>
      </c>
      <c r="I1371" s="1" t="s">
        <v>27</v>
      </c>
      <c r="J1371" s="1" t="s">
        <v>40</v>
      </c>
      <c r="K1371" s="1" t="s">
        <v>41</v>
      </c>
      <c r="L1371" s="1" t="s">
        <v>50</v>
      </c>
      <c r="M1371" s="1" t="s">
        <v>86</v>
      </c>
      <c r="N1371" s="1" t="s">
        <v>2307</v>
      </c>
      <c r="O1371" s="1">
        <v>0.67</v>
      </c>
      <c r="P1371" s="6">
        <f>Table1[[#This Row],[Profit]]/Table1[[#This Row],[Sales]]</f>
        <v>-0.89708237204558727</v>
      </c>
      <c r="Q1371" s="1" t="s">
        <v>33</v>
      </c>
      <c r="R1371" s="1" t="s">
        <v>136</v>
      </c>
      <c r="S1371" s="1" t="s">
        <v>1278</v>
      </c>
      <c r="T1371" s="1" t="s">
        <v>2306</v>
      </c>
      <c r="U1371" s="1">
        <v>36608</v>
      </c>
      <c r="V1371" s="9">
        <v>42026</v>
      </c>
      <c r="W1371" s="13" t="str">
        <f>TEXT(Table1[[#This Row],[Order Date]],"mmmm")</f>
        <v>January</v>
      </c>
      <c r="X1371" s="7" t="str">
        <f>TEXT(Table1[[#This Row],[Order Date]],"yyyy")</f>
        <v>2015</v>
      </c>
      <c r="Y1371" s="9">
        <v>42027</v>
      </c>
      <c r="Z1371" s="1">
        <v>-905.99039999999991</v>
      </c>
      <c r="AA1371" s="1">
        <v>11</v>
      </c>
      <c r="AB1371" s="1">
        <v>1009.93</v>
      </c>
      <c r="AC1371" s="1">
        <v>89218</v>
      </c>
      <c r="AD1371" s="6" t="str">
        <f>IF(COUNTIF(Returns!$A$2:$A$1635,Orders!AC1371)&gt;0,"Returned","Not Returned")</f>
        <v>Not Returned</v>
      </c>
    </row>
    <row r="1372" spans="1:30" ht="12.75" customHeight="1" thickTop="1" thickBot="1" x14ac:dyDescent="0.25">
      <c r="A1372" s="10">
        <v>25535</v>
      </c>
      <c r="B1372" s="11" t="s">
        <v>25</v>
      </c>
      <c r="C1372" s="11">
        <v>0.02</v>
      </c>
      <c r="D1372" s="11">
        <v>15.22</v>
      </c>
      <c r="E1372" s="11">
        <v>9.73</v>
      </c>
      <c r="F1372" s="11">
        <v>2457</v>
      </c>
      <c r="G1372" s="6" t="str">
        <f>IF(COUNTIF(Table1[Customer ID],Table1[[#This Row],[Customer ID]])&gt;1,"Repeat Customer","One-Time Customer")</f>
        <v>One-Time Customer</v>
      </c>
      <c r="H1372" s="11" t="s">
        <v>2308</v>
      </c>
      <c r="I1372" s="11" t="s">
        <v>49</v>
      </c>
      <c r="J1372" s="11" t="s">
        <v>40</v>
      </c>
      <c r="K1372" s="11" t="s">
        <v>29</v>
      </c>
      <c r="L1372" s="11" t="s">
        <v>109</v>
      </c>
      <c r="M1372" s="11" t="s">
        <v>59</v>
      </c>
      <c r="N1372" s="11" t="s">
        <v>2309</v>
      </c>
      <c r="O1372" s="11">
        <v>0.36</v>
      </c>
      <c r="P1372" s="6">
        <f>Table1[[#This Row],[Profit]]/Table1[[#This Row],[Sales]]</f>
        <v>-0.15374854299928928</v>
      </c>
      <c r="Q1372" s="11" t="s">
        <v>33</v>
      </c>
      <c r="R1372" s="11" t="s">
        <v>61</v>
      </c>
      <c r="S1372" s="11" t="s">
        <v>62</v>
      </c>
      <c r="T1372" s="11" t="s">
        <v>2310</v>
      </c>
      <c r="U1372" s="11">
        <v>55014</v>
      </c>
      <c r="V1372" s="12">
        <v>42026</v>
      </c>
      <c r="W1372" s="13" t="str">
        <f>TEXT(Table1[[#This Row],[Order Date]],"mmmm")</f>
        <v>January</v>
      </c>
      <c r="X1372" s="7" t="str">
        <f>TEXT(Table1[[#This Row],[Order Date]],"yyyy")</f>
        <v>2015</v>
      </c>
      <c r="Y1372" s="12">
        <v>42026</v>
      </c>
      <c r="Z1372" s="11">
        <v>-21.63242</v>
      </c>
      <c r="AA1372" s="11">
        <v>9</v>
      </c>
      <c r="AB1372" s="11">
        <v>140.69999999999999</v>
      </c>
      <c r="AC1372" s="11">
        <v>89218</v>
      </c>
      <c r="AD1372" s="6" t="str">
        <f>IF(COUNTIF(Returns!$A$2:$A$1635,Orders!AC1372)&gt;0,"Returned","Not Returned")</f>
        <v>Not Returned</v>
      </c>
    </row>
    <row r="1373" spans="1:30" ht="12.75" customHeight="1" thickTop="1" thickBot="1" x14ac:dyDescent="0.25">
      <c r="A1373" s="8">
        <v>22321</v>
      </c>
      <c r="B1373" s="1" t="s">
        <v>25</v>
      </c>
      <c r="C1373" s="1">
        <v>0.03</v>
      </c>
      <c r="D1373" s="1">
        <v>6.48</v>
      </c>
      <c r="E1373" s="1">
        <v>8.73</v>
      </c>
      <c r="F1373" s="1">
        <v>2458</v>
      </c>
      <c r="G1373" s="6" t="str">
        <f>IF(COUNTIF(Table1[Customer ID],Table1[[#This Row],[Customer ID]])&gt;1,"Repeat Customer","One-Time Customer")</f>
        <v>Repeat Customer</v>
      </c>
      <c r="H1373" s="1" t="s">
        <v>2311</v>
      </c>
      <c r="I1373" s="1" t="s">
        <v>49</v>
      </c>
      <c r="J1373" s="1" t="s">
        <v>40</v>
      </c>
      <c r="K1373" s="1" t="s">
        <v>29</v>
      </c>
      <c r="L1373" s="1" t="s">
        <v>93</v>
      </c>
      <c r="M1373" s="1" t="s">
        <v>59</v>
      </c>
      <c r="N1373" s="1" t="s">
        <v>2312</v>
      </c>
      <c r="O1373" s="1">
        <v>0.37</v>
      </c>
      <c r="P1373" s="6">
        <f>Table1[[#This Row],[Profit]]/Table1[[#This Row],[Sales]]</f>
        <v>-2.1968652037617553</v>
      </c>
      <c r="Q1373" s="1" t="s">
        <v>33</v>
      </c>
      <c r="R1373" s="1" t="s">
        <v>61</v>
      </c>
      <c r="S1373" s="1" t="s">
        <v>62</v>
      </c>
      <c r="T1373" s="1" t="s">
        <v>2299</v>
      </c>
      <c r="U1373" s="1">
        <v>55410</v>
      </c>
      <c r="V1373" s="9">
        <v>42007</v>
      </c>
      <c r="W1373" s="13" t="str">
        <f>TEXT(Table1[[#This Row],[Order Date]],"mmmm")</f>
        <v>January</v>
      </c>
      <c r="X1373" s="7" t="str">
        <f>TEXT(Table1[[#This Row],[Order Date]],"yyyy")</f>
        <v>2015</v>
      </c>
      <c r="Y1373" s="9">
        <v>42009</v>
      </c>
      <c r="Z1373" s="1">
        <v>-35.04</v>
      </c>
      <c r="AA1373" s="1">
        <v>2</v>
      </c>
      <c r="AB1373" s="1">
        <v>15.95</v>
      </c>
      <c r="AC1373" s="1">
        <v>91285</v>
      </c>
      <c r="AD1373" s="6" t="str">
        <f>IF(COUNTIF(Returns!$A$2:$A$1635,Orders!AC1373)&gt;0,"Returned","Not Returned")</f>
        <v>Not Returned</v>
      </c>
    </row>
    <row r="1374" spans="1:30" ht="12.75" customHeight="1" thickTop="1" thickBot="1" x14ac:dyDescent="0.25">
      <c r="A1374" s="10">
        <v>21190</v>
      </c>
      <c r="B1374" s="11" t="s">
        <v>56</v>
      </c>
      <c r="C1374" s="11">
        <v>0.05</v>
      </c>
      <c r="D1374" s="11">
        <v>12.88</v>
      </c>
      <c r="E1374" s="11">
        <v>4.59</v>
      </c>
      <c r="F1374" s="11">
        <v>2458</v>
      </c>
      <c r="G1374" s="6" t="str">
        <f>IF(COUNTIF(Table1[Customer ID],Table1[[#This Row],[Customer ID]])&gt;1,"Repeat Customer","One-Time Customer")</f>
        <v>Repeat Customer</v>
      </c>
      <c r="H1374" s="11" t="s">
        <v>2311</v>
      </c>
      <c r="I1374" s="11" t="s">
        <v>49</v>
      </c>
      <c r="J1374" s="11" t="s">
        <v>40</v>
      </c>
      <c r="K1374" s="11" t="s">
        <v>29</v>
      </c>
      <c r="L1374" s="11" t="s">
        <v>174</v>
      </c>
      <c r="M1374" s="11" t="s">
        <v>31</v>
      </c>
      <c r="N1374" s="11" t="s">
        <v>1622</v>
      </c>
      <c r="O1374" s="11">
        <v>0.82</v>
      </c>
      <c r="P1374" s="6">
        <f>Table1[[#This Row],[Profit]]/Table1[[#This Row],[Sales]]</f>
        <v>0.14120425029515948</v>
      </c>
      <c r="Q1374" s="11" t="s">
        <v>33</v>
      </c>
      <c r="R1374" s="11" t="s">
        <v>61</v>
      </c>
      <c r="S1374" s="11" t="s">
        <v>62</v>
      </c>
      <c r="T1374" s="11" t="s">
        <v>2299</v>
      </c>
      <c r="U1374" s="11">
        <v>55410</v>
      </c>
      <c r="V1374" s="12">
        <v>42147</v>
      </c>
      <c r="W1374" s="13" t="str">
        <f>TEXT(Table1[[#This Row],[Order Date]],"mmmm")</f>
        <v>May</v>
      </c>
      <c r="X1374" s="7" t="str">
        <f>TEXT(Table1[[#This Row],[Order Date]],"yyyy")</f>
        <v>2015</v>
      </c>
      <c r="Y1374" s="12">
        <v>42149</v>
      </c>
      <c r="Z1374" s="11">
        <v>5.980000000000004</v>
      </c>
      <c r="AA1374" s="11">
        <v>3</v>
      </c>
      <c r="AB1374" s="11">
        <v>42.35</v>
      </c>
      <c r="AC1374" s="11">
        <v>91286</v>
      </c>
      <c r="AD1374" s="6" t="str">
        <f>IF(COUNTIF(Returns!$A$2:$A$1635,Orders!AC1374)&gt;0,"Returned","Not Returned")</f>
        <v>Not Returned</v>
      </c>
    </row>
    <row r="1375" spans="1:30" ht="12.75" customHeight="1" thickTop="1" thickBot="1" x14ac:dyDescent="0.25">
      <c r="A1375" s="8">
        <v>4321</v>
      </c>
      <c r="B1375" s="1" t="s">
        <v>25</v>
      </c>
      <c r="C1375" s="1">
        <v>0.03</v>
      </c>
      <c r="D1375" s="1">
        <v>6.48</v>
      </c>
      <c r="E1375" s="1">
        <v>8.73</v>
      </c>
      <c r="F1375" s="1">
        <v>2460</v>
      </c>
      <c r="G1375" s="6" t="str">
        <f>IF(COUNTIF(Table1[Customer ID],Table1[[#This Row],[Customer ID]])&gt;1,"Repeat Customer","One-Time Customer")</f>
        <v>Repeat Customer</v>
      </c>
      <c r="H1375" s="1" t="s">
        <v>2313</v>
      </c>
      <c r="I1375" s="1" t="s">
        <v>49</v>
      </c>
      <c r="J1375" s="1" t="s">
        <v>40</v>
      </c>
      <c r="K1375" s="1" t="s">
        <v>29</v>
      </c>
      <c r="L1375" s="1" t="s">
        <v>93</v>
      </c>
      <c r="M1375" s="1" t="s">
        <v>59</v>
      </c>
      <c r="N1375" s="1" t="s">
        <v>2312</v>
      </c>
      <c r="O1375" s="1">
        <v>0.37</v>
      </c>
      <c r="P1375" s="6">
        <f>Table1[[#This Row],[Profit]]/Table1[[#This Row],[Sales]]</f>
        <v>-0.54938852304797736</v>
      </c>
      <c r="Q1375" s="1" t="s">
        <v>33</v>
      </c>
      <c r="R1375" s="1" t="s">
        <v>53</v>
      </c>
      <c r="S1375" s="1" t="s">
        <v>71</v>
      </c>
      <c r="T1375" s="1" t="s">
        <v>90</v>
      </c>
      <c r="U1375" s="1">
        <v>10035</v>
      </c>
      <c r="V1375" s="9">
        <v>42007</v>
      </c>
      <c r="W1375" s="13" t="str">
        <f>TEXT(Table1[[#This Row],[Order Date]],"mmmm")</f>
        <v>January</v>
      </c>
      <c r="X1375" s="7" t="str">
        <f>TEXT(Table1[[#This Row],[Order Date]],"yyyy")</f>
        <v>2015</v>
      </c>
      <c r="Y1375" s="9">
        <v>42009</v>
      </c>
      <c r="Z1375" s="1">
        <v>-35.04</v>
      </c>
      <c r="AA1375" s="1">
        <v>8</v>
      </c>
      <c r="AB1375" s="1">
        <v>63.78</v>
      </c>
      <c r="AC1375" s="1">
        <v>30785</v>
      </c>
      <c r="AD1375" s="6" t="str">
        <f>IF(COUNTIF(Returns!$A$2:$A$1635,Orders!AC1375)&gt;0,"Returned","Not Returned")</f>
        <v>Not Returned</v>
      </c>
    </row>
    <row r="1376" spans="1:30" ht="12.75" customHeight="1" thickTop="1" thickBot="1" x14ac:dyDescent="0.25">
      <c r="A1376" s="10">
        <v>4322</v>
      </c>
      <c r="B1376" s="11" t="s">
        <v>25</v>
      </c>
      <c r="C1376" s="11">
        <v>7.0000000000000007E-2</v>
      </c>
      <c r="D1376" s="11">
        <v>9.93</v>
      </c>
      <c r="E1376" s="11">
        <v>1.0900000000000001</v>
      </c>
      <c r="F1376" s="11">
        <v>2460</v>
      </c>
      <c r="G1376" s="6" t="str">
        <f>IF(COUNTIF(Table1[Customer ID],Table1[[#This Row],[Customer ID]])&gt;1,"Repeat Customer","One-Time Customer")</f>
        <v>Repeat Customer</v>
      </c>
      <c r="H1376" s="11" t="s">
        <v>2313</v>
      </c>
      <c r="I1376" s="11" t="s">
        <v>49</v>
      </c>
      <c r="J1376" s="11" t="s">
        <v>40</v>
      </c>
      <c r="K1376" s="11" t="s">
        <v>29</v>
      </c>
      <c r="L1376" s="11" t="s">
        <v>30</v>
      </c>
      <c r="M1376" s="11" t="s">
        <v>31</v>
      </c>
      <c r="N1376" s="11" t="s">
        <v>2314</v>
      </c>
      <c r="O1376" s="11">
        <v>0.43</v>
      </c>
      <c r="P1376" s="6">
        <f>Table1[[#This Row],[Profit]]/Table1[[#This Row],[Sales]]</f>
        <v>0.33110427138460174</v>
      </c>
      <c r="Q1376" s="11" t="s">
        <v>33</v>
      </c>
      <c r="R1376" s="11" t="s">
        <v>53</v>
      </c>
      <c r="S1376" s="11" t="s">
        <v>71</v>
      </c>
      <c r="T1376" s="11" t="s">
        <v>90</v>
      </c>
      <c r="U1376" s="11">
        <v>10035</v>
      </c>
      <c r="V1376" s="12">
        <v>42007</v>
      </c>
      <c r="W1376" s="13" t="str">
        <f>TEXT(Table1[[#This Row],[Order Date]],"mmmm")</f>
        <v>January</v>
      </c>
      <c r="X1376" s="7" t="str">
        <f>TEXT(Table1[[#This Row],[Order Date]],"yyyy")</f>
        <v>2015</v>
      </c>
      <c r="Y1376" s="12">
        <v>42010</v>
      </c>
      <c r="Z1376" s="11">
        <v>149.53</v>
      </c>
      <c r="AA1376" s="11">
        <v>46</v>
      </c>
      <c r="AB1376" s="11">
        <v>451.61</v>
      </c>
      <c r="AC1376" s="11">
        <v>30785</v>
      </c>
      <c r="AD1376" s="6" t="str">
        <f>IF(COUNTIF(Returns!$A$2:$A$1635,Orders!AC1376)&gt;0,"Returned","Not Returned")</f>
        <v>Not Returned</v>
      </c>
    </row>
    <row r="1377" spans="1:30" ht="12.75" customHeight="1" thickTop="1" thickBot="1" x14ac:dyDescent="0.25">
      <c r="A1377" s="8">
        <v>25859</v>
      </c>
      <c r="B1377" s="1" t="s">
        <v>25</v>
      </c>
      <c r="C1377" s="1">
        <v>0.09</v>
      </c>
      <c r="D1377" s="1">
        <v>1.74</v>
      </c>
      <c r="E1377" s="1">
        <v>4.08</v>
      </c>
      <c r="F1377" s="1">
        <v>2464</v>
      </c>
      <c r="G1377" s="6" t="str">
        <f>IF(COUNTIF(Table1[Customer ID],Table1[[#This Row],[Customer ID]])&gt;1,"Repeat Customer","One-Time Customer")</f>
        <v>Repeat Customer</v>
      </c>
      <c r="H1377" s="1" t="s">
        <v>2315</v>
      </c>
      <c r="I1377" s="1" t="s">
        <v>27</v>
      </c>
      <c r="J1377" s="1" t="s">
        <v>114</v>
      </c>
      <c r="K1377" s="1" t="s">
        <v>41</v>
      </c>
      <c r="L1377" s="1" t="s">
        <v>50</v>
      </c>
      <c r="M1377" s="1" t="s">
        <v>51</v>
      </c>
      <c r="N1377" s="1" t="s">
        <v>219</v>
      </c>
      <c r="O1377" s="1">
        <v>0.53</v>
      </c>
      <c r="P1377" s="6">
        <f>Table1[[#This Row],[Profit]]/Table1[[#This Row],[Sales]]</f>
        <v>58.430547550432273</v>
      </c>
      <c r="Q1377" s="1" t="s">
        <v>33</v>
      </c>
      <c r="R1377" s="1" t="s">
        <v>136</v>
      </c>
      <c r="S1377" s="1" t="s">
        <v>171</v>
      </c>
      <c r="T1377" s="1" t="s">
        <v>2316</v>
      </c>
      <c r="U1377" s="1">
        <v>71111</v>
      </c>
      <c r="V1377" s="9">
        <v>42135</v>
      </c>
      <c r="W1377" s="13" t="str">
        <f>TEXT(Table1[[#This Row],[Order Date]],"mmmm")</f>
        <v>May</v>
      </c>
      <c r="X1377" s="7" t="str">
        <f>TEXT(Table1[[#This Row],[Order Date]],"yyyy")</f>
        <v>2015</v>
      </c>
      <c r="Y1377" s="9">
        <v>42137</v>
      </c>
      <c r="Z1377" s="1">
        <v>608.26199999999994</v>
      </c>
      <c r="AA1377" s="1">
        <v>4</v>
      </c>
      <c r="AB1377" s="1">
        <v>10.41</v>
      </c>
      <c r="AC1377" s="1">
        <v>88713</v>
      </c>
      <c r="AD1377" s="6" t="str">
        <f>IF(COUNTIF(Returns!$A$2:$A$1635,Orders!AC1377)&gt;0,"Returned","Not Returned")</f>
        <v>Not Returned</v>
      </c>
    </row>
    <row r="1378" spans="1:30" ht="12.75" customHeight="1" thickTop="1" thickBot="1" x14ac:dyDescent="0.25">
      <c r="A1378" s="10">
        <v>25860</v>
      </c>
      <c r="B1378" s="11" t="s">
        <v>25</v>
      </c>
      <c r="C1378" s="11">
        <v>0.08</v>
      </c>
      <c r="D1378" s="11">
        <v>227.55</v>
      </c>
      <c r="E1378" s="11">
        <v>32.479999999999997</v>
      </c>
      <c r="F1378" s="11">
        <v>2464</v>
      </c>
      <c r="G1378" s="6" t="str">
        <f>IF(COUNTIF(Table1[Customer ID],Table1[[#This Row],[Customer ID]])&gt;1,"Repeat Customer","One-Time Customer")</f>
        <v>Repeat Customer</v>
      </c>
      <c r="H1378" s="11" t="s">
        <v>2315</v>
      </c>
      <c r="I1378" s="11" t="s">
        <v>39</v>
      </c>
      <c r="J1378" s="11" t="s">
        <v>114</v>
      </c>
      <c r="K1378" s="11" t="s">
        <v>41</v>
      </c>
      <c r="L1378" s="11" t="s">
        <v>152</v>
      </c>
      <c r="M1378" s="11" t="s">
        <v>121</v>
      </c>
      <c r="N1378" s="11" t="s">
        <v>2317</v>
      </c>
      <c r="O1378" s="11">
        <v>0.68</v>
      </c>
      <c r="P1378" s="6">
        <f>Table1[[#This Row],[Profit]]/Table1[[#This Row],[Sales]]</f>
        <v>-0.20008478263921059</v>
      </c>
      <c r="Q1378" s="11" t="s">
        <v>33</v>
      </c>
      <c r="R1378" s="11" t="s">
        <v>136</v>
      </c>
      <c r="S1378" s="11" t="s">
        <v>171</v>
      </c>
      <c r="T1378" s="11" t="s">
        <v>2316</v>
      </c>
      <c r="U1378" s="11">
        <v>71111</v>
      </c>
      <c r="V1378" s="12">
        <v>42135</v>
      </c>
      <c r="W1378" s="13" t="str">
        <f>TEXT(Table1[[#This Row],[Order Date]],"mmmm")</f>
        <v>May</v>
      </c>
      <c r="X1378" s="7" t="str">
        <f>TEXT(Table1[[#This Row],[Order Date]],"yyyy")</f>
        <v>2015</v>
      </c>
      <c r="Y1378" s="12">
        <v>42135</v>
      </c>
      <c r="Z1378" s="11">
        <v>-570.16960000000006</v>
      </c>
      <c r="AA1378" s="11">
        <v>16</v>
      </c>
      <c r="AB1378" s="11">
        <v>2849.64</v>
      </c>
      <c r="AC1378" s="11">
        <v>88713</v>
      </c>
      <c r="AD1378" s="6" t="str">
        <f>IF(COUNTIF(Returns!$A$2:$A$1635,Orders!AC1378)&gt;0,"Returned","Not Returned")</f>
        <v>Not Returned</v>
      </c>
    </row>
    <row r="1379" spans="1:30" ht="12.75" customHeight="1" thickTop="1" thickBot="1" x14ac:dyDescent="0.25">
      <c r="A1379" s="8">
        <v>25807</v>
      </c>
      <c r="B1379" s="1" t="s">
        <v>37</v>
      </c>
      <c r="C1379" s="1">
        <v>0.05</v>
      </c>
      <c r="D1379" s="1">
        <v>6.28</v>
      </c>
      <c r="E1379" s="1">
        <v>5.36</v>
      </c>
      <c r="F1379" s="1">
        <v>2464</v>
      </c>
      <c r="G1379" s="6" t="str">
        <f>IF(COUNTIF(Table1[Customer ID],Table1[[#This Row],[Customer ID]])&gt;1,"Repeat Customer","One-Time Customer")</f>
        <v>Repeat Customer</v>
      </c>
      <c r="H1379" s="1" t="s">
        <v>2315</v>
      </c>
      <c r="I1379" s="1" t="s">
        <v>49</v>
      </c>
      <c r="J1379" s="1" t="s">
        <v>114</v>
      </c>
      <c r="K1379" s="1" t="s">
        <v>29</v>
      </c>
      <c r="L1379" s="1" t="s">
        <v>109</v>
      </c>
      <c r="M1379" s="1" t="s">
        <v>59</v>
      </c>
      <c r="N1379" s="1" t="s">
        <v>2318</v>
      </c>
      <c r="O1379" s="1">
        <v>0.4</v>
      </c>
      <c r="P1379" s="6">
        <f>Table1[[#This Row],[Profit]]/Table1[[#This Row],[Sales]]</f>
        <v>3.3596214511041014E-2</v>
      </c>
      <c r="Q1379" s="1" t="s">
        <v>33</v>
      </c>
      <c r="R1379" s="1" t="s">
        <v>136</v>
      </c>
      <c r="S1379" s="1" t="s">
        <v>171</v>
      </c>
      <c r="T1379" s="1" t="s">
        <v>2316</v>
      </c>
      <c r="U1379" s="1">
        <v>71111</v>
      </c>
      <c r="V1379" s="9">
        <v>42024</v>
      </c>
      <c r="W1379" s="13" t="str">
        <f>TEXT(Table1[[#This Row],[Order Date]],"mmmm")</f>
        <v>January</v>
      </c>
      <c r="X1379" s="7" t="str">
        <f>TEXT(Table1[[#This Row],[Order Date]],"yyyy")</f>
        <v>2015</v>
      </c>
      <c r="Y1379" s="9">
        <v>42027</v>
      </c>
      <c r="Z1379" s="1">
        <v>1.278</v>
      </c>
      <c r="AA1379" s="1">
        <v>6</v>
      </c>
      <c r="AB1379" s="1">
        <v>38.04</v>
      </c>
      <c r="AC1379" s="1">
        <v>88714</v>
      </c>
      <c r="AD1379" s="6" t="str">
        <f>IF(COUNTIF(Returns!$A$2:$A$1635,Orders!AC1379)&gt;0,"Returned","Not Returned")</f>
        <v>Not Returned</v>
      </c>
    </row>
    <row r="1380" spans="1:30" ht="12.75" customHeight="1" thickTop="1" thickBot="1" x14ac:dyDescent="0.25">
      <c r="A1380" s="10">
        <v>25808</v>
      </c>
      <c r="B1380" s="11" t="s">
        <v>37</v>
      </c>
      <c r="C1380" s="11">
        <v>0.04</v>
      </c>
      <c r="D1380" s="11">
        <v>3.08</v>
      </c>
      <c r="E1380" s="11">
        <v>0.99</v>
      </c>
      <c r="F1380" s="11">
        <v>2464</v>
      </c>
      <c r="G1380" s="6" t="str">
        <f>IF(COUNTIF(Table1[Customer ID],Table1[[#This Row],[Customer ID]])&gt;1,"Repeat Customer","One-Time Customer")</f>
        <v>Repeat Customer</v>
      </c>
      <c r="H1380" s="11" t="s">
        <v>2315</v>
      </c>
      <c r="I1380" s="11" t="s">
        <v>49</v>
      </c>
      <c r="J1380" s="11" t="s">
        <v>114</v>
      </c>
      <c r="K1380" s="11" t="s">
        <v>29</v>
      </c>
      <c r="L1380" s="11" t="s">
        <v>134</v>
      </c>
      <c r="M1380" s="11" t="s">
        <v>59</v>
      </c>
      <c r="N1380" s="11" t="s">
        <v>1994</v>
      </c>
      <c r="O1380" s="11">
        <v>0.37</v>
      </c>
      <c r="P1380" s="6">
        <f>Table1[[#This Row],[Profit]]/Table1[[#This Row],[Sales]]</f>
        <v>9.9762520573712656</v>
      </c>
      <c r="Q1380" s="11" t="s">
        <v>33</v>
      </c>
      <c r="R1380" s="11" t="s">
        <v>136</v>
      </c>
      <c r="S1380" s="11" t="s">
        <v>171</v>
      </c>
      <c r="T1380" s="11" t="s">
        <v>2316</v>
      </c>
      <c r="U1380" s="11">
        <v>71111</v>
      </c>
      <c r="V1380" s="12">
        <v>42024</v>
      </c>
      <c r="W1380" s="13" t="str">
        <f>TEXT(Table1[[#This Row],[Order Date]],"mmmm")</f>
        <v>January</v>
      </c>
      <c r="X1380" s="7" t="str">
        <f>TEXT(Table1[[#This Row],[Order Date]],"yyyy")</f>
        <v>2015</v>
      </c>
      <c r="Y1380" s="12">
        <v>42025</v>
      </c>
      <c r="Z1380" s="11">
        <v>424.28999999999996</v>
      </c>
      <c r="AA1380" s="11">
        <v>14</v>
      </c>
      <c r="AB1380" s="11">
        <v>42.53</v>
      </c>
      <c r="AC1380" s="11">
        <v>88714</v>
      </c>
      <c r="AD1380" s="6" t="str">
        <f>IF(COUNTIF(Returns!$A$2:$A$1635,Orders!AC1380)&gt;0,"Returned","Not Returned")</f>
        <v>Not Returned</v>
      </c>
    </row>
    <row r="1381" spans="1:30" ht="12.75" customHeight="1" thickTop="1" thickBot="1" x14ac:dyDescent="0.25">
      <c r="A1381" s="8">
        <v>22580</v>
      </c>
      <c r="B1381" s="1" t="s">
        <v>56</v>
      </c>
      <c r="C1381" s="1">
        <v>0.04</v>
      </c>
      <c r="D1381" s="1">
        <v>2.08</v>
      </c>
      <c r="E1381" s="1">
        <v>1.49</v>
      </c>
      <c r="F1381" s="1">
        <v>2466</v>
      </c>
      <c r="G1381" s="6" t="str">
        <f>IF(COUNTIF(Table1[Customer ID],Table1[[#This Row],[Customer ID]])&gt;1,"Repeat Customer","One-Time Customer")</f>
        <v>Repeat Customer</v>
      </c>
      <c r="H1381" s="1" t="s">
        <v>2319</v>
      </c>
      <c r="I1381" s="1" t="s">
        <v>49</v>
      </c>
      <c r="J1381" s="1" t="s">
        <v>28</v>
      </c>
      <c r="K1381" s="1" t="s">
        <v>29</v>
      </c>
      <c r="L1381" s="1" t="s">
        <v>109</v>
      </c>
      <c r="M1381" s="1" t="s">
        <v>59</v>
      </c>
      <c r="N1381" s="1" t="s">
        <v>1350</v>
      </c>
      <c r="O1381" s="1">
        <v>0.36</v>
      </c>
      <c r="P1381" s="6">
        <f>Table1[[#This Row],[Profit]]/Table1[[#This Row],[Sales]]</f>
        <v>-0.25183209207853757</v>
      </c>
      <c r="Q1381" s="1" t="s">
        <v>33</v>
      </c>
      <c r="R1381" s="1" t="s">
        <v>61</v>
      </c>
      <c r="S1381" s="1" t="s">
        <v>300</v>
      </c>
      <c r="T1381" s="1" t="s">
        <v>2320</v>
      </c>
      <c r="U1381" s="1">
        <v>49783</v>
      </c>
      <c r="V1381" s="9">
        <v>42062</v>
      </c>
      <c r="W1381" s="13" t="str">
        <f>TEXT(Table1[[#This Row],[Order Date]],"mmmm")</f>
        <v>February</v>
      </c>
      <c r="X1381" s="7" t="str">
        <f>TEXT(Table1[[#This Row],[Order Date]],"yyyy")</f>
        <v>2015</v>
      </c>
      <c r="Y1381" s="9">
        <v>42063</v>
      </c>
      <c r="Z1381" s="1">
        <v>-3.71956</v>
      </c>
      <c r="AA1381" s="1">
        <v>7</v>
      </c>
      <c r="AB1381" s="1">
        <v>14.77</v>
      </c>
      <c r="AC1381" s="1">
        <v>88136</v>
      </c>
      <c r="AD1381" s="6" t="str">
        <f>IF(COUNTIF(Returns!$A$2:$A$1635,Orders!AC1381)&gt;0,"Returned","Not Returned")</f>
        <v>Not Returned</v>
      </c>
    </row>
    <row r="1382" spans="1:30" ht="12.75" customHeight="1" thickTop="1" thickBot="1" x14ac:dyDescent="0.25">
      <c r="A1382" s="10">
        <v>22582</v>
      </c>
      <c r="B1382" s="11" t="s">
        <v>56</v>
      </c>
      <c r="C1382" s="11">
        <v>0.02</v>
      </c>
      <c r="D1382" s="11">
        <v>53.98</v>
      </c>
      <c r="E1382" s="11">
        <v>5.5</v>
      </c>
      <c r="F1382" s="11">
        <v>2466</v>
      </c>
      <c r="G1382" s="6" t="str">
        <f>IF(COUNTIF(Table1[Customer ID],Table1[[#This Row],[Customer ID]])&gt;1,"Repeat Customer","One-Time Customer")</f>
        <v>Repeat Customer</v>
      </c>
      <c r="H1382" s="11" t="s">
        <v>2319</v>
      </c>
      <c r="I1382" s="11" t="s">
        <v>27</v>
      </c>
      <c r="J1382" s="11" t="s">
        <v>28</v>
      </c>
      <c r="K1382" s="11" t="s">
        <v>77</v>
      </c>
      <c r="L1382" s="11" t="s">
        <v>180</v>
      </c>
      <c r="M1382" s="11" t="s">
        <v>59</v>
      </c>
      <c r="N1382" s="11" t="s">
        <v>2321</v>
      </c>
      <c r="O1382" s="11">
        <v>0.62</v>
      </c>
      <c r="P1382" s="6">
        <f>Table1[[#This Row],[Profit]]/Table1[[#This Row],[Sales]]</f>
        <v>0.23263751055141108</v>
      </c>
      <c r="Q1382" s="11" t="s">
        <v>33</v>
      </c>
      <c r="R1382" s="11" t="s">
        <v>61</v>
      </c>
      <c r="S1382" s="11" t="s">
        <v>300</v>
      </c>
      <c r="T1382" s="11" t="s">
        <v>2320</v>
      </c>
      <c r="U1382" s="11">
        <v>49783</v>
      </c>
      <c r="V1382" s="12">
        <v>42062</v>
      </c>
      <c r="W1382" s="13" t="str">
        <f>TEXT(Table1[[#This Row],[Order Date]],"mmmm")</f>
        <v>February</v>
      </c>
      <c r="X1382" s="7" t="str">
        <f>TEXT(Table1[[#This Row],[Order Date]],"yyyy")</f>
        <v>2015</v>
      </c>
      <c r="Y1382" s="12">
        <v>42063</v>
      </c>
      <c r="Z1382" s="11">
        <v>101.97200000000001</v>
      </c>
      <c r="AA1382" s="11">
        <v>8</v>
      </c>
      <c r="AB1382" s="11">
        <v>438.33</v>
      </c>
      <c r="AC1382" s="11">
        <v>88136</v>
      </c>
      <c r="AD1382" s="6" t="str">
        <f>IF(COUNTIF(Returns!$A$2:$A$1635,Orders!AC1382)&gt;0,"Returned","Not Returned")</f>
        <v>Not Returned</v>
      </c>
    </row>
    <row r="1383" spans="1:30" ht="12.75" customHeight="1" thickTop="1" thickBot="1" x14ac:dyDescent="0.25">
      <c r="A1383" s="8">
        <v>22583</v>
      </c>
      <c r="B1383" s="1" t="s">
        <v>56</v>
      </c>
      <c r="C1383" s="1">
        <v>0.05</v>
      </c>
      <c r="D1383" s="1">
        <v>4.9800000000000004</v>
      </c>
      <c r="E1383" s="1">
        <v>5.0199999999999996</v>
      </c>
      <c r="F1383" s="1">
        <v>2466</v>
      </c>
      <c r="G1383" s="6" t="str">
        <f>IF(COUNTIF(Table1[Customer ID],Table1[[#This Row],[Customer ID]])&gt;1,"Repeat Customer","One-Time Customer")</f>
        <v>Repeat Customer</v>
      </c>
      <c r="H1383" s="1" t="s">
        <v>2319</v>
      </c>
      <c r="I1383" s="1" t="s">
        <v>49</v>
      </c>
      <c r="J1383" s="1" t="s">
        <v>28</v>
      </c>
      <c r="K1383" s="1" t="s">
        <v>29</v>
      </c>
      <c r="L1383" s="1" t="s">
        <v>93</v>
      </c>
      <c r="M1383" s="1" t="s">
        <v>59</v>
      </c>
      <c r="N1383" s="1" t="s">
        <v>2322</v>
      </c>
      <c r="O1383" s="1">
        <v>0.38</v>
      </c>
      <c r="P1383" s="6">
        <f>Table1[[#This Row],[Profit]]/Table1[[#This Row],[Sales]]</f>
        <v>-0.43649435843610596</v>
      </c>
      <c r="Q1383" s="1" t="s">
        <v>33</v>
      </c>
      <c r="R1383" s="1" t="s">
        <v>61</v>
      </c>
      <c r="S1383" s="1" t="s">
        <v>300</v>
      </c>
      <c r="T1383" s="1" t="s">
        <v>2320</v>
      </c>
      <c r="U1383" s="1">
        <v>49783</v>
      </c>
      <c r="V1383" s="9">
        <v>42062</v>
      </c>
      <c r="W1383" s="13" t="str">
        <f>TEXT(Table1[[#This Row],[Order Date]],"mmmm")</f>
        <v>February</v>
      </c>
      <c r="X1383" s="7" t="str">
        <f>TEXT(Table1[[#This Row],[Order Date]],"yyyy")</f>
        <v>2015</v>
      </c>
      <c r="Y1383" s="9">
        <v>42062</v>
      </c>
      <c r="Z1383" s="1">
        <v>-16.634799999999998</v>
      </c>
      <c r="AA1383" s="1">
        <v>7</v>
      </c>
      <c r="AB1383" s="1">
        <v>38.11</v>
      </c>
      <c r="AC1383" s="1">
        <v>88136</v>
      </c>
      <c r="AD1383" s="6" t="str">
        <f>IF(COUNTIF(Returns!$A$2:$A$1635,Orders!AC1383)&gt;0,"Returned","Not Returned")</f>
        <v>Not Returned</v>
      </c>
    </row>
    <row r="1384" spans="1:30" ht="12.75" customHeight="1" thickTop="1" thickBot="1" x14ac:dyDescent="0.25">
      <c r="A1384" s="10">
        <v>19766</v>
      </c>
      <c r="B1384" s="11" t="s">
        <v>47</v>
      </c>
      <c r="C1384" s="11">
        <v>0.09</v>
      </c>
      <c r="D1384" s="11">
        <v>58.1</v>
      </c>
      <c r="E1384" s="11">
        <v>1.49</v>
      </c>
      <c r="F1384" s="11">
        <v>2468</v>
      </c>
      <c r="G1384" s="6" t="str">
        <f>IF(COUNTIF(Table1[Customer ID],Table1[[#This Row],[Customer ID]])&gt;1,"Repeat Customer","One-Time Customer")</f>
        <v>Repeat Customer</v>
      </c>
      <c r="H1384" s="11" t="s">
        <v>2323</v>
      </c>
      <c r="I1384" s="11" t="s">
        <v>27</v>
      </c>
      <c r="J1384" s="11" t="s">
        <v>40</v>
      </c>
      <c r="K1384" s="11" t="s">
        <v>29</v>
      </c>
      <c r="L1384" s="11" t="s">
        <v>109</v>
      </c>
      <c r="M1384" s="11" t="s">
        <v>59</v>
      </c>
      <c r="N1384" s="11" t="s">
        <v>283</v>
      </c>
      <c r="O1384" s="11">
        <v>0.38</v>
      </c>
      <c r="P1384" s="6">
        <f>Table1[[#This Row],[Profit]]/Table1[[#This Row],[Sales]]</f>
        <v>4.5187654903812104</v>
      </c>
      <c r="Q1384" s="11" t="s">
        <v>33</v>
      </c>
      <c r="R1384" s="11" t="s">
        <v>136</v>
      </c>
      <c r="S1384" s="11" t="s">
        <v>322</v>
      </c>
      <c r="T1384" s="11" t="s">
        <v>2324</v>
      </c>
      <c r="U1384" s="11">
        <v>28144</v>
      </c>
      <c r="V1384" s="12">
        <v>42121</v>
      </c>
      <c r="W1384" s="13" t="str">
        <f>TEXT(Table1[[#This Row],[Order Date]],"mmmm")</f>
        <v>April</v>
      </c>
      <c r="X1384" s="7" t="str">
        <f>TEXT(Table1[[#This Row],[Order Date]],"yyyy")</f>
        <v>2015</v>
      </c>
      <c r="Y1384" s="12">
        <v>42123</v>
      </c>
      <c r="Z1384" s="11">
        <v>765.75</v>
      </c>
      <c r="AA1384" s="11">
        <v>3</v>
      </c>
      <c r="AB1384" s="11">
        <v>169.46</v>
      </c>
      <c r="AC1384" s="11">
        <v>88135</v>
      </c>
      <c r="AD1384" s="6" t="str">
        <f>IF(COUNTIF(Returns!$A$2:$A$1635,Orders!AC1384)&gt;0,"Returned","Not Returned")</f>
        <v>Not Returned</v>
      </c>
    </row>
    <row r="1385" spans="1:30" ht="12.75" customHeight="1" thickTop="1" thickBot="1" x14ac:dyDescent="0.25">
      <c r="A1385" s="8">
        <v>18684</v>
      </c>
      <c r="B1385" s="1" t="s">
        <v>47</v>
      </c>
      <c r="C1385" s="1">
        <v>0.04</v>
      </c>
      <c r="D1385" s="1">
        <v>65.989999999999995</v>
      </c>
      <c r="E1385" s="1">
        <v>8.99</v>
      </c>
      <c r="F1385" s="1">
        <v>2468</v>
      </c>
      <c r="G1385" s="6" t="str">
        <f>IF(COUNTIF(Table1[Customer ID],Table1[[#This Row],[Customer ID]])&gt;1,"Repeat Customer","One-Time Customer")</f>
        <v>Repeat Customer</v>
      </c>
      <c r="H1385" s="1" t="s">
        <v>2323</v>
      </c>
      <c r="I1385" s="1" t="s">
        <v>49</v>
      </c>
      <c r="J1385" s="1" t="s">
        <v>28</v>
      </c>
      <c r="K1385" s="1" t="s">
        <v>77</v>
      </c>
      <c r="L1385" s="1" t="s">
        <v>78</v>
      </c>
      <c r="M1385" s="1" t="s">
        <v>59</v>
      </c>
      <c r="N1385" s="1" t="s">
        <v>1665</v>
      </c>
      <c r="O1385" s="1">
        <v>0.55000000000000004</v>
      </c>
      <c r="P1385" s="6">
        <f>Table1[[#This Row],[Profit]]/Table1[[#This Row],[Sales]]</f>
        <v>-0.4623997681383441</v>
      </c>
      <c r="Q1385" s="1" t="s">
        <v>33</v>
      </c>
      <c r="R1385" s="1" t="s">
        <v>136</v>
      </c>
      <c r="S1385" s="1" t="s">
        <v>322</v>
      </c>
      <c r="T1385" s="1" t="s">
        <v>2324</v>
      </c>
      <c r="U1385" s="1">
        <v>28144</v>
      </c>
      <c r="V1385" s="9">
        <v>42076</v>
      </c>
      <c r="W1385" s="13" t="str">
        <f>TEXT(Table1[[#This Row],[Order Date]],"mmmm")</f>
        <v>March</v>
      </c>
      <c r="X1385" s="7" t="str">
        <f>TEXT(Table1[[#This Row],[Order Date]],"yyyy")</f>
        <v>2015</v>
      </c>
      <c r="Y1385" s="9">
        <v>42077</v>
      </c>
      <c r="Z1385" s="1">
        <v>-335.041</v>
      </c>
      <c r="AA1385" s="1">
        <v>13</v>
      </c>
      <c r="AB1385" s="1">
        <v>724.57</v>
      </c>
      <c r="AC1385" s="1">
        <v>88137</v>
      </c>
      <c r="AD1385" s="6" t="str">
        <f>IF(COUNTIF(Returns!$A$2:$A$1635,Orders!AC1385)&gt;0,"Returned","Not Returned")</f>
        <v>Not Returned</v>
      </c>
    </row>
    <row r="1386" spans="1:30" ht="12.75" customHeight="1" thickTop="1" thickBot="1" x14ac:dyDescent="0.25">
      <c r="A1386" s="10">
        <v>26057</v>
      </c>
      <c r="B1386" s="11" t="s">
        <v>106</v>
      </c>
      <c r="C1386" s="11">
        <v>0.1</v>
      </c>
      <c r="D1386" s="11">
        <v>4.91</v>
      </c>
      <c r="E1386" s="11">
        <v>0.5</v>
      </c>
      <c r="F1386" s="11">
        <v>2472</v>
      </c>
      <c r="G1386" s="6" t="str">
        <f>IF(COUNTIF(Table1[Customer ID],Table1[[#This Row],[Customer ID]])&gt;1,"Repeat Customer","One-Time Customer")</f>
        <v>One-Time Customer</v>
      </c>
      <c r="H1386" s="11" t="s">
        <v>2325</v>
      </c>
      <c r="I1386" s="11" t="s">
        <v>27</v>
      </c>
      <c r="J1386" s="11" t="s">
        <v>40</v>
      </c>
      <c r="K1386" s="11" t="s">
        <v>29</v>
      </c>
      <c r="L1386" s="11" t="s">
        <v>134</v>
      </c>
      <c r="M1386" s="11" t="s">
        <v>59</v>
      </c>
      <c r="N1386" s="11" t="s">
        <v>163</v>
      </c>
      <c r="O1386" s="11">
        <v>0.36</v>
      </c>
      <c r="P1386" s="6">
        <f>Table1[[#This Row],[Profit]]/Table1[[#This Row],[Sales]]</f>
        <v>0.69</v>
      </c>
      <c r="Q1386" s="11" t="s">
        <v>33</v>
      </c>
      <c r="R1386" s="11" t="s">
        <v>61</v>
      </c>
      <c r="S1386" s="11" t="s">
        <v>178</v>
      </c>
      <c r="T1386" s="11" t="s">
        <v>2326</v>
      </c>
      <c r="U1386" s="11">
        <v>60432</v>
      </c>
      <c r="V1386" s="12">
        <v>42056</v>
      </c>
      <c r="W1386" s="13" t="str">
        <f>TEXT(Table1[[#This Row],[Order Date]],"mmmm")</f>
        <v>February</v>
      </c>
      <c r="X1386" s="7" t="str">
        <f>TEXT(Table1[[#This Row],[Order Date]],"yyyy")</f>
        <v>2015</v>
      </c>
      <c r="Y1386" s="12">
        <v>42056</v>
      </c>
      <c r="Z1386" s="11">
        <v>35.279699999999998</v>
      </c>
      <c r="AA1386" s="11">
        <v>10</v>
      </c>
      <c r="AB1386" s="11">
        <v>51.13</v>
      </c>
      <c r="AC1386" s="11">
        <v>86514</v>
      </c>
      <c r="AD1386" s="6" t="str">
        <f>IF(COUNTIF(Returns!$A$2:$A$1635,Orders!AC1386)&gt;0,"Returned","Not Returned")</f>
        <v>Not Returned</v>
      </c>
    </row>
    <row r="1387" spans="1:30" ht="12.75" customHeight="1" thickTop="1" thickBot="1" x14ac:dyDescent="0.25">
      <c r="A1387" s="8">
        <v>24584</v>
      </c>
      <c r="B1387" s="1" t="s">
        <v>47</v>
      </c>
      <c r="C1387" s="1">
        <v>7.0000000000000007E-2</v>
      </c>
      <c r="D1387" s="1">
        <v>5.18</v>
      </c>
      <c r="E1387" s="1">
        <v>5.74</v>
      </c>
      <c r="F1387" s="1">
        <v>2481</v>
      </c>
      <c r="G1387" s="6" t="str">
        <f>IF(COUNTIF(Table1[Customer ID],Table1[[#This Row],[Customer ID]])&gt;1,"Repeat Customer","One-Time Customer")</f>
        <v>One-Time Customer</v>
      </c>
      <c r="H1387" s="1" t="s">
        <v>2327</v>
      </c>
      <c r="I1387" s="1" t="s">
        <v>27</v>
      </c>
      <c r="J1387" s="1" t="s">
        <v>28</v>
      </c>
      <c r="K1387" s="1" t="s">
        <v>29</v>
      </c>
      <c r="L1387" s="1" t="s">
        <v>109</v>
      </c>
      <c r="M1387" s="1" t="s">
        <v>59</v>
      </c>
      <c r="N1387" s="1" t="s">
        <v>875</v>
      </c>
      <c r="O1387" s="1">
        <v>0.36</v>
      </c>
      <c r="P1387" s="6">
        <f>Table1[[#This Row],[Profit]]/Table1[[#This Row],[Sales]]</f>
        <v>-2.3619394548423562</v>
      </c>
      <c r="Q1387" s="1" t="s">
        <v>33</v>
      </c>
      <c r="R1387" s="1" t="s">
        <v>136</v>
      </c>
      <c r="S1387" s="1" t="s">
        <v>171</v>
      </c>
      <c r="T1387" s="1" t="s">
        <v>1479</v>
      </c>
      <c r="U1387" s="1">
        <v>70506</v>
      </c>
      <c r="V1387" s="9">
        <v>42100</v>
      </c>
      <c r="W1387" s="13" t="str">
        <f>TEXT(Table1[[#This Row],[Order Date]],"mmmm")</f>
        <v>April</v>
      </c>
      <c r="X1387" s="7" t="str">
        <f>TEXT(Table1[[#This Row],[Order Date]],"yyyy")</f>
        <v>2015</v>
      </c>
      <c r="Y1387" s="9">
        <v>42102</v>
      </c>
      <c r="Z1387" s="1">
        <v>-188.03399999999999</v>
      </c>
      <c r="AA1387" s="1">
        <v>14</v>
      </c>
      <c r="AB1387" s="1">
        <v>79.61</v>
      </c>
      <c r="AC1387" s="1">
        <v>91000</v>
      </c>
      <c r="AD1387" s="6" t="str">
        <f>IF(COUNTIF(Returns!$A$2:$A$1635,Orders!AC1387)&gt;0,"Returned","Not Returned")</f>
        <v>Not Returned</v>
      </c>
    </row>
    <row r="1388" spans="1:30" ht="12.75" customHeight="1" thickTop="1" thickBot="1" x14ac:dyDescent="0.25">
      <c r="A1388" s="10">
        <v>24568</v>
      </c>
      <c r="B1388" s="11" t="s">
        <v>56</v>
      </c>
      <c r="C1388" s="11">
        <v>0.05</v>
      </c>
      <c r="D1388" s="11">
        <v>6.48</v>
      </c>
      <c r="E1388" s="11">
        <v>7.91</v>
      </c>
      <c r="F1388" s="11">
        <v>2484</v>
      </c>
      <c r="G1388" s="6" t="str">
        <f>IF(COUNTIF(Table1[Customer ID],Table1[[#This Row],[Customer ID]])&gt;1,"Repeat Customer","One-Time Customer")</f>
        <v>Repeat Customer</v>
      </c>
      <c r="H1388" s="11" t="s">
        <v>2328</v>
      </c>
      <c r="I1388" s="11" t="s">
        <v>49</v>
      </c>
      <c r="J1388" s="11" t="s">
        <v>28</v>
      </c>
      <c r="K1388" s="11" t="s">
        <v>29</v>
      </c>
      <c r="L1388" s="11" t="s">
        <v>93</v>
      </c>
      <c r="M1388" s="11" t="s">
        <v>59</v>
      </c>
      <c r="N1388" s="11" t="s">
        <v>2254</v>
      </c>
      <c r="O1388" s="11">
        <v>0.37</v>
      </c>
      <c r="P1388" s="6">
        <f>Table1[[#This Row],[Profit]]/Table1[[#This Row],[Sales]]</f>
        <v>2.9286480589144466</v>
      </c>
      <c r="Q1388" s="11" t="s">
        <v>33</v>
      </c>
      <c r="R1388" s="11" t="s">
        <v>136</v>
      </c>
      <c r="S1388" s="11" t="s">
        <v>362</v>
      </c>
      <c r="T1388" s="11" t="s">
        <v>2329</v>
      </c>
      <c r="U1388" s="11">
        <v>33881</v>
      </c>
      <c r="V1388" s="12">
        <v>42076</v>
      </c>
      <c r="W1388" s="13" t="str">
        <f>TEXT(Table1[[#This Row],[Order Date]],"mmmm")</f>
        <v>March</v>
      </c>
      <c r="X1388" s="7" t="str">
        <f>TEXT(Table1[[#This Row],[Order Date]],"yyyy")</f>
        <v>2015</v>
      </c>
      <c r="Y1388" s="12">
        <v>42077</v>
      </c>
      <c r="Z1388" s="11">
        <v>322.12199999999996</v>
      </c>
      <c r="AA1388" s="11">
        <v>16</v>
      </c>
      <c r="AB1388" s="11">
        <v>109.99</v>
      </c>
      <c r="AC1388" s="11">
        <v>88998</v>
      </c>
      <c r="AD1388" s="6" t="str">
        <f>IF(COUNTIF(Returns!$A$2:$A$1635,Orders!AC1388)&gt;0,"Returned","Not Returned")</f>
        <v>Not Returned</v>
      </c>
    </row>
    <row r="1389" spans="1:30" ht="12.75" customHeight="1" thickTop="1" thickBot="1" x14ac:dyDescent="0.25">
      <c r="A1389" s="8">
        <v>24569</v>
      </c>
      <c r="B1389" s="1" t="s">
        <v>56</v>
      </c>
      <c r="C1389" s="1">
        <v>0.03</v>
      </c>
      <c r="D1389" s="1">
        <v>111.03</v>
      </c>
      <c r="E1389" s="1">
        <v>8.64</v>
      </c>
      <c r="F1389" s="1">
        <v>2484</v>
      </c>
      <c r="G1389" s="6" t="str">
        <f>IF(COUNTIF(Table1[Customer ID],Table1[[#This Row],[Customer ID]])&gt;1,"Repeat Customer","One-Time Customer")</f>
        <v>Repeat Customer</v>
      </c>
      <c r="H1389" s="1" t="s">
        <v>2328</v>
      </c>
      <c r="I1389" s="1" t="s">
        <v>49</v>
      </c>
      <c r="J1389" s="1" t="s">
        <v>28</v>
      </c>
      <c r="K1389" s="1" t="s">
        <v>29</v>
      </c>
      <c r="L1389" s="1" t="s">
        <v>141</v>
      </c>
      <c r="M1389" s="1" t="s">
        <v>59</v>
      </c>
      <c r="N1389" s="1" t="s">
        <v>2330</v>
      </c>
      <c r="O1389" s="1">
        <v>0.78</v>
      </c>
      <c r="P1389" s="6">
        <f>Table1[[#This Row],[Profit]]/Table1[[#This Row],[Sales]]</f>
        <v>0.40721237168377544</v>
      </c>
      <c r="Q1389" s="1" t="s">
        <v>33</v>
      </c>
      <c r="R1389" s="1" t="s">
        <v>136</v>
      </c>
      <c r="S1389" s="1" t="s">
        <v>362</v>
      </c>
      <c r="T1389" s="1" t="s">
        <v>2329</v>
      </c>
      <c r="U1389" s="1">
        <v>33881</v>
      </c>
      <c r="V1389" s="9">
        <v>42076</v>
      </c>
      <c r="W1389" s="13" t="str">
        <f>TEXT(Table1[[#This Row],[Order Date]],"mmmm")</f>
        <v>March</v>
      </c>
      <c r="X1389" s="7" t="str">
        <f>TEXT(Table1[[#This Row],[Order Date]],"yyyy")</f>
        <v>2015</v>
      </c>
      <c r="Y1389" s="9">
        <v>42077</v>
      </c>
      <c r="Z1389" s="1">
        <v>366.53999999999996</v>
      </c>
      <c r="AA1389" s="1">
        <v>8</v>
      </c>
      <c r="AB1389" s="1">
        <v>900.12</v>
      </c>
      <c r="AC1389" s="1">
        <v>88998</v>
      </c>
      <c r="AD1389" s="6" t="str">
        <f>IF(COUNTIF(Returns!$A$2:$A$1635,Orders!AC1389)&gt;0,"Returned","Not Returned")</f>
        <v>Not Returned</v>
      </c>
    </row>
    <row r="1390" spans="1:30" ht="12.75" customHeight="1" thickTop="1" thickBot="1" x14ac:dyDescent="0.25">
      <c r="A1390" s="10">
        <v>22028</v>
      </c>
      <c r="B1390" s="11" t="s">
        <v>25</v>
      </c>
      <c r="C1390" s="11">
        <v>0.02</v>
      </c>
      <c r="D1390" s="11">
        <v>71.37</v>
      </c>
      <c r="E1390" s="11">
        <v>69</v>
      </c>
      <c r="F1390" s="11">
        <v>2486</v>
      </c>
      <c r="G1390" s="6" t="str">
        <f>IF(COUNTIF(Table1[Customer ID],Table1[[#This Row],[Customer ID]])&gt;1,"Repeat Customer","One-Time Customer")</f>
        <v>Repeat Customer</v>
      </c>
      <c r="H1390" s="11" t="s">
        <v>2331</v>
      </c>
      <c r="I1390" s="11" t="s">
        <v>49</v>
      </c>
      <c r="J1390" s="11" t="s">
        <v>58</v>
      </c>
      <c r="K1390" s="11" t="s">
        <v>41</v>
      </c>
      <c r="L1390" s="11" t="s">
        <v>152</v>
      </c>
      <c r="M1390" s="11" t="s">
        <v>236</v>
      </c>
      <c r="N1390" s="11" t="s">
        <v>2221</v>
      </c>
      <c r="O1390" s="11">
        <v>0.68</v>
      </c>
      <c r="P1390" s="6">
        <f>Table1[[#This Row],[Profit]]/Table1[[#This Row],[Sales]]</f>
        <v>-1.8513088123895296</v>
      </c>
      <c r="Q1390" s="11" t="s">
        <v>33</v>
      </c>
      <c r="R1390" s="11" t="s">
        <v>136</v>
      </c>
      <c r="S1390" s="11" t="s">
        <v>387</v>
      </c>
      <c r="T1390" s="11" t="s">
        <v>2332</v>
      </c>
      <c r="U1390" s="11">
        <v>30458</v>
      </c>
      <c r="V1390" s="12">
        <v>42041</v>
      </c>
      <c r="W1390" s="13" t="str">
        <f>TEXT(Table1[[#This Row],[Order Date]],"mmmm")</f>
        <v>February</v>
      </c>
      <c r="X1390" s="7" t="str">
        <f>TEXT(Table1[[#This Row],[Order Date]],"yyyy")</f>
        <v>2015</v>
      </c>
      <c r="Y1390" s="12">
        <v>42042</v>
      </c>
      <c r="Z1390" s="11">
        <v>-439.90800000000002</v>
      </c>
      <c r="AA1390" s="11">
        <v>4</v>
      </c>
      <c r="AB1390" s="11">
        <v>237.62</v>
      </c>
      <c r="AC1390" s="11">
        <v>91414</v>
      </c>
      <c r="AD1390" s="6" t="str">
        <f>IF(COUNTIF(Returns!$A$2:$A$1635,Orders!AC1390)&gt;0,"Returned","Not Returned")</f>
        <v>Not Returned</v>
      </c>
    </row>
    <row r="1391" spans="1:30" ht="12.75" customHeight="1" thickTop="1" thickBot="1" x14ac:dyDescent="0.25">
      <c r="A1391" s="8">
        <v>22029</v>
      </c>
      <c r="B1391" s="1" t="s">
        <v>25</v>
      </c>
      <c r="C1391" s="1">
        <v>0.03</v>
      </c>
      <c r="D1391" s="1">
        <v>205.99</v>
      </c>
      <c r="E1391" s="1">
        <v>8.99</v>
      </c>
      <c r="F1391" s="1">
        <v>2486</v>
      </c>
      <c r="G1391" s="6" t="str">
        <f>IF(COUNTIF(Table1[Customer ID],Table1[[#This Row],[Customer ID]])&gt;1,"Repeat Customer","One-Time Customer")</f>
        <v>Repeat Customer</v>
      </c>
      <c r="H1391" s="1" t="s">
        <v>2331</v>
      </c>
      <c r="I1391" s="1" t="s">
        <v>27</v>
      </c>
      <c r="J1391" s="1" t="s">
        <v>58</v>
      </c>
      <c r="K1391" s="1" t="s">
        <v>77</v>
      </c>
      <c r="L1391" s="1" t="s">
        <v>78</v>
      </c>
      <c r="M1391" s="1" t="s">
        <v>59</v>
      </c>
      <c r="N1391" s="1" t="s">
        <v>1542</v>
      </c>
      <c r="O1391" s="1">
        <v>0.6</v>
      </c>
      <c r="P1391" s="6">
        <f>Table1[[#This Row],[Profit]]/Table1[[#This Row],[Sales]]</f>
        <v>6.1654914408797188</v>
      </c>
      <c r="Q1391" s="1" t="s">
        <v>33</v>
      </c>
      <c r="R1391" s="1" t="s">
        <v>136</v>
      </c>
      <c r="S1391" s="1" t="s">
        <v>387</v>
      </c>
      <c r="T1391" s="1" t="s">
        <v>2332</v>
      </c>
      <c r="U1391" s="1">
        <v>30458</v>
      </c>
      <c r="V1391" s="9">
        <v>42041</v>
      </c>
      <c r="W1391" s="13" t="str">
        <f>TEXT(Table1[[#This Row],[Order Date]],"mmmm")</f>
        <v>February</v>
      </c>
      <c r="X1391" s="7" t="str">
        <f>TEXT(Table1[[#This Row],[Order Date]],"yyyy")</f>
        <v>2015</v>
      </c>
      <c r="Y1391" s="9">
        <v>42043</v>
      </c>
      <c r="Z1391" s="1">
        <v>1087.7159999999999</v>
      </c>
      <c r="AA1391" s="1">
        <v>1</v>
      </c>
      <c r="AB1391" s="1">
        <v>176.42</v>
      </c>
      <c r="AC1391" s="1">
        <v>91414</v>
      </c>
      <c r="AD1391" s="6" t="str">
        <f>IF(COUNTIF(Returns!$A$2:$A$1635,Orders!AC1391)&gt;0,"Returned","Not Returned")</f>
        <v>Not Returned</v>
      </c>
    </row>
    <row r="1392" spans="1:30" ht="12.75" customHeight="1" thickTop="1" thickBot="1" x14ac:dyDescent="0.25">
      <c r="A1392" s="10">
        <v>23495</v>
      </c>
      <c r="B1392" s="11" t="s">
        <v>106</v>
      </c>
      <c r="C1392" s="11">
        <v>0</v>
      </c>
      <c r="D1392" s="11">
        <v>180.98</v>
      </c>
      <c r="E1392" s="11">
        <v>30</v>
      </c>
      <c r="F1392" s="11">
        <v>2486</v>
      </c>
      <c r="G1392" s="6" t="str">
        <f>IF(COUNTIF(Table1[Customer ID],Table1[[#This Row],[Customer ID]])&gt;1,"Repeat Customer","One-Time Customer")</f>
        <v>Repeat Customer</v>
      </c>
      <c r="H1392" s="11" t="s">
        <v>2331</v>
      </c>
      <c r="I1392" s="11" t="s">
        <v>39</v>
      </c>
      <c r="J1392" s="11" t="s">
        <v>58</v>
      </c>
      <c r="K1392" s="11" t="s">
        <v>41</v>
      </c>
      <c r="L1392" s="11" t="s">
        <v>42</v>
      </c>
      <c r="M1392" s="11" t="s">
        <v>43</v>
      </c>
      <c r="N1392" s="11" t="s">
        <v>1886</v>
      </c>
      <c r="O1392" s="11">
        <v>0.69</v>
      </c>
      <c r="P1392" s="6">
        <f>Table1[[#This Row],[Profit]]/Table1[[#This Row],[Sales]]</f>
        <v>4.4161676646706591E-3</v>
      </c>
      <c r="Q1392" s="11" t="s">
        <v>33</v>
      </c>
      <c r="R1392" s="11" t="s">
        <v>136</v>
      </c>
      <c r="S1392" s="11" t="s">
        <v>387</v>
      </c>
      <c r="T1392" s="11" t="s">
        <v>2332</v>
      </c>
      <c r="U1392" s="11">
        <v>30458</v>
      </c>
      <c r="V1392" s="12">
        <v>42038</v>
      </c>
      <c r="W1392" s="13" t="str">
        <f>TEXT(Table1[[#This Row],[Order Date]],"mmmm")</f>
        <v>February</v>
      </c>
      <c r="X1392" s="7" t="str">
        <f>TEXT(Table1[[#This Row],[Order Date]],"yyyy")</f>
        <v>2015</v>
      </c>
      <c r="Y1392" s="12">
        <v>42040</v>
      </c>
      <c r="Z1392" s="11">
        <v>9.2040000000000006</v>
      </c>
      <c r="AA1392" s="11">
        <v>11</v>
      </c>
      <c r="AB1392" s="11">
        <v>2084.16</v>
      </c>
      <c r="AC1392" s="11">
        <v>91416</v>
      </c>
      <c r="AD1392" s="6" t="str">
        <f>IF(COUNTIF(Returns!$A$2:$A$1635,Orders!AC1392)&gt;0,"Returned","Not Returned")</f>
        <v>Not Returned</v>
      </c>
    </row>
    <row r="1393" spans="1:30" ht="12.75" customHeight="1" thickTop="1" thickBot="1" x14ac:dyDescent="0.25">
      <c r="A1393" s="8">
        <v>23983</v>
      </c>
      <c r="B1393" s="1" t="s">
        <v>37</v>
      </c>
      <c r="C1393" s="1">
        <v>0.04</v>
      </c>
      <c r="D1393" s="1">
        <v>3.08</v>
      </c>
      <c r="E1393" s="1">
        <v>0.99</v>
      </c>
      <c r="F1393" s="1">
        <v>2487</v>
      </c>
      <c r="G1393" s="6" t="str">
        <f>IF(COUNTIF(Table1[Customer ID],Table1[[#This Row],[Customer ID]])&gt;1,"Repeat Customer","One-Time Customer")</f>
        <v>Repeat Customer</v>
      </c>
      <c r="H1393" s="1" t="s">
        <v>2333</v>
      </c>
      <c r="I1393" s="1" t="s">
        <v>49</v>
      </c>
      <c r="J1393" s="1" t="s">
        <v>58</v>
      </c>
      <c r="K1393" s="1" t="s">
        <v>29</v>
      </c>
      <c r="L1393" s="1" t="s">
        <v>134</v>
      </c>
      <c r="M1393" s="1" t="s">
        <v>59</v>
      </c>
      <c r="N1393" s="1" t="s">
        <v>1994</v>
      </c>
      <c r="O1393" s="1">
        <v>0.37</v>
      </c>
      <c r="P1393" s="6">
        <f>Table1[[#This Row],[Profit]]/Table1[[#This Row],[Sales]]</f>
        <v>5.9222114720110577</v>
      </c>
      <c r="Q1393" s="1" t="s">
        <v>33</v>
      </c>
      <c r="R1393" s="1" t="s">
        <v>136</v>
      </c>
      <c r="S1393" s="1" t="s">
        <v>387</v>
      </c>
      <c r="T1393" s="1" t="s">
        <v>2334</v>
      </c>
      <c r="U1393" s="1">
        <v>30084</v>
      </c>
      <c r="V1393" s="9">
        <v>42175</v>
      </c>
      <c r="W1393" s="13" t="str">
        <f>TEXT(Table1[[#This Row],[Order Date]],"mmmm")</f>
        <v>June</v>
      </c>
      <c r="X1393" s="7" t="str">
        <f>TEXT(Table1[[#This Row],[Order Date]],"yyyy")</f>
        <v>2015</v>
      </c>
      <c r="Y1393" s="9">
        <v>42176</v>
      </c>
      <c r="Z1393" s="1">
        <v>257.08319999999998</v>
      </c>
      <c r="AA1393" s="1">
        <v>14</v>
      </c>
      <c r="AB1393" s="1">
        <v>43.41</v>
      </c>
      <c r="AC1393" s="1">
        <v>91415</v>
      </c>
      <c r="AD1393" s="6" t="str">
        <f>IF(COUNTIF(Returns!$A$2:$A$1635,Orders!AC1393)&gt;0,"Returned","Not Returned")</f>
        <v>Not Returned</v>
      </c>
    </row>
    <row r="1394" spans="1:30" ht="12.75" customHeight="1" thickTop="1" thickBot="1" x14ac:dyDescent="0.25">
      <c r="A1394" s="10">
        <v>23984</v>
      </c>
      <c r="B1394" s="11" t="s">
        <v>37</v>
      </c>
      <c r="C1394" s="11">
        <v>0.1</v>
      </c>
      <c r="D1394" s="11">
        <v>2.78</v>
      </c>
      <c r="E1394" s="11">
        <v>1.25</v>
      </c>
      <c r="F1394" s="11">
        <v>2487</v>
      </c>
      <c r="G1394" s="6" t="str">
        <f>IF(COUNTIF(Table1[Customer ID],Table1[[#This Row],[Customer ID]])&gt;1,"Repeat Customer","One-Time Customer")</f>
        <v>Repeat Customer</v>
      </c>
      <c r="H1394" s="11" t="s">
        <v>2333</v>
      </c>
      <c r="I1394" s="11" t="s">
        <v>49</v>
      </c>
      <c r="J1394" s="11" t="s">
        <v>58</v>
      </c>
      <c r="K1394" s="11" t="s">
        <v>29</v>
      </c>
      <c r="L1394" s="11" t="s">
        <v>30</v>
      </c>
      <c r="M1394" s="11" t="s">
        <v>31</v>
      </c>
      <c r="N1394" s="11" t="s">
        <v>2206</v>
      </c>
      <c r="O1394" s="11">
        <v>0.59</v>
      </c>
      <c r="P1394" s="6">
        <f>Table1[[#This Row],[Profit]]/Table1[[#This Row],[Sales]]</f>
        <v>1.6919431279620853E-2</v>
      </c>
      <c r="Q1394" s="11" t="s">
        <v>33</v>
      </c>
      <c r="R1394" s="11" t="s">
        <v>136</v>
      </c>
      <c r="S1394" s="11" t="s">
        <v>387</v>
      </c>
      <c r="T1394" s="11" t="s">
        <v>2334</v>
      </c>
      <c r="U1394" s="11">
        <v>30084</v>
      </c>
      <c r="V1394" s="12">
        <v>42175</v>
      </c>
      <c r="W1394" s="13" t="str">
        <f>TEXT(Table1[[#This Row],[Order Date]],"mmmm")</f>
        <v>June</v>
      </c>
      <c r="X1394" s="7" t="str">
        <f>TEXT(Table1[[#This Row],[Order Date]],"yyyy")</f>
        <v>2015</v>
      </c>
      <c r="Y1394" s="12">
        <v>42176</v>
      </c>
      <c r="Z1394" s="11">
        <v>0.7854000000000001</v>
      </c>
      <c r="AA1394" s="11">
        <v>18</v>
      </c>
      <c r="AB1394" s="11">
        <v>46.42</v>
      </c>
      <c r="AC1394" s="11">
        <v>91415</v>
      </c>
      <c r="AD1394" s="6" t="str">
        <f>IF(COUNTIF(Returns!$A$2:$A$1635,Orders!AC1394)&gt;0,"Returned","Not Returned")</f>
        <v>Not Returned</v>
      </c>
    </row>
    <row r="1395" spans="1:30" ht="12.75" customHeight="1" thickTop="1" thickBot="1" x14ac:dyDescent="0.25">
      <c r="A1395" s="8">
        <v>24476</v>
      </c>
      <c r="B1395" s="1" t="s">
        <v>37</v>
      </c>
      <c r="C1395" s="1">
        <v>0.02</v>
      </c>
      <c r="D1395" s="1">
        <v>136.97999999999999</v>
      </c>
      <c r="E1395" s="1">
        <v>24.49</v>
      </c>
      <c r="F1395" s="1">
        <v>2487</v>
      </c>
      <c r="G1395" s="6" t="str">
        <f>IF(COUNTIF(Table1[Customer ID],Table1[[#This Row],[Customer ID]])&gt;1,"Repeat Customer","One-Time Customer")</f>
        <v>Repeat Customer</v>
      </c>
      <c r="H1395" s="1" t="s">
        <v>2333</v>
      </c>
      <c r="I1395" s="1" t="s">
        <v>27</v>
      </c>
      <c r="J1395" s="1" t="s">
        <v>58</v>
      </c>
      <c r="K1395" s="1" t="s">
        <v>41</v>
      </c>
      <c r="L1395" s="1" t="s">
        <v>50</v>
      </c>
      <c r="M1395" s="1" t="s">
        <v>236</v>
      </c>
      <c r="N1395" s="1" t="s">
        <v>1648</v>
      </c>
      <c r="O1395" s="1">
        <v>0.59</v>
      </c>
      <c r="P1395" s="6">
        <f>Table1[[#This Row],[Profit]]/Table1[[#This Row],[Sales]]</f>
        <v>7.7619527586660242E-2</v>
      </c>
      <c r="Q1395" s="1" t="s">
        <v>33</v>
      </c>
      <c r="R1395" s="1" t="s">
        <v>136</v>
      </c>
      <c r="S1395" s="1" t="s">
        <v>387</v>
      </c>
      <c r="T1395" s="1" t="s">
        <v>2334</v>
      </c>
      <c r="U1395" s="1">
        <v>30084</v>
      </c>
      <c r="V1395" s="9">
        <v>42157</v>
      </c>
      <c r="W1395" s="13" t="str">
        <f>TEXT(Table1[[#This Row],[Order Date]],"mmmm")</f>
        <v>June</v>
      </c>
      <c r="X1395" s="7" t="str">
        <f>TEXT(Table1[[#This Row],[Order Date]],"yyyy")</f>
        <v>2015</v>
      </c>
      <c r="Y1395" s="9">
        <v>42158</v>
      </c>
      <c r="Z1395" s="1">
        <v>88.56</v>
      </c>
      <c r="AA1395" s="1">
        <v>8</v>
      </c>
      <c r="AB1395" s="1">
        <v>1140.95</v>
      </c>
      <c r="AC1395" s="1">
        <v>91417</v>
      </c>
      <c r="AD1395" s="6" t="str">
        <f>IF(COUNTIF(Returns!$A$2:$A$1635,Orders!AC1395)&gt;0,"Returned","Not Returned")</f>
        <v>Not Returned</v>
      </c>
    </row>
    <row r="1396" spans="1:30" ht="12.75" customHeight="1" thickTop="1" thickBot="1" x14ac:dyDescent="0.25">
      <c r="A1396" s="10">
        <v>20065</v>
      </c>
      <c r="B1396" s="11" t="s">
        <v>25</v>
      </c>
      <c r="C1396" s="11">
        <v>0.08</v>
      </c>
      <c r="D1396" s="11">
        <v>4.91</v>
      </c>
      <c r="E1396" s="11">
        <v>0.5</v>
      </c>
      <c r="F1396" s="11">
        <v>2488</v>
      </c>
      <c r="G1396" s="6" t="str">
        <f>IF(COUNTIF(Table1[Customer ID],Table1[[#This Row],[Customer ID]])&gt;1,"Repeat Customer","One-Time Customer")</f>
        <v>Repeat Customer</v>
      </c>
      <c r="H1396" s="11" t="s">
        <v>2335</v>
      </c>
      <c r="I1396" s="11" t="s">
        <v>49</v>
      </c>
      <c r="J1396" s="11" t="s">
        <v>114</v>
      </c>
      <c r="K1396" s="11" t="s">
        <v>29</v>
      </c>
      <c r="L1396" s="11" t="s">
        <v>134</v>
      </c>
      <c r="M1396" s="11" t="s">
        <v>59</v>
      </c>
      <c r="N1396" s="11" t="s">
        <v>163</v>
      </c>
      <c r="O1396" s="11">
        <v>0.36</v>
      </c>
      <c r="P1396" s="6">
        <f>Table1[[#This Row],[Profit]]/Table1[[#This Row],[Sales]]</f>
        <v>0.29810260014054818</v>
      </c>
      <c r="Q1396" s="11" t="s">
        <v>33</v>
      </c>
      <c r="R1396" s="11" t="s">
        <v>136</v>
      </c>
      <c r="S1396" s="11" t="s">
        <v>958</v>
      </c>
      <c r="T1396" s="11" t="s">
        <v>2336</v>
      </c>
      <c r="U1396" s="11">
        <v>72023</v>
      </c>
      <c r="V1396" s="12">
        <v>42103</v>
      </c>
      <c r="W1396" s="13" t="str">
        <f>TEXT(Table1[[#This Row],[Order Date]],"mmmm")</f>
        <v>April</v>
      </c>
      <c r="X1396" s="7" t="str">
        <f>TEXT(Table1[[#This Row],[Order Date]],"yyyy")</f>
        <v>2015</v>
      </c>
      <c r="Y1396" s="12">
        <v>42103</v>
      </c>
      <c r="Z1396" s="11">
        <v>12.726000000000001</v>
      </c>
      <c r="AA1396" s="11">
        <v>9</v>
      </c>
      <c r="AB1396" s="11">
        <v>42.69</v>
      </c>
      <c r="AC1396" s="11">
        <v>86887</v>
      </c>
      <c r="AD1396" s="6" t="str">
        <f>IF(COUNTIF(Returns!$A$2:$A$1635,Orders!AC1396)&gt;0,"Returned","Not Returned")</f>
        <v>Not Returned</v>
      </c>
    </row>
    <row r="1397" spans="1:30" ht="12.75" customHeight="1" thickTop="1" thickBot="1" x14ac:dyDescent="0.25">
      <c r="A1397" s="8">
        <v>20066</v>
      </c>
      <c r="B1397" s="1" t="s">
        <v>25</v>
      </c>
      <c r="C1397" s="1">
        <v>0.02</v>
      </c>
      <c r="D1397" s="1">
        <v>28.15</v>
      </c>
      <c r="E1397" s="1">
        <v>6.17</v>
      </c>
      <c r="F1397" s="1">
        <v>2488</v>
      </c>
      <c r="G1397" s="6" t="str">
        <f>IF(COUNTIF(Table1[Customer ID],Table1[[#This Row],[Customer ID]])&gt;1,"Repeat Customer","One-Time Customer")</f>
        <v>Repeat Customer</v>
      </c>
      <c r="H1397" s="1" t="s">
        <v>2335</v>
      </c>
      <c r="I1397" s="1" t="s">
        <v>49</v>
      </c>
      <c r="J1397" s="1" t="s">
        <v>114</v>
      </c>
      <c r="K1397" s="1" t="s">
        <v>29</v>
      </c>
      <c r="L1397" s="1" t="s">
        <v>30</v>
      </c>
      <c r="M1397" s="1" t="s">
        <v>51</v>
      </c>
      <c r="N1397" s="1" t="s">
        <v>2337</v>
      </c>
      <c r="O1397" s="1">
        <v>0.55000000000000004</v>
      </c>
      <c r="P1397" s="6">
        <f>Table1[[#This Row],[Profit]]/Table1[[#This Row],[Sales]]</f>
        <v>0.49114749091353344</v>
      </c>
      <c r="Q1397" s="1" t="s">
        <v>33</v>
      </c>
      <c r="R1397" s="1" t="s">
        <v>136</v>
      </c>
      <c r="S1397" s="1" t="s">
        <v>958</v>
      </c>
      <c r="T1397" s="1" t="s">
        <v>2336</v>
      </c>
      <c r="U1397" s="1">
        <v>72023</v>
      </c>
      <c r="V1397" s="9">
        <v>42103</v>
      </c>
      <c r="W1397" s="13" t="str">
        <f>TEXT(Table1[[#This Row],[Order Date]],"mmmm")</f>
        <v>April</v>
      </c>
      <c r="X1397" s="7" t="str">
        <f>TEXT(Table1[[#This Row],[Order Date]],"yyyy")</f>
        <v>2015</v>
      </c>
      <c r="Y1397" s="9">
        <v>42104</v>
      </c>
      <c r="Z1397" s="1">
        <v>160.8066</v>
      </c>
      <c r="AA1397" s="1">
        <v>11</v>
      </c>
      <c r="AB1397" s="1">
        <v>327.41000000000003</v>
      </c>
      <c r="AC1397" s="1">
        <v>86887</v>
      </c>
      <c r="AD1397" s="6" t="str">
        <f>IF(COUNTIF(Returns!$A$2:$A$1635,Orders!AC1397)&gt;0,"Returned","Not Returned")</f>
        <v>Not Returned</v>
      </c>
    </row>
    <row r="1398" spans="1:30" ht="12.75" customHeight="1" thickTop="1" thickBot="1" x14ac:dyDescent="0.25">
      <c r="A1398" s="10">
        <v>20602</v>
      </c>
      <c r="B1398" s="11" t="s">
        <v>25</v>
      </c>
      <c r="C1398" s="11">
        <v>0.01</v>
      </c>
      <c r="D1398" s="11">
        <v>2036.48</v>
      </c>
      <c r="E1398" s="11">
        <v>14.7</v>
      </c>
      <c r="F1398" s="11">
        <v>2489</v>
      </c>
      <c r="G1398" s="6" t="str">
        <f>IF(COUNTIF(Table1[Customer ID],Table1[[#This Row],[Customer ID]])&gt;1,"Repeat Customer","One-Time Customer")</f>
        <v>Repeat Customer</v>
      </c>
      <c r="H1398" s="11" t="s">
        <v>2338</v>
      </c>
      <c r="I1398" s="11" t="s">
        <v>39</v>
      </c>
      <c r="J1398" s="11" t="s">
        <v>114</v>
      </c>
      <c r="K1398" s="11" t="s">
        <v>77</v>
      </c>
      <c r="L1398" s="11" t="s">
        <v>85</v>
      </c>
      <c r="M1398" s="11" t="s">
        <v>43</v>
      </c>
      <c r="N1398" s="11" t="s">
        <v>633</v>
      </c>
      <c r="O1398" s="11">
        <v>0.55000000000000004</v>
      </c>
      <c r="P1398" s="6">
        <f>Table1[[#This Row],[Profit]]/Table1[[#This Row],[Sales]]</f>
        <v>-0.42165652628576855</v>
      </c>
      <c r="Q1398" s="11" t="s">
        <v>33</v>
      </c>
      <c r="R1398" s="11" t="s">
        <v>34</v>
      </c>
      <c r="S1398" s="11" t="s">
        <v>45</v>
      </c>
      <c r="T1398" s="11" t="s">
        <v>695</v>
      </c>
      <c r="U1398" s="11">
        <v>94521</v>
      </c>
      <c r="V1398" s="12">
        <v>42046</v>
      </c>
      <c r="W1398" s="13" t="str">
        <f>TEXT(Table1[[#This Row],[Order Date]],"mmmm")</f>
        <v>February</v>
      </c>
      <c r="X1398" s="7" t="str">
        <f>TEXT(Table1[[#This Row],[Order Date]],"yyyy")</f>
        <v>2015</v>
      </c>
      <c r="Y1398" s="12">
        <v>42048</v>
      </c>
      <c r="Z1398" s="11">
        <v>-1596.7457999999999</v>
      </c>
      <c r="AA1398" s="11">
        <v>2</v>
      </c>
      <c r="AB1398" s="11">
        <v>3786.84</v>
      </c>
      <c r="AC1398" s="11">
        <v>86883</v>
      </c>
      <c r="AD1398" s="6" t="str">
        <f>IF(COUNTIF(Returns!$A$2:$A$1635,Orders!AC1398)&gt;0,"Returned","Not Returned")</f>
        <v>Not Returned</v>
      </c>
    </row>
    <row r="1399" spans="1:30" ht="12.75" customHeight="1" thickTop="1" thickBot="1" x14ac:dyDescent="0.25">
      <c r="A1399" s="8">
        <v>21212</v>
      </c>
      <c r="B1399" s="1" t="s">
        <v>56</v>
      </c>
      <c r="C1399" s="1">
        <v>0.04</v>
      </c>
      <c r="D1399" s="1">
        <v>419.19</v>
      </c>
      <c r="E1399" s="1">
        <v>19.989999999999998</v>
      </c>
      <c r="F1399" s="1">
        <v>2489</v>
      </c>
      <c r="G1399" s="6" t="str">
        <f>IF(COUNTIF(Table1[Customer ID],Table1[[#This Row],[Customer ID]])&gt;1,"Repeat Customer","One-Time Customer")</f>
        <v>Repeat Customer</v>
      </c>
      <c r="H1399" s="1" t="s">
        <v>2338</v>
      </c>
      <c r="I1399" s="1" t="s">
        <v>49</v>
      </c>
      <c r="J1399" s="1" t="s">
        <v>40</v>
      </c>
      <c r="K1399" s="1" t="s">
        <v>29</v>
      </c>
      <c r="L1399" s="1" t="s">
        <v>141</v>
      </c>
      <c r="M1399" s="1" t="s">
        <v>59</v>
      </c>
      <c r="N1399" s="1" t="s">
        <v>741</v>
      </c>
      <c r="O1399" s="1">
        <v>0.57999999999999996</v>
      </c>
      <c r="P1399" s="6">
        <f>Table1[[#This Row],[Profit]]/Table1[[#This Row],[Sales]]</f>
        <v>0.69</v>
      </c>
      <c r="Q1399" s="1" t="s">
        <v>33</v>
      </c>
      <c r="R1399" s="1" t="s">
        <v>34</v>
      </c>
      <c r="S1399" s="1" t="s">
        <v>45</v>
      </c>
      <c r="T1399" s="1" t="s">
        <v>695</v>
      </c>
      <c r="U1399" s="1">
        <v>94521</v>
      </c>
      <c r="V1399" s="9">
        <v>42120</v>
      </c>
      <c r="W1399" s="13" t="str">
        <f>TEXT(Table1[[#This Row],[Order Date]],"mmmm")</f>
        <v>April</v>
      </c>
      <c r="X1399" s="7" t="str">
        <f>TEXT(Table1[[#This Row],[Order Date]],"yyyy")</f>
        <v>2015</v>
      </c>
      <c r="Y1399" s="9">
        <v>42121</v>
      </c>
      <c r="Z1399" s="1">
        <v>1388.3558999999998</v>
      </c>
      <c r="AA1399" s="1">
        <v>5</v>
      </c>
      <c r="AB1399" s="1">
        <v>2012.11</v>
      </c>
      <c r="AC1399" s="1">
        <v>86885</v>
      </c>
      <c r="AD1399" s="6" t="str">
        <f>IF(COUNTIF(Returns!$A$2:$A$1635,Orders!AC1399)&gt;0,"Returned","Not Returned")</f>
        <v>Not Returned</v>
      </c>
    </row>
    <row r="1400" spans="1:30" ht="12.75" customHeight="1" thickTop="1" thickBot="1" x14ac:dyDescent="0.25">
      <c r="A1400" s="10">
        <v>21338</v>
      </c>
      <c r="B1400" s="11" t="s">
        <v>37</v>
      </c>
      <c r="C1400" s="11">
        <v>7.0000000000000007E-2</v>
      </c>
      <c r="D1400" s="11">
        <v>65.989999999999995</v>
      </c>
      <c r="E1400" s="11">
        <v>8.8000000000000007</v>
      </c>
      <c r="F1400" s="11">
        <v>2489</v>
      </c>
      <c r="G1400" s="6" t="str">
        <f>IF(COUNTIF(Table1[Customer ID],Table1[[#This Row],[Customer ID]])&gt;1,"Repeat Customer","One-Time Customer")</f>
        <v>Repeat Customer</v>
      </c>
      <c r="H1400" s="11" t="s">
        <v>2338</v>
      </c>
      <c r="I1400" s="11" t="s">
        <v>49</v>
      </c>
      <c r="J1400" s="11" t="s">
        <v>40</v>
      </c>
      <c r="K1400" s="11" t="s">
        <v>77</v>
      </c>
      <c r="L1400" s="11" t="s">
        <v>78</v>
      </c>
      <c r="M1400" s="11" t="s">
        <v>59</v>
      </c>
      <c r="N1400" s="11" t="s">
        <v>751</v>
      </c>
      <c r="O1400" s="11">
        <v>0.57999999999999996</v>
      </c>
      <c r="P1400" s="6">
        <f>Table1[[#This Row],[Profit]]/Table1[[#This Row],[Sales]]</f>
        <v>0.23287113598778783</v>
      </c>
      <c r="Q1400" s="11" t="s">
        <v>33</v>
      </c>
      <c r="R1400" s="11" t="s">
        <v>34</v>
      </c>
      <c r="S1400" s="11" t="s">
        <v>45</v>
      </c>
      <c r="T1400" s="11" t="s">
        <v>695</v>
      </c>
      <c r="U1400" s="11">
        <v>94521</v>
      </c>
      <c r="V1400" s="12">
        <v>42016</v>
      </c>
      <c r="W1400" s="13" t="str">
        <f>TEXT(Table1[[#This Row],[Order Date]],"mmmm")</f>
        <v>January</v>
      </c>
      <c r="X1400" s="7" t="str">
        <f>TEXT(Table1[[#This Row],[Order Date]],"yyyy")</f>
        <v>2015</v>
      </c>
      <c r="Y1400" s="12">
        <v>42016</v>
      </c>
      <c r="Z1400" s="11">
        <v>109.83600000000001</v>
      </c>
      <c r="AA1400" s="11">
        <v>9</v>
      </c>
      <c r="AB1400" s="11">
        <v>471.66</v>
      </c>
      <c r="AC1400" s="11">
        <v>86886</v>
      </c>
      <c r="AD1400" s="6" t="str">
        <f>IF(COUNTIF(Returns!$A$2:$A$1635,Orders!AC1400)&gt;0,"Returned","Not Returned")</f>
        <v>Not Returned</v>
      </c>
    </row>
    <row r="1401" spans="1:30" ht="12.75" customHeight="1" thickTop="1" thickBot="1" x14ac:dyDescent="0.25">
      <c r="A1401" s="8">
        <v>24856</v>
      </c>
      <c r="B1401" s="1" t="s">
        <v>47</v>
      </c>
      <c r="C1401" s="1">
        <v>0.09</v>
      </c>
      <c r="D1401" s="1">
        <v>348.21</v>
      </c>
      <c r="E1401" s="1">
        <v>40.19</v>
      </c>
      <c r="F1401" s="1">
        <v>2490</v>
      </c>
      <c r="G1401" s="6" t="str">
        <f>IF(COUNTIF(Table1[Customer ID],Table1[[#This Row],[Customer ID]])&gt;1,"Repeat Customer","One-Time Customer")</f>
        <v>Repeat Customer</v>
      </c>
      <c r="H1401" s="1" t="s">
        <v>2339</v>
      </c>
      <c r="I1401" s="1" t="s">
        <v>39</v>
      </c>
      <c r="J1401" s="1" t="s">
        <v>40</v>
      </c>
      <c r="K1401" s="1" t="s">
        <v>41</v>
      </c>
      <c r="L1401" s="1" t="s">
        <v>152</v>
      </c>
      <c r="M1401" s="1" t="s">
        <v>121</v>
      </c>
      <c r="N1401" s="1" t="s">
        <v>1572</v>
      </c>
      <c r="O1401" s="1">
        <v>0.62</v>
      </c>
      <c r="P1401" s="6">
        <f>Table1[[#This Row],[Profit]]/Table1[[#This Row],[Sales]]</f>
        <v>-0.14159625829812902</v>
      </c>
      <c r="Q1401" s="1" t="s">
        <v>33</v>
      </c>
      <c r="R1401" s="1" t="s">
        <v>34</v>
      </c>
      <c r="S1401" s="1" t="s">
        <v>45</v>
      </c>
      <c r="T1401" s="1" t="s">
        <v>2340</v>
      </c>
      <c r="U1401" s="1">
        <v>92627</v>
      </c>
      <c r="V1401" s="9">
        <v>42049</v>
      </c>
      <c r="W1401" s="13" t="str">
        <f>TEXT(Table1[[#This Row],[Order Date]],"mmmm")</f>
        <v>February</v>
      </c>
      <c r="X1401" s="7" t="str">
        <f>TEXT(Table1[[#This Row],[Order Date]],"yyyy")</f>
        <v>2015</v>
      </c>
      <c r="Y1401" s="9">
        <v>42051</v>
      </c>
      <c r="Z1401" s="1">
        <v>-93.849999999999909</v>
      </c>
      <c r="AA1401" s="1">
        <v>2</v>
      </c>
      <c r="AB1401" s="1">
        <v>662.8</v>
      </c>
      <c r="AC1401" s="1">
        <v>86884</v>
      </c>
      <c r="AD1401" s="6" t="str">
        <f>IF(COUNTIF(Returns!$A$2:$A$1635,Orders!AC1401)&gt;0,"Returned","Not Returned")</f>
        <v>Not Returned</v>
      </c>
    </row>
    <row r="1402" spans="1:30" ht="12.75" customHeight="1" thickTop="1" thickBot="1" x14ac:dyDescent="0.25">
      <c r="A1402" s="10">
        <v>21339</v>
      </c>
      <c r="B1402" s="11" t="s">
        <v>37</v>
      </c>
      <c r="C1402" s="11">
        <v>0</v>
      </c>
      <c r="D1402" s="11">
        <v>10.01</v>
      </c>
      <c r="E1402" s="11">
        <v>1.99</v>
      </c>
      <c r="F1402" s="11">
        <v>2490</v>
      </c>
      <c r="G1402" s="6" t="str">
        <f>IF(COUNTIF(Table1[Customer ID],Table1[[#This Row],[Customer ID]])&gt;1,"Repeat Customer","One-Time Customer")</f>
        <v>Repeat Customer</v>
      </c>
      <c r="H1402" s="11" t="s">
        <v>2339</v>
      </c>
      <c r="I1402" s="11" t="s">
        <v>27</v>
      </c>
      <c r="J1402" s="11" t="s">
        <v>40</v>
      </c>
      <c r="K1402" s="11" t="s">
        <v>77</v>
      </c>
      <c r="L1402" s="11" t="s">
        <v>180</v>
      </c>
      <c r="M1402" s="11" t="s">
        <v>51</v>
      </c>
      <c r="N1402" s="11" t="s">
        <v>2341</v>
      </c>
      <c r="O1402" s="11">
        <v>0.41</v>
      </c>
      <c r="P1402" s="6">
        <f>Table1[[#This Row],[Profit]]/Table1[[#This Row],[Sales]]</f>
        <v>0.69</v>
      </c>
      <c r="Q1402" s="11" t="s">
        <v>33</v>
      </c>
      <c r="R1402" s="11" t="s">
        <v>34</v>
      </c>
      <c r="S1402" s="11" t="s">
        <v>45</v>
      </c>
      <c r="T1402" s="11" t="s">
        <v>2340</v>
      </c>
      <c r="U1402" s="11">
        <v>92627</v>
      </c>
      <c r="V1402" s="12">
        <v>42016</v>
      </c>
      <c r="W1402" s="13" t="str">
        <f>TEXT(Table1[[#This Row],[Order Date]],"mmmm")</f>
        <v>January</v>
      </c>
      <c r="X1402" s="7" t="str">
        <f>TEXT(Table1[[#This Row],[Order Date]],"yyyy")</f>
        <v>2015</v>
      </c>
      <c r="Y1402" s="12">
        <v>42018</v>
      </c>
      <c r="Z1402" s="11">
        <v>82.703399999999988</v>
      </c>
      <c r="AA1402" s="11">
        <v>11</v>
      </c>
      <c r="AB1402" s="11">
        <v>119.86</v>
      </c>
      <c r="AC1402" s="11">
        <v>86886</v>
      </c>
      <c r="AD1402" s="6" t="str">
        <f>IF(COUNTIF(Returns!$A$2:$A$1635,Orders!AC1402)&gt;0,"Returned","Not Returned")</f>
        <v>Not Returned</v>
      </c>
    </row>
    <row r="1403" spans="1:30" ht="12.75" customHeight="1" thickTop="1" thickBot="1" x14ac:dyDescent="0.25">
      <c r="A1403" s="8">
        <v>6856</v>
      </c>
      <c r="B1403" s="1" t="s">
        <v>47</v>
      </c>
      <c r="C1403" s="1">
        <v>0.09</v>
      </c>
      <c r="D1403" s="1">
        <v>348.21</v>
      </c>
      <c r="E1403" s="1">
        <v>40.19</v>
      </c>
      <c r="F1403" s="1">
        <v>2491</v>
      </c>
      <c r="G1403" s="6" t="str">
        <f>IF(COUNTIF(Table1[Customer ID],Table1[[#This Row],[Customer ID]])&gt;1,"Repeat Customer","One-Time Customer")</f>
        <v>Repeat Customer</v>
      </c>
      <c r="H1403" s="1" t="s">
        <v>2342</v>
      </c>
      <c r="I1403" s="1" t="s">
        <v>39</v>
      </c>
      <c r="J1403" s="1" t="s">
        <v>40</v>
      </c>
      <c r="K1403" s="1" t="s">
        <v>41</v>
      </c>
      <c r="L1403" s="1" t="s">
        <v>152</v>
      </c>
      <c r="M1403" s="1" t="s">
        <v>121</v>
      </c>
      <c r="N1403" s="1" t="s">
        <v>1572</v>
      </c>
      <c r="O1403" s="1">
        <v>0.62</v>
      </c>
      <c r="P1403" s="6">
        <f>Table1[[#This Row],[Profit]]/Table1[[#This Row],[Sales]]</f>
        <v>-3.5398931054122423E-2</v>
      </c>
      <c r="Q1403" s="1" t="s">
        <v>33</v>
      </c>
      <c r="R1403" s="1" t="s">
        <v>34</v>
      </c>
      <c r="S1403" s="1" t="s">
        <v>45</v>
      </c>
      <c r="T1403" s="1" t="s">
        <v>663</v>
      </c>
      <c r="U1403" s="1">
        <v>90045</v>
      </c>
      <c r="V1403" s="9">
        <v>42049</v>
      </c>
      <c r="W1403" s="13" t="str">
        <f>TEXT(Table1[[#This Row],[Order Date]],"mmmm")</f>
        <v>February</v>
      </c>
      <c r="X1403" s="7" t="str">
        <f>TEXT(Table1[[#This Row],[Order Date]],"yyyy")</f>
        <v>2015</v>
      </c>
      <c r="Y1403" s="9">
        <v>42051</v>
      </c>
      <c r="Z1403" s="1">
        <v>-93.849999999999909</v>
      </c>
      <c r="AA1403" s="1">
        <v>8</v>
      </c>
      <c r="AB1403" s="1">
        <v>2651.21</v>
      </c>
      <c r="AC1403" s="1">
        <v>48836</v>
      </c>
      <c r="AD1403" s="6" t="str">
        <f>IF(COUNTIF(Returns!$A$2:$A$1635,Orders!AC1403)&gt;0,"Returned","Not Returned")</f>
        <v>Not Returned</v>
      </c>
    </row>
    <row r="1404" spans="1:30" ht="12.75" customHeight="1" thickTop="1" thickBot="1" x14ac:dyDescent="0.25">
      <c r="A1404" s="10">
        <v>1617</v>
      </c>
      <c r="B1404" s="11" t="s">
        <v>106</v>
      </c>
      <c r="C1404" s="11">
        <v>0.06</v>
      </c>
      <c r="D1404" s="11">
        <v>4.28</v>
      </c>
      <c r="E1404" s="11">
        <v>0.94</v>
      </c>
      <c r="F1404" s="11">
        <v>2491</v>
      </c>
      <c r="G1404" s="6" t="str">
        <f>IF(COUNTIF(Table1[Customer ID],Table1[[#This Row],[Customer ID]])&gt;1,"Repeat Customer","One-Time Customer")</f>
        <v>Repeat Customer</v>
      </c>
      <c r="H1404" s="11" t="s">
        <v>2342</v>
      </c>
      <c r="I1404" s="11" t="s">
        <v>49</v>
      </c>
      <c r="J1404" s="11" t="s">
        <v>114</v>
      </c>
      <c r="K1404" s="11" t="s">
        <v>29</v>
      </c>
      <c r="L1404" s="11" t="s">
        <v>30</v>
      </c>
      <c r="M1404" s="11" t="s">
        <v>31</v>
      </c>
      <c r="N1404" s="11" t="s">
        <v>1647</v>
      </c>
      <c r="O1404" s="11">
        <v>0.56000000000000005</v>
      </c>
      <c r="P1404" s="6">
        <f>Table1[[#This Row],[Profit]]/Table1[[#This Row],[Sales]]</f>
        <v>9.4969199178644558E-3</v>
      </c>
      <c r="Q1404" s="11" t="s">
        <v>33</v>
      </c>
      <c r="R1404" s="11" t="s">
        <v>34</v>
      </c>
      <c r="S1404" s="11" t="s">
        <v>45</v>
      </c>
      <c r="T1404" s="11" t="s">
        <v>663</v>
      </c>
      <c r="U1404" s="11">
        <v>90045</v>
      </c>
      <c r="V1404" s="12">
        <v>42120</v>
      </c>
      <c r="W1404" s="13" t="str">
        <f>TEXT(Table1[[#This Row],[Order Date]],"mmmm")</f>
        <v>April</v>
      </c>
      <c r="X1404" s="7" t="str">
        <f>TEXT(Table1[[#This Row],[Order Date]],"yyyy")</f>
        <v>2015</v>
      </c>
      <c r="Y1404" s="12">
        <v>42122</v>
      </c>
      <c r="Z1404" s="11">
        <v>0.36999999999999922</v>
      </c>
      <c r="AA1404" s="11">
        <v>9</v>
      </c>
      <c r="AB1404" s="11">
        <v>38.96</v>
      </c>
      <c r="AC1404" s="11">
        <v>11712</v>
      </c>
      <c r="AD1404" s="6" t="str">
        <f>IF(COUNTIF(Returns!$A$2:$A$1635,Orders!AC1404)&gt;0,"Returned","Not Returned")</f>
        <v>Not Returned</v>
      </c>
    </row>
    <row r="1405" spans="1:30" ht="12.75" customHeight="1" thickTop="1" thickBot="1" x14ac:dyDescent="0.25">
      <c r="A1405" s="8">
        <v>3212</v>
      </c>
      <c r="B1405" s="1" t="s">
        <v>56</v>
      </c>
      <c r="C1405" s="1">
        <v>0.04</v>
      </c>
      <c r="D1405" s="1">
        <v>419.19</v>
      </c>
      <c r="E1405" s="1">
        <v>19.989999999999998</v>
      </c>
      <c r="F1405" s="1">
        <v>2491</v>
      </c>
      <c r="G1405" s="6" t="str">
        <f>IF(COUNTIF(Table1[Customer ID],Table1[[#This Row],[Customer ID]])&gt;1,"Repeat Customer","One-Time Customer")</f>
        <v>Repeat Customer</v>
      </c>
      <c r="H1405" s="1" t="s">
        <v>2342</v>
      </c>
      <c r="I1405" s="1" t="s">
        <v>49</v>
      </c>
      <c r="J1405" s="1" t="s">
        <v>40</v>
      </c>
      <c r="K1405" s="1" t="s">
        <v>29</v>
      </c>
      <c r="L1405" s="1" t="s">
        <v>141</v>
      </c>
      <c r="M1405" s="1" t="s">
        <v>59</v>
      </c>
      <c r="N1405" s="1" t="s">
        <v>741</v>
      </c>
      <c r="O1405" s="1">
        <v>0.57999999999999996</v>
      </c>
      <c r="P1405" s="6">
        <f>Table1[[#This Row],[Profit]]/Table1[[#This Row],[Sales]]</f>
        <v>0.24199317881082694</v>
      </c>
      <c r="Q1405" s="1" t="s">
        <v>33</v>
      </c>
      <c r="R1405" s="1" t="s">
        <v>34</v>
      </c>
      <c r="S1405" s="1" t="s">
        <v>45</v>
      </c>
      <c r="T1405" s="1" t="s">
        <v>663</v>
      </c>
      <c r="U1405" s="1">
        <v>90045</v>
      </c>
      <c r="V1405" s="9">
        <v>42120</v>
      </c>
      <c r="W1405" s="13" t="str">
        <f>TEXT(Table1[[#This Row],[Order Date]],"mmmm")</f>
        <v>April</v>
      </c>
      <c r="X1405" s="7" t="str">
        <f>TEXT(Table1[[#This Row],[Order Date]],"yyyy")</f>
        <v>2015</v>
      </c>
      <c r="Y1405" s="9">
        <v>42121</v>
      </c>
      <c r="Z1405" s="1">
        <v>1947.67</v>
      </c>
      <c r="AA1405" s="1">
        <v>20</v>
      </c>
      <c r="AB1405" s="1">
        <v>8048.45</v>
      </c>
      <c r="AC1405" s="1">
        <v>23042</v>
      </c>
      <c r="AD1405" s="6" t="str">
        <f>IF(COUNTIF(Returns!$A$2:$A$1635,Orders!AC1405)&gt;0,"Returned","Not Returned")</f>
        <v>Not Returned</v>
      </c>
    </row>
    <row r="1406" spans="1:30" ht="12.75" customHeight="1" thickTop="1" thickBot="1" x14ac:dyDescent="0.25">
      <c r="A1406" s="10">
        <v>3338</v>
      </c>
      <c r="B1406" s="11" t="s">
        <v>37</v>
      </c>
      <c r="C1406" s="11">
        <v>7.0000000000000007E-2</v>
      </c>
      <c r="D1406" s="11">
        <v>65.989999999999995</v>
      </c>
      <c r="E1406" s="11">
        <v>8.8000000000000007</v>
      </c>
      <c r="F1406" s="11">
        <v>2491</v>
      </c>
      <c r="G1406" s="6" t="str">
        <f>IF(COUNTIF(Table1[Customer ID],Table1[[#This Row],[Customer ID]])&gt;1,"Repeat Customer","One-Time Customer")</f>
        <v>Repeat Customer</v>
      </c>
      <c r="H1406" s="11" t="s">
        <v>2342</v>
      </c>
      <c r="I1406" s="11" t="s">
        <v>49</v>
      </c>
      <c r="J1406" s="11" t="s">
        <v>40</v>
      </c>
      <c r="K1406" s="11" t="s">
        <v>77</v>
      </c>
      <c r="L1406" s="11" t="s">
        <v>78</v>
      </c>
      <c r="M1406" s="11" t="s">
        <v>59</v>
      </c>
      <c r="N1406" s="11" t="s">
        <v>751</v>
      </c>
      <c r="O1406" s="11">
        <v>0.57999999999999996</v>
      </c>
      <c r="P1406" s="6">
        <f>Table1[[#This Row],[Profit]]/Table1[[#This Row],[Sales]]</f>
        <v>5.6644817253987824E-2</v>
      </c>
      <c r="Q1406" s="11" t="s">
        <v>33</v>
      </c>
      <c r="R1406" s="11" t="s">
        <v>34</v>
      </c>
      <c r="S1406" s="11" t="s">
        <v>45</v>
      </c>
      <c r="T1406" s="11" t="s">
        <v>663</v>
      </c>
      <c r="U1406" s="11">
        <v>90045</v>
      </c>
      <c r="V1406" s="12">
        <v>42016</v>
      </c>
      <c r="W1406" s="13" t="str">
        <f>TEXT(Table1[[#This Row],[Order Date]],"mmmm")</f>
        <v>January</v>
      </c>
      <c r="X1406" s="7" t="str">
        <f>TEXT(Table1[[#This Row],[Order Date]],"yyyy")</f>
        <v>2015</v>
      </c>
      <c r="Y1406" s="12">
        <v>42016</v>
      </c>
      <c r="Z1406" s="11">
        <v>109.83600000000001</v>
      </c>
      <c r="AA1406" s="11">
        <v>37</v>
      </c>
      <c r="AB1406" s="11">
        <v>1939.03</v>
      </c>
      <c r="AC1406" s="11">
        <v>23877</v>
      </c>
      <c r="AD1406" s="6" t="str">
        <f>IF(COUNTIF(Returns!$A$2:$A$1635,Orders!AC1406)&gt;0,"Returned","Not Returned")</f>
        <v>Not Returned</v>
      </c>
    </row>
    <row r="1407" spans="1:30" ht="12.75" customHeight="1" thickTop="1" thickBot="1" x14ac:dyDescent="0.25">
      <c r="A1407" s="8">
        <v>3339</v>
      </c>
      <c r="B1407" s="1" t="s">
        <v>37</v>
      </c>
      <c r="C1407" s="1">
        <v>0</v>
      </c>
      <c r="D1407" s="1">
        <v>10.01</v>
      </c>
      <c r="E1407" s="1">
        <v>1.99</v>
      </c>
      <c r="F1407" s="1">
        <v>2491</v>
      </c>
      <c r="G1407" s="6" t="str">
        <f>IF(COUNTIF(Table1[Customer ID],Table1[[#This Row],[Customer ID]])&gt;1,"Repeat Customer","One-Time Customer")</f>
        <v>Repeat Customer</v>
      </c>
      <c r="H1407" s="1" t="s">
        <v>2342</v>
      </c>
      <c r="I1407" s="1" t="s">
        <v>27</v>
      </c>
      <c r="J1407" s="1" t="s">
        <v>40</v>
      </c>
      <c r="K1407" s="1" t="s">
        <v>77</v>
      </c>
      <c r="L1407" s="1" t="s">
        <v>180</v>
      </c>
      <c r="M1407" s="1" t="s">
        <v>51</v>
      </c>
      <c r="N1407" s="1" t="s">
        <v>2341</v>
      </c>
      <c r="O1407" s="1">
        <v>0.41</v>
      </c>
      <c r="P1407" s="6">
        <f>Table1[[#This Row],[Profit]]/Table1[[#This Row],[Sales]]</f>
        <v>0.27976749776019927</v>
      </c>
      <c r="Q1407" s="1" t="s">
        <v>33</v>
      </c>
      <c r="R1407" s="1" t="s">
        <v>34</v>
      </c>
      <c r="S1407" s="1" t="s">
        <v>45</v>
      </c>
      <c r="T1407" s="1" t="s">
        <v>663</v>
      </c>
      <c r="U1407" s="1">
        <v>90045</v>
      </c>
      <c r="V1407" s="9">
        <v>42016</v>
      </c>
      <c r="W1407" s="13" t="str">
        <f>TEXT(Table1[[#This Row],[Order Date]],"mmmm")</f>
        <v>January</v>
      </c>
      <c r="X1407" s="7" t="str">
        <f>TEXT(Table1[[#This Row],[Order Date]],"yyyy")</f>
        <v>2015</v>
      </c>
      <c r="Y1407" s="9">
        <v>42018</v>
      </c>
      <c r="Z1407" s="1">
        <v>128.03</v>
      </c>
      <c r="AA1407" s="1">
        <v>42</v>
      </c>
      <c r="AB1407" s="1">
        <v>457.63</v>
      </c>
      <c r="AC1407" s="1">
        <v>23877</v>
      </c>
      <c r="AD1407" s="6" t="str">
        <f>IF(COUNTIF(Returns!$A$2:$A$1635,Orders!AC1407)&gt;0,"Returned","Not Returned")</f>
        <v>Not Returned</v>
      </c>
    </row>
    <row r="1408" spans="1:30" ht="12.75" customHeight="1" thickTop="1" thickBot="1" x14ac:dyDescent="0.25">
      <c r="A1408" s="10">
        <v>2065</v>
      </c>
      <c r="B1408" s="11" t="s">
        <v>25</v>
      </c>
      <c r="C1408" s="11">
        <v>0.08</v>
      </c>
      <c r="D1408" s="11">
        <v>4.91</v>
      </c>
      <c r="E1408" s="11">
        <v>0.5</v>
      </c>
      <c r="F1408" s="11">
        <v>2491</v>
      </c>
      <c r="G1408" s="6" t="str">
        <f>IF(COUNTIF(Table1[Customer ID],Table1[[#This Row],[Customer ID]])&gt;1,"Repeat Customer","One-Time Customer")</f>
        <v>Repeat Customer</v>
      </c>
      <c r="H1408" s="11" t="s">
        <v>2342</v>
      </c>
      <c r="I1408" s="11" t="s">
        <v>49</v>
      </c>
      <c r="J1408" s="11" t="s">
        <v>114</v>
      </c>
      <c r="K1408" s="11" t="s">
        <v>29</v>
      </c>
      <c r="L1408" s="11" t="s">
        <v>134</v>
      </c>
      <c r="M1408" s="11" t="s">
        <v>59</v>
      </c>
      <c r="N1408" s="11" t="s">
        <v>163</v>
      </c>
      <c r="O1408" s="11">
        <v>0.36</v>
      </c>
      <c r="P1408" s="6">
        <f>Table1[[#This Row],[Profit]]/Table1[[#This Row],[Sales]]</f>
        <v>0.18595607613469986</v>
      </c>
      <c r="Q1408" s="11" t="s">
        <v>33</v>
      </c>
      <c r="R1408" s="11" t="s">
        <v>34</v>
      </c>
      <c r="S1408" s="11" t="s">
        <v>45</v>
      </c>
      <c r="T1408" s="11" t="s">
        <v>663</v>
      </c>
      <c r="U1408" s="11">
        <v>90045</v>
      </c>
      <c r="V1408" s="12">
        <v>42103</v>
      </c>
      <c r="W1408" s="13" t="str">
        <f>TEXT(Table1[[#This Row],[Order Date]],"mmmm")</f>
        <v>April</v>
      </c>
      <c r="X1408" s="7" t="str">
        <f>TEXT(Table1[[#This Row],[Order Date]],"yyyy")</f>
        <v>2015</v>
      </c>
      <c r="Y1408" s="12">
        <v>42103</v>
      </c>
      <c r="Z1408" s="11">
        <v>31.751999999999999</v>
      </c>
      <c r="AA1408" s="11">
        <v>36</v>
      </c>
      <c r="AB1408" s="11">
        <v>170.75</v>
      </c>
      <c r="AC1408" s="11">
        <v>14785</v>
      </c>
      <c r="AD1408" s="6" t="str">
        <f>IF(COUNTIF(Returns!$A$2:$A$1635,Orders!AC1408)&gt;0,"Returned","Not Returned")</f>
        <v>Not Returned</v>
      </c>
    </row>
    <row r="1409" spans="1:30" ht="12.75" customHeight="1" thickTop="1" thickBot="1" x14ac:dyDescent="0.25">
      <c r="A1409" s="8">
        <v>2066</v>
      </c>
      <c r="B1409" s="1" t="s">
        <v>25</v>
      </c>
      <c r="C1409" s="1">
        <v>0.02</v>
      </c>
      <c r="D1409" s="1">
        <v>28.15</v>
      </c>
      <c r="E1409" s="1">
        <v>6.17</v>
      </c>
      <c r="F1409" s="1">
        <v>2491</v>
      </c>
      <c r="G1409" s="6" t="str">
        <f>IF(COUNTIF(Table1[Customer ID],Table1[[#This Row],[Customer ID]])&gt;1,"Repeat Customer","One-Time Customer")</f>
        <v>Repeat Customer</v>
      </c>
      <c r="H1409" s="1" t="s">
        <v>2342</v>
      </c>
      <c r="I1409" s="1" t="s">
        <v>49</v>
      </c>
      <c r="J1409" s="1" t="s">
        <v>114</v>
      </c>
      <c r="K1409" s="1" t="s">
        <v>29</v>
      </c>
      <c r="L1409" s="1" t="s">
        <v>30</v>
      </c>
      <c r="M1409" s="1" t="s">
        <v>51</v>
      </c>
      <c r="N1409" s="1" t="s">
        <v>2337</v>
      </c>
      <c r="O1409" s="1">
        <v>0.55000000000000004</v>
      </c>
      <c r="P1409" s="6">
        <f>Table1[[#This Row],[Profit]]/Table1[[#This Row],[Sales]]</f>
        <v>8.7506532678323451E-2</v>
      </c>
      <c r="Q1409" s="1" t="s">
        <v>33</v>
      </c>
      <c r="R1409" s="1" t="s">
        <v>34</v>
      </c>
      <c r="S1409" s="1" t="s">
        <v>45</v>
      </c>
      <c r="T1409" s="1" t="s">
        <v>663</v>
      </c>
      <c r="U1409" s="1">
        <v>90045</v>
      </c>
      <c r="V1409" s="9">
        <v>42103</v>
      </c>
      <c r="W1409" s="13" t="str">
        <f>TEXT(Table1[[#This Row],[Order Date]],"mmmm")</f>
        <v>April</v>
      </c>
      <c r="X1409" s="7" t="str">
        <f>TEXT(Table1[[#This Row],[Order Date]],"yyyy")</f>
        <v>2015</v>
      </c>
      <c r="Y1409" s="9">
        <v>42104</v>
      </c>
      <c r="Z1409" s="1">
        <v>117.208</v>
      </c>
      <c r="AA1409" s="1">
        <v>45</v>
      </c>
      <c r="AB1409" s="1">
        <v>1339.42</v>
      </c>
      <c r="AC1409" s="1">
        <v>14785</v>
      </c>
      <c r="AD1409" s="6" t="str">
        <f>IF(COUNTIF(Returns!$A$2:$A$1635,Orders!AC1409)&gt;0,"Returned","Not Returned")</f>
        <v>Not Returned</v>
      </c>
    </row>
    <row r="1410" spans="1:30" ht="12.75" customHeight="1" thickTop="1" thickBot="1" x14ac:dyDescent="0.25">
      <c r="A1410" s="10">
        <v>19617</v>
      </c>
      <c r="B1410" s="11" t="s">
        <v>106</v>
      </c>
      <c r="C1410" s="11">
        <v>0.06</v>
      </c>
      <c r="D1410" s="11">
        <v>4.28</v>
      </c>
      <c r="E1410" s="11">
        <v>0.94</v>
      </c>
      <c r="F1410" s="11">
        <v>2495</v>
      </c>
      <c r="G1410" s="6" t="str">
        <f>IF(COUNTIF(Table1[Customer ID],Table1[[#This Row],[Customer ID]])&gt;1,"Repeat Customer","One-Time Customer")</f>
        <v>One-Time Customer</v>
      </c>
      <c r="H1410" s="11" t="s">
        <v>2343</v>
      </c>
      <c r="I1410" s="11" t="s">
        <v>49</v>
      </c>
      <c r="J1410" s="11" t="s">
        <v>114</v>
      </c>
      <c r="K1410" s="11" t="s">
        <v>29</v>
      </c>
      <c r="L1410" s="11" t="s">
        <v>30</v>
      </c>
      <c r="M1410" s="11" t="s">
        <v>31</v>
      </c>
      <c r="N1410" s="11" t="s">
        <v>1647</v>
      </c>
      <c r="O1410" s="11">
        <v>0.56000000000000005</v>
      </c>
      <c r="P1410" s="6">
        <f>Table1[[#This Row],[Profit]]/Table1[[#This Row],[Sales]]</f>
        <v>4.2725173210161574E-2</v>
      </c>
      <c r="Q1410" s="11" t="s">
        <v>33</v>
      </c>
      <c r="R1410" s="11" t="s">
        <v>34</v>
      </c>
      <c r="S1410" s="11" t="s">
        <v>2226</v>
      </c>
      <c r="T1410" s="11" t="s">
        <v>2227</v>
      </c>
      <c r="U1410" s="11">
        <v>82901</v>
      </c>
      <c r="V1410" s="12">
        <v>42120</v>
      </c>
      <c r="W1410" s="13" t="str">
        <f>TEXT(Table1[[#This Row],[Order Date]],"mmmm")</f>
        <v>April</v>
      </c>
      <c r="X1410" s="7" t="str">
        <f>TEXT(Table1[[#This Row],[Order Date]],"yyyy")</f>
        <v>2015</v>
      </c>
      <c r="Y1410" s="12">
        <v>42122</v>
      </c>
      <c r="Z1410" s="11">
        <v>0.36999999999999922</v>
      </c>
      <c r="AA1410" s="11">
        <v>2</v>
      </c>
      <c r="AB1410" s="11">
        <v>8.66</v>
      </c>
      <c r="AC1410" s="11">
        <v>86885</v>
      </c>
      <c r="AD1410" s="6" t="str">
        <f>IF(COUNTIF(Returns!$A$2:$A$1635,Orders!AC1410)&gt;0,"Returned","Not Returned")</f>
        <v>Not Returned</v>
      </c>
    </row>
    <row r="1411" spans="1:30" ht="12.75" customHeight="1" thickTop="1" thickBot="1" x14ac:dyDescent="0.25">
      <c r="A1411" s="8">
        <v>2296</v>
      </c>
      <c r="B1411" s="1" t="s">
        <v>37</v>
      </c>
      <c r="C1411" s="1">
        <v>0.09</v>
      </c>
      <c r="D1411" s="1">
        <v>355.98</v>
      </c>
      <c r="E1411" s="1">
        <v>58.92</v>
      </c>
      <c r="F1411" s="1">
        <v>2498</v>
      </c>
      <c r="G1411" s="6" t="str">
        <f>IF(COUNTIF(Table1[Customer ID],Table1[[#This Row],[Customer ID]])&gt;1,"Repeat Customer","One-Time Customer")</f>
        <v>Repeat Customer</v>
      </c>
      <c r="H1411" s="1" t="s">
        <v>2344</v>
      </c>
      <c r="I1411" s="1" t="s">
        <v>39</v>
      </c>
      <c r="J1411" s="1" t="s">
        <v>28</v>
      </c>
      <c r="K1411" s="1" t="s">
        <v>41</v>
      </c>
      <c r="L1411" s="1" t="s">
        <v>42</v>
      </c>
      <c r="M1411" s="1" t="s">
        <v>43</v>
      </c>
      <c r="N1411" s="1" t="s">
        <v>1294</v>
      </c>
      <c r="O1411" s="1">
        <v>0.64</v>
      </c>
      <c r="P1411" s="6">
        <f>Table1[[#This Row],[Profit]]/Table1[[#This Row],[Sales]]</f>
        <v>0.11750767198850173</v>
      </c>
      <c r="Q1411" s="1" t="s">
        <v>33</v>
      </c>
      <c r="R1411" s="1" t="s">
        <v>34</v>
      </c>
      <c r="S1411" s="1" t="s">
        <v>45</v>
      </c>
      <c r="T1411" s="1" t="s">
        <v>1732</v>
      </c>
      <c r="U1411" s="1">
        <v>92024</v>
      </c>
      <c r="V1411" s="9">
        <v>42053</v>
      </c>
      <c r="W1411" s="13" t="str">
        <f>TEXT(Table1[[#This Row],[Order Date]],"mmmm")</f>
        <v>February</v>
      </c>
      <c r="X1411" s="7" t="str">
        <f>TEXT(Table1[[#This Row],[Order Date]],"yyyy")</f>
        <v>2015</v>
      </c>
      <c r="Y1411" s="9">
        <v>42055</v>
      </c>
      <c r="Z1411" s="1">
        <v>1240.25</v>
      </c>
      <c r="AA1411" s="1">
        <v>30</v>
      </c>
      <c r="AB1411" s="1">
        <v>10554.63</v>
      </c>
      <c r="AC1411" s="1">
        <v>16547</v>
      </c>
      <c r="AD1411" s="6" t="str">
        <f>IF(COUNTIF(Returns!$A$2:$A$1635,Orders!AC1411)&gt;0,"Returned","Not Returned")</f>
        <v>Not Returned</v>
      </c>
    </row>
    <row r="1412" spans="1:30" ht="12.75" customHeight="1" thickTop="1" thickBot="1" x14ac:dyDescent="0.25">
      <c r="A1412" s="10">
        <v>2297</v>
      </c>
      <c r="B1412" s="11" t="s">
        <v>37</v>
      </c>
      <c r="C1412" s="11">
        <v>0.04</v>
      </c>
      <c r="D1412" s="11">
        <v>218.75</v>
      </c>
      <c r="E1412" s="11">
        <v>69.64</v>
      </c>
      <c r="F1412" s="11">
        <v>2498</v>
      </c>
      <c r="G1412" s="6" t="str">
        <f>IF(COUNTIF(Table1[Customer ID],Table1[[#This Row],[Customer ID]])&gt;1,"Repeat Customer","One-Time Customer")</f>
        <v>Repeat Customer</v>
      </c>
      <c r="H1412" s="11" t="s">
        <v>2344</v>
      </c>
      <c r="I1412" s="11" t="s">
        <v>39</v>
      </c>
      <c r="J1412" s="11" t="s">
        <v>28</v>
      </c>
      <c r="K1412" s="11" t="s">
        <v>41</v>
      </c>
      <c r="L1412" s="11" t="s">
        <v>152</v>
      </c>
      <c r="M1412" s="11" t="s">
        <v>121</v>
      </c>
      <c r="N1412" s="11" t="s">
        <v>655</v>
      </c>
      <c r="O1412" s="11">
        <v>0.77</v>
      </c>
      <c r="P1412" s="6">
        <f>Table1[[#This Row],[Profit]]/Table1[[#This Row],[Sales]]</f>
        <v>-0.30476669486294328</v>
      </c>
      <c r="Q1412" s="11" t="s">
        <v>33</v>
      </c>
      <c r="R1412" s="11" t="s">
        <v>34</v>
      </c>
      <c r="S1412" s="11" t="s">
        <v>45</v>
      </c>
      <c r="T1412" s="11" t="s">
        <v>1732</v>
      </c>
      <c r="U1412" s="11">
        <v>92024</v>
      </c>
      <c r="V1412" s="12">
        <v>42053</v>
      </c>
      <c r="W1412" s="13" t="str">
        <f>TEXT(Table1[[#This Row],[Order Date]],"mmmm")</f>
        <v>February</v>
      </c>
      <c r="X1412" s="7" t="str">
        <f>TEXT(Table1[[#This Row],[Order Date]],"yyyy")</f>
        <v>2015</v>
      </c>
      <c r="Y1412" s="12">
        <v>42053</v>
      </c>
      <c r="Z1412" s="11">
        <v>-533.23200000000008</v>
      </c>
      <c r="AA1412" s="11">
        <v>8</v>
      </c>
      <c r="AB1412" s="11">
        <v>1749.64</v>
      </c>
      <c r="AC1412" s="11">
        <v>16547</v>
      </c>
      <c r="AD1412" s="6" t="str">
        <f>IF(COUNTIF(Returns!$A$2:$A$1635,Orders!AC1412)&gt;0,"Returned","Not Returned")</f>
        <v>Not Returned</v>
      </c>
    </row>
    <row r="1413" spans="1:30" ht="12.75" customHeight="1" thickTop="1" thickBot="1" x14ac:dyDescent="0.25">
      <c r="A1413" s="8">
        <v>7628</v>
      </c>
      <c r="B1413" s="1" t="s">
        <v>56</v>
      </c>
      <c r="C1413" s="1">
        <v>0.09</v>
      </c>
      <c r="D1413" s="1">
        <v>6.28</v>
      </c>
      <c r="E1413" s="1">
        <v>5.41</v>
      </c>
      <c r="F1413" s="1">
        <v>2498</v>
      </c>
      <c r="G1413" s="6" t="str">
        <f>IF(COUNTIF(Table1[Customer ID],Table1[[#This Row],[Customer ID]])&gt;1,"Repeat Customer","One-Time Customer")</f>
        <v>Repeat Customer</v>
      </c>
      <c r="H1413" s="1" t="s">
        <v>2344</v>
      </c>
      <c r="I1413" s="1" t="s">
        <v>49</v>
      </c>
      <c r="J1413" s="1" t="s">
        <v>58</v>
      </c>
      <c r="K1413" s="1" t="s">
        <v>41</v>
      </c>
      <c r="L1413" s="1" t="s">
        <v>50</v>
      </c>
      <c r="M1413" s="1" t="s">
        <v>59</v>
      </c>
      <c r="N1413" s="1" t="s">
        <v>1685</v>
      </c>
      <c r="O1413" s="1">
        <v>0.53</v>
      </c>
      <c r="P1413" s="6">
        <f>Table1[[#This Row],[Profit]]/Table1[[#This Row],[Sales]]</f>
        <v>-0.17329769274057402</v>
      </c>
      <c r="Q1413" s="1" t="s">
        <v>33</v>
      </c>
      <c r="R1413" s="1" t="s">
        <v>34</v>
      </c>
      <c r="S1413" s="1" t="s">
        <v>45</v>
      </c>
      <c r="T1413" s="1" t="s">
        <v>1732</v>
      </c>
      <c r="U1413" s="1">
        <v>92024</v>
      </c>
      <c r="V1413" s="9">
        <v>42037</v>
      </c>
      <c r="W1413" s="13" t="str">
        <f>TEXT(Table1[[#This Row],[Order Date]],"mmmm")</f>
        <v>February</v>
      </c>
      <c r="X1413" s="7" t="str">
        <f>TEXT(Table1[[#This Row],[Order Date]],"yyyy")</f>
        <v>2015</v>
      </c>
      <c r="Y1413" s="9">
        <v>42039</v>
      </c>
      <c r="Z1413" s="1">
        <v>-61.59</v>
      </c>
      <c r="AA1413" s="1">
        <v>56</v>
      </c>
      <c r="AB1413" s="1">
        <v>355.4</v>
      </c>
      <c r="AC1413" s="1">
        <v>54567</v>
      </c>
      <c r="AD1413" s="6" t="str">
        <f>IF(COUNTIF(Returns!$A$2:$A$1635,Orders!AC1413)&gt;0,"Returned","Not Returned")</f>
        <v>Not Returned</v>
      </c>
    </row>
    <row r="1414" spans="1:30" ht="12.75" customHeight="1" thickTop="1" thickBot="1" x14ac:dyDescent="0.25">
      <c r="A1414" s="10">
        <v>2768</v>
      </c>
      <c r="B1414" s="11" t="s">
        <v>37</v>
      </c>
      <c r="C1414" s="11">
        <v>0.08</v>
      </c>
      <c r="D1414" s="11">
        <v>1.68</v>
      </c>
      <c r="E1414" s="11">
        <v>1.57</v>
      </c>
      <c r="F1414" s="11">
        <v>2498</v>
      </c>
      <c r="G1414" s="6" t="str">
        <f>IF(COUNTIF(Table1[Customer ID],Table1[[#This Row],[Customer ID]])&gt;1,"Repeat Customer","One-Time Customer")</f>
        <v>Repeat Customer</v>
      </c>
      <c r="H1414" s="11" t="s">
        <v>2344</v>
      </c>
      <c r="I1414" s="11" t="s">
        <v>49</v>
      </c>
      <c r="J1414" s="11" t="s">
        <v>58</v>
      </c>
      <c r="K1414" s="11" t="s">
        <v>29</v>
      </c>
      <c r="L1414" s="11" t="s">
        <v>30</v>
      </c>
      <c r="M1414" s="11" t="s">
        <v>31</v>
      </c>
      <c r="N1414" s="11" t="s">
        <v>96</v>
      </c>
      <c r="O1414" s="11">
        <v>0.59</v>
      </c>
      <c r="P1414" s="6">
        <f>Table1[[#This Row],[Profit]]/Table1[[#This Row],[Sales]]</f>
        <v>-0.31174170935562145</v>
      </c>
      <c r="Q1414" s="11" t="s">
        <v>33</v>
      </c>
      <c r="R1414" s="11" t="s">
        <v>34</v>
      </c>
      <c r="S1414" s="11" t="s">
        <v>45</v>
      </c>
      <c r="T1414" s="11" t="s">
        <v>1732</v>
      </c>
      <c r="U1414" s="11">
        <v>92024</v>
      </c>
      <c r="V1414" s="12">
        <v>42040</v>
      </c>
      <c r="W1414" s="13" t="str">
        <f>TEXT(Table1[[#This Row],[Order Date]],"mmmm")</f>
        <v>February</v>
      </c>
      <c r="X1414" s="7" t="str">
        <f>TEXT(Table1[[#This Row],[Order Date]],"yyyy")</f>
        <v>2015</v>
      </c>
      <c r="Y1414" s="12">
        <v>42041</v>
      </c>
      <c r="Z1414" s="11">
        <v>-46.25</v>
      </c>
      <c r="AA1414" s="11">
        <v>88</v>
      </c>
      <c r="AB1414" s="11">
        <v>148.36000000000001</v>
      </c>
      <c r="AC1414" s="11">
        <v>20007</v>
      </c>
      <c r="AD1414" s="6" t="str">
        <f>IF(COUNTIF(Returns!$A$2:$A$1635,Orders!AC1414)&gt;0,"Returned","Not Returned")</f>
        <v>Not Returned</v>
      </c>
    </row>
    <row r="1415" spans="1:30" ht="12.75" customHeight="1" thickTop="1" thickBot="1" x14ac:dyDescent="0.25">
      <c r="A1415" s="8">
        <v>20296</v>
      </c>
      <c r="B1415" s="1" t="s">
        <v>37</v>
      </c>
      <c r="C1415" s="1">
        <v>0.09</v>
      </c>
      <c r="D1415" s="1">
        <v>355.98</v>
      </c>
      <c r="E1415" s="1">
        <v>58.92</v>
      </c>
      <c r="F1415" s="1">
        <v>2499</v>
      </c>
      <c r="G1415" s="6" t="str">
        <f>IF(COUNTIF(Table1[Customer ID],Table1[[#This Row],[Customer ID]])&gt;1,"Repeat Customer","One-Time Customer")</f>
        <v>One-Time Customer</v>
      </c>
      <c r="H1415" s="1" t="s">
        <v>2345</v>
      </c>
      <c r="I1415" s="1" t="s">
        <v>39</v>
      </c>
      <c r="J1415" s="1" t="s">
        <v>28</v>
      </c>
      <c r="K1415" s="1" t="s">
        <v>41</v>
      </c>
      <c r="L1415" s="1" t="s">
        <v>42</v>
      </c>
      <c r="M1415" s="1" t="s">
        <v>43</v>
      </c>
      <c r="N1415" s="1" t="s">
        <v>1294</v>
      </c>
      <c r="O1415" s="1">
        <v>0.64</v>
      </c>
      <c r="P1415" s="6">
        <f>Table1[[#This Row],[Profit]]/Table1[[#This Row],[Sales]]</f>
        <v>0.44065345683354828</v>
      </c>
      <c r="Q1415" s="1" t="s">
        <v>33</v>
      </c>
      <c r="R1415" s="1" t="s">
        <v>61</v>
      </c>
      <c r="S1415" s="1" t="s">
        <v>178</v>
      </c>
      <c r="T1415" s="1" t="s">
        <v>2346</v>
      </c>
      <c r="U1415" s="1">
        <v>60901</v>
      </c>
      <c r="V1415" s="9">
        <v>42053</v>
      </c>
      <c r="W1415" s="13" t="str">
        <f>TEXT(Table1[[#This Row],[Order Date]],"mmmm")</f>
        <v>February</v>
      </c>
      <c r="X1415" s="7" t="str">
        <f>TEXT(Table1[[#This Row],[Order Date]],"yyyy")</f>
        <v>2015</v>
      </c>
      <c r="Y1415" s="9">
        <v>42055</v>
      </c>
      <c r="Z1415" s="1">
        <v>1240.25</v>
      </c>
      <c r="AA1415" s="1">
        <v>8</v>
      </c>
      <c r="AB1415" s="1">
        <v>2814.57</v>
      </c>
      <c r="AC1415" s="1">
        <v>88319</v>
      </c>
      <c r="AD1415" s="6" t="str">
        <f>IF(COUNTIF(Returns!$A$2:$A$1635,Orders!AC1415)&gt;0,"Returned","Not Returned")</f>
        <v>Not Returned</v>
      </c>
    </row>
    <row r="1416" spans="1:30" ht="12.75" customHeight="1" thickTop="1" thickBot="1" x14ac:dyDescent="0.25">
      <c r="A1416" s="10">
        <v>25628</v>
      </c>
      <c r="B1416" s="11" t="s">
        <v>56</v>
      </c>
      <c r="C1416" s="11">
        <v>0.09</v>
      </c>
      <c r="D1416" s="11">
        <v>6.28</v>
      </c>
      <c r="E1416" s="11">
        <v>5.41</v>
      </c>
      <c r="F1416" s="11">
        <v>2500</v>
      </c>
      <c r="G1416" s="6" t="str">
        <f>IF(COUNTIF(Table1[Customer ID],Table1[[#This Row],[Customer ID]])&gt;1,"Repeat Customer","One-Time Customer")</f>
        <v>One-Time Customer</v>
      </c>
      <c r="H1416" s="11" t="s">
        <v>2347</v>
      </c>
      <c r="I1416" s="11" t="s">
        <v>49</v>
      </c>
      <c r="J1416" s="11" t="s">
        <v>58</v>
      </c>
      <c r="K1416" s="11" t="s">
        <v>41</v>
      </c>
      <c r="L1416" s="11" t="s">
        <v>50</v>
      </c>
      <c r="M1416" s="11" t="s">
        <v>59</v>
      </c>
      <c r="N1416" s="11" t="s">
        <v>1685</v>
      </c>
      <c r="O1416" s="11">
        <v>0.53</v>
      </c>
      <c r="P1416" s="6">
        <f>Table1[[#This Row],[Profit]]/Table1[[#This Row],[Sales]]</f>
        <v>-0.36045920090039396</v>
      </c>
      <c r="Q1416" s="11" t="s">
        <v>33</v>
      </c>
      <c r="R1416" s="11" t="s">
        <v>61</v>
      </c>
      <c r="S1416" s="11" t="s">
        <v>178</v>
      </c>
      <c r="T1416" s="11" t="s">
        <v>2348</v>
      </c>
      <c r="U1416" s="11">
        <v>60102</v>
      </c>
      <c r="V1416" s="12">
        <v>42037</v>
      </c>
      <c r="W1416" s="13" t="str">
        <f>TEXT(Table1[[#This Row],[Order Date]],"mmmm")</f>
        <v>February</v>
      </c>
      <c r="X1416" s="7" t="str">
        <f>TEXT(Table1[[#This Row],[Order Date]],"yyyy")</f>
        <v>2015</v>
      </c>
      <c r="Y1416" s="12">
        <v>42039</v>
      </c>
      <c r="Z1416" s="11">
        <v>-32.026800000000001</v>
      </c>
      <c r="AA1416" s="11">
        <v>14</v>
      </c>
      <c r="AB1416" s="11">
        <v>88.85</v>
      </c>
      <c r="AC1416" s="11">
        <v>88320</v>
      </c>
      <c r="AD1416" s="6" t="str">
        <f>IF(COUNTIF(Returns!$A$2:$A$1635,Orders!AC1416)&gt;0,"Returned","Not Returned")</f>
        <v>Not Returned</v>
      </c>
    </row>
    <row r="1417" spans="1:30" ht="12.75" customHeight="1" thickTop="1" thickBot="1" x14ac:dyDescent="0.25">
      <c r="A1417" s="8">
        <v>24899</v>
      </c>
      <c r="B1417" s="1" t="s">
        <v>25</v>
      </c>
      <c r="C1417" s="1">
        <v>0.1</v>
      </c>
      <c r="D1417" s="1">
        <v>24.92</v>
      </c>
      <c r="E1417" s="1">
        <v>12.98</v>
      </c>
      <c r="F1417" s="1">
        <v>2502</v>
      </c>
      <c r="G1417" s="6" t="str">
        <f>IF(COUNTIF(Table1[Customer ID],Table1[[#This Row],[Customer ID]])&gt;1,"Repeat Customer","One-Time Customer")</f>
        <v>Repeat Customer</v>
      </c>
      <c r="H1417" s="1" t="s">
        <v>2349</v>
      </c>
      <c r="I1417" s="1" t="s">
        <v>49</v>
      </c>
      <c r="J1417" s="1" t="s">
        <v>40</v>
      </c>
      <c r="K1417" s="1" t="s">
        <v>29</v>
      </c>
      <c r="L1417" s="1" t="s">
        <v>109</v>
      </c>
      <c r="M1417" s="1" t="s">
        <v>59</v>
      </c>
      <c r="N1417" s="1" t="s">
        <v>1940</v>
      </c>
      <c r="O1417" s="1">
        <v>0.39</v>
      </c>
      <c r="P1417" s="6">
        <f>Table1[[#This Row],[Profit]]/Table1[[#This Row],[Sales]]</f>
        <v>-0.64693589381530647</v>
      </c>
      <c r="Q1417" s="1" t="s">
        <v>33</v>
      </c>
      <c r="R1417" s="1" t="s">
        <v>61</v>
      </c>
      <c r="S1417" s="1" t="s">
        <v>703</v>
      </c>
      <c r="T1417" s="1" t="s">
        <v>2350</v>
      </c>
      <c r="U1417" s="1">
        <v>46321</v>
      </c>
      <c r="V1417" s="9">
        <v>42082</v>
      </c>
      <c r="W1417" s="13" t="str">
        <f>TEXT(Table1[[#This Row],[Order Date]],"mmmm")</f>
        <v>March</v>
      </c>
      <c r="X1417" s="7" t="str">
        <f>TEXT(Table1[[#This Row],[Order Date]],"yyyy")</f>
        <v>2015</v>
      </c>
      <c r="Y1417" s="9">
        <v>42082</v>
      </c>
      <c r="Z1417" s="1">
        <v>-45.816000000000003</v>
      </c>
      <c r="AA1417" s="1">
        <v>3</v>
      </c>
      <c r="AB1417" s="1">
        <v>70.819999999999993</v>
      </c>
      <c r="AC1417" s="1">
        <v>91310</v>
      </c>
      <c r="AD1417" s="6" t="str">
        <f>IF(COUNTIF(Returns!$A$2:$A$1635,Orders!AC1417)&gt;0,"Returned","Not Returned")</f>
        <v>Not Returned</v>
      </c>
    </row>
    <row r="1418" spans="1:30" ht="12.75" customHeight="1" thickTop="1" thickBot="1" x14ac:dyDescent="0.25">
      <c r="A1418" s="10">
        <v>24901</v>
      </c>
      <c r="B1418" s="11" t="s">
        <v>25</v>
      </c>
      <c r="C1418" s="11">
        <v>0</v>
      </c>
      <c r="D1418" s="11">
        <v>12.28</v>
      </c>
      <c r="E1418" s="11">
        <v>6.35</v>
      </c>
      <c r="F1418" s="11">
        <v>2502</v>
      </c>
      <c r="G1418" s="6" t="str">
        <f>IF(COUNTIF(Table1[Customer ID],Table1[[#This Row],[Customer ID]])&gt;1,"Repeat Customer","One-Time Customer")</f>
        <v>Repeat Customer</v>
      </c>
      <c r="H1418" s="11" t="s">
        <v>2349</v>
      </c>
      <c r="I1418" s="11" t="s">
        <v>27</v>
      </c>
      <c r="J1418" s="11" t="s">
        <v>40</v>
      </c>
      <c r="K1418" s="11" t="s">
        <v>29</v>
      </c>
      <c r="L1418" s="11" t="s">
        <v>93</v>
      </c>
      <c r="M1418" s="11" t="s">
        <v>59</v>
      </c>
      <c r="N1418" s="11" t="s">
        <v>1575</v>
      </c>
      <c r="O1418" s="11">
        <v>0.38</v>
      </c>
      <c r="P1418" s="6">
        <f>Table1[[#This Row],[Profit]]/Table1[[#This Row],[Sales]]</f>
        <v>0.33867757629367534</v>
      </c>
      <c r="Q1418" s="11" t="s">
        <v>33</v>
      </c>
      <c r="R1418" s="11" t="s">
        <v>61</v>
      </c>
      <c r="S1418" s="11" t="s">
        <v>703</v>
      </c>
      <c r="T1418" s="11" t="s">
        <v>2350</v>
      </c>
      <c r="U1418" s="11">
        <v>46321</v>
      </c>
      <c r="V1418" s="12">
        <v>42082</v>
      </c>
      <c r="W1418" s="13" t="str">
        <f>TEXT(Table1[[#This Row],[Order Date]],"mmmm")</f>
        <v>March</v>
      </c>
      <c r="X1418" s="7" t="str">
        <f>TEXT(Table1[[#This Row],[Order Date]],"yyyy")</f>
        <v>2015</v>
      </c>
      <c r="Y1418" s="12">
        <v>42083</v>
      </c>
      <c r="Z1418" s="11">
        <v>30.63</v>
      </c>
      <c r="AA1418" s="11">
        <v>7</v>
      </c>
      <c r="AB1418" s="11">
        <v>90.44</v>
      </c>
      <c r="AC1418" s="11">
        <v>91310</v>
      </c>
      <c r="AD1418" s="6" t="str">
        <f>IF(COUNTIF(Returns!$A$2:$A$1635,Orders!AC1418)&gt;0,"Returned","Not Returned")</f>
        <v>Not Returned</v>
      </c>
    </row>
    <row r="1419" spans="1:30" ht="12.75" customHeight="1" thickTop="1" thickBot="1" x14ac:dyDescent="0.25">
      <c r="A1419" s="8">
        <v>18219</v>
      </c>
      <c r="B1419" s="1" t="s">
        <v>56</v>
      </c>
      <c r="C1419" s="1">
        <v>0.02</v>
      </c>
      <c r="D1419" s="1">
        <v>6.48</v>
      </c>
      <c r="E1419" s="1">
        <v>8.74</v>
      </c>
      <c r="F1419" s="1">
        <v>2506</v>
      </c>
      <c r="G1419" s="6" t="str">
        <f>IF(COUNTIF(Table1[Customer ID],Table1[[#This Row],[Customer ID]])&gt;1,"Repeat Customer","One-Time Customer")</f>
        <v>One-Time Customer</v>
      </c>
      <c r="H1419" s="1" t="s">
        <v>2351</v>
      </c>
      <c r="I1419" s="1" t="s">
        <v>49</v>
      </c>
      <c r="J1419" s="1" t="s">
        <v>40</v>
      </c>
      <c r="K1419" s="1" t="s">
        <v>29</v>
      </c>
      <c r="L1419" s="1" t="s">
        <v>93</v>
      </c>
      <c r="M1419" s="1" t="s">
        <v>59</v>
      </c>
      <c r="N1419" s="1" t="s">
        <v>2352</v>
      </c>
      <c r="O1419" s="1">
        <v>0.36</v>
      </c>
      <c r="P1419" s="6">
        <f>Table1[[#This Row],[Profit]]/Table1[[#This Row],[Sales]]</f>
        <v>-0.63759328358208955</v>
      </c>
      <c r="Q1419" s="1" t="s">
        <v>33</v>
      </c>
      <c r="R1419" s="1" t="s">
        <v>53</v>
      </c>
      <c r="S1419" s="1" t="s">
        <v>228</v>
      </c>
      <c r="T1419" s="1" t="s">
        <v>2353</v>
      </c>
      <c r="U1419" s="1">
        <v>6408</v>
      </c>
      <c r="V1419" s="9">
        <v>42160</v>
      </c>
      <c r="W1419" s="13" t="str">
        <f>TEXT(Table1[[#This Row],[Order Date]],"mmmm")</f>
        <v>June</v>
      </c>
      <c r="X1419" s="7" t="str">
        <f>TEXT(Table1[[#This Row],[Order Date]],"yyyy")</f>
        <v>2015</v>
      </c>
      <c r="Y1419" s="9">
        <v>42162</v>
      </c>
      <c r="Z1419" s="1">
        <v>-6.835</v>
      </c>
      <c r="AA1419" s="1">
        <v>1</v>
      </c>
      <c r="AB1419" s="1">
        <v>10.72</v>
      </c>
      <c r="AC1419" s="1">
        <v>87033</v>
      </c>
      <c r="AD1419" s="6" t="str">
        <f>IF(COUNTIF(Returns!$A$2:$A$1635,Orders!AC1419)&gt;0,"Returned","Not Returned")</f>
        <v>Not Returned</v>
      </c>
    </row>
    <row r="1420" spans="1:30" ht="12.75" customHeight="1" thickTop="1" thickBot="1" x14ac:dyDescent="0.25">
      <c r="A1420" s="10">
        <v>18217</v>
      </c>
      <c r="B1420" s="11" t="s">
        <v>56</v>
      </c>
      <c r="C1420" s="11">
        <v>0.06</v>
      </c>
      <c r="D1420" s="11">
        <v>699.99</v>
      </c>
      <c r="E1420" s="11">
        <v>24.49</v>
      </c>
      <c r="F1420" s="11">
        <v>2507</v>
      </c>
      <c r="G1420" s="6" t="str">
        <f>IF(COUNTIF(Table1[Customer ID],Table1[[#This Row],[Customer ID]])&gt;1,"Repeat Customer","One-Time Customer")</f>
        <v>One-Time Customer</v>
      </c>
      <c r="H1420" s="11" t="s">
        <v>2354</v>
      </c>
      <c r="I1420" s="11" t="s">
        <v>27</v>
      </c>
      <c r="J1420" s="11" t="s">
        <v>40</v>
      </c>
      <c r="K1420" s="11" t="s">
        <v>77</v>
      </c>
      <c r="L1420" s="11" t="s">
        <v>587</v>
      </c>
      <c r="M1420" s="11" t="s">
        <v>236</v>
      </c>
      <c r="N1420" s="11" t="s">
        <v>588</v>
      </c>
      <c r="O1420" s="11">
        <v>0.41</v>
      </c>
      <c r="P1420" s="6">
        <f>Table1[[#This Row],[Profit]]/Table1[[#This Row],[Sales]]</f>
        <v>0.69</v>
      </c>
      <c r="Q1420" s="11" t="s">
        <v>33</v>
      </c>
      <c r="R1420" s="11" t="s">
        <v>53</v>
      </c>
      <c r="S1420" s="11" t="s">
        <v>188</v>
      </c>
      <c r="T1420" s="11" t="s">
        <v>450</v>
      </c>
      <c r="U1420" s="11">
        <v>4401</v>
      </c>
      <c r="V1420" s="12">
        <v>42160</v>
      </c>
      <c r="W1420" s="13" t="str">
        <f>TEXT(Table1[[#This Row],[Order Date]],"mmmm")</f>
        <v>June</v>
      </c>
      <c r="X1420" s="7" t="str">
        <f>TEXT(Table1[[#This Row],[Order Date]],"yyyy")</f>
        <v>2015</v>
      </c>
      <c r="Y1420" s="12">
        <v>42162</v>
      </c>
      <c r="Z1420" s="11">
        <v>7024.2068999999992</v>
      </c>
      <c r="AA1420" s="11">
        <v>15</v>
      </c>
      <c r="AB1420" s="11">
        <v>10180.01</v>
      </c>
      <c r="AC1420" s="11">
        <v>87033</v>
      </c>
      <c r="AD1420" s="6" t="str">
        <f>IF(COUNTIF(Returns!$A$2:$A$1635,Orders!AC1420)&gt;0,"Returned","Not Returned")</f>
        <v>Not Returned</v>
      </c>
    </row>
    <row r="1421" spans="1:30" ht="12.75" customHeight="1" thickTop="1" thickBot="1" x14ac:dyDescent="0.25">
      <c r="A1421" s="8">
        <v>23265</v>
      </c>
      <c r="B1421" s="1" t="s">
        <v>106</v>
      </c>
      <c r="C1421" s="1">
        <v>0.02</v>
      </c>
      <c r="D1421" s="1">
        <v>5.81</v>
      </c>
      <c r="E1421" s="1">
        <v>8.49</v>
      </c>
      <c r="F1421" s="1">
        <v>2508</v>
      </c>
      <c r="G1421" s="6" t="str">
        <f>IF(COUNTIF(Table1[Customer ID],Table1[[#This Row],[Customer ID]])&gt;1,"Repeat Customer","One-Time Customer")</f>
        <v>One-Time Customer</v>
      </c>
      <c r="H1421" s="1" t="s">
        <v>2355</v>
      </c>
      <c r="I1421" s="1" t="s">
        <v>49</v>
      </c>
      <c r="J1421" s="1" t="s">
        <v>40</v>
      </c>
      <c r="K1421" s="1" t="s">
        <v>29</v>
      </c>
      <c r="L1421" s="1" t="s">
        <v>109</v>
      </c>
      <c r="M1421" s="1" t="s">
        <v>59</v>
      </c>
      <c r="N1421" s="1" t="s">
        <v>325</v>
      </c>
      <c r="O1421" s="1">
        <v>0.39</v>
      </c>
      <c r="P1421" s="6">
        <f>Table1[[#This Row],[Profit]]/Table1[[#This Row],[Sales]]</f>
        <v>-3.2397266729500473</v>
      </c>
      <c r="Q1421" s="1" t="s">
        <v>33</v>
      </c>
      <c r="R1421" s="1" t="s">
        <v>53</v>
      </c>
      <c r="S1421" s="1" t="s">
        <v>188</v>
      </c>
      <c r="T1421" s="1" t="s">
        <v>433</v>
      </c>
      <c r="U1421" s="1">
        <v>4073</v>
      </c>
      <c r="V1421" s="9">
        <v>42012</v>
      </c>
      <c r="W1421" s="13" t="str">
        <f>TEXT(Table1[[#This Row],[Order Date]],"mmmm")</f>
        <v>January</v>
      </c>
      <c r="X1421" s="7" t="str">
        <f>TEXT(Table1[[#This Row],[Order Date]],"yyyy")</f>
        <v>2015</v>
      </c>
      <c r="Y1421" s="9">
        <v>42016</v>
      </c>
      <c r="Z1421" s="1">
        <v>-137.494</v>
      </c>
      <c r="AA1421" s="1">
        <v>7</v>
      </c>
      <c r="AB1421" s="1">
        <v>42.44</v>
      </c>
      <c r="AC1421" s="1">
        <v>87031</v>
      </c>
      <c r="AD1421" s="6" t="str">
        <f>IF(COUNTIF(Returns!$A$2:$A$1635,Orders!AC1421)&gt;0,"Returned","Not Returned")</f>
        <v>Not Returned</v>
      </c>
    </row>
    <row r="1422" spans="1:30" ht="12.75" customHeight="1" thickTop="1" thickBot="1" x14ac:dyDescent="0.25">
      <c r="A1422" s="10">
        <v>21918</v>
      </c>
      <c r="B1422" s="11" t="s">
        <v>56</v>
      </c>
      <c r="C1422" s="11">
        <v>0.05</v>
      </c>
      <c r="D1422" s="11">
        <v>30.98</v>
      </c>
      <c r="E1422" s="11">
        <v>9.18</v>
      </c>
      <c r="F1422" s="11">
        <v>2509</v>
      </c>
      <c r="G1422" s="6" t="str">
        <f>IF(COUNTIF(Table1[Customer ID],Table1[[#This Row],[Customer ID]])&gt;1,"Repeat Customer","One-Time Customer")</f>
        <v>One-Time Customer</v>
      </c>
      <c r="H1422" s="11" t="s">
        <v>2356</v>
      </c>
      <c r="I1422" s="11" t="s">
        <v>49</v>
      </c>
      <c r="J1422" s="11" t="s">
        <v>40</v>
      </c>
      <c r="K1422" s="11" t="s">
        <v>29</v>
      </c>
      <c r="L1422" s="11" t="s">
        <v>93</v>
      </c>
      <c r="M1422" s="11" t="s">
        <v>59</v>
      </c>
      <c r="N1422" s="11" t="s">
        <v>2357</v>
      </c>
      <c r="O1422" s="11">
        <v>0.4</v>
      </c>
      <c r="P1422" s="6">
        <f>Table1[[#This Row],[Profit]]/Table1[[#This Row],[Sales]]</f>
        <v>0.66729359880666717</v>
      </c>
      <c r="Q1422" s="11" t="s">
        <v>33</v>
      </c>
      <c r="R1422" s="11" t="s">
        <v>53</v>
      </c>
      <c r="S1422" s="11" t="s">
        <v>188</v>
      </c>
      <c r="T1422" s="11" t="s">
        <v>594</v>
      </c>
      <c r="U1422" s="11">
        <v>4106</v>
      </c>
      <c r="V1422" s="12">
        <v>42129</v>
      </c>
      <c r="W1422" s="13" t="str">
        <f>TEXT(Table1[[#This Row],[Order Date]],"mmmm")</f>
        <v>May</v>
      </c>
      <c r="X1422" s="7" t="str">
        <f>TEXT(Table1[[#This Row],[Order Date]],"yyyy")</f>
        <v>2015</v>
      </c>
      <c r="Y1422" s="12">
        <v>42129</v>
      </c>
      <c r="Z1422" s="11">
        <v>308.67</v>
      </c>
      <c r="AA1422" s="11">
        <v>15</v>
      </c>
      <c r="AB1422" s="11">
        <v>462.57</v>
      </c>
      <c r="AC1422" s="11">
        <v>87029</v>
      </c>
      <c r="AD1422" s="6" t="str">
        <f>IF(COUNTIF(Returns!$A$2:$A$1635,Orders!AC1422)&gt;0,"Returned","Not Returned")</f>
        <v>Not Returned</v>
      </c>
    </row>
    <row r="1423" spans="1:30" ht="12.75" customHeight="1" thickTop="1" thickBot="1" x14ac:dyDescent="0.25">
      <c r="A1423" s="8">
        <v>21102</v>
      </c>
      <c r="B1423" s="1" t="s">
        <v>37</v>
      </c>
      <c r="C1423" s="1">
        <v>0.04</v>
      </c>
      <c r="D1423" s="1">
        <v>6.48</v>
      </c>
      <c r="E1423" s="1">
        <v>9.5399999999999991</v>
      </c>
      <c r="F1423" s="1">
        <v>2512</v>
      </c>
      <c r="G1423" s="6" t="str">
        <f>IF(COUNTIF(Table1[Customer ID],Table1[[#This Row],[Customer ID]])&gt;1,"Repeat Customer","One-Time Customer")</f>
        <v>One-Time Customer</v>
      </c>
      <c r="H1423" s="1" t="s">
        <v>2358</v>
      </c>
      <c r="I1423" s="1" t="s">
        <v>49</v>
      </c>
      <c r="J1423" s="1" t="s">
        <v>40</v>
      </c>
      <c r="K1423" s="1" t="s">
        <v>29</v>
      </c>
      <c r="L1423" s="1" t="s">
        <v>93</v>
      </c>
      <c r="M1423" s="1" t="s">
        <v>59</v>
      </c>
      <c r="N1423" s="1" t="s">
        <v>2359</v>
      </c>
      <c r="O1423" s="1">
        <v>0.37</v>
      </c>
      <c r="P1423" s="6">
        <f>Table1[[#This Row],[Profit]]/Table1[[#This Row],[Sales]]</f>
        <v>-1.7862646566164155</v>
      </c>
      <c r="Q1423" s="1" t="s">
        <v>33</v>
      </c>
      <c r="R1423" s="1" t="s">
        <v>53</v>
      </c>
      <c r="S1423" s="1" t="s">
        <v>193</v>
      </c>
      <c r="T1423" s="1" t="s">
        <v>2360</v>
      </c>
      <c r="U1423" s="1">
        <v>2138</v>
      </c>
      <c r="V1423" s="9">
        <v>42170</v>
      </c>
      <c r="W1423" s="13" t="str">
        <f>TEXT(Table1[[#This Row],[Order Date]],"mmmm")</f>
        <v>June</v>
      </c>
      <c r="X1423" s="7" t="str">
        <f>TEXT(Table1[[#This Row],[Order Date]],"yyyy")</f>
        <v>2015</v>
      </c>
      <c r="Y1423" s="9">
        <v>42172</v>
      </c>
      <c r="Z1423" s="1">
        <v>-223.94400000000002</v>
      </c>
      <c r="AA1423" s="1">
        <v>19</v>
      </c>
      <c r="AB1423" s="1">
        <v>125.37</v>
      </c>
      <c r="AC1423" s="1">
        <v>87030</v>
      </c>
      <c r="AD1423" s="6" t="str">
        <f>IF(COUNTIF(Returns!$A$2:$A$1635,Orders!AC1423)&gt;0,"Returned","Not Returned")</f>
        <v>Not Returned</v>
      </c>
    </row>
    <row r="1424" spans="1:30" ht="12.75" customHeight="1" thickTop="1" thickBot="1" x14ac:dyDescent="0.25">
      <c r="A1424" s="10">
        <v>18220</v>
      </c>
      <c r="B1424" s="11" t="s">
        <v>56</v>
      </c>
      <c r="C1424" s="11">
        <v>0.02</v>
      </c>
      <c r="D1424" s="11">
        <v>17.149999999999999</v>
      </c>
      <c r="E1424" s="11">
        <v>4.96</v>
      </c>
      <c r="F1424" s="11">
        <v>2516</v>
      </c>
      <c r="G1424" s="6" t="str">
        <f>IF(COUNTIF(Table1[Customer ID],Table1[[#This Row],[Customer ID]])&gt;1,"Repeat Customer","One-Time Customer")</f>
        <v>One-Time Customer</v>
      </c>
      <c r="H1424" s="11" t="s">
        <v>2361</v>
      </c>
      <c r="I1424" s="11" t="s">
        <v>49</v>
      </c>
      <c r="J1424" s="11" t="s">
        <v>40</v>
      </c>
      <c r="K1424" s="11" t="s">
        <v>29</v>
      </c>
      <c r="L1424" s="11" t="s">
        <v>141</v>
      </c>
      <c r="M1424" s="11" t="s">
        <v>59</v>
      </c>
      <c r="N1424" s="11" t="s">
        <v>605</v>
      </c>
      <c r="O1424" s="11">
        <v>0.57999999999999996</v>
      </c>
      <c r="P1424" s="6">
        <f>Table1[[#This Row],[Profit]]/Table1[[#This Row],[Sales]]</f>
        <v>0.19122347393240766</v>
      </c>
      <c r="Q1424" s="11" t="s">
        <v>33</v>
      </c>
      <c r="R1424" s="11" t="s">
        <v>53</v>
      </c>
      <c r="S1424" s="11" t="s">
        <v>54</v>
      </c>
      <c r="T1424" s="11" t="s">
        <v>1481</v>
      </c>
      <c r="U1424" s="11">
        <v>7631</v>
      </c>
      <c r="V1424" s="12">
        <v>42160</v>
      </c>
      <c r="W1424" s="13" t="str">
        <f>TEXT(Table1[[#This Row],[Order Date]],"mmmm")</f>
        <v>June</v>
      </c>
      <c r="X1424" s="7" t="str">
        <f>TEXT(Table1[[#This Row],[Order Date]],"yyyy")</f>
        <v>2015</v>
      </c>
      <c r="Y1424" s="12">
        <v>42162</v>
      </c>
      <c r="Z1424" s="11">
        <v>36.494999999999997</v>
      </c>
      <c r="AA1424" s="11">
        <v>11</v>
      </c>
      <c r="AB1424" s="11">
        <v>190.85</v>
      </c>
      <c r="AC1424" s="11">
        <v>87033</v>
      </c>
      <c r="AD1424" s="6" t="str">
        <f>IF(COUNTIF(Returns!$A$2:$A$1635,Orders!AC1424)&gt;0,"Returned","Not Returned")</f>
        <v>Not Returned</v>
      </c>
    </row>
    <row r="1425" spans="1:30" ht="12.75" customHeight="1" thickTop="1" thickBot="1" x14ac:dyDescent="0.25">
      <c r="A1425" s="8">
        <v>18221</v>
      </c>
      <c r="B1425" s="1" t="s">
        <v>56</v>
      </c>
      <c r="C1425" s="1">
        <v>7.0000000000000007E-2</v>
      </c>
      <c r="D1425" s="1">
        <v>30.98</v>
      </c>
      <c r="E1425" s="1">
        <v>8.74</v>
      </c>
      <c r="F1425" s="1">
        <v>2520</v>
      </c>
      <c r="G1425" s="6" t="str">
        <f>IF(COUNTIF(Table1[Customer ID],Table1[[#This Row],[Customer ID]])&gt;1,"Repeat Customer","One-Time Customer")</f>
        <v>One-Time Customer</v>
      </c>
      <c r="H1425" s="1" t="s">
        <v>2362</v>
      </c>
      <c r="I1425" s="1" t="s">
        <v>49</v>
      </c>
      <c r="J1425" s="1" t="s">
        <v>40</v>
      </c>
      <c r="K1425" s="1" t="s">
        <v>29</v>
      </c>
      <c r="L1425" s="1" t="s">
        <v>93</v>
      </c>
      <c r="M1425" s="1" t="s">
        <v>59</v>
      </c>
      <c r="N1425" s="1" t="s">
        <v>2066</v>
      </c>
      <c r="O1425" s="1">
        <v>0.4</v>
      </c>
      <c r="P1425" s="6">
        <f>Table1[[#This Row],[Profit]]/Table1[[#This Row],[Sales]]</f>
        <v>0.69</v>
      </c>
      <c r="Q1425" s="1" t="s">
        <v>33</v>
      </c>
      <c r="R1425" s="1" t="s">
        <v>53</v>
      </c>
      <c r="S1425" s="1" t="s">
        <v>469</v>
      </c>
      <c r="T1425" s="1" t="s">
        <v>2363</v>
      </c>
      <c r="U1425" s="1">
        <v>2908</v>
      </c>
      <c r="V1425" s="9">
        <v>42160</v>
      </c>
      <c r="W1425" s="13" t="str">
        <f>TEXT(Table1[[#This Row],[Order Date]],"mmmm")</f>
        <v>June</v>
      </c>
      <c r="X1425" s="7" t="str">
        <f>TEXT(Table1[[#This Row],[Order Date]],"yyyy")</f>
        <v>2015</v>
      </c>
      <c r="Y1425" s="9">
        <v>42161</v>
      </c>
      <c r="Z1425" s="1">
        <v>255.76919999999998</v>
      </c>
      <c r="AA1425" s="1">
        <v>12</v>
      </c>
      <c r="AB1425" s="1">
        <v>370.68</v>
      </c>
      <c r="AC1425" s="1">
        <v>87033</v>
      </c>
      <c r="AD1425" s="6" t="str">
        <f>IF(COUNTIF(Returns!$A$2:$A$1635,Orders!AC1425)&gt;0,"Returned","Not Returned")</f>
        <v>Not Returned</v>
      </c>
    </row>
    <row r="1426" spans="1:30" ht="12.75" customHeight="1" thickTop="1" thickBot="1" x14ac:dyDescent="0.25">
      <c r="A1426" s="10">
        <v>25463</v>
      </c>
      <c r="B1426" s="11" t="s">
        <v>56</v>
      </c>
      <c r="C1426" s="11">
        <v>0</v>
      </c>
      <c r="D1426" s="11">
        <v>175.99</v>
      </c>
      <c r="E1426" s="11">
        <v>4.99</v>
      </c>
      <c r="F1426" s="11">
        <v>2521</v>
      </c>
      <c r="G1426" s="6" t="str">
        <f>IF(COUNTIF(Table1[Customer ID],Table1[[#This Row],[Customer ID]])&gt;1,"Repeat Customer","One-Time Customer")</f>
        <v>One-Time Customer</v>
      </c>
      <c r="H1426" s="11" t="s">
        <v>2364</v>
      </c>
      <c r="I1426" s="11" t="s">
        <v>49</v>
      </c>
      <c r="J1426" s="11" t="s">
        <v>40</v>
      </c>
      <c r="K1426" s="11" t="s">
        <v>77</v>
      </c>
      <c r="L1426" s="11" t="s">
        <v>78</v>
      </c>
      <c r="M1426" s="11" t="s">
        <v>59</v>
      </c>
      <c r="N1426" s="11" t="s">
        <v>139</v>
      </c>
      <c r="O1426" s="11">
        <v>0.59</v>
      </c>
      <c r="P1426" s="6">
        <f>Table1[[#This Row],[Profit]]/Table1[[#This Row],[Sales]]</f>
        <v>0.69</v>
      </c>
      <c r="Q1426" s="11" t="s">
        <v>33</v>
      </c>
      <c r="R1426" s="11" t="s">
        <v>61</v>
      </c>
      <c r="S1426" s="11" t="s">
        <v>130</v>
      </c>
      <c r="T1426" s="11" t="s">
        <v>2365</v>
      </c>
      <c r="U1426" s="11">
        <v>75109</v>
      </c>
      <c r="V1426" s="12">
        <v>42053</v>
      </c>
      <c r="W1426" s="13" t="str">
        <f>TEXT(Table1[[#This Row],[Order Date]],"mmmm")</f>
        <v>February</v>
      </c>
      <c r="X1426" s="7" t="str">
        <f>TEXT(Table1[[#This Row],[Order Date]],"yyyy")</f>
        <v>2015</v>
      </c>
      <c r="Y1426" s="12">
        <v>42056</v>
      </c>
      <c r="Z1426" s="11">
        <v>1656.6554999999998</v>
      </c>
      <c r="AA1426" s="11">
        <v>15</v>
      </c>
      <c r="AB1426" s="11">
        <v>2400.9499999999998</v>
      </c>
      <c r="AC1426" s="11">
        <v>87032</v>
      </c>
      <c r="AD1426" s="6" t="str">
        <f>IF(COUNTIF(Returns!$A$2:$A$1635,Orders!AC1426)&gt;0,"Returned","Not Returned")</f>
        <v>Not Returned</v>
      </c>
    </row>
    <row r="1427" spans="1:30" ht="12.75" customHeight="1" thickTop="1" thickBot="1" x14ac:dyDescent="0.25">
      <c r="A1427" s="8">
        <v>18218</v>
      </c>
      <c r="B1427" s="1" t="s">
        <v>56</v>
      </c>
      <c r="C1427" s="1">
        <v>0.04</v>
      </c>
      <c r="D1427" s="1">
        <v>1360.14</v>
      </c>
      <c r="E1427" s="1">
        <v>14.7</v>
      </c>
      <c r="F1427" s="1">
        <v>2522</v>
      </c>
      <c r="G1427" s="6" t="str">
        <f>IF(COUNTIF(Table1[Customer ID],Table1[[#This Row],[Customer ID]])&gt;1,"Repeat Customer","One-Time Customer")</f>
        <v>One-Time Customer</v>
      </c>
      <c r="H1427" s="1" t="s">
        <v>2366</v>
      </c>
      <c r="I1427" s="1" t="s">
        <v>39</v>
      </c>
      <c r="J1427" s="1" t="s">
        <v>40</v>
      </c>
      <c r="K1427" s="1" t="s">
        <v>77</v>
      </c>
      <c r="L1427" s="1" t="s">
        <v>85</v>
      </c>
      <c r="M1427" s="1" t="s">
        <v>43</v>
      </c>
      <c r="N1427" s="1" t="s">
        <v>600</v>
      </c>
      <c r="O1427" s="1">
        <v>0.59</v>
      </c>
      <c r="P1427" s="6">
        <f>Table1[[#This Row],[Profit]]/Table1[[#This Row],[Sales]]</f>
        <v>0.36135724115266904</v>
      </c>
      <c r="Q1427" s="1" t="s">
        <v>33</v>
      </c>
      <c r="R1427" s="1" t="s">
        <v>53</v>
      </c>
      <c r="S1427" s="1" t="s">
        <v>149</v>
      </c>
      <c r="T1427" s="1" t="s">
        <v>150</v>
      </c>
      <c r="U1427" s="1">
        <v>5401</v>
      </c>
      <c r="V1427" s="9">
        <v>42160</v>
      </c>
      <c r="W1427" s="13" t="str">
        <f>TEXT(Table1[[#This Row],[Order Date]],"mmmm")</f>
        <v>June</v>
      </c>
      <c r="X1427" s="7" t="str">
        <f>TEXT(Table1[[#This Row],[Order Date]],"yyyy")</f>
        <v>2015</v>
      </c>
      <c r="Y1427" s="9">
        <v>42163</v>
      </c>
      <c r="Z1427" s="1">
        <v>2639.0099999999998</v>
      </c>
      <c r="AA1427" s="1">
        <v>6</v>
      </c>
      <c r="AB1427" s="1">
        <v>7303.05</v>
      </c>
      <c r="AC1427" s="1">
        <v>87033</v>
      </c>
      <c r="AD1427" s="6" t="str">
        <f>IF(COUNTIF(Returns!$A$2:$A$1635,Orders!AC1427)&gt;0,"Returned","Not Returned")</f>
        <v>Not Returned</v>
      </c>
    </row>
    <row r="1428" spans="1:30" ht="12.75" customHeight="1" thickTop="1" thickBot="1" x14ac:dyDescent="0.25">
      <c r="A1428" s="10">
        <v>18866</v>
      </c>
      <c r="B1428" s="11" t="s">
        <v>47</v>
      </c>
      <c r="C1428" s="11">
        <v>0.01</v>
      </c>
      <c r="D1428" s="11">
        <v>2.16</v>
      </c>
      <c r="E1428" s="11">
        <v>6.05</v>
      </c>
      <c r="F1428" s="11">
        <v>2526</v>
      </c>
      <c r="G1428" s="6" t="str">
        <f>IF(COUNTIF(Table1[Customer ID],Table1[[#This Row],[Customer ID]])&gt;1,"Repeat Customer","One-Time Customer")</f>
        <v>One-Time Customer</v>
      </c>
      <c r="H1428" s="11" t="s">
        <v>2367</v>
      </c>
      <c r="I1428" s="11" t="s">
        <v>49</v>
      </c>
      <c r="J1428" s="11" t="s">
        <v>28</v>
      </c>
      <c r="K1428" s="11" t="s">
        <v>29</v>
      </c>
      <c r="L1428" s="11" t="s">
        <v>109</v>
      </c>
      <c r="M1428" s="11" t="s">
        <v>59</v>
      </c>
      <c r="N1428" s="11" t="s">
        <v>1536</v>
      </c>
      <c r="O1428" s="11">
        <v>0.37</v>
      </c>
      <c r="P1428" s="6">
        <f>Table1[[#This Row],[Profit]]/Table1[[#This Row],[Sales]]</f>
        <v>6.8175710594315246</v>
      </c>
      <c r="Q1428" s="11" t="s">
        <v>33</v>
      </c>
      <c r="R1428" s="11" t="s">
        <v>136</v>
      </c>
      <c r="S1428" s="11" t="s">
        <v>171</v>
      </c>
      <c r="T1428" s="11" t="s">
        <v>1479</v>
      </c>
      <c r="U1428" s="11">
        <v>70506</v>
      </c>
      <c r="V1428" s="12">
        <v>42147</v>
      </c>
      <c r="W1428" s="13" t="str">
        <f>TEXT(Table1[[#This Row],[Order Date]],"mmmm")</f>
        <v>May</v>
      </c>
      <c r="X1428" s="7" t="str">
        <f>TEXT(Table1[[#This Row],[Order Date]],"yyyy")</f>
        <v>2015</v>
      </c>
      <c r="Y1428" s="12">
        <v>42149</v>
      </c>
      <c r="Z1428" s="11">
        <v>395.76</v>
      </c>
      <c r="AA1428" s="11">
        <v>24</v>
      </c>
      <c r="AB1428" s="11">
        <v>58.05</v>
      </c>
      <c r="AC1428" s="11">
        <v>87208</v>
      </c>
      <c r="AD1428" s="6" t="str">
        <f>IF(COUNTIF(Returns!$A$2:$A$1635,Orders!AC1428)&gt;0,"Returned","Not Returned")</f>
        <v>Not Returned</v>
      </c>
    </row>
    <row r="1429" spans="1:30" ht="12.75" customHeight="1" thickTop="1" thickBot="1" x14ac:dyDescent="0.25">
      <c r="A1429" s="8">
        <v>18867</v>
      </c>
      <c r="B1429" s="1" t="s">
        <v>47</v>
      </c>
      <c r="C1429" s="1">
        <v>7.0000000000000007E-2</v>
      </c>
      <c r="D1429" s="1">
        <v>21.38</v>
      </c>
      <c r="E1429" s="1">
        <v>8.99</v>
      </c>
      <c r="F1429" s="1">
        <v>2527</v>
      </c>
      <c r="G1429" s="6" t="str">
        <f>IF(COUNTIF(Table1[Customer ID],Table1[[#This Row],[Customer ID]])&gt;1,"Repeat Customer","One-Time Customer")</f>
        <v>One-Time Customer</v>
      </c>
      <c r="H1429" s="1" t="s">
        <v>2368</v>
      </c>
      <c r="I1429" s="1" t="s">
        <v>49</v>
      </c>
      <c r="J1429" s="1" t="s">
        <v>28</v>
      </c>
      <c r="K1429" s="1" t="s">
        <v>29</v>
      </c>
      <c r="L1429" s="1" t="s">
        <v>30</v>
      </c>
      <c r="M1429" s="1" t="s">
        <v>51</v>
      </c>
      <c r="N1429" s="1" t="s">
        <v>2199</v>
      </c>
      <c r="O1429" s="1">
        <v>0.59</v>
      </c>
      <c r="P1429" s="6">
        <f>Table1[[#This Row],[Profit]]/Table1[[#This Row],[Sales]]</f>
        <v>-0.57395104895104898</v>
      </c>
      <c r="Q1429" s="1" t="s">
        <v>33</v>
      </c>
      <c r="R1429" s="1" t="s">
        <v>136</v>
      </c>
      <c r="S1429" s="1" t="s">
        <v>171</v>
      </c>
      <c r="T1429" s="1" t="s">
        <v>2369</v>
      </c>
      <c r="U1429" s="1">
        <v>70601</v>
      </c>
      <c r="V1429" s="9">
        <v>42147</v>
      </c>
      <c r="W1429" s="13" t="str">
        <f>TEXT(Table1[[#This Row],[Order Date]],"mmmm")</f>
        <v>May</v>
      </c>
      <c r="X1429" s="7" t="str">
        <f>TEXT(Table1[[#This Row],[Order Date]],"yyyy")</f>
        <v>2015</v>
      </c>
      <c r="Y1429" s="9">
        <v>42149</v>
      </c>
      <c r="Z1429" s="1">
        <v>-39.396000000000001</v>
      </c>
      <c r="AA1429" s="1">
        <v>3</v>
      </c>
      <c r="AB1429" s="1">
        <v>68.64</v>
      </c>
      <c r="AC1429" s="1">
        <v>87208</v>
      </c>
      <c r="AD1429" s="6" t="str">
        <f>IF(COUNTIF(Returns!$A$2:$A$1635,Orders!AC1429)&gt;0,"Returned","Not Returned")</f>
        <v>Not Returned</v>
      </c>
    </row>
    <row r="1430" spans="1:30" ht="12.75" customHeight="1" thickTop="1" thickBot="1" x14ac:dyDescent="0.25">
      <c r="A1430" s="10">
        <v>20254</v>
      </c>
      <c r="B1430" s="11" t="s">
        <v>25</v>
      </c>
      <c r="C1430" s="11">
        <v>0.04</v>
      </c>
      <c r="D1430" s="11">
        <v>40.98</v>
      </c>
      <c r="E1430" s="11">
        <v>6.5</v>
      </c>
      <c r="F1430" s="11">
        <v>2530</v>
      </c>
      <c r="G1430" s="6" t="str">
        <f>IF(COUNTIF(Table1[Customer ID],Table1[[#This Row],[Customer ID]])&gt;1,"Repeat Customer","One-Time Customer")</f>
        <v>One-Time Customer</v>
      </c>
      <c r="H1430" s="11" t="s">
        <v>2370</v>
      </c>
      <c r="I1430" s="11" t="s">
        <v>49</v>
      </c>
      <c r="J1430" s="11" t="s">
        <v>58</v>
      </c>
      <c r="K1430" s="11" t="s">
        <v>77</v>
      </c>
      <c r="L1430" s="11" t="s">
        <v>180</v>
      </c>
      <c r="M1430" s="11" t="s">
        <v>59</v>
      </c>
      <c r="N1430" s="11" t="s">
        <v>1270</v>
      </c>
      <c r="O1430" s="11">
        <v>0.74</v>
      </c>
      <c r="P1430" s="6">
        <f>Table1[[#This Row],[Profit]]/Table1[[#This Row],[Sales]]</f>
        <v>-0.32302306276392251</v>
      </c>
      <c r="Q1430" s="11" t="s">
        <v>33</v>
      </c>
      <c r="R1430" s="11" t="s">
        <v>34</v>
      </c>
      <c r="S1430" s="11" t="s">
        <v>45</v>
      </c>
      <c r="T1430" s="11" t="s">
        <v>2371</v>
      </c>
      <c r="U1430" s="11">
        <v>92307</v>
      </c>
      <c r="V1430" s="12">
        <v>42092</v>
      </c>
      <c r="W1430" s="13" t="str">
        <f>TEXT(Table1[[#This Row],[Order Date]],"mmmm")</f>
        <v>March</v>
      </c>
      <c r="X1430" s="7" t="str">
        <f>TEXT(Table1[[#This Row],[Order Date]],"yyyy")</f>
        <v>2015</v>
      </c>
      <c r="Y1430" s="12">
        <v>42093</v>
      </c>
      <c r="Z1430" s="11">
        <v>-89.5</v>
      </c>
      <c r="AA1430" s="11">
        <v>7</v>
      </c>
      <c r="AB1430" s="11">
        <v>277.07</v>
      </c>
      <c r="AC1430" s="11">
        <v>87451</v>
      </c>
      <c r="AD1430" s="6" t="str">
        <f>IF(COUNTIF(Returns!$A$2:$A$1635,Orders!AC1430)&gt;0,"Returned","Not Returned")</f>
        <v>Not Returned</v>
      </c>
    </row>
    <row r="1431" spans="1:30" ht="12.75" customHeight="1" thickTop="1" thickBot="1" x14ac:dyDescent="0.25">
      <c r="A1431" s="8">
        <v>23782</v>
      </c>
      <c r="B1431" s="1" t="s">
        <v>56</v>
      </c>
      <c r="C1431" s="1">
        <v>0.08</v>
      </c>
      <c r="D1431" s="1">
        <v>4</v>
      </c>
      <c r="E1431" s="1">
        <v>1.3</v>
      </c>
      <c r="F1431" s="1">
        <v>2531</v>
      </c>
      <c r="G1431" s="6" t="str">
        <f>IF(COUNTIF(Table1[Customer ID],Table1[[#This Row],[Customer ID]])&gt;1,"Repeat Customer","One-Time Customer")</f>
        <v>One-Time Customer</v>
      </c>
      <c r="H1431" s="1" t="s">
        <v>2372</v>
      </c>
      <c r="I1431" s="1" t="s">
        <v>49</v>
      </c>
      <c r="J1431" s="1" t="s">
        <v>58</v>
      </c>
      <c r="K1431" s="1" t="s">
        <v>29</v>
      </c>
      <c r="L1431" s="1" t="s">
        <v>93</v>
      </c>
      <c r="M1431" s="1" t="s">
        <v>31</v>
      </c>
      <c r="N1431" s="1" t="s">
        <v>204</v>
      </c>
      <c r="O1431" s="1">
        <v>0.37</v>
      </c>
      <c r="P1431" s="6">
        <f>Table1[[#This Row],[Profit]]/Table1[[#This Row],[Sales]]</f>
        <v>0.54625889594152721</v>
      </c>
      <c r="Q1431" s="1" t="s">
        <v>33</v>
      </c>
      <c r="R1431" s="1" t="s">
        <v>34</v>
      </c>
      <c r="S1431" s="1" t="s">
        <v>45</v>
      </c>
      <c r="T1431" s="1" t="s">
        <v>2373</v>
      </c>
      <c r="U1431" s="1">
        <v>93422</v>
      </c>
      <c r="V1431" s="9">
        <v>42126</v>
      </c>
      <c r="W1431" s="13" t="str">
        <f>TEXT(Table1[[#This Row],[Order Date]],"mmmm")</f>
        <v>May</v>
      </c>
      <c r="X1431" s="7" t="str">
        <f>TEXT(Table1[[#This Row],[Order Date]],"yyyy")</f>
        <v>2015</v>
      </c>
      <c r="Y1431" s="9">
        <v>42128</v>
      </c>
      <c r="Z1431" s="1">
        <v>28.4</v>
      </c>
      <c r="AA1431" s="1">
        <v>14</v>
      </c>
      <c r="AB1431" s="1">
        <v>51.99</v>
      </c>
      <c r="AC1431" s="1">
        <v>87452</v>
      </c>
      <c r="AD1431" s="6" t="str">
        <f>IF(COUNTIF(Returns!$A$2:$A$1635,Orders!AC1431)&gt;0,"Returned","Not Returned")</f>
        <v>Not Returned</v>
      </c>
    </row>
    <row r="1432" spans="1:30" ht="12.75" customHeight="1" thickTop="1" thickBot="1" x14ac:dyDescent="0.25">
      <c r="A1432" s="10">
        <v>20255</v>
      </c>
      <c r="B1432" s="11" t="s">
        <v>25</v>
      </c>
      <c r="C1432" s="11">
        <v>0.05</v>
      </c>
      <c r="D1432" s="11">
        <v>35.99</v>
      </c>
      <c r="E1432" s="11">
        <v>3.3</v>
      </c>
      <c r="F1432" s="11">
        <v>2534</v>
      </c>
      <c r="G1432" s="6" t="str">
        <f>IF(COUNTIF(Table1[Customer ID],Table1[[#This Row],[Customer ID]])&gt;1,"Repeat Customer","One-Time Customer")</f>
        <v>One-Time Customer</v>
      </c>
      <c r="H1432" s="11" t="s">
        <v>2374</v>
      </c>
      <c r="I1432" s="11" t="s">
        <v>49</v>
      </c>
      <c r="J1432" s="11" t="s">
        <v>58</v>
      </c>
      <c r="K1432" s="11" t="s">
        <v>77</v>
      </c>
      <c r="L1432" s="11" t="s">
        <v>78</v>
      </c>
      <c r="M1432" s="11" t="s">
        <v>51</v>
      </c>
      <c r="N1432" s="11" t="s">
        <v>1274</v>
      </c>
      <c r="O1432" s="11">
        <v>0.39</v>
      </c>
      <c r="P1432" s="6">
        <f>Table1[[#This Row],[Profit]]/Table1[[#This Row],[Sales]]</f>
        <v>0.69</v>
      </c>
      <c r="Q1432" s="11" t="s">
        <v>33</v>
      </c>
      <c r="R1432" s="11" t="s">
        <v>53</v>
      </c>
      <c r="S1432" s="11" t="s">
        <v>188</v>
      </c>
      <c r="T1432" s="11" t="s">
        <v>450</v>
      </c>
      <c r="U1432" s="11">
        <v>4401</v>
      </c>
      <c r="V1432" s="12">
        <v>42092</v>
      </c>
      <c r="W1432" s="13" t="str">
        <f>TEXT(Table1[[#This Row],[Order Date]],"mmmm")</f>
        <v>March</v>
      </c>
      <c r="X1432" s="7" t="str">
        <f>TEXT(Table1[[#This Row],[Order Date]],"yyyy")</f>
        <v>2015</v>
      </c>
      <c r="Y1432" s="12">
        <v>42094</v>
      </c>
      <c r="Z1432" s="11">
        <v>103.27229999999999</v>
      </c>
      <c r="AA1432" s="11">
        <v>5</v>
      </c>
      <c r="AB1432" s="11">
        <v>149.66999999999999</v>
      </c>
      <c r="AC1432" s="11">
        <v>87451</v>
      </c>
      <c r="AD1432" s="6" t="str">
        <f>IF(COUNTIF(Returns!$A$2:$A$1635,Orders!AC1432)&gt;0,"Returned","Not Returned")</f>
        <v>Not Returned</v>
      </c>
    </row>
    <row r="1433" spans="1:30" ht="12.75" customHeight="1" thickTop="1" thickBot="1" x14ac:dyDescent="0.25">
      <c r="A1433" s="8">
        <v>22839</v>
      </c>
      <c r="B1433" s="1" t="s">
        <v>37</v>
      </c>
      <c r="C1433" s="1">
        <v>0.08</v>
      </c>
      <c r="D1433" s="1">
        <v>12.53</v>
      </c>
      <c r="E1433" s="1">
        <v>0.5</v>
      </c>
      <c r="F1433" s="1">
        <v>2539</v>
      </c>
      <c r="G1433" s="6" t="str">
        <f>IF(COUNTIF(Table1[Customer ID],Table1[[#This Row],[Customer ID]])&gt;1,"Repeat Customer","One-Time Customer")</f>
        <v>One-Time Customer</v>
      </c>
      <c r="H1433" s="1" t="s">
        <v>2375</v>
      </c>
      <c r="I1433" s="1" t="s">
        <v>49</v>
      </c>
      <c r="J1433" s="1" t="s">
        <v>40</v>
      </c>
      <c r="K1433" s="1" t="s">
        <v>29</v>
      </c>
      <c r="L1433" s="1" t="s">
        <v>134</v>
      </c>
      <c r="M1433" s="1" t="s">
        <v>59</v>
      </c>
      <c r="N1433" s="1" t="s">
        <v>1664</v>
      </c>
      <c r="O1433" s="1">
        <v>0.38</v>
      </c>
      <c r="P1433" s="6">
        <f>Table1[[#This Row],[Profit]]/Table1[[#This Row],[Sales]]</f>
        <v>3.5305728314238949</v>
      </c>
      <c r="Q1433" s="1" t="s">
        <v>33</v>
      </c>
      <c r="R1433" s="1" t="s">
        <v>136</v>
      </c>
      <c r="S1433" s="1" t="s">
        <v>362</v>
      </c>
      <c r="T1433" s="1" t="s">
        <v>2376</v>
      </c>
      <c r="U1433" s="1">
        <v>32789</v>
      </c>
      <c r="V1433" s="9">
        <v>42101</v>
      </c>
      <c r="W1433" s="13" t="str">
        <f>TEXT(Table1[[#This Row],[Order Date]],"mmmm")</f>
        <v>April</v>
      </c>
      <c r="X1433" s="7" t="str">
        <f>TEXT(Table1[[#This Row],[Order Date]],"yyyy")</f>
        <v>2015</v>
      </c>
      <c r="Y1433" s="9">
        <v>42102</v>
      </c>
      <c r="Z1433" s="1">
        <v>215.71799999999999</v>
      </c>
      <c r="AA1433" s="1">
        <v>5</v>
      </c>
      <c r="AB1433" s="1">
        <v>61.1</v>
      </c>
      <c r="AC1433" s="1">
        <v>91017</v>
      </c>
      <c r="AD1433" s="6" t="str">
        <f>IF(COUNTIF(Returns!$A$2:$A$1635,Orders!AC1433)&gt;0,"Returned","Not Returned")</f>
        <v>Not Returned</v>
      </c>
    </row>
    <row r="1434" spans="1:30" ht="12.75" customHeight="1" thickTop="1" thickBot="1" x14ac:dyDescent="0.25">
      <c r="A1434" s="10">
        <v>22840</v>
      </c>
      <c r="B1434" s="11" t="s">
        <v>37</v>
      </c>
      <c r="C1434" s="11">
        <v>0.02</v>
      </c>
      <c r="D1434" s="11">
        <v>178.47</v>
      </c>
      <c r="E1434" s="11">
        <v>19.989999999999998</v>
      </c>
      <c r="F1434" s="11">
        <v>2540</v>
      </c>
      <c r="G1434" s="6" t="str">
        <f>IF(COUNTIF(Table1[Customer ID],Table1[[#This Row],[Customer ID]])&gt;1,"Repeat Customer","One-Time Customer")</f>
        <v>One-Time Customer</v>
      </c>
      <c r="H1434" s="11" t="s">
        <v>2377</v>
      </c>
      <c r="I1434" s="11" t="s">
        <v>49</v>
      </c>
      <c r="J1434" s="11" t="s">
        <v>40</v>
      </c>
      <c r="K1434" s="11" t="s">
        <v>29</v>
      </c>
      <c r="L1434" s="11" t="s">
        <v>141</v>
      </c>
      <c r="M1434" s="11" t="s">
        <v>59</v>
      </c>
      <c r="N1434" s="11" t="s">
        <v>528</v>
      </c>
      <c r="O1434" s="11">
        <v>0.55000000000000004</v>
      </c>
      <c r="P1434" s="6">
        <f>Table1[[#This Row],[Profit]]/Table1[[#This Row],[Sales]]</f>
        <v>0.55200866828337025</v>
      </c>
      <c r="Q1434" s="11" t="s">
        <v>33</v>
      </c>
      <c r="R1434" s="11" t="s">
        <v>136</v>
      </c>
      <c r="S1434" s="11" t="s">
        <v>362</v>
      </c>
      <c r="T1434" s="11" t="s">
        <v>2378</v>
      </c>
      <c r="U1434" s="11">
        <v>32708</v>
      </c>
      <c r="V1434" s="12">
        <v>42101</v>
      </c>
      <c r="W1434" s="13" t="str">
        <f>TEXT(Table1[[#This Row],[Order Date]],"mmmm")</f>
        <v>April</v>
      </c>
      <c r="X1434" s="7" t="str">
        <f>TEXT(Table1[[#This Row],[Order Date]],"yyyy")</f>
        <v>2015</v>
      </c>
      <c r="Y1434" s="12">
        <v>42102</v>
      </c>
      <c r="Z1434" s="11">
        <v>106.98479999999999</v>
      </c>
      <c r="AA1434" s="11">
        <v>1</v>
      </c>
      <c r="AB1434" s="11">
        <v>193.81</v>
      </c>
      <c r="AC1434" s="11">
        <v>91017</v>
      </c>
      <c r="AD1434" s="6" t="str">
        <f>IF(COUNTIF(Returns!$A$2:$A$1635,Orders!AC1434)&gt;0,"Returned","Not Returned")</f>
        <v>Not Returned</v>
      </c>
    </row>
    <row r="1435" spans="1:30" ht="12.75" customHeight="1" thickTop="1" thickBot="1" x14ac:dyDescent="0.25">
      <c r="A1435" s="8">
        <v>19031</v>
      </c>
      <c r="B1435" s="1" t="s">
        <v>56</v>
      </c>
      <c r="C1435" s="1">
        <v>0.05</v>
      </c>
      <c r="D1435" s="1">
        <v>15.68</v>
      </c>
      <c r="E1435" s="1">
        <v>3.73</v>
      </c>
      <c r="F1435" s="1">
        <v>2543</v>
      </c>
      <c r="G1435" s="6" t="str">
        <f>IF(COUNTIF(Table1[Customer ID],Table1[[#This Row],[Customer ID]])&gt;1,"Repeat Customer","One-Time Customer")</f>
        <v>Repeat Customer</v>
      </c>
      <c r="H1435" s="1" t="s">
        <v>2379</v>
      </c>
      <c r="I1435" s="1" t="s">
        <v>49</v>
      </c>
      <c r="J1435" s="1" t="s">
        <v>58</v>
      </c>
      <c r="K1435" s="1" t="s">
        <v>41</v>
      </c>
      <c r="L1435" s="1" t="s">
        <v>50</v>
      </c>
      <c r="M1435" s="1" t="s">
        <v>51</v>
      </c>
      <c r="N1435" s="1" t="s">
        <v>2380</v>
      </c>
      <c r="O1435" s="1">
        <v>0.46</v>
      </c>
      <c r="P1435" s="6">
        <f>Table1[[#This Row],[Profit]]/Table1[[#This Row],[Sales]]</f>
        <v>1.3748640671120086E-2</v>
      </c>
      <c r="Q1435" s="1" t="s">
        <v>33</v>
      </c>
      <c r="R1435" s="1" t="s">
        <v>136</v>
      </c>
      <c r="S1435" s="1" t="s">
        <v>137</v>
      </c>
      <c r="T1435" s="1" t="s">
        <v>1567</v>
      </c>
      <c r="U1435" s="1">
        <v>23223</v>
      </c>
      <c r="V1435" s="9">
        <v>42166</v>
      </c>
      <c r="W1435" s="13" t="str">
        <f>TEXT(Table1[[#This Row],[Order Date]],"mmmm")</f>
        <v>June</v>
      </c>
      <c r="X1435" s="7" t="str">
        <f>TEXT(Table1[[#This Row],[Order Date]],"yyyy")</f>
        <v>2015</v>
      </c>
      <c r="Y1435" s="9">
        <v>42167</v>
      </c>
      <c r="Z1435" s="1">
        <v>3.54</v>
      </c>
      <c r="AA1435" s="1">
        <v>17</v>
      </c>
      <c r="AB1435" s="1">
        <v>257.48</v>
      </c>
      <c r="AC1435" s="1">
        <v>87917</v>
      </c>
      <c r="AD1435" s="6" t="str">
        <f>IF(COUNTIF(Returns!$A$2:$A$1635,Orders!AC1435)&gt;0,"Returned","Not Returned")</f>
        <v>Not Returned</v>
      </c>
    </row>
    <row r="1436" spans="1:30" ht="12.75" customHeight="1" thickTop="1" thickBot="1" x14ac:dyDescent="0.25">
      <c r="A1436" s="10">
        <v>19032</v>
      </c>
      <c r="B1436" s="11" t="s">
        <v>56</v>
      </c>
      <c r="C1436" s="11">
        <v>0.02</v>
      </c>
      <c r="D1436" s="11">
        <v>195.99</v>
      </c>
      <c r="E1436" s="11">
        <v>4.2</v>
      </c>
      <c r="F1436" s="11">
        <v>2543</v>
      </c>
      <c r="G1436" s="6" t="str">
        <f>IF(COUNTIF(Table1[Customer ID],Table1[[#This Row],[Customer ID]])&gt;1,"Repeat Customer","One-Time Customer")</f>
        <v>Repeat Customer</v>
      </c>
      <c r="H1436" s="11" t="s">
        <v>2379</v>
      </c>
      <c r="I1436" s="11" t="s">
        <v>49</v>
      </c>
      <c r="J1436" s="11" t="s">
        <v>58</v>
      </c>
      <c r="K1436" s="11" t="s">
        <v>77</v>
      </c>
      <c r="L1436" s="11" t="s">
        <v>78</v>
      </c>
      <c r="M1436" s="11" t="s">
        <v>59</v>
      </c>
      <c r="N1436" s="11" t="s">
        <v>2220</v>
      </c>
      <c r="O1436" s="11">
        <v>0.56000000000000005</v>
      </c>
      <c r="P1436" s="6">
        <f>Table1[[#This Row],[Profit]]/Table1[[#This Row],[Sales]]</f>
        <v>1.2608490167418366E-2</v>
      </c>
      <c r="Q1436" s="11" t="s">
        <v>33</v>
      </c>
      <c r="R1436" s="11" t="s">
        <v>136</v>
      </c>
      <c r="S1436" s="11" t="s">
        <v>137</v>
      </c>
      <c r="T1436" s="11" t="s">
        <v>1567</v>
      </c>
      <c r="U1436" s="11">
        <v>23223</v>
      </c>
      <c r="V1436" s="12">
        <v>42166</v>
      </c>
      <c r="W1436" s="13" t="str">
        <f>TEXT(Table1[[#This Row],[Order Date]],"mmmm")</f>
        <v>June</v>
      </c>
      <c r="X1436" s="7" t="str">
        <f>TEXT(Table1[[#This Row],[Order Date]],"yyyy")</f>
        <v>2015</v>
      </c>
      <c r="Y1436" s="12">
        <v>42167</v>
      </c>
      <c r="Z1436" s="11">
        <v>40.283999999999999</v>
      </c>
      <c r="AA1436" s="11">
        <v>19</v>
      </c>
      <c r="AB1436" s="11">
        <v>3194.99</v>
      </c>
      <c r="AC1436" s="11">
        <v>87917</v>
      </c>
      <c r="AD1436" s="6" t="str">
        <f>IF(COUNTIF(Returns!$A$2:$A$1635,Orders!AC1436)&gt;0,"Returned","Not Returned")</f>
        <v>Not Returned</v>
      </c>
    </row>
    <row r="1437" spans="1:30" ht="12.75" customHeight="1" thickTop="1" thickBot="1" x14ac:dyDescent="0.25">
      <c r="A1437" s="8">
        <v>19902</v>
      </c>
      <c r="B1437" s="1" t="s">
        <v>56</v>
      </c>
      <c r="C1437" s="1">
        <v>0.01</v>
      </c>
      <c r="D1437" s="1">
        <v>99.99</v>
      </c>
      <c r="E1437" s="1">
        <v>19.989999999999998</v>
      </c>
      <c r="F1437" s="1">
        <v>2545</v>
      </c>
      <c r="G1437" s="6" t="str">
        <f>IF(COUNTIF(Table1[Customer ID],Table1[[#This Row],[Customer ID]])&gt;1,"Repeat Customer","One-Time Customer")</f>
        <v>One-Time Customer</v>
      </c>
      <c r="H1437" s="1" t="s">
        <v>2381</v>
      </c>
      <c r="I1437" s="1" t="s">
        <v>27</v>
      </c>
      <c r="J1437" s="1" t="s">
        <v>40</v>
      </c>
      <c r="K1437" s="1" t="s">
        <v>77</v>
      </c>
      <c r="L1437" s="1" t="s">
        <v>85</v>
      </c>
      <c r="M1437" s="1" t="s">
        <v>59</v>
      </c>
      <c r="N1437" s="1" t="s">
        <v>115</v>
      </c>
      <c r="O1437" s="1">
        <v>0.52</v>
      </c>
      <c r="P1437" s="6">
        <f>Table1[[#This Row],[Profit]]/Table1[[#This Row],[Sales]]</f>
        <v>0.44351167602719482</v>
      </c>
      <c r="Q1437" s="1" t="s">
        <v>33</v>
      </c>
      <c r="R1437" s="1" t="s">
        <v>136</v>
      </c>
      <c r="S1437" s="1" t="s">
        <v>137</v>
      </c>
      <c r="T1437" s="1" t="s">
        <v>1193</v>
      </c>
      <c r="U1437" s="1">
        <v>22153</v>
      </c>
      <c r="V1437" s="9">
        <v>42073</v>
      </c>
      <c r="W1437" s="13" t="str">
        <f>TEXT(Table1[[#This Row],[Order Date]],"mmmm")</f>
        <v>March</v>
      </c>
      <c r="X1437" s="7" t="str">
        <f>TEXT(Table1[[#This Row],[Order Date]],"yyyy")</f>
        <v>2015</v>
      </c>
      <c r="Y1437" s="9">
        <v>42075</v>
      </c>
      <c r="Z1437" s="1">
        <v>90.024000000000001</v>
      </c>
      <c r="AA1437" s="1">
        <v>2</v>
      </c>
      <c r="AB1437" s="1">
        <v>202.98</v>
      </c>
      <c r="AC1437" s="1">
        <v>87915</v>
      </c>
      <c r="AD1437" s="6" t="str">
        <f>IF(COUNTIF(Returns!$A$2:$A$1635,Orders!AC1437)&gt;0,"Returned","Not Returned")</f>
        <v>Not Returned</v>
      </c>
    </row>
    <row r="1438" spans="1:30" ht="12.75" customHeight="1" thickTop="1" thickBot="1" x14ac:dyDescent="0.25">
      <c r="A1438" s="10">
        <v>25460</v>
      </c>
      <c r="B1438" s="11" t="s">
        <v>106</v>
      </c>
      <c r="C1438" s="11">
        <v>7.0000000000000007E-2</v>
      </c>
      <c r="D1438" s="11">
        <v>6.48</v>
      </c>
      <c r="E1438" s="11">
        <v>9.5399999999999991</v>
      </c>
      <c r="F1438" s="11">
        <v>2547</v>
      </c>
      <c r="G1438" s="6" t="str">
        <f>IF(COUNTIF(Table1[Customer ID],Table1[[#This Row],[Customer ID]])&gt;1,"Repeat Customer","One-Time Customer")</f>
        <v>One-Time Customer</v>
      </c>
      <c r="H1438" s="11" t="s">
        <v>2382</v>
      </c>
      <c r="I1438" s="11" t="s">
        <v>49</v>
      </c>
      <c r="J1438" s="11" t="s">
        <v>58</v>
      </c>
      <c r="K1438" s="11" t="s">
        <v>29</v>
      </c>
      <c r="L1438" s="11" t="s">
        <v>93</v>
      </c>
      <c r="M1438" s="11" t="s">
        <v>59</v>
      </c>
      <c r="N1438" s="11" t="s">
        <v>2359</v>
      </c>
      <c r="O1438" s="11">
        <v>0.37</v>
      </c>
      <c r="P1438" s="6">
        <f>Table1[[#This Row],[Profit]]/Table1[[#This Row],[Sales]]</f>
        <v>0.20552486187845306</v>
      </c>
      <c r="Q1438" s="11" t="s">
        <v>33</v>
      </c>
      <c r="R1438" s="11" t="s">
        <v>136</v>
      </c>
      <c r="S1438" s="11" t="s">
        <v>137</v>
      </c>
      <c r="T1438" s="11" t="s">
        <v>2383</v>
      </c>
      <c r="U1438" s="11">
        <v>23464</v>
      </c>
      <c r="V1438" s="12">
        <v>42113</v>
      </c>
      <c r="W1438" s="13" t="str">
        <f>TEXT(Table1[[#This Row],[Order Date]],"mmmm")</f>
        <v>April</v>
      </c>
      <c r="X1438" s="7" t="str">
        <f>TEXT(Table1[[#This Row],[Order Date]],"yyyy")</f>
        <v>2015</v>
      </c>
      <c r="Y1438" s="12">
        <v>42113</v>
      </c>
      <c r="Z1438" s="11">
        <v>2.2320000000000002</v>
      </c>
      <c r="AA1438" s="11">
        <v>1</v>
      </c>
      <c r="AB1438" s="11">
        <v>10.86</v>
      </c>
      <c r="AC1438" s="11">
        <v>87916</v>
      </c>
      <c r="AD1438" s="6" t="str">
        <f>IF(COUNTIF(Returns!$A$2:$A$1635,Orders!AC1438)&gt;0,"Returned","Not Returned")</f>
        <v>Not Returned</v>
      </c>
    </row>
    <row r="1439" spans="1:30" ht="12.75" customHeight="1" thickTop="1" thickBot="1" x14ac:dyDescent="0.25">
      <c r="A1439" s="8">
        <v>6525</v>
      </c>
      <c r="B1439" s="1" t="s">
        <v>106</v>
      </c>
      <c r="C1439" s="1">
        <v>0</v>
      </c>
      <c r="D1439" s="1">
        <v>35.99</v>
      </c>
      <c r="E1439" s="1">
        <v>0.99</v>
      </c>
      <c r="F1439" s="1">
        <v>2548</v>
      </c>
      <c r="G1439" s="6" t="str">
        <f>IF(COUNTIF(Table1[Customer ID],Table1[[#This Row],[Customer ID]])&gt;1,"Repeat Customer","One-Time Customer")</f>
        <v>Repeat Customer</v>
      </c>
      <c r="H1439" s="1" t="s">
        <v>2384</v>
      </c>
      <c r="I1439" s="1" t="s">
        <v>49</v>
      </c>
      <c r="J1439" s="1" t="s">
        <v>58</v>
      </c>
      <c r="K1439" s="1" t="s">
        <v>77</v>
      </c>
      <c r="L1439" s="1" t="s">
        <v>78</v>
      </c>
      <c r="M1439" s="1" t="s">
        <v>51</v>
      </c>
      <c r="N1439" s="1" t="s">
        <v>2385</v>
      </c>
      <c r="O1439" s="1">
        <v>0.35</v>
      </c>
      <c r="P1439" s="6">
        <f>Table1[[#This Row],[Profit]]/Table1[[#This Row],[Sales]]</f>
        <v>0.56853550085613536</v>
      </c>
      <c r="Q1439" s="1" t="s">
        <v>33</v>
      </c>
      <c r="R1439" s="1" t="s">
        <v>34</v>
      </c>
      <c r="S1439" s="1" t="s">
        <v>45</v>
      </c>
      <c r="T1439" s="1" t="s">
        <v>663</v>
      </c>
      <c r="U1439" s="1">
        <v>90068</v>
      </c>
      <c r="V1439" s="9">
        <v>42098</v>
      </c>
      <c r="W1439" s="13" t="str">
        <f>TEXT(Table1[[#This Row],[Order Date]],"mmmm")</f>
        <v>April</v>
      </c>
      <c r="X1439" s="7" t="str">
        <f>TEXT(Table1[[#This Row],[Order Date]],"yyyy")</f>
        <v>2015</v>
      </c>
      <c r="Y1439" s="9">
        <v>42105</v>
      </c>
      <c r="Z1439" s="1">
        <v>840.05099999999993</v>
      </c>
      <c r="AA1439" s="1">
        <v>46</v>
      </c>
      <c r="AB1439" s="1">
        <v>1477.57</v>
      </c>
      <c r="AC1439" s="1">
        <v>46436</v>
      </c>
      <c r="AD1439" s="6" t="str">
        <f>IF(COUNTIF(Returns!$A$2:$A$1635,Orders!AC1439)&gt;0,"Returned","Not Returned")</f>
        <v>Not Returned</v>
      </c>
    </row>
    <row r="1440" spans="1:30" ht="12.75" customHeight="1" thickTop="1" thickBot="1" x14ac:dyDescent="0.25">
      <c r="A1440" s="10">
        <v>5777</v>
      </c>
      <c r="B1440" s="11" t="s">
        <v>106</v>
      </c>
      <c r="C1440" s="11">
        <v>0.05</v>
      </c>
      <c r="D1440" s="11">
        <v>30.98</v>
      </c>
      <c r="E1440" s="11">
        <v>9.18</v>
      </c>
      <c r="F1440" s="11">
        <v>2548</v>
      </c>
      <c r="G1440" s="6" t="str">
        <f>IF(COUNTIF(Table1[Customer ID],Table1[[#This Row],[Customer ID]])&gt;1,"Repeat Customer","One-Time Customer")</f>
        <v>Repeat Customer</v>
      </c>
      <c r="H1440" s="11" t="s">
        <v>2384</v>
      </c>
      <c r="I1440" s="11" t="s">
        <v>27</v>
      </c>
      <c r="J1440" s="11" t="s">
        <v>58</v>
      </c>
      <c r="K1440" s="11" t="s">
        <v>29</v>
      </c>
      <c r="L1440" s="11" t="s">
        <v>93</v>
      </c>
      <c r="M1440" s="11" t="s">
        <v>59</v>
      </c>
      <c r="N1440" s="11" t="s">
        <v>2357</v>
      </c>
      <c r="O1440" s="11">
        <v>0.4</v>
      </c>
      <c r="P1440" s="6">
        <f>Table1[[#This Row],[Profit]]/Table1[[#This Row],[Sales]]</f>
        <v>0.1607941615004316</v>
      </c>
      <c r="Q1440" s="11" t="s">
        <v>33</v>
      </c>
      <c r="R1440" s="11" t="s">
        <v>34</v>
      </c>
      <c r="S1440" s="11" t="s">
        <v>45</v>
      </c>
      <c r="T1440" s="11" t="s">
        <v>663</v>
      </c>
      <c r="U1440" s="11">
        <v>90068</v>
      </c>
      <c r="V1440" s="12">
        <v>42115</v>
      </c>
      <c r="W1440" s="13" t="str">
        <f>TEXT(Table1[[#This Row],[Order Date]],"mmmm")</f>
        <v>April</v>
      </c>
      <c r="X1440" s="7" t="str">
        <f>TEXT(Table1[[#This Row],[Order Date]],"yyyy")</f>
        <v>2015</v>
      </c>
      <c r="Y1440" s="12">
        <v>42115</v>
      </c>
      <c r="Z1440" s="11">
        <v>61.47</v>
      </c>
      <c r="AA1440" s="11">
        <v>12</v>
      </c>
      <c r="AB1440" s="11">
        <v>382.29</v>
      </c>
      <c r="AC1440" s="11">
        <v>40997</v>
      </c>
      <c r="AD1440" s="6" t="str">
        <f>IF(COUNTIF(Returns!$A$2:$A$1635,Orders!AC1440)&gt;0,"Returned","Not Returned")</f>
        <v>Not Returned</v>
      </c>
    </row>
    <row r="1441" spans="1:30" ht="12.75" customHeight="1" thickTop="1" thickBot="1" x14ac:dyDescent="0.25">
      <c r="A1441" s="8">
        <v>5778</v>
      </c>
      <c r="B1441" s="1" t="s">
        <v>106</v>
      </c>
      <c r="C1441" s="1">
        <v>0.05</v>
      </c>
      <c r="D1441" s="1">
        <v>22.99</v>
      </c>
      <c r="E1441" s="1">
        <v>8.99</v>
      </c>
      <c r="F1441" s="1">
        <v>2548</v>
      </c>
      <c r="G1441" s="6" t="str">
        <f>IF(COUNTIF(Table1[Customer ID],Table1[[#This Row],[Customer ID]])&gt;1,"Repeat Customer","One-Time Customer")</f>
        <v>Repeat Customer</v>
      </c>
      <c r="H1441" s="1" t="s">
        <v>2384</v>
      </c>
      <c r="I1441" s="1" t="s">
        <v>49</v>
      </c>
      <c r="J1441" s="1" t="s">
        <v>58</v>
      </c>
      <c r="K1441" s="1" t="s">
        <v>29</v>
      </c>
      <c r="L1441" s="1" t="s">
        <v>30</v>
      </c>
      <c r="M1441" s="1" t="s">
        <v>51</v>
      </c>
      <c r="N1441" s="1" t="s">
        <v>2386</v>
      </c>
      <c r="O1441" s="1">
        <v>0.56999999999999995</v>
      </c>
      <c r="P1441" s="6">
        <f>Table1[[#This Row],[Profit]]/Table1[[#This Row],[Sales]]</f>
        <v>2.072039376687005E-2</v>
      </c>
      <c r="Q1441" s="1" t="s">
        <v>33</v>
      </c>
      <c r="R1441" s="1" t="s">
        <v>34</v>
      </c>
      <c r="S1441" s="1" t="s">
        <v>45</v>
      </c>
      <c r="T1441" s="1" t="s">
        <v>663</v>
      </c>
      <c r="U1441" s="1">
        <v>90068</v>
      </c>
      <c r="V1441" s="9">
        <v>42115</v>
      </c>
      <c r="W1441" s="13" t="str">
        <f>TEXT(Table1[[#This Row],[Order Date]],"mmmm")</f>
        <v>April</v>
      </c>
      <c r="X1441" s="7" t="str">
        <f>TEXT(Table1[[#This Row],[Order Date]],"yyyy")</f>
        <v>2015</v>
      </c>
      <c r="Y1441" s="9">
        <v>42122</v>
      </c>
      <c r="Z1441" s="1">
        <v>18.27</v>
      </c>
      <c r="AA1441" s="1">
        <v>37</v>
      </c>
      <c r="AB1441" s="1">
        <v>881.74</v>
      </c>
      <c r="AC1441" s="1">
        <v>40997</v>
      </c>
      <c r="AD1441" s="6" t="str">
        <f>IF(COUNTIF(Returns!$A$2:$A$1635,Orders!AC1441)&gt;0,"Returned","Not Returned")</f>
        <v>Not Returned</v>
      </c>
    </row>
    <row r="1442" spans="1:30" ht="12.75" customHeight="1" thickTop="1" thickBot="1" x14ac:dyDescent="0.25">
      <c r="A1442" s="10">
        <v>5780</v>
      </c>
      <c r="B1442" s="11" t="s">
        <v>106</v>
      </c>
      <c r="C1442" s="11">
        <v>0.04</v>
      </c>
      <c r="D1442" s="11">
        <v>212.6</v>
      </c>
      <c r="E1442" s="11">
        <v>110.2</v>
      </c>
      <c r="F1442" s="11">
        <v>2548</v>
      </c>
      <c r="G1442" s="6" t="str">
        <f>IF(COUNTIF(Table1[Customer ID],Table1[[#This Row],[Customer ID]])&gt;1,"Repeat Customer","One-Time Customer")</f>
        <v>Repeat Customer</v>
      </c>
      <c r="H1442" s="11" t="s">
        <v>2384</v>
      </c>
      <c r="I1442" s="11" t="s">
        <v>39</v>
      </c>
      <c r="J1442" s="11" t="s">
        <v>58</v>
      </c>
      <c r="K1442" s="11" t="s">
        <v>41</v>
      </c>
      <c r="L1442" s="11" t="s">
        <v>152</v>
      </c>
      <c r="M1442" s="11" t="s">
        <v>121</v>
      </c>
      <c r="N1442" s="11" t="s">
        <v>1348</v>
      </c>
      <c r="O1442" s="11">
        <v>0.73</v>
      </c>
      <c r="P1442" s="6">
        <f>Table1[[#This Row],[Profit]]/Table1[[#This Row],[Sales]]</f>
        <v>-6.9579888355917649E-2</v>
      </c>
      <c r="Q1442" s="11" t="s">
        <v>33</v>
      </c>
      <c r="R1442" s="11" t="s">
        <v>34</v>
      </c>
      <c r="S1442" s="11" t="s">
        <v>45</v>
      </c>
      <c r="T1442" s="11" t="s">
        <v>663</v>
      </c>
      <c r="U1442" s="11">
        <v>90068</v>
      </c>
      <c r="V1442" s="12">
        <v>42115</v>
      </c>
      <c r="W1442" s="13" t="str">
        <f>TEXT(Table1[[#This Row],[Order Date]],"mmmm")</f>
        <v>April</v>
      </c>
      <c r="X1442" s="7" t="str">
        <f>TEXT(Table1[[#This Row],[Order Date]],"yyyy")</f>
        <v>2015</v>
      </c>
      <c r="Y1442" s="12">
        <v>42119</v>
      </c>
      <c r="Z1442" s="11">
        <v>-513.79042000000004</v>
      </c>
      <c r="AA1442" s="11">
        <v>33</v>
      </c>
      <c r="AB1442" s="11">
        <v>7384.18</v>
      </c>
      <c r="AC1442" s="11">
        <v>40997</v>
      </c>
      <c r="AD1442" s="6" t="str">
        <f>IF(COUNTIF(Returns!$A$2:$A$1635,Orders!AC1442)&gt;0,"Returned","Not Returned")</f>
        <v>Not Returned</v>
      </c>
    </row>
    <row r="1443" spans="1:30" ht="12.75" customHeight="1" thickTop="1" thickBot="1" x14ac:dyDescent="0.25">
      <c r="A1443" s="8">
        <v>4204</v>
      </c>
      <c r="B1443" s="1" t="s">
        <v>37</v>
      </c>
      <c r="C1443" s="1">
        <v>0.09</v>
      </c>
      <c r="D1443" s="1">
        <v>5.98</v>
      </c>
      <c r="E1443" s="1">
        <v>1.67</v>
      </c>
      <c r="F1443" s="1">
        <v>2548</v>
      </c>
      <c r="G1443" s="6" t="str">
        <f>IF(COUNTIF(Table1[Customer ID],Table1[[#This Row],[Customer ID]])&gt;1,"Repeat Customer","One-Time Customer")</f>
        <v>Repeat Customer</v>
      </c>
      <c r="H1443" s="1" t="s">
        <v>2384</v>
      </c>
      <c r="I1443" s="1" t="s">
        <v>49</v>
      </c>
      <c r="J1443" s="1" t="s">
        <v>58</v>
      </c>
      <c r="K1443" s="1" t="s">
        <v>29</v>
      </c>
      <c r="L1443" s="1" t="s">
        <v>30</v>
      </c>
      <c r="M1443" s="1" t="s">
        <v>31</v>
      </c>
      <c r="N1443" s="1" t="s">
        <v>2387</v>
      </c>
      <c r="O1443" s="1">
        <v>0.51</v>
      </c>
      <c r="P1443" s="6">
        <f>Table1[[#This Row],[Profit]]/Table1[[#This Row],[Sales]]</f>
        <v>5.3250345781466119E-2</v>
      </c>
      <c r="Q1443" s="1" t="s">
        <v>33</v>
      </c>
      <c r="R1443" s="1" t="s">
        <v>34</v>
      </c>
      <c r="S1443" s="1" t="s">
        <v>45</v>
      </c>
      <c r="T1443" s="1" t="s">
        <v>663</v>
      </c>
      <c r="U1443" s="1">
        <v>90068</v>
      </c>
      <c r="V1443" s="9">
        <v>42159</v>
      </c>
      <c r="W1443" s="13" t="str">
        <f>TEXT(Table1[[#This Row],[Order Date]],"mmmm")</f>
        <v>June</v>
      </c>
      <c r="X1443" s="7" t="str">
        <f>TEXT(Table1[[#This Row],[Order Date]],"yyyy")</f>
        <v>2015</v>
      </c>
      <c r="Y1443" s="9">
        <v>42162</v>
      </c>
      <c r="Z1443" s="1">
        <v>23.87</v>
      </c>
      <c r="AA1443" s="1">
        <v>81</v>
      </c>
      <c r="AB1443" s="1">
        <v>448.26</v>
      </c>
      <c r="AC1443" s="1">
        <v>29889</v>
      </c>
      <c r="AD1443" s="6" t="str">
        <f>IF(COUNTIF(Returns!$A$2:$A$1635,Orders!AC1443)&gt;0,"Returned","Not Returned")</f>
        <v>Not Returned</v>
      </c>
    </row>
    <row r="1444" spans="1:30" ht="12.75" customHeight="1" thickTop="1" thickBot="1" x14ac:dyDescent="0.25">
      <c r="A1444" s="10">
        <v>23777</v>
      </c>
      <c r="B1444" s="11" t="s">
        <v>106</v>
      </c>
      <c r="C1444" s="11">
        <v>0.05</v>
      </c>
      <c r="D1444" s="11">
        <v>30.98</v>
      </c>
      <c r="E1444" s="11">
        <v>9.18</v>
      </c>
      <c r="F1444" s="11">
        <v>2549</v>
      </c>
      <c r="G1444" s="6" t="str">
        <f>IF(COUNTIF(Table1[Customer ID],Table1[[#This Row],[Customer ID]])&gt;1,"Repeat Customer","One-Time Customer")</f>
        <v>Repeat Customer</v>
      </c>
      <c r="H1444" s="11" t="s">
        <v>2388</v>
      </c>
      <c r="I1444" s="11" t="s">
        <v>27</v>
      </c>
      <c r="J1444" s="11" t="s">
        <v>58</v>
      </c>
      <c r="K1444" s="11" t="s">
        <v>29</v>
      </c>
      <c r="L1444" s="11" t="s">
        <v>93</v>
      </c>
      <c r="M1444" s="11" t="s">
        <v>59</v>
      </c>
      <c r="N1444" s="11" t="s">
        <v>2357</v>
      </c>
      <c r="O1444" s="11">
        <v>0.4</v>
      </c>
      <c r="P1444" s="6">
        <f>Table1[[#This Row],[Profit]]/Table1[[#This Row],[Sales]]</f>
        <v>0.6431934707544209</v>
      </c>
      <c r="Q1444" s="11" t="s">
        <v>33</v>
      </c>
      <c r="R1444" s="11" t="s">
        <v>53</v>
      </c>
      <c r="S1444" s="11" t="s">
        <v>154</v>
      </c>
      <c r="T1444" s="11" t="s">
        <v>2389</v>
      </c>
      <c r="U1444" s="11">
        <v>43213</v>
      </c>
      <c r="V1444" s="12">
        <v>42115</v>
      </c>
      <c r="W1444" s="13" t="str">
        <f>TEXT(Table1[[#This Row],[Order Date]],"mmmm")</f>
        <v>April</v>
      </c>
      <c r="X1444" s="7" t="str">
        <f>TEXT(Table1[[#This Row],[Order Date]],"yyyy")</f>
        <v>2015</v>
      </c>
      <c r="Y1444" s="12">
        <v>42115</v>
      </c>
      <c r="Z1444" s="11">
        <v>61.47</v>
      </c>
      <c r="AA1444" s="11">
        <v>3</v>
      </c>
      <c r="AB1444" s="11">
        <v>95.57</v>
      </c>
      <c r="AC1444" s="11">
        <v>88657</v>
      </c>
      <c r="AD1444" s="6" t="str">
        <f>IF(COUNTIF(Returns!$A$2:$A$1635,Orders!AC1444)&gt;0,"Returned","Not Returned")</f>
        <v>Not Returned</v>
      </c>
    </row>
    <row r="1445" spans="1:30" ht="12.75" customHeight="1" thickTop="1" thickBot="1" x14ac:dyDescent="0.25">
      <c r="A1445" s="8">
        <v>23778</v>
      </c>
      <c r="B1445" s="1" t="s">
        <v>106</v>
      </c>
      <c r="C1445" s="1">
        <v>0.05</v>
      </c>
      <c r="D1445" s="1">
        <v>22.99</v>
      </c>
      <c r="E1445" s="1">
        <v>8.99</v>
      </c>
      <c r="F1445" s="1">
        <v>2549</v>
      </c>
      <c r="G1445" s="6" t="str">
        <f>IF(COUNTIF(Table1[Customer ID],Table1[[#This Row],[Customer ID]])&gt;1,"Repeat Customer","One-Time Customer")</f>
        <v>Repeat Customer</v>
      </c>
      <c r="H1445" s="1" t="s">
        <v>2388</v>
      </c>
      <c r="I1445" s="1" t="s">
        <v>49</v>
      </c>
      <c r="J1445" s="1" t="s">
        <v>58</v>
      </c>
      <c r="K1445" s="1" t="s">
        <v>29</v>
      </c>
      <c r="L1445" s="1" t="s">
        <v>30</v>
      </c>
      <c r="M1445" s="1" t="s">
        <v>51</v>
      </c>
      <c r="N1445" s="1" t="s">
        <v>2386</v>
      </c>
      <c r="O1445" s="1">
        <v>0.56999999999999995</v>
      </c>
      <c r="P1445" s="6">
        <f>Table1[[#This Row],[Profit]]/Table1[[#This Row],[Sales]]</f>
        <v>8.5182767624020883E-2</v>
      </c>
      <c r="Q1445" s="1" t="s">
        <v>33</v>
      </c>
      <c r="R1445" s="1" t="s">
        <v>53</v>
      </c>
      <c r="S1445" s="1" t="s">
        <v>154</v>
      </c>
      <c r="T1445" s="1" t="s">
        <v>2389</v>
      </c>
      <c r="U1445" s="1">
        <v>43213</v>
      </c>
      <c r="V1445" s="9">
        <v>42115</v>
      </c>
      <c r="W1445" s="13" t="str">
        <f>TEXT(Table1[[#This Row],[Order Date]],"mmmm")</f>
        <v>April</v>
      </c>
      <c r="X1445" s="7" t="str">
        <f>TEXT(Table1[[#This Row],[Order Date]],"yyyy")</f>
        <v>2015</v>
      </c>
      <c r="Y1445" s="9">
        <v>42122</v>
      </c>
      <c r="Z1445" s="1">
        <v>18.27</v>
      </c>
      <c r="AA1445" s="1">
        <v>9</v>
      </c>
      <c r="AB1445" s="1">
        <v>214.48</v>
      </c>
      <c r="AC1445" s="1">
        <v>88657</v>
      </c>
      <c r="AD1445" s="6" t="str">
        <f>IF(COUNTIF(Returns!$A$2:$A$1635,Orders!AC1445)&gt;0,"Returned","Not Returned")</f>
        <v>Not Returned</v>
      </c>
    </row>
    <row r="1446" spans="1:30" ht="12.75" customHeight="1" thickTop="1" thickBot="1" x14ac:dyDescent="0.25">
      <c r="A1446" s="10">
        <v>23780</v>
      </c>
      <c r="B1446" s="11" t="s">
        <v>106</v>
      </c>
      <c r="C1446" s="11">
        <v>0.04</v>
      </c>
      <c r="D1446" s="11">
        <v>212.6</v>
      </c>
      <c r="E1446" s="11">
        <v>110.2</v>
      </c>
      <c r="F1446" s="11">
        <v>2549</v>
      </c>
      <c r="G1446" s="6" t="str">
        <f>IF(COUNTIF(Table1[Customer ID],Table1[[#This Row],[Customer ID]])&gt;1,"Repeat Customer","One-Time Customer")</f>
        <v>Repeat Customer</v>
      </c>
      <c r="H1446" s="11" t="s">
        <v>2388</v>
      </c>
      <c r="I1446" s="11" t="s">
        <v>39</v>
      </c>
      <c r="J1446" s="11" t="s">
        <v>58</v>
      </c>
      <c r="K1446" s="11" t="s">
        <v>41</v>
      </c>
      <c r="L1446" s="11" t="s">
        <v>152</v>
      </c>
      <c r="M1446" s="11" t="s">
        <v>121</v>
      </c>
      <c r="N1446" s="11" t="s">
        <v>1348</v>
      </c>
      <c r="O1446" s="11">
        <v>0.73</v>
      </c>
      <c r="P1446" s="6">
        <f>Table1[[#This Row],[Profit]]/Table1[[#This Row],[Sales]]</f>
        <v>-0.2870177196804648</v>
      </c>
      <c r="Q1446" s="11" t="s">
        <v>33</v>
      </c>
      <c r="R1446" s="11" t="s">
        <v>53</v>
      </c>
      <c r="S1446" s="11" t="s">
        <v>154</v>
      </c>
      <c r="T1446" s="11" t="s">
        <v>2389</v>
      </c>
      <c r="U1446" s="11">
        <v>43213</v>
      </c>
      <c r="V1446" s="12">
        <v>42115</v>
      </c>
      <c r="W1446" s="13" t="str">
        <f>TEXT(Table1[[#This Row],[Order Date]],"mmmm")</f>
        <v>April</v>
      </c>
      <c r="X1446" s="7" t="str">
        <f>TEXT(Table1[[#This Row],[Order Date]],"yyyy")</f>
        <v>2015</v>
      </c>
      <c r="Y1446" s="12">
        <v>42119</v>
      </c>
      <c r="Z1446" s="11">
        <v>-513.79042000000004</v>
      </c>
      <c r="AA1446" s="11">
        <v>8</v>
      </c>
      <c r="AB1446" s="11">
        <v>1790.1</v>
      </c>
      <c r="AC1446" s="11">
        <v>88657</v>
      </c>
      <c r="AD1446" s="6" t="str">
        <f>IF(COUNTIF(Returns!$A$2:$A$1635,Orders!AC1446)&gt;0,"Returned","Not Returned")</f>
        <v>Not Returned</v>
      </c>
    </row>
    <row r="1447" spans="1:30" ht="12.75" customHeight="1" thickTop="1" thickBot="1" x14ac:dyDescent="0.25">
      <c r="A1447" s="8">
        <v>22204</v>
      </c>
      <c r="B1447" s="1" t="s">
        <v>37</v>
      </c>
      <c r="C1447" s="1">
        <v>0.09</v>
      </c>
      <c r="D1447" s="1">
        <v>5.98</v>
      </c>
      <c r="E1447" s="1">
        <v>1.67</v>
      </c>
      <c r="F1447" s="1">
        <v>2549</v>
      </c>
      <c r="G1447" s="6" t="str">
        <f>IF(COUNTIF(Table1[Customer ID],Table1[[#This Row],[Customer ID]])&gt;1,"Repeat Customer","One-Time Customer")</f>
        <v>Repeat Customer</v>
      </c>
      <c r="H1447" s="1" t="s">
        <v>2388</v>
      </c>
      <c r="I1447" s="1" t="s">
        <v>49</v>
      </c>
      <c r="J1447" s="1" t="s">
        <v>58</v>
      </c>
      <c r="K1447" s="1" t="s">
        <v>29</v>
      </c>
      <c r="L1447" s="1" t="s">
        <v>30</v>
      </c>
      <c r="M1447" s="1" t="s">
        <v>31</v>
      </c>
      <c r="N1447" s="1" t="s">
        <v>2387</v>
      </c>
      <c r="O1447" s="1">
        <v>0.51</v>
      </c>
      <c r="P1447" s="6">
        <f>Table1[[#This Row],[Profit]]/Table1[[#This Row],[Sales]]</f>
        <v>0.3235001807011203</v>
      </c>
      <c r="Q1447" s="1" t="s">
        <v>33</v>
      </c>
      <c r="R1447" s="1" t="s">
        <v>53</v>
      </c>
      <c r="S1447" s="1" t="s">
        <v>154</v>
      </c>
      <c r="T1447" s="1" t="s">
        <v>2389</v>
      </c>
      <c r="U1447" s="1">
        <v>43213</v>
      </c>
      <c r="V1447" s="9">
        <v>42159</v>
      </c>
      <c r="W1447" s="13" t="str">
        <f>TEXT(Table1[[#This Row],[Order Date]],"mmmm")</f>
        <v>June</v>
      </c>
      <c r="X1447" s="7" t="str">
        <f>TEXT(Table1[[#This Row],[Order Date]],"yyyy")</f>
        <v>2015</v>
      </c>
      <c r="Y1447" s="9">
        <v>42162</v>
      </c>
      <c r="Z1447" s="1">
        <v>35.805</v>
      </c>
      <c r="AA1447" s="1">
        <v>20</v>
      </c>
      <c r="AB1447" s="1">
        <v>110.68</v>
      </c>
      <c r="AC1447" s="1">
        <v>88658</v>
      </c>
      <c r="AD1447" s="6" t="str">
        <f>IF(COUNTIF(Returns!$A$2:$A$1635,Orders!AC1447)&gt;0,"Returned","Not Returned")</f>
        <v>Not Returned</v>
      </c>
    </row>
    <row r="1448" spans="1:30" ht="12.75" customHeight="1" thickTop="1" thickBot="1" x14ac:dyDescent="0.25">
      <c r="A1448" s="10">
        <v>24525</v>
      </c>
      <c r="B1448" s="11" t="s">
        <v>106</v>
      </c>
      <c r="C1448" s="11">
        <v>0</v>
      </c>
      <c r="D1448" s="11">
        <v>35.99</v>
      </c>
      <c r="E1448" s="11">
        <v>0.99</v>
      </c>
      <c r="F1448" s="11">
        <v>2551</v>
      </c>
      <c r="G1448" s="6" t="str">
        <f>IF(COUNTIF(Table1[Customer ID],Table1[[#This Row],[Customer ID]])&gt;1,"Repeat Customer","One-Time Customer")</f>
        <v>One-Time Customer</v>
      </c>
      <c r="H1448" s="11" t="s">
        <v>2390</v>
      </c>
      <c r="I1448" s="11" t="s">
        <v>49</v>
      </c>
      <c r="J1448" s="11" t="s">
        <v>58</v>
      </c>
      <c r="K1448" s="11" t="s">
        <v>77</v>
      </c>
      <c r="L1448" s="11" t="s">
        <v>78</v>
      </c>
      <c r="M1448" s="11" t="s">
        <v>51</v>
      </c>
      <c r="N1448" s="11" t="s">
        <v>2385</v>
      </c>
      <c r="O1448" s="11">
        <v>0.35</v>
      </c>
      <c r="P1448" s="6">
        <f>Table1[[#This Row],[Profit]]/Table1[[#This Row],[Sales]]</f>
        <v>0.69</v>
      </c>
      <c r="Q1448" s="11" t="s">
        <v>33</v>
      </c>
      <c r="R1448" s="11" t="s">
        <v>53</v>
      </c>
      <c r="S1448" s="11" t="s">
        <v>234</v>
      </c>
      <c r="T1448" s="11" t="s">
        <v>2391</v>
      </c>
      <c r="U1448" s="11">
        <v>17403</v>
      </c>
      <c r="V1448" s="12">
        <v>42098</v>
      </c>
      <c r="W1448" s="13" t="str">
        <f>TEXT(Table1[[#This Row],[Order Date]],"mmmm")</f>
        <v>April</v>
      </c>
      <c r="X1448" s="7" t="str">
        <f>TEXT(Table1[[#This Row],[Order Date]],"yyyy")</f>
        <v>2015</v>
      </c>
      <c r="Y1448" s="12">
        <v>42105</v>
      </c>
      <c r="Z1448" s="11">
        <v>265.96049999999997</v>
      </c>
      <c r="AA1448" s="11">
        <v>12</v>
      </c>
      <c r="AB1448" s="11">
        <v>385.45</v>
      </c>
      <c r="AC1448" s="11">
        <v>88656</v>
      </c>
      <c r="AD1448" s="6" t="str">
        <f>IF(COUNTIF(Returns!$A$2:$A$1635,Orders!AC1448)&gt;0,"Returned","Not Returned")</f>
        <v>Not Returned</v>
      </c>
    </row>
    <row r="1449" spans="1:30" ht="12.75" customHeight="1" thickTop="1" thickBot="1" x14ac:dyDescent="0.25">
      <c r="A1449" s="8">
        <v>18130</v>
      </c>
      <c r="B1449" s="1" t="s">
        <v>56</v>
      </c>
      <c r="C1449" s="1">
        <v>0.03</v>
      </c>
      <c r="D1449" s="1">
        <v>12.53</v>
      </c>
      <c r="E1449" s="1">
        <v>7.17</v>
      </c>
      <c r="F1449" s="1">
        <v>2553</v>
      </c>
      <c r="G1449" s="6" t="str">
        <f>IF(COUNTIF(Table1[Customer ID],Table1[[#This Row],[Customer ID]])&gt;1,"Repeat Customer","One-Time Customer")</f>
        <v>One-Time Customer</v>
      </c>
      <c r="H1449" s="1" t="s">
        <v>2392</v>
      </c>
      <c r="I1449" s="1" t="s">
        <v>49</v>
      </c>
      <c r="J1449" s="1" t="s">
        <v>40</v>
      </c>
      <c r="K1449" s="1" t="s">
        <v>29</v>
      </c>
      <c r="L1449" s="1" t="s">
        <v>109</v>
      </c>
      <c r="M1449" s="1" t="s">
        <v>59</v>
      </c>
      <c r="N1449" s="1" t="s">
        <v>2393</v>
      </c>
      <c r="O1449" s="1">
        <v>0.38</v>
      </c>
      <c r="P1449" s="6">
        <f>Table1[[#This Row],[Profit]]/Table1[[#This Row],[Sales]]</f>
        <v>-1.0517857142857143</v>
      </c>
      <c r="Q1449" s="1" t="s">
        <v>33</v>
      </c>
      <c r="R1449" s="1" t="s">
        <v>61</v>
      </c>
      <c r="S1449" s="1" t="s">
        <v>1858</v>
      </c>
      <c r="T1449" s="1" t="s">
        <v>2394</v>
      </c>
      <c r="U1449" s="1">
        <v>53142</v>
      </c>
      <c r="V1449" s="9">
        <v>42047</v>
      </c>
      <c r="W1449" s="13" t="str">
        <f>TEXT(Table1[[#This Row],[Order Date]],"mmmm")</f>
        <v>February</v>
      </c>
      <c r="X1449" s="7" t="str">
        <f>TEXT(Table1[[#This Row],[Order Date]],"yyyy")</f>
        <v>2015</v>
      </c>
      <c r="Y1449" s="9">
        <v>42048</v>
      </c>
      <c r="Z1449" s="1">
        <v>-20.320500000000003</v>
      </c>
      <c r="AA1449" s="1">
        <v>1</v>
      </c>
      <c r="AB1449" s="1">
        <v>19.32</v>
      </c>
      <c r="AC1449" s="1">
        <v>86528</v>
      </c>
      <c r="AD1449" s="6" t="str">
        <f>IF(COUNTIF(Returns!$A$2:$A$1635,Orders!AC1449)&gt;0,"Returned","Not Returned")</f>
        <v>Not Returned</v>
      </c>
    </row>
    <row r="1450" spans="1:30" ht="12.75" customHeight="1" thickTop="1" thickBot="1" x14ac:dyDescent="0.25">
      <c r="A1450" s="10">
        <v>23666</v>
      </c>
      <c r="B1450" s="11" t="s">
        <v>106</v>
      </c>
      <c r="C1450" s="11">
        <v>0.1</v>
      </c>
      <c r="D1450" s="11">
        <v>2.6</v>
      </c>
      <c r="E1450" s="11">
        <v>2.4</v>
      </c>
      <c r="F1450" s="11">
        <v>2555</v>
      </c>
      <c r="G1450" s="6" t="str">
        <f>IF(COUNTIF(Table1[Customer ID],Table1[[#This Row],[Customer ID]])&gt;1,"Repeat Customer","One-Time Customer")</f>
        <v>Repeat Customer</v>
      </c>
      <c r="H1450" s="11" t="s">
        <v>2395</v>
      </c>
      <c r="I1450" s="11" t="s">
        <v>49</v>
      </c>
      <c r="J1450" s="11" t="s">
        <v>40</v>
      </c>
      <c r="K1450" s="11" t="s">
        <v>29</v>
      </c>
      <c r="L1450" s="11" t="s">
        <v>30</v>
      </c>
      <c r="M1450" s="11" t="s">
        <v>31</v>
      </c>
      <c r="N1450" s="11" t="s">
        <v>1023</v>
      </c>
      <c r="O1450" s="11">
        <v>0.57999999999999996</v>
      </c>
      <c r="P1450" s="6">
        <f>Table1[[#This Row],[Profit]]/Table1[[#This Row],[Sales]]</f>
        <v>-2.9249169435215943</v>
      </c>
      <c r="Q1450" s="11" t="s">
        <v>33</v>
      </c>
      <c r="R1450" s="11" t="s">
        <v>61</v>
      </c>
      <c r="S1450" s="11" t="s">
        <v>1858</v>
      </c>
      <c r="T1450" s="11" t="s">
        <v>1279</v>
      </c>
      <c r="U1450" s="11">
        <v>53711</v>
      </c>
      <c r="V1450" s="12">
        <v>42013</v>
      </c>
      <c r="W1450" s="13" t="str">
        <f>TEXT(Table1[[#This Row],[Order Date]],"mmmm")</f>
        <v>January</v>
      </c>
      <c r="X1450" s="7" t="str">
        <f>TEXT(Table1[[#This Row],[Order Date]],"yyyy")</f>
        <v>2015</v>
      </c>
      <c r="Y1450" s="12">
        <v>42018</v>
      </c>
      <c r="Z1450" s="11">
        <v>-88.039999999999992</v>
      </c>
      <c r="AA1450" s="11">
        <v>12</v>
      </c>
      <c r="AB1450" s="11">
        <v>30.1</v>
      </c>
      <c r="AC1450" s="11">
        <v>86527</v>
      </c>
      <c r="AD1450" s="6" t="str">
        <f>IF(COUNTIF(Returns!$A$2:$A$1635,Orders!AC1450)&gt;0,"Returned","Not Returned")</f>
        <v>Not Returned</v>
      </c>
    </row>
    <row r="1451" spans="1:30" ht="12.75" customHeight="1" thickTop="1" thickBot="1" x14ac:dyDescent="0.25">
      <c r="A1451" s="8">
        <v>23583</v>
      </c>
      <c r="B1451" s="1" t="s">
        <v>47</v>
      </c>
      <c r="C1451" s="1">
        <v>0</v>
      </c>
      <c r="D1451" s="1">
        <v>12.97</v>
      </c>
      <c r="E1451" s="1">
        <v>1.49</v>
      </c>
      <c r="F1451" s="1">
        <v>2555</v>
      </c>
      <c r="G1451" s="6" t="str">
        <f>IF(COUNTIF(Table1[Customer ID],Table1[[#This Row],[Customer ID]])&gt;1,"Repeat Customer","One-Time Customer")</f>
        <v>Repeat Customer</v>
      </c>
      <c r="H1451" s="1" t="s">
        <v>2395</v>
      </c>
      <c r="I1451" s="1" t="s">
        <v>49</v>
      </c>
      <c r="J1451" s="1" t="s">
        <v>40</v>
      </c>
      <c r="K1451" s="1" t="s">
        <v>29</v>
      </c>
      <c r="L1451" s="1" t="s">
        <v>109</v>
      </c>
      <c r="M1451" s="1" t="s">
        <v>59</v>
      </c>
      <c r="N1451" s="1" t="s">
        <v>1433</v>
      </c>
      <c r="O1451" s="1">
        <v>0.35</v>
      </c>
      <c r="P1451" s="6">
        <f>Table1[[#This Row],[Profit]]/Table1[[#This Row],[Sales]]</f>
        <v>0.69</v>
      </c>
      <c r="Q1451" s="1" t="s">
        <v>33</v>
      </c>
      <c r="R1451" s="1" t="s">
        <v>61</v>
      </c>
      <c r="S1451" s="1" t="s">
        <v>1858</v>
      </c>
      <c r="T1451" s="1" t="s">
        <v>1279</v>
      </c>
      <c r="U1451" s="1">
        <v>53711</v>
      </c>
      <c r="V1451" s="9">
        <v>42037</v>
      </c>
      <c r="W1451" s="13" t="str">
        <f>TEXT(Table1[[#This Row],[Order Date]],"mmmm")</f>
        <v>February</v>
      </c>
      <c r="X1451" s="7" t="str">
        <f>TEXT(Table1[[#This Row],[Order Date]],"yyyy")</f>
        <v>2015</v>
      </c>
      <c r="Y1451" s="9">
        <v>42038</v>
      </c>
      <c r="Z1451" s="1">
        <v>180.23489999999998</v>
      </c>
      <c r="AA1451" s="1">
        <v>19</v>
      </c>
      <c r="AB1451" s="1">
        <v>261.20999999999998</v>
      </c>
      <c r="AC1451" s="1">
        <v>86529</v>
      </c>
      <c r="AD1451" s="6" t="str">
        <f>IF(COUNTIF(Returns!$A$2:$A$1635,Orders!AC1451)&gt;0,"Returned","Not Returned")</f>
        <v>Not Returned</v>
      </c>
    </row>
    <row r="1452" spans="1:30" ht="12.75" customHeight="1" thickTop="1" thickBot="1" x14ac:dyDescent="0.25">
      <c r="A1452" s="10">
        <v>23584</v>
      </c>
      <c r="B1452" s="11" t="s">
        <v>47</v>
      </c>
      <c r="C1452" s="11">
        <v>0.06</v>
      </c>
      <c r="D1452" s="11">
        <v>4.91</v>
      </c>
      <c r="E1452" s="11">
        <v>0.5</v>
      </c>
      <c r="F1452" s="11">
        <v>2555</v>
      </c>
      <c r="G1452" s="6" t="str">
        <f>IF(COUNTIF(Table1[Customer ID],Table1[[#This Row],[Customer ID]])&gt;1,"Repeat Customer","One-Time Customer")</f>
        <v>Repeat Customer</v>
      </c>
      <c r="H1452" s="11" t="s">
        <v>2395</v>
      </c>
      <c r="I1452" s="11" t="s">
        <v>49</v>
      </c>
      <c r="J1452" s="11" t="s">
        <v>40</v>
      </c>
      <c r="K1452" s="11" t="s">
        <v>29</v>
      </c>
      <c r="L1452" s="11" t="s">
        <v>134</v>
      </c>
      <c r="M1452" s="11" t="s">
        <v>59</v>
      </c>
      <c r="N1452" s="11" t="s">
        <v>1561</v>
      </c>
      <c r="O1452" s="11">
        <v>0.36</v>
      </c>
      <c r="P1452" s="6">
        <f>Table1[[#This Row],[Profit]]/Table1[[#This Row],[Sales]]</f>
        <v>0.69</v>
      </c>
      <c r="Q1452" s="11" t="s">
        <v>33</v>
      </c>
      <c r="R1452" s="11" t="s">
        <v>61</v>
      </c>
      <c r="S1452" s="11" t="s">
        <v>1858</v>
      </c>
      <c r="T1452" s="11" t="s">
        <v>1279</v>
      </c>
      <c r="U1452" s="11">
        <v>53711</v>
      </c>
      <c r="V1452" s="12">
        <v>42037</v>
      </c>
      <c r="W1452" s="13" t="str">
        <f>TEXT(Table1[[#This Row],[Order Date]],"mmmm")</f>
        <v>February</v>
      </c>
      <c r="X1452" s="7" t="str">
        <f>TEXT(Table1[[#This Row],[Order Date]],"yyyy")</f>
        <v>2015</v>
      </c>
      <c r="Y1452" s="12">
        <v>42037</v>
      </c>
      <c r="Z1452" s="11">
        <v>29.525099999999998</v>
      </c>
      <c r="AA1452" s="11">
        <v>9</v>
      </c>
      <c r="AB1452" s="11">
        <v>42.79</v>
      </c>
      <c r="AC1452" s="11">
        <v>86529</v>
      </c>
      <c r="AD1452" s="6" t="str">
        <f>IF(COUNTIF(Returns!$A$2:$A$1635,Orders!AC1452)&gt;0,"Returned","Not Returned")</f>
        <v>Not Returned</v>
      </c>
    </row>
    <row r="1453" spans="1:30" ht="12.75" customHeight="1" thickTop="1" thickBot="1" x14ac:dyDescent="0.25">
      <c r="A1453" s="8">
        <v>19840</v>
      </c>
      <c r="B1453" s="1" t="s">
        <v>37</v>
      </c>
      <c r="C1453" s="1">
        <v>0.03</v>
      </c>
      <c r="D1453" s="1">
        <v>160.97999999999999</v>
      </c>
      <c r="E1453" s="1">
        <v>30</v>
      </c>
      <c r="F1453" s="1">
        <v>2561</v>
      </c>
      <c r="G1453" s="6" t="str">
        <f>IF(COUNTIF(Table1[Customer ID],Table1[[#This Row],[Customer ID]])&gt;1,"Repeat Customer","One-Time Customer")</f>
        <v>Repeat Customer</v>
      </c>
      <c r="H1453" s="1" t="s">
        <v>2396</v>
      </c>
      <c r="I1453" s="1" t="s">
        <v>39</v>
      </c>
      <c r="J1453" s="1" t="s">
        <v>114</v>
      </c>
      <c r="K1453" s="1" t="s">
        <v>41</v>
      </c>
      <c r="L1453" s="1" t="s">
        <v>42</v>
      </c>
      <c r="M1453" s="1" t="s">
        <v>43</v>
      </c>
      <c r="N1453" s="1" t="s">
        <v>177</v>
      </c>
      <c r="O1453" s="1">
        <v>0.62</v>
      </c>
      <c r="P1453" s="6">
        <f>Table1[[#This Row],[Profit]]/Table1[[#This Row],[Sales]]</f>
        <v>0.69000000000000006</v>
      </c>
      <c r="Q1453" s="1" t="s">
        <v>33</v>
      </c>
      <c r="R1453" s="1" t="s">
        <v>53</v>
      </c>
      <c r="S1453" s="1" t="s">
        <v>71</v>
      </c>
      <c r="T1453" s="1" t="s">
        <v>2397</v>
      </c>
      <c r="U1453" s="1">
        <v>10562</v>
      </c>
      <c r="V1453" s="9">
        <v>42085</v>
      </c>
      <c r="W1453" s="13" t="str">
        <f>TEXT(Table1[[#This Row],[Order Date]],"mmmm")</f>
        <v>March</v>
      </c>
      <c r="X1453" s="7" t="str">
        <f>TEXT(Table1[[#This Row],[Order Date]],"yyyy")</f>
        <v>2015</v>
      </c>
      <c r="Y1453" s="9">
        <v>42088</v>
      </c>
      <c r="Z1453" s="1">
        <v>1261.4718</v>
      </c>
      <c r="AA1453" s="1">
        <v>11</v>
      </c>
      <c r="AB1453" s="1">
        <v>1828.22</v>
      </c>
      <c r="AC1453" s="1">
        <v>86465</v>
      </c>
      <c r="AD1453" s="6" t="str">
        <f>IF(COUNTIF(Returns!$A$2:$A$1635,Orders!AC1453)&gt;0,"Returned","Not Returned")</f>
        <v>Not Returned</v>
      </c>
    </row>
    <row r="1454" spans="1:30" ht="12.75" customHeight="1" thickTop="1" thickBot="1" x14ac:dyDescent="0.25">
      <c r="A1454" s="10">
        <v>23161</v>
      </c>
      <c r="B1454" s="11" t="s">
        <v>37</v>
      </c>
      <c r="C1454" s="11">
        <v>7.0000000000000007E-2</v>
      </c>
      <c r="D1454" s="11">
        <v>3.98</v>
      </c>
      <c r="E1454" s="11">
        <v>5.26</v>
      </c>
      <c r="F1454" s="11">
        <v>2561</v>
      </c>
      <c r="G1454" s="6" t="str">
        <f>IF(COUNTIF(Table1[Customer ID],Table1[[#This Row],[Customer ID]])&gt;1,"Repeat Customer","One-Time Customer")</f>
        <v>Repeat Customer</v>
      </c>
      <c r="H1454" s="11" t="s">
        <v>2396</v>
      </c>
      <c r="I1454" s="11" t="s">
        <v>49</v>
      </c>
      <c r="J1454" s="11" t="s">
        <v>114</v>
      </c>
      <c r="K1454" s="11" t="s">
        <v>29</v>
      </c>
      <c r="L1454" s="11" t="s">
        <v>109</v>
      </c>
      <c r="M1454" s="11" t="s">
        <v>59</v>
      </c>
      <c r="N1454" s="11" t="s">
        <v>1705</v>
      </c>
      <c r="O1454" s="11">
        <v>0.38</v>
      </c>
      <c r="P1454" s="6">
        <f>Table1[[#This Row],[Profit]]/Table1[[#This Row],[Sales]]</f>
        <v>-2.0142344642257308</v>
      </c>
      <c r="Q1454" s="11" t="s">
        <v>33</v>
      </c>
      <c r="R1454" s="11" t="s">
        <v>53</v>
      </c>
      <c r="S1454" s="11" t="s">
        <v>71</v>
      </c>
      <c r="T1454" s="11" t="s">
        <v>2397</v>
      </c>
      <c r="U1454" s="11">
        <v>10562</v>
      </c>
      <c r="V1454" s="12">
        <v>42102</v>
      </c>
      <c r="W1454" s="13" t="str">
        <f>TEXT(Table1[[#This Row],[Order Date]],"mmmm")</f>
        <v>April</v>
      </c>
      <c r="X1454" s="7" t="str">
        <f>TEXT(Table1[[#This Row],[Order Date]],"yyyy")</f>
        <v>2015</v>
      </c>
      <c r="Y1454" s="12">
        <v>42104</v>
      </c>
      <c r="Z1454" s="11">
        <v>-59.963760000000001</v>
      </c>
      <c r="AA1454" s="11">
        <v>7</v>
      </c>
      <c r="AB1454" s="11">
        <v>29.77</v>
      </c>
      <c r="AC1454" s="11">
        <v>86466</v>
      </c>
      <c r="AD1454" s="6" t="str">
        <f>IF(COUNTIF(Returns!$A$2:$A$1635,Orders!AC1454)&gt;0,"Returned","Not Returned")</f>
        <v>Not Returned</v>
      </c>
    </row>
    <row r="1455" spans="1:30" ht="12.75" customHeight="1" thickTop="1" thickBot="1" x14ac:dyDescent="0.25">
      <c r="A1455" s="8">
        <v>23162</v>
      </c>
      <c r="B1455" s="1" t="s">
        <v>37</v>
      </c>
      <c r="C1455" s="1">
        <v>7.0000000000000007E-2</v>
      </c>
      <c r="D1455" s="1">
        <v>12.22</v>
      </c>
      <c r="E1455" s="1">
        <v>2.85</v>
      </c>
      <c r="F1455" s="1">
        <v>2561</v>
      </c>
      <c r="G1455" s="6" t="str">
        <f>IF(COUNTIF(Table1[Customer ID],Table1[[#This Row],[Customer ID]])&gt;1,"Repeat Customer","One-Time Customer")</f>
        <v>Repeat Customer</v>
      </c>
      <c r="H1455" s="1" t="s">
        <v>2396</v>
      </c>
      <c r="I1455" s="1" t="s">
        <v>49</v>
      </c>
      <c r="J1455" s="1" t="s">
        <v>114</v>
      </c>
      <c r="K1455" s="1" t="s">
        <v>41</v>
      </c>
      <c r="L1455" s="1" t="s">
        <v>50</v>
      </c>
      <c r="M1455" s="1" t="s">
        <v>51</v>
      </c>
      <c r="N1455" s="1" t="s">
        <v>2398</v>
      </c>
      <c r="O1455" s="1">
        <v>0.55000000000000004</v>
      </c>
      <c r="P1455" s="6">
        <f>Table1[[#This Row],[Profit]]/Table1[[#This Row],[Sales]]</f>
        <v>0.60747876893810726</v>
      </c>
      <c r="Q1455" s="1" t="s">
        <v>33</v>
      </c>
      <c r="R1455" s="1" t="s">
        <v>53</v>
      </c>
      <c r="S1455" s="1" t="s">
        <v>71</v>
      </c>
      <c r="T1455" s="1" t="s">
        <v>2397</v>
      </c>
      <c r="U1455" s="1">
        <v>10562</v>
      </c>
      <c r="V1455" s="9">
        <v>42102</v>
      </c>
      <c r="W1455" s="13" t="str">
        <f>TEXT(Table1[[#This Row],[Order Date]],"mmmm")</f>
        <v>April</v>
      </c>
      <c r="X1455" s="7" t="str">
        <f>TEXT(Table1[[#This Row],[Order Date]],"yyyy")</f>
        <v>2015</v>
      </c>
      <c r="Y1455" s="9">
        <v>42102</v>
      </c>
      <c r="Z1455" s="1">
        <v>89.4148</v>
      </c>
      <c r="AA1455" s="1">
        <v>12</v>
      </c>
      <c r="AB1455" s="1">
        <v>147.19</v>
      </c>
      <c r="AC1455" s="1">
        <v>86466</v>
      </c>
      <c r="AD1455" s="6" t="str">
        <f>IF(COUNTIF(Returns!$A$2:$A$1635,Orders!AC1455)&gt;0,"Returned","Not Returned")</f>
        <v>Not Returned</v>
      </c>
    </row>
    <row r="1456" spans="1:30" ht="12.75" customHeight="1" thickTop="1" thickBot="1" x14ac:dyDescent="0.25">
      <c r="A1456" s="10">
        <v>22374</v>
      </c>
      <c r="B1456" s="11" t="s">
        <v>37</v>
      </c>
      <c r="C1456" s="11">
        <v>0.08</v>
      </c>
      <c r="D1456" s="11">
        <v>4.55</v>
      </c>
      <c r="E1456" s="11">
        <v>1.49</v>
      </c>
      <c r="F1456" s="11">
        <v>2563</v>
      </c>
      <c r="G1456" s="6" t="str">
        <f>IF(COUNTIF(Table1[Customer ID],Table1[[#This Row],[Customer ID]])&gt;1,"Repeat Customer","One-Time Customer")</f>
        <v>One-Time Customer</v>
      </c>
      <c r="H1456" s="11" t="s">
        <v>2399</v>
      </c>
      <c r="I1456" s="11" t="s">
        <v>49</v>
      </c>
      <c r="J1456" s="11" t="s">
        <v>40</v>
      </c>
      <c r="K1456" s="11" t="s">
        <v>29</v>
      </c>
      <c r="L1456" s="11" t="s">
        <v>109</v>
      </c>
      <c r="M1456" s="11" t="s">
        <v>59</v>
      </c>
      <c r="N1456" s="11" t="s">
        <v>1441</v>
      </c>
      <c r="O1456" s="11">
        <v>0.35</v>
      </c>
      <c r="P1456" s="6">
        <f>Table1[[#This Row],[Profit]]/Table1[[#This Row],[Sales]]</f>
        <v>0.69</v>
      </c>
      <c r="Q1456" s="11" t="s">
        <v>33</v>
      </c>
      <c r="R1456" s="11" t="s">
        <v>61</v>
      </c>
      <c r="S1456" s="11" t="s">
        <v>62</v>
      </c>
      <c r="T1456" s="11" t="s">
        <v>2400</v>
      </c>
      <c r="U1456" s="11">
        <v>55432</v>
      </c>
      <c r="V1456" s="12">
        <v>42102</v>
      </c>
      <c r="W1456" s="13" t="str">
        <f>TEXT(Table1[[#This Row],[Order Date]],"mmmm")</f>
        <v>April</v>
      </c>
      <c r="X1456" s="7" t="str">
        <f>TEXT(Table1[[#This Row],[Order Date]],"yyyy")</f>
        <v>2015</v>
      </c>
      <c r="Y1456" s="12">
        <v>42103</v>
      </c>
      <c r="Z1456" s="11">
        <v>27.0273</v>
      </c>
      <c r="AA1456" s="11">
        <v>9</v>
      </c>
      <c r="AB1456" s="11">
        <v>39.17</v>
      </c>
      <c r="AC1456" s="11">
        <v>91447</v>
      </c>
      <c r="AD1456" s="6" t="str">
        <f>IF(COUNTIF(Returns!$A$2:$A$1635,Orders!AC1456)&gt;0,"Returned","Not Returned")</f>
        <v>Not Returned</v>
      </c>
    </row>
    <row r="1457" spans="1:30" ht="12.75" customHeight="1" thickTop="1" thickBot="1" x14ac:dyDescent="0.25">
      <c r="A1457" s="8">
        <v>25095</v>
      </c>
      <c r="B1457" s="1" t="s">
        <v>47</v>
      </c>
      <c r="C1457" s="1">
        <v>0</v>
      </c>
      <c r="D1457" s="1">
        <v>4.37</v>
      </c>
      <c r="E1457" s="1">
        <v>5.15</v>
      </c>
      <c r="F1457" s="1">
        <v>2570</v>
      </c>
      <c r="G1457" s="6" t="str">
        <f>IF(COUNTIF(Table1[Customer ID],Table1[[#This Row],[Customer ID]])&gt;1,"Repeat Customer","One-Time Customer")</f>
        <v>Repeat Customer</v>
      </c>
      <c r="H1457" s="1" t="s">
        <v>2401</v>
      </c>
      <c r="I1457" s="1" t="s">
        <v>49</v>
      </c>
      <c r="J1457" s="1" t="s">
        <v>114</v>
      </c>
      <c r="K1457" s="1" t="s">
        <v>29</v>
      </c>
      <c r="L1457" s="1" t="s">
        <v>257</v>
      </c>
      <c r="M1457" s="1" t="s">
        <v>59</v>
      </c>
      <c r="N1457" s="1" t="s">
        <v>994</v>
      </c>
      <c r="O1457" s="1">
        <v>0.59</v>
      </c>
      <c r="P1457" s="6">
        <f>Table1[[#This Row],[Profit]]/Table1[[#This Row],[Sales]]</f>
        <v>-1.710420034149118</v>
      </c>
      <c r="Q1457" s="1" t="s">
        <v>33</v>
      </c>
      <c r="R1457" s="1" t="s">
        <v>34</v>
      </c>
      <c r="S1457" s="1" t="s">
        <v>45</v>
      </c>
      <c r="T1457" s="1" t="s">
        <v>2402</v>
      </c>
      <c r="U1457" s="1">
        <v>95616</v>
      </c>
      <c r="V1457" s="9">
        <v>42119</v>
      </c>
      <c r="W1457" s="13" t="str">
        <f>TEXT(Table1[[#This Row],[Order Date]],"mmmm")</f>
        <v>April</v>
      </c>
      <c r="X1457" s="7" t="str">
        <f>TEXT(Table1[[#This Row],[Order Date]],"yyyy")</f>
        <v>2015</v>
      </c>
      <c r="Y1457" s="9">
        <v>42121</v>
      </c>
      <c r="Z1457" s="1">
        <v>-150.2604</v>
      </c>
      <c r="AA1457" s="1">
        <v>19</v>
      </c>
      <c r="AB1457" s="1">
        <v>87.85</v>
      </c>
      <c r="AC1457" s="1">
        <v>90327</v>
      </c>
      <c r="AD1457" s="6" t="str">
        <f>IF(COUNTIF(Returns!$A$2:$A$1635,Orders!AC1457)&gt;0,"Returned","Not Returned")</f>
        <v>Not Returned</v>
      </c>
    </row>
    <row r="1458" spans="1:30" ht="12.75" customHeight="1" thickTop="1" thickBot="1" x14ac:dyDescent="0.25">
      <c r="A1458" s="10">
        <v>25096</v>
      </c>
      <c r="B1458" s="11" t="s">
        <v>47</v>
      </c>
      <c r="C1458" s="11">
        <v>0.01</v>
      </c>
      <c r="D1458" s="11">
        <v>500.98</v>
      </c>
      <c r="E1458" s="11">
        <v>56</v>
      </c>
      <c r="F1458" s="11">
        <v>2570</v>
      </c>
      <c r="G1458" s="6" t="str">
        <f>IF(COUNTIF(Table1[Customer ID],Table1[[#This Row],[Customer ID]])&gt;1,"Repeat Customer","One-Time Customer")</f>
        <v>Repeat Customer</v>
      </c>
      <c r="H1458" s="11" t="s">
        <v>2401</v>
      </c>
      <c r="I1458" s="11" t="s">
        <v>39</v>
      </c>
      <c r="J1458" s="11" t="s">
        <v>114</v>
      </c>
      <c r="K1458" s="11" t="s">
        <v>41</v>
      </c>
      <c r="L1458" s="11" t="s">
        <v>42</v>
      </c>
      <c r="M1458" s="11" t="s">
        <v>43</v>
      </c>
      <c r="N1458" s="11" t="s">
        <v>44</v>
      </c>
      <c r="O1458" s="11">
        <v>0.6</v>
      </c>
      <c r="P1458" s="6">
        <f>Table1[[#This Row],[Profit]]/Table1[[#This Row],[Sales]]</f>
        <v>0.65940414260198699</v>
      </c>
      <c r="Q1458" s="11" t="s">
        <v>33</v>
      </c>
      <c r="R1458" s="11" t="s">
        <v>34</v>
      </c>
      <c r="S1458" s="11" t="s">
        <v>45</v>
      </c>
      <c r="T1458" s="11" t="s">
        <v>2402</v>
      </c>
      <c r="U1458" s="11">
        <v>95616</v>
      </c>
      <c r="V1458" s="12">
        <v>42119</v>
      </c>
      <c r="W1458" s="13" t="str">
        <f>TEXT(Table1[[#This Row],[Order Date]],"mmmm")</f>
        <v>April</v>
      </c>
      <c r="X1458" s="7" t="str">
        <f>TEXT(Table1[[#This Row],[Order Date]],"yyyy")</f>
        <v>2015</v>
      </c>
      <c r="Y1458" s="12">
        <v>42120</v>
      </c>
      <c r="Z1458" s="11">
        <v>4899.1288000000004</v>
      </c>
      <c r="AA1458" s="11">
        <v>14</v>
      </c>
      <c r="AB1458" s="11">
        <v>7429.63</v>
      </c>
      <c r="AC1458" s="11">
        <v>90327</v>
      </c>
      <c r="AD1458" s="6" t="str">
        <f>IF(COUNTIF(Returns!$A$2:$A$1635,Orders!AC1458)&gt;0,"Returned","Not Returned")</f>
        <v>Not Returned</v>
      </c>
    </row>
    <row r="1459" spans="1:30" ht="12.75" customHeight="1" thickTop="1" thickBot="1" x14ac:dyDescent="0.25">
      <c r="A1459" s="8">
        <v>25097</v>
      </c>
      <c r="B1459" s="1" t="s">
        <v>47</v>
      </c>
      <c r="C1459" s="1">
        <v>0.02</v>
      </c>
      <c r="D1459" s="1">
        <v>12.58</v>
      </c>
      <c r="E1459" s="1">
        <v>5.16</v>
      </c>
      <c r="F1459" s="1">
        <v>2570</v>
      </c>
      <c r="G1459" s="6" t="str">
        <f>IF(COUNTIF(Table1[Customer ID],Table1[[#This Row],[Customer ID]])&gt;1,"Repeat Customer","One-Time Customer")</f>
        <v>Repeat Customer</v>
      </c>
      <c r="H1459" s="1" t="s">
        <v>2401</v>
      </c>
      <c r="I1459" s="1" t="s">
        <v>49</v>
      </c>
      <c r="J1459" s="1" t="s">
        <v>114</v>
      </c>
      <c r="K1459" s="1" t="s">
        <v>41</v>
      </c>
      <c r="L1459" s="1" t="s">
        <v>50</v>
      </c>
      <c r="M1459" s="1" t="s">
        <v>59</v>
      </c>
      <c r="N1459" s="1" t="s">
        <v>2403</v>
      </c>
      <c r="O1459" s="1">
        <v>0.43</v>
      </c>
      <c r="P1459" s="6">
        <f>Table1[[#This Row],[Profit]]/Table1[[#This Row],[Sales]]</f>
        <v>0.1993490570243881</v>
      </c>
      <c r="Q1459" s="1" t="s">
        <v>33</v>
      </c>
      <c r="R1459" s="1" t="s">
        <v>34</v>
      </c>
      <c r="S1459" s="1" t="s">
        <v>45</v>
      </c>
      <c r="T1459" s="1" t="s">
        <v>2402</v>
      </c>
      <c r="U1459" s="1">
        <v>95616</v>
      </c>
      <c r="V1459" s="9">
        <v>42119</v>
      </c>
      <c r="W1459" s="13" t="str">
        <f>TEXT(Table1[[#This Row],[Order Date]],"mmmm")</f>
        <v>April</v>
      </c>
      <c r="X1459" s="7" t="str">
        <f>TEXT(Table1[[#This Row],[Order Date]],"yyyy")</f>
        <v>2015</v>
      </c>
      <c r="Y1459" s="9">
        <v>42119</v>
      </c>
      <c r="Z1459" s="1">
        <v>44.712000000000003</v>
      </c>
      <c r="AA1459" s="1">
        <v>18</v>
      </c>
      <c r="AB1459" s="1">
        <v>224.29</v>
      </c>
      <c r="AC1459" s="1">
        <v>90327</v>
      </c>
      <c r="AD1459" s="6" t="str">
        <f>IF(COUNTIF(Returns!$A$2:$A$1635,Orders!AC1459)&gt;0,"Returned","Not Returned")</f>
        <v>Not Returned</v>
      </c>
    </row>
    <row r="1460" spans="1:30" ht="12.75" customHeight="1" thickTop="1" thickBot="1" x14ac:dyDescent="0.25">
      <c r="A1460" s="10">
        <v>25098</v>
      </c>
      <c r="B1460" s="11" t="s">
        <v>47</v>
      </c>
      <c r="C1460" s="11">
        <v>0.1</v>
      </c>
      <c r="D1460" s="11">
        <v>7.7</v>
      </c>
      <c r="E1460" s="11">
        <v>3.68</v>
      </c>
      <c r="F1460" s="11">
        <v>2570</v>
      </c>
      <c r="G1460" s="6" t="str">
        <f>IF(COUNTIF(Table1[Customer ID],Table1[[#This Row],[Customer ID]])&gt;1,"Repeat Customer","One-Time Customer")</f>
        <v>Repeat Customer</v>
      </c>
      <c r="H1460" s="11" t="s">
        <v>2401</v>
      </c>
      <c r="I1460" s="11" t="s">
        <v>49</v>
      </c>
      <c r="J1460" s="11" t="s">
        <v>114</v>
      </c>
      <c r="K1460" s="11" t="s">
        <v>41</v>
      </c>
      <c r="L1460" s="11" t="s">
        <v>50</v>
      </c>
      <c r="M1460" s="11" t="s">
        <v>31</v>
      </c>
      <c r="N1460" s="11" t="s">
        <v>2404</v>
      </c>
      <c r="O1460" s="11">
        <v>0.52</v>
      </c>
      <c r="P1460" s="6">
        <f>Table1[[#This Row],[Profit]]/Table1[[#This Row],[Sales]]</f>
        <v>-0.44191406249999998</v>
      </c>
      <c r="Q1460" s="11" t="s">
        <v>33</v>
      </c>
      <c r="R1460" s="11" t="s">
        <v>34</v>
      </c>
      <c r="S1460" s="11" t="s">
        <v>45</v>
      </c>
      <c r="T1460" s="11" t="s">
        <v>2402</v>
      </c>
      <c r="U1460" s="11">
        <v>95616</v>
      </c>
      <c r="V1460" s="12">
        <v>42119</v>
      </c>
      <c r="W1460" s="13" t="str">
        <f>TEXT(Table1[[#This Row],[Order Date]],"mmmm")</f>
        <v>April</v>
      </c>
      <c r="X1460" s="7" t="str">
        <f>TEXT(Table1[[#This Row],[Order Date]],"yyyy")</f>
        <v>2015</v>
      </c>
      <c r="Y1460" s="12">
        <v>42120</v>
      </c>
      <c r="Z1460" s="11">
        <v>-22.626000000000001</v>
      </c>
      <c r="AA1460" s="11">
        <v>7</v>
      </c>
      <c r="AB1460" s="11">
        <v>51.2</v>
      </c>
      <c r="AC1460" s="11">
        <v>90327</v>
      </c>
      <c r="AD1460" s="6" t="str">
        <f>IF(COUNTIF(Returns!$A$2:$A$1635,Orders!AC1460)&gt;0,"Returned","Not Returned")</f>
        <v>Not Returned</v>
      </c>
    </row>
    <row r="1461" spans="1:30" ht="12.75" customHeight="1" thickTop="1" thickBot="1" x14ac:dyDescent="0.25">
      <c r="A1461" s="8">
        <v>7096</v>
      </c>
      <c r="B1461" s="1" t="s">
        <v>47</v>
      </c>
      <c r="C1461" s="1">
        <v>0.01</v>
      </c>
      <c r="D1461" s="1">
        <v>500.98</v>
      </c>
      <c r="E1461" s="1">
        <v>56</v>
      </c>
      <c r="F1461" s="1">
        <v>2571</v>
      </c>
      <c r="G1461" s="6" t="str">
        <f>IF(COUNTIF(Table1[Customer ID],Table1[[#This Row],[Customer ID]])&gt;1,"Repeat Customer","One-Time Customer")</f>
        <v>Repeat Customer</v>
      </c>
      <c r="H1461" s="1" t="s">
        <v>2405</v>
      </c>
      <c r="I1461" s="1" t="s">
        <v>39</v>
      </c>
      <c r="J1461" s="1" t="s">
        <v>114</v>
      </c>
      <c r="K1461" s="1" t="s">
        <v>41</v>
      </c>
      <c r="L1461" s="1" t="s">
        <v>42</v>
      </c>
      <c r="M1461" s="1" t="s">
        <v>43</v>
      </c>
      <c r="N1461" s="1" t="s">
        <v>44</v>
      </c>
      <c r="O1461" s="1">
        <v>0.6</v>
      </c>
      <c r="P1461" s="6">
        <f>Table1[[#This Row],[Profit]]/Table1[[#This Row],[Sales]]</f>
        <v>0.14334867841713572</v>
      </c>
      <c r="Q1461" s="1" t="s">
        <v>33</v>
      </c>
      <c r="R1461" s="1" t="s">
        <v>53</v>
      </c>
      <c r="S1461" s="1" t="s">
        <v>71</v>
      </c>
      <c r="T1461" s="1" t="s">
        <v>90</v>
      </c>
      <c r="U1461" s="1">
        <v>10165</v>
      </c>
      <c r="V1461" s="9">
        <v>42119</v>
      </c>
      <c r="W1461" s="13" t="str">
        <f>TEXT(Table1[[#This Row],[Order Date]],"mmmm")</f>
        <v>April</v>
      </c>
      <c r="X1461" s="7" t="str">
        <f>TEXT(Table1[[#This Row],[Order Date]],"yyyy")</f>
        <v>2015</v>
      </c>
      <c r="Y1461" s="9">
        <v>42120</v>
      </c>
      <c r="Z1461" s="1">
        <v>4260.1120000000001</v>
      </c>
      <c r="AA1461" s="1">
        <v>56</v>
      </c>
      <c r="AB1461" s="1">
        <v>29718.53</v>
      </c>
      <c r="AC1461" s="1">
        <v>50656</v>
      </c>
      <c r="AD1461" s="6" t="str">
        <f>IF(COUNTIF(Returns!$A$2:$A$1635,Orders!AC1461)&gt;0,"Returned","Not Returned")</f>
        <v>Not Returned</v>
      </c>
    </row>
    <row r="1462" spans="1:30" ht="12.75" customHeight="1" thickTop="1" thickBot="1" x14ac:dyDescent="0.25">
      <c r="A1462" s="10">
        <v>7098</v>
      </c>
      <c r="B1462" s="11" t="s">
        <v>47</v>
      </c>
      <c r="C1462" s="11">
        <v>0.1</v>
      </c>
      <c r="D1462" s="11">
        <v>7.7</v>
      </c>
      <c r="E1462" s="11">
        <v>3.68</v>
      </c>
      <c r="F1462" s="11">
        <v>2571</v>
      </c>
      <c r="G1462" s="6" t="str">
        <f>IF(COUNTIF(Table1[Customer ID],Table1[[#This Row],[Customer ID]])&gt;1,"Repeat Customer","One-Time Customer")</f>
        <v>Repeat Customer</v>
      </c>
      <c r="H1462" s="11" t="s">
        <v>2405</v>
      </c>
      <c r="I1462" s="11" t="s">
        <v>49</v>
      </c>
      <c r="J1462" s="11" t="s">
        <v>114</v>
      </c>
      <c r="K1462" s="11" t="s">
        <v>41</v>
      </c>
      <c r="L1462" s="11" t="s">
        <v>50</v>
      </c>
      <c r="M1462" s="11" t="s">
        <v>31</v>
      </c>
      <c r="N1462" s="11" t="s">
        <v>2404</v>
      </c>
      <c r="O1462" s="11">
        <v>0.52</v>
      </c>
      <c r="P1462" s="6">
        <f>Table1[[#This Row],[Profit]]/Table1[[#This Row],[Sales]]</f>
        <v>-0.1273040307879279</v>
      </c>
      <c r="Q1462" s="11" t="s">
        <v>33</v>
      </c>
      <c r="R1462" s="11" t="s">
        <v>53</v>
      </c>
      <c r="S1462" s="11" t="s">
        <v>71</v>
      </c>
      <c r="T1462" s="11" t="s">
        <v>90</v>
      </c>
      <c r="U1462" s="11">
        <v>10165</v>
      </c>
      <c r="V1462" s="12">
        <v>42119</v>
      </c>
      <c r="W1462" s="13" t="str">
        <f>TEXT(Table1[[#This Row],[Order Date]],"mmmm")</f>
        <v>April</v>
      </c>
      <c r="X1462" s="7" t="str">
        <f>TEXT(Table1[[#This Row],[Order Date]],"yyyy")</f>
        <v>2015</v>
      </c>
      <c r="Y1462" s="12">
        <v>42120</v>
      </c>
      <c r="Z1462" s="11">
        <v>-25.14</v>
      </c>
      <c r="AA1462" s="11">
        <v>27</v>
      </c>
      <c r="AB1462" s="11">
        <v>197.48</v>
      </c>
      <c r="AC1462" s="11">
        <v>50656</v>
      </c>
      <c r="AD1462" s="6" t="str">
        <f>IF(COUNTIF(Returns!$A$2:$A$1635,Orders!AC1462)&gt;0,"Returned","Not Returned")</f>
        <v>Not Returned</v>
      </c>
    </row>
    <row r="1463" spans="1:30" ht="12.75" customHeight="1" thickTop="1" thickBot="1" x14ac:dyDescent="0.25">
      <c r="A1463" s="8">
        <v>20938</v>
      </c>
      <c r="B1463" s="1" t="s">
        <v>106</v>
      </c>
      <c r="C1463" s="1">
        <v>0.04</v>
      </c>
      <c r="D1463" s="1">
        <v>8.6</v>
      </c>
      <c r="E1463" s="1">
        <v>6.19</v>
      </c>
      <c r="F1463" s="1">
        <v>2578</v>
      </c>
      <c r="G1463" s="6" t="str">
        <f>IF(COUNTIF(Table1[Customer ID],Table1[[#This Row],[Customer ID]])&gt;1,"Repeat Customer","One-Time Customer")</f>
        <v>Repeat Customer</v>
      </c>
      <c r="H1463" s="1" t="s">
        <v>2406</v>
      </c>
      <c r="I1463" s="1" t="s">
        <v>49</v>
      </c>
      <c r="J1463" s="1" t="s">
        <v>40</v>
      </c>
      <c r="K1463" s="1" t="s">
        <v>29</v>
      </c>
      <c r="L1463" s="1" t="s">
        <v>109</v>
      </c>
      <c r="M1463" s="1" t="s">
        <v>59</v>
      </c>
      <c r="N1463" s="1" t="s">
        <v>924</v>
      </c>
      <c r="O1463" s="1">
        <v>0.38</v>
      </c>
      <c r="P1463" s="6">
        <f>Table1[[#This Row],[Profit]]/Table1[[#This Row],[Sales]]</f>
        <v>6.6107065101387397</v>
      </c>
      <c r="Q1463" s="1" t="s">
        <v>33</v>
      </c>
      <c r="R1463" s="1" t="s">
        <v>136</v>
      </c>
      <c r="S1463" s="1" t="s">
        <v>1278</v>
      </c>
      <c r="T1463" s="1" t="s">
        <v>2407</v>
      </c>
      <c r="U1463" s="1">
        <v>36801</v>
      </c>
      <c r="V1463" s="9">
        <v>42126</v>
      </c>
      <c r="W1463" s="13" t="str">
        <f>TEXT(Table1[[#This Row],[Order Date]],"mmmm")</f>
        <v>May</v>
      </c>
      <c r="X1463" s="7" t="str">
        <f>TEXT(Table1[[#This Row],[Order Date]],"yyyy")</f>
        <v>2015</v>
      </c>
      <c r="Y1463" s="9">
        <v>42128</v>
      </c>
      <c r="Z1463" s="1">
        <v>309.71159999999998</v>
      </c>
      <c r="AA1463" s="1">
        <v>5</v>
      </c>
      <c r="AB1463" s="1">
        <v>46.85</v>
      </c>
      <c r="AC1463" s="1">
        <v>88298</v>
      </c>
      <c r="AD1463" s="6" t="str">
        <f>IF(COUNTIF(Returns!$A$2:$A$1635,Orders!AC1463)&gt;0,"Returned","Not Returned")</f>
        <v>Not Returned</v>
      </c>
    </row>
    <row r="1464" spans="1:30" ht="12.75" customHeight="1" thickTop="1" thickBot="1" x14ac:dyDescent="0.25">
      <c r="A1464" s="10">
        <v>20939</v>
      </c>
      <c r="B1464" s="11" t="s">
        <v>106</v>
      </c>
      <c r="C1464" s="11">
        <v>0.01</v>
      </c>
      <c r="D1464" s="11">
        <v>3.58</v>
      </c>
      <c r="E1464" s="11">
        <v>1.63</v>
      </c>
      <c r="F1464" s="11">
        <v>2578</v>
      </c>
      <c r="G1464" s="6" t="str">
        <f>IF(COUNTIF(Table1[Customer ID],Table1[[#This Row],[Customer ID]])&gt;1,"Repeat Customer","One-Time Customer")</f>
        <v>Repeat Customer</v>
      </c>
      <c r="H1464" s="11" t="s">
        <v>2406</v>
      </c>
      <c r="I1464" s="11" t="s">
        <v>49</v>
      </c>
      <c r="J1464" s="11" t="s">
        <v>40</v>
      </c>
      <c r="K1464" s="11" t="s">
        <v>29</v>
      </c>
      <c r="L1464" s="11" t="s">
        <v>66</v>
      </c>
      <c r="M1464" s="11" t="s">
        <v>31</v>
      </c>
      <c r="N1464" s="11" t="s">
        <v>67</v>
      </c>
      <c r="O1464" s="11">
        <v>0.36</v>
      </c>
      <c r="P1464" s="6">
        <f>Table1[[#This Row],[Profit]]/Table1[[#This Row],[Sales]]</f>
        <v>-1.3771080474511062</v>
      </c>
      <c r="Q1464" s="11" t="s">
        <v>33</v>
      </c>
      <c r="R1464" s="11" t="s">
        <v>136</v>
      </c>
      <c r="S1464" s="11" t="s">
        <v>1278</v>
      </c>
      <c r="T1464" s="11" t="s">
        <v>2407</v>
      </c>
      <c r="U1464" s="11">
        <v>36801</v>
      </c>
      <c r="V1464" s="12">
        <v>42126</v>
      </c>
      <c r="W1464" s="13" t="str">
        <f>TEXT(Table1[[#This Row],[Order Date]],"mmmm")</f>
        <v>May</v>
      </c>
      <c r="X1464" s="7" t="str">
        <f>TEXT(Table1[[#This Row],[Order Date]],"yyyy")</f>
        <v>2015</v>
      </c>
      <c r="Y1464" s="12">
        <v>42130</v>
      </c>
      <c r="Z1464" s="11">
        <v>-128.85599999999999</v>
      </c>
      <c r="AA1464" s="11">
        <v>26</v>
      </c>
      <c r="AB1464" s="11">
        <v>93.57</v>
      </c>
      <c r="AC1464" s="11">
        <v>88298</v>
      </c>
      <c r="AD1464" s="6" t="str">
        <f>IF(COUNTIF(Returns!$A$2:$A$1635,Orders!AC1464)&gt;0,"Returned","Not Returned")</f>
        <v>Not Returned</v>
      </c>
    </row>
    <row r="1465" spans="1:30" ht="12.75" customHeight="1" thickTop="1" thickBot="1" x14ac:dyDescent="0.25">
      <c r="A1465" s="8">
        <v>20940</v>
      </c>
      <c r="B1465" s="1" t="s">
        <v>106</v>
      </c>
      <c r="C1465" s="1">
        <v>0.08</v>
      </c>
      <c r="D1465" s="1">
        <v>105.49</v>
      </c>
      <c r="E1465" s="1">
        <v>41.64</v>
      </c>
      <c r="F1465" s="1">
        <v>2578</v>
      </c>
      <c r="G1465" s="6" t="str">
        <f>IF(COUNTIF(Table1[Customer ID],Table1[[#This Row],[Customer ID]])&gt;1,"Repeat Customer","One-Time Customer")</f>
        <v>Repeat Customer</v>
      </c>
      <c r="H1465" s="1" t="s">
        <v>2406</v>
      </c>
      <c r="I1465" s="1" t="s">
        <v>39</v>
      </c>
      <c r="J1465" s="1" t="s">
        <v>40</v>
      </c>
      <c r="K1465" s="1" t="s">
        <v>41</v>
      </c>
      <c r="L1465" s="1" t="s">
        <v>152</v>
      </c>
      <c r="M1465" s="1" t="s">
        <v>121</v>
      </c>
      <c r="N1465" s="1" t="s">
        <v>2408</v>
      </c>
      <c r="O1465" s="1">
        <v>0.75</v>
      </c>
      <c r="P1465" s="6">
        <f>Table1[[#This Row],[Profit]]/Table1[[#This Row],[Sales]]</f>
        <v>-1.3711685699334569E-2</v>
      </c>
      <c r="Q1465" s="1" t="s">
        <v>33</v>
      </c>
      <c r="R1465" s="1" t="s">
        <v>136</v>
      </c>
      <c r="S1465" s="1" t="s">
        <v>1278</v>
      </c>
      <c r="T1465" s="1" t="s">
        <v>2407</v>
      </c>
      <c r="U1465" s="1">
        <v>36801</v>
      </c>
      <c r="V1465" s="9">
        <v>42126</v>
      </c>
      <c r="W1465" s="13" t="str">
        <f>TEXT(Table1[[#This Row],[Order Date]],"mmmm")</f>
        <v>May</v>
      </c>
      <c r="X1465" s="7" t="str">
        <f>TEXT(Table1[[#This Row],[Order Date]],"yyyy")</f>
        <v>2015</v>
      </c>
      <c r="Y1465" s="9">
        <v>42133</v>
      </c>
      <c r="Z1465" s="1">
        <v>-36.945999999999998</v>
      </c>
      <c r="AA1465" s="1">
        <v>34</v>
      </c>
      <c r="AB1465" s="1">
        <v>2694.49</v>
      </c>
      <c r="AC1465" s="1">
        <v>88298</v>
      </c>
      <c r="AD1465" s="6" t="str">
        <f>IF(COUNTIF(Returns!$A$2:$A$1635,Orders!AC1465)&gt;0,"Returned","Not Returned")</f>
        <v>Not Returned</v>
      </c>
    </row>
    <row r="1466" spans="1:30" ht="12.75" customHeight="1" thickTop="1" thickBot="1" x14ac:dyDescent="0.25">
      <c r="A1466" s="10">
        <v>23705</v>
      </c>
      <c r="B1466" s="11" t="s">
        <v>25</v>
      </c>
      <c r="C1466" s="11">
        <v>0.09</v>
      </c>
      <c r="D1466" s="11">
        <v>212.6</v>
      </c>
      <c r="E1466" s="11">
        <v>52.2</v>
      </c>
      <c r="F1466" s="11">
        <v>2579</v>
      </c>
      <c r="G1466" s="6" t="str">
        <f>IF(COUNTIF(Table1[Customer ID],Table1[[#This Row],[Customer ID]])&gt;1,"Repeat Customer","One-Time Customer")</f>
        <v>Repeat Customer</v>
      </c>
      <c r="H1466" s="11" t="s">
        <v>2409</v>
      </c>
      <c r="I1466" s="11" t="s">
        <v>39</v>
      </c>
      <c r="J1466" s="11" t="s">
        <v>40</v>
      </c>
      <c r="K1466" s="11" t="s">
        <v>41</v>
      </c>
      <c r="L1466" s="11" t="s">
        <v>152</v>
      </c>
      <c r="M1466" s="11" t="s">
        <v>121</v>
      </c>
      <c r="N1466" s="11" t="s">
        <v>1348</v>
      </c>
      <c r="O1466" s="11">
        <v>0.64</v>
      </c>
      <c r="P1466" s="6">
        <f>Table1[[#This Row],[Profit]]/Table1[[#This Row],[Sales]]</f>
        <v>-1.573054441260745</v>
      </c>
      <c r="Q1466" s="11" t="s">
        <v>33</v>
      </c>
      <c r="R1466" s="11" t="s">
        <v>136</v>
      </c>
      <c r="S1466" s="11" t="s">
        <v>1278</v>
      </c>
      <c r="T1466" s="11" t="s">
        <v>2410</v>
      </c>
      <c r="U1466" s="11">
        <v>36869</v>
      </c>
      <c r="V1466" s="12">
        <v>42007</v>
      </c>
      <c r="W1466" s="13" t="str">
        <f>TEXT(Table1[[#This Row],[Order Date]],"mmmm")</f>
        <v>January</v>
      </c>
      <c r="X1466" s="7" t="str">
        <f>TEXT(Table1[[#This Row],[Order Date]],"yyyy")</f>
        <v>2015</v>
      </c>
      <c r="Y1466" s="12">
        <v>42008</v>
      </c>
      <c r="Z1466" s="11">
        <v>-274.49799999999999</v>
      </c>
      <c r="AA1466" s="11">
        <v>1</v>
      </c>
      <c r="AB1466" s="11">
        <v>174.5</v>
      </c>
      <c r="AC1466" s="11">
        <v>88296</v>
      </c>
      <c r="AD1466" s="6" t="str">
        <f>IF(COUNTIF(Returns!$A$2:$A$1635,Orders!AC1466)&gt;0,"Returned","Not Returned")</f>
        <v>Not Returned</v>
      </c>
    </row>
    <row r="1467" spans="1:30" ht="12.75" customHeight="1" thickTop="1" thickBot="1" x14ac:dyDescent="0.25">
      <c r="A1467" s="8">
        <v>22508</v>
      </c>
      <c r="B1467" s="1" t="s">
        <v>56</v>
      </c>
      <c r="C1467" s="1">
        <v>7.0000000000000007E-2</v>
      </c>
      <c r="D1467" s="1">
        <v>1.76</v>
      </c>
      <c r="E1467" s="1">
        <v>4.8600000000000003</v>
      </c>
      <c r="F1467" s="1">
        <v>2579</v>
      </c>
      <c r="G1467" s="6" t="str">
        <f>IF(COUNTIF(Table1[Customer ID],Table1[[#This Row],[Customer ID]])&gt;1,"Repeat Customer","One-Time Customer")</f>
        <v>Repeat Customer</v>
      </c>
      <c r="H1467" s="1" t="s">
        <v>2409</v>
      </c>
      <c r="I1467" s="1" t="s">
        <v>49</v>
      </c>
      <c r="J1467" s="1" t="s">
        <v>40</v>
      </c>
      <c r="K1467" s="1" t="s">
        <v>41</v>
      </c>
      <c r="L1467" s="1" t="s">
        <v>50</v>
      </c>
      <c r="M1467" s="1" t="s">
        <v>59</v>
      </c>
      <c r="N1467" s="1" t="s">
        <v>1775</v>
      </c>
      <c r="O1467" s="1">
        <v>0.41</v>
      </c>
      <c r="P1467" s="6">
        <f>Table1[[#This Row],[Profit]]/Table1[[#This Row],[Sales]]</f>
        <v>2.2606689734717838E-2</v>
      </c>
      <c r="Q1467" s="1" t="s">
        <v>33</v>
      </c>
      <c r="R1467" s="1" t="s">
        <v>136</v>
      </c>
      <c r="S1467" s="1" t="s">
        <v>1278</v>
      </c>
      <c r="T1467" s="1" t="s">
        <v>2410</v>
      </c>
      <c r="U1467" s="1">
        <v>36869</v>
      </c>
      <c r="V1467" s="9">
        <v>42021</v>
      </c>
      <c r="W1467" s="13" t="str">
        <f>TEXT(Table1[[#This Row],[Order Date]],"mmmm")</f>
        <v>January</v>
      </c>
      <c r="X1467" s="7" t="str">
        <f>TEXT(Table1[[#This Row],[Order Date]],"yyyy")</f>
        <v>2015</v>
      </c>
      <c r="Y1467" s="9">
        <v>42021</v>
      </c>
      <c r="Z1467" s="1">
        <v>0.58800000000001096</v>
      </c>
      <c r="AA1467" s="1">
        <v>15</v>
      </c>
      <c r="AB1467" s="1">
        <v>26.01</v>
      </c>
      <c r="AC1467" s="1">
        <v>88297</v>
      </c>
      <c r="AD1467" s="6" t="str">
        <f>IF(COUNTIF(Returns!$A$2:$A$1635,Orders!AC1467)&gt;0,"Returned","Not Returned")</f>
        <v>Not Returned</v>
      </c>
    </row>
    <row r="1468" spans="1:30" ht="12.75" customHeight="1" thickTop="1" thickBot="1" x14ac:dyDescent="0.25">
      <c r="A1468" s="10">
        <v>19123</v>
      </c>
      <c r="B1468" s="11" t="s">
        <v>56</v>
      </c>
      <c r="C1468" s="11">
        <v>0.04</v>
      </c>
      <c r="D1468" s="11">
        <v>510.14</v>
      </c>
      <c r="E1468" s="11">
        <v>14.7</v>
      </c>
      <c r="F1468" s="11">
        <v>2583</v>
      </c>
      <c r="G1468" s="6" t="str">
        <f>IF(COUNTIF(Table1[Customer ID],Table1[[#This Row],[Customer ID]])&gt;1,"Repeat Customer","One-Time Customer")</f>
        <v>Repeat Customer</v>
      </c>
      <c r="H1468" s="11" t="s">
        <v>2411</v>
      </c>
      <c r="I1468" s="11" t="s">
        <v>39</v>
      </c>
      <c r="J1468" s="11" t="s">
        <v>40</v>
      </c>
      <c r="K1468" s="11" t="s">
        <v>77</v>
      </c>
      <c r="L1468" s="11" t="s">
        <v>85</v>
      </c>
      <c r="M1468" s="11" t="s">
        <v>43</v>
      </c>
      <c r="N1468" s="11" t="s">
        <v>2412</v>
      </c>
      <c r="O1468" s="11">
        <v>0.56000000000000005</v>
      </c>
      <c r="P1468" s="6">
        <f>Table1[[#This Row],[Profit]]/Table1[[#This Row],[Sales]]</f>
        <v>-0.16453457855847956</v>
      </c>
      <c r="Q1468" s="11" t="s">
        <v>33</v>
      </c>
      <c r="R1468" s="11" t="s">
        <v>61</v>
      </c>
      <c r="S1468" s="11" t="s">
        <v>300</v>
      </c>
      <c r="T1468" s="11" t="s">
        <v>2413</v>
      </c>
      <c r="U1468" s="11">
        <v>49423</v>
      </c>
      <c r="V1468" s="12">
        <v>42162</v>
      </c>
      <c r="W1468" s="13" t="str">
        <f>TEXT(Table1[[#This Row],[Order Date]],"mmmm")</f>
        <v>June</v>
      </c>
      <c r="X1468" s="7" t="str">
        <f>TEXT(Table1[[#This Row],[Order Date]],"yyyy")</f>
        <v>2015</v>
      </c>
      <c r="Y1468" s="12">
        <v>42164</v>
      </c>
      <c r="Z1468" s="11">
        <v>-251.40390000000002</v>
      </c>
      <c r="AA1468" s="11">
        <v>3</v>
      </c>
      <c r="AB1468" s="11">
        <v>1527.97</v>
      </c>
      <c r="AC1468" s="11">
        <v>89657</v>
      </c>
      <c r="AD1468" s="6" t="str">
        <f>IF(COUNTIF(Returns!$A$2:$A$1635,Orders!AC1468)&gt;0,"Returned","Not Returned")</f>
        <v>Not Returned</v>
      </c>
    </row>
    <row r="1469" spans="1:30" ht="12.75" customHeight="1" thickTop="1" thickBot="1" x14ac:dyDescent="0.25">
      <c r="A1469" s="8">
        <v>19124</v>
      </c>
      <c r="B1469" s="1" t="s">
        <v>56</v>
      </c>
      <c r="C1469" s="1">
        <v>0</v>
      </c>
      <c r="D1469" s="1">
        <v>4.76</v>
      </c>
      <c r="E1469" s="1">
        <v>3.01</v>
      </c>
      <c r="F1469" s="1">
        <v>2583</v>
      </c>
      <c r="G1469" s="6" t="str">
        <f>IF(COUNTIF(Table1[Customer ID],Table1[[#This Row],[Customer ID]])&gt;1,"Repeat Customer","One-Time Customer")</f>
        <v>Repeat Customer</v>
      </c>
      <c r="H1469" s="1" t="s">
        <v>2411</v>
      </c>
      <c r="I1469" s="1" t="s">
        <v>49</v>
      </c>
      <c r="J1469" s="1" t="s">
        <v>40</v>
      </c>
      <c r="K1469" s="1" t="s">
        <v>29</v>
      </c>
      <c r="L1469" s="1" t="s">
        <v>93</v>
      </c>
      <c r="M1469" s="1" t="s">
        <v>31</v>
      </c>
      <c r="N1469" s="1" t="s">
        <v>2414</v>
      </c>
      <c r="O1469" s="1">
        <v>0.36</v>
      </c>
      <c r="P1469" s="6">
        <f>Table1[[#This Row],[Profit]]/Table1[[#This Row],[Sales]]</f>
        <v>-2.1152805340068557E-2</v>
      </c>
      <c r="Q1469" s="1" t="s">
        <v>33</v>
      </c>
      <c r="R1469" s="1" t="s">
        <v>61</v>
      </c>
      <c r="S1469" s="1" t="s">
        <v>300</v>
      </c>
      <c r="T1469" s="1" t="s">
        <v>2413</v>
      </c>
      <c r="U1469" s="1">
        <v>49423</v>
      </c>
      <c r="V1469" s="9">
        <v>42162</v>
      </c>
      <c r="W1469" s="13" t="str">
        <f>TEXT(Table1[[#This Row],[Order Date]],"mmmm")</f>
        <v>June</v>
      </c>
      <c r="X1469" s="7" t="str">
        <f>TEXT(Table1[[#This Row],[Order Date]],"yyyy")</f>
        <v>2015</v>
      </c>
      <c r="Y1469" s="9">
        <v>42164</v>
      </c>
      <c r="Z1469" s="1">
        <v>-2.3450000000000002</v>
      </c>
      <c r="AA1469" s="1">
        <v>23</v>
      </c>
      <c r="AB1469" s="1">
        <v>110.86</v>
      </c>
      <c r="AC1469" s="1">
        <v>89657</v>
      </c>
      <c r="AD1469" s="6" t="str">
        <f>IF(COUNTIF(Returns!$A$2:$A$1635,Orders!AC1469)&gt;0,"Returned","Not Returned")</f>
        <v>Not Returned</v>
      </c>
    </row>
    <row r="1470" spans="1:30" ht="12.75" customHeight="1" thickTop="1" thickBot="1" x14ac:dyDescent="0.25">
      <c r="A1470" s="10">
        <v>19134</v>
      </c>
      <c r="B1470" s="11" t="s">
        <v>47</v>
      </c>
      <c r="C1470" s="11">
        <v>0.04</v>
      </c>
      <c r="D1470" s="11">
        <v>6.3</v>
      </c>
      <c r="E1470" s="11">
        <v>0.5</v>
      </c>
      <c r="F1470" s="11">
        <v>2584</v>
      </c>
      <c r="G1470" s="6" t="str">
        <f>IF(COUNTIF(Table1[Customer ID],Table1[[#This Row],[Customer ID]])&gt;1,"Repeat Customer","One-Time Customer")</f>
        <v>One-Time Customer</v>
      </c>
      <c r="H1470" s="11" t="s">
        <v>2415</v>
      </c>
      <c r="I1470" s="11" t="s">
        <v>49</v>
      </c>
      <c r="J1470" s="11" t="s">
        <v>40</v>
      </c>
      <c r="K1470" s="11" t="s">
        <v>29</v>
      </c>
      <c r="L1470" s="11" t="s">
        <v>134</v>
      </c>
      <c r="M1470" s="11" t="s">
        <v>59</v>
      </c>
      <c r="N1470" s="11" t="s">
        <v>1158</v>
      </c>
      <c r="O1470" s="11">
        <v>0.39</v>
      </c>
      <c r="P1470" s="6">
        <f>Table1[[#This Row],[Profit]]/Table1[[#This Row],[Sales]]</f>
        <v>0.69</v>
      </c>
      <c r="Q1470" s="11" t="s">
        <v>33</v>
      </c>
      <c r="R1470" s="11" t="s">
        <v>61</v>
      </c>
      <c r="S1470" s="11" t="s">
        <v>300</v>
      </c>
      <c r="T1470" s="11" t="s">
        <v>2416</v>
      </c>
      <c r="U1470" s="11">
        <v>48141</v>
      </c>
      <c r="V1470" s="12">
        <v>42164</v>
      </c>
      <c r="W1470" s="13" t="str">
        <f>TEXT(Table1[[#This Row],[Order Date]],"mmmm")</f>
        <v>June</v>
      </c>
      <c r="X1470" s="7" t="str">
        <f>TEXT(Table1[[#This Row],[Order Date]],"yyyy")</f>
        <v>2015</v>
      </c>
      <c r="Y1470" s="12">
        <v>42166</v>
      </c>
      <c r="Z1470" s="11">
        <v>67.606200000000001</v>
      </c>
      <c r="AA1470" s="11">
        <v>15</v>
      </c>
      <c r="AB1470" s="11">
        <v>97.98</v>
      </c>
      <c r="AC1470" s="11">
        <v>89658</v>
      </c>
      <c r="AD1470" s="6" t="str">
        <f>IF(COUNTIF(Returns!$A$2:$A$1635,Orders!AC1470)&gt;0,"Returned","Not Returned")</f>
        <v>Not Returned</v>
      </c>
    </row>
    <row r="1471" spans="1:30" ht="12.75" customHeight="1" thickTop="1" thickBot="1" x14ac:dyDescent="0.25">
      <c r="A1471" s="8">
        <v>20976</v>
      </c>
      <c r="B1471" s="1" t="s">
        <v>56</v>
      </c>
      <c r="C1471" s="1">
        <v>0.01</v>
      </c>
      <c r="D1471" s="1">
        <v>6.48</v>
      </c>
      <c r="E1471" s="1">
        <v>6.57</v>
      </c>
      <c r="F1471" s="1">
        <v>2587</v>
      </c>
      <c r="G1471" s="6" t="str">
        <f>IF(COUNTIF(Table1[Customer ID],Table1[[#This Row],[Customer ID]])&gt;1,"Repeat Customer","One-Time Customer")</f>
        <v>Repeat Customer</v>
      </c>
      <c r="H1471" s="1" t="s">
        <v>2417</v>
      </c>
      <c r="I1471" s="1" t="s">
        <v>27</v>
      </c>
      <c r="J1471" s="1" t="s">
        <v>40</v>
      </c>
      <c r="K1471" s="1" t="s">
        <v>29</v>
      </c>
      <c r="L1471" s="1" t="s">
        <v>93</v>
      </c>
      <c r="M1471" s="1" t="s">
        <v>59</v>
      </c>
      <c r="N1471" s="1" t="s">
        <v>2418</v>
      </c>
      <c r="O1471" s="1">
        <v>0.37</v>
      </c>
      <c r="P1471" s="6">
        <f>Table1[[#This Row],[Profit]]/Table1[[#This Row],[Sales]]</f>
        <v>-0.36395525307048426</v>
      </c>
      <c r="Q1471" s="1" t="s">
        <v>33</v>
      </c>
      <c r="R1471" s="1" t="s">
        <v>61</v>
      </c>
      <c r="S1471" s="1" t="s">
        <v>1858</v>
      </c>
      <c r="T1471" s="1" t="s">
        <v>2419</v>
      </c>
      <c r="U1471" s="1">
        <v>54220</v>
      </c>
      <c r="V1471" s="9">
        <v>42063</v>
      </c>
      <c r="W1471" s="13" t="str">
        <f>TEXT(Table1[[#This Row],[Order Date]],"mmmm")</f>
        <v>February</v>
      </c>
      <c r="X1471" s="7" t="str">
        <f>TEXT(Table1[[#This Row],[Order Date]],"yyyy")</f>
        <v>2015</v>
      </c>
      <c r="Y1471" s="9">
        <v>42063</v>
      </c>
      <c r="Z1471" s="1">
        <v>-46.5244</v>
      </c>
      <c r="AA1471" s="1">
        <v>18</v>
      </c>
      <c r="AB1471" s="1">
        <v>127.83</v>
      </c>
      <c r="AC1471" s="1">
        <v>91166</v>
      </c>
      <c r="AD1471" s="6" t="str">
        <f>IF(COUNTIF(Returns!$A$2:$A$1635,Orders!AC1471)&gt;0,"Returned","Not Returned")</f>
        <v>Not Returned</v>
      </c>
    </row>
    <row r="1472" spans="1:30" ht="12.75" customHeight="1" thickTop="1" thickBot="1" x14ac:dyDescent="0.25">
      <c r="A1472" s="10">
        <v>20810</v>
      </c>
      <c r="B1472" s="11" t="s">
        <v>37</v>
      </c>
      <c r="C1472" s="11">
        <v>0.02</v>
      </c>
      <c r="D1472" s="11">
        <v>22.72</v>
      </c>
      <c r="E1472" s="11">
        <v>8.99</v>
      </c>
      <c r="F1472" s="11">
        <v>2587</v>
      </c>
      <c r="G1472" s="6" t="str">
        <f>IF(COUNTIF(Table1[Customer ID],Table1[[#This Row],[Customer ID]])&gt;1,"Repeat Customer","One-Time Customer")</f>
        <v>Repeat Customer</v>
      </c>
      <c r="H1472" s="11" t="s">
        <v>2417</v>
      </c>
      <c r="I1472" s="11" t="s">
        <v>49</v>
      </c>
      <c r="J1472" s="11" t="s">
        <v>40</v>
      </c>
      <c r="K1472" s="11" t="s">
        <v>41</v>
      </c>
      <c r="L1472" s="11" t="s">
        <v>50</v>
      </c>
      <c r="M1472" s="11" t="s">
        <v>51</v>
      </c>
      <c r="N1472" s="11" t="s">
        <v>782</v>
      </c>
      <c r="O1472" s="11">
        <v>0.44</v>
      </c>
      <c r="P1472" s="6">
        <f>Table1[[#This Row],[Profit]]/Table1[[#This Row],[Sales]]</f>
        <v>0.69</v>
      </c>
      <c r="Q1472" s="11" t="s">
        <v>33</v>
      </c>
      <c r="R1472" s="11" t="s">
        <v>61</v>
      </c>
      <c r="S1472" s="11" t="s">
        <v>1858</v>
      </c>
      <c r="T1472" s="11" t="s">
        <v>2419</v>
      </c>
      <c r="U1472" s="11">
        <v>54220</v>
      </c>
      <c r="V1472" s="12">
        <v>42181</v>
      </c>
      <c r="W1472" s="13" t="str">
        <f>TEXT(Table1[[#This Row],[Order Date]],"mmmm")</f>
        <v>June</v>
      </c>
      <c r="X1472" s="7" t="str">
        <f>TEXT(Table1[[#This Row],[Order Date]],"yyyy")</f>
        <v>2015</v>
      </c>
      <c r="Y1472" s="12">
        <v>42181</v>
      </c>
      <c r="Z1472" s="11">
        <v>200.01719999999997</v>
      </c>
      <c r="AA1472" s="11">
        <v>12</v>
      </c>
      <c r="AB1472" s="11">
        <v>289.88</v>
      </c>
      <c r="AC1472" s="11">
        <v>91167</v>
      </c>
      <c r="AD1472" s="6" t="str">
        <f>IF(COUNTIF(Returns!$A$2:$A$1635,Orders!AC1472)&gt;0,"Returned","Not Returned")</f>
        <v>Not Returned</v>
      </c>
    </row>
    <row r="1473" spans="1:30" ht="12.75" customHeight="1" thickTop="1" thickBot="1" x14ac:dyDescent="0.25">
      <c r="A1473" s="8">
        <v>22275</v>
      </c>
      <c r="B1473" s="1" t="s">
        <v>106</v>
      </c>
      <c r="C1473" s="1">
        <v>0.02</v>
      </c>
      <c r="D1473" s="1">
        <v>419.19</v>
      </c>
      <c r="E1473" s="1">
        <v>19.989999999999998</v>
      </c>
      <c r="F1473" s="1">
        <v>2593</v>
      </c>
      <c r="G1473" s="6" t="str">
        <f>IF(COUNTIF(Table1[Customer ID],Table1[[#This Row],[Customer ID]])&gt;1,"Repeat Customer","One-Time Customer")</f>
        <v>Repeat Customer</v>
      </c>
      <c r="H1473" s="1" t="s">
        <v>2420</v>
      </c>
      <c r="I1473" s="1" t="s">
        <v>49</v>
      </c>
      <c r="J1473" s="1" t="s">
        <v>28</v>
      </c>
      <c r="K1473" s="1" t="s">
        <v>29</v>
      </c>
      <c r="L1473" s="1" t="s">
        <v>141</v>
      </c>
      <c r="M1473" s="1" t="s">
        <v>59</v>
      </c>
      <c r="N1473" s="1" t="s">
        <v>741</v>
      </c>
      <c r="O1473" s="1">
        <v>0.57999999999999996</v>
      </c>
      <c r="P1473" s="6">
        <f>Table1[[#This Row],[Profit]]/Table1[[#This Row],[Sales]]</f>
        <v>-9.0953140967493778E-3</v>
      </c>
      <c r="Q1473" s="1" t="s">
        <v>33</v>
      </c>
      <c r="R1473" s="1" t="s">
        <v>136</v>
      </c>
      <c r="S1473" s="1" t="s">
        <v>387</v>
      </c>
      <c r="T1473" s="1" t="s">
        <v>2421</v>
      </c>
      <c r="U1473" s="1">
        <v>30605</v>
      </c>
      <c r="V1473" s="9">
        <v>42111</v>
      </c>
      <c r="W1473" s="13" t="str">
        <f>TEXT(Table1[[#This Row],[Order Date]],"mmmm")</f>
        <v>April</v>
      </c>
      <c r="X1473" s="7" t="str">
        <f>TEXT(Table1[[#This Row],[Order Date]],"yyyy")</f>
        <v>2015</v>
      </c>
      <c r="Y1473" s="9">
        <v>42111</v>
      </c>
      <c r="Z1473" s="1">
        <v>-39.606000000000002</v>
      </c>
      <c r="AA1473" s="1">
        <v>10</v>
      </c>
      <c r="AB1473" s="1">
        <v>4354.55</v>
      </c>
      <c r="AC1473" s="1">
        <v>87772</v>
      </c>
      <c r="AD1473" s="6" t="str">
        <f>IF(COUNTIF(Returns!$A$2:$A$1635,Orders!AC1473)&gt;0,"Returned","Not Returned")</f>
        <v>Not Returned</v>
      </c>
    </row>
    <row r="1474" spans="1:30" ht="12.75" customHeight="1" thickTop="1" thickBot="1" x14ac:dyDescent="0.25">
      <c r="A1474" s="10">
        <v>23765</v>
      </c>
      <c r="B1474" s="11" t="s">
        <v>106</v>
      </c>
      <c r="C1474" s="11">
        <v>0.01</v>
      </c>
      <c r="D1474" s="11">
        <v>85.99</v>
      </c>
      <c r="E1474" s="11">
        <v>0.99</v>
      </c>
      <c r="F1474" s="11">
        <v>2593</v>
      </c>
      <c r="G1474" s="6" t="str">
        <f>IF(COUNTIF(Table1[Customer ID],Table1[[#This Row],[Customer ID]])&gt;1,"Repeat Customer","One-Time Customer")</f>
        <v>Repeat Customer</v>
      </c>
      <c r="H1474" s="11" t="s">
        <v>2420</v>
      </c>
      <c r="I1474" s="11" t="s">
        <v>49</v>
      </c>
      <c r="J1474" s="11" t="s">
        <v>28</v>
      </c>
      <c r="K1474" s="11" t="s">
        <v>77</v>
      </c>
      <c r="L1474" s="11" t="s">
        <v>78</v>
      </c>
      <c r="M1474" s="11" t="s">
        <v>31</v>
      </c>
      <c r="N1474" s="11" t="s">
        <v>482</v>
      </c>
      <c r="O1474" s="11">
        <v>0.85</v>
      </c>
      <c r="P1474" s="6">
        <f>Table1[[#This Row],[Profit]]/Table1[[#This Row],[Sales]]</f>
        <v>2.1326537593213382</v>
      </c>
      <c r="Q1474" s="11" t="s">
        <v>33</v>
      </c>
      <c r="R1474" s="11" t="s">
        <v>136</v>
      </c>
      <c r="S1474" s="11" t="s">
        <v>387</v>
      </c>
      <c r="T1474" s="11" t="s">
        <v>2421</v>
      </c>
      <c r="U1474" s="11">
        <v>30605</v>
      </c>
      <c r="V1474" s="12">
        <v>42075</v>
      </c>
      <c r="W1474" s="13" t="str">
        <f>TEXT(Table1[[#This Row],[Order Date]],"mmmm")</f>
        <v>March</v>
      </c>
      <c r="X1474" s="7" t="str">
        <f>TEXT(Table1[[#This Row],[Order Date]],"yyyy")</f>
        <v>2015</v>
      </c>
      <c r="Y1474" s="12">
        <v>42080</v>
      </c>
      <c r="Z1474" s="11">
        <v>311.72999999999996</v>
      </c>
      <c r="AA1474" s="11">
        <v>2</v>
      </c>
      <c r="AB1474" s="11">
        <v>146.16999999999999</v>
      </c>
      <c r="AC1474" s="11">
        <v>87773</v>
      </c>
      <c r="AD1474" s="6" t="str">
        <f>IF(COUNTIF(Returns!$A$2:$A$1635,Orders!AC1474)&gt;0,"Returned","Not Returned")</f>
        <v>Not Returned</v>
      </c>
    </row>
    <row r="1475" spans="1:30" ht="12.75" customHeight="1" thickTop="1" thickBot="1" x14ac:dyDescent="0.25">
      <c r="A1475" s="8">
        <v>19859</v>
      </c>
      <c r="B1475" s="1" t="s">
        <v>106</v>
      </c>
      <c r="C1475" s="1">
        <v>0.05</v>
      </c>
      <c r="D1475" s="1">
        <v>5.74</v>
      </c>
      <c r="E1475" s="1">
        <v>5.3</v>
      </c>
      <c r="F1475" s="1">
        <v>2601</v>
      </c>
      <c r="G1475" s="6" t="str">
        <f>IF(COUNTIF(Table1[Customer ID],Table1[[#This Row],[Customer ID]])&gt;1,"Repeat Customer","One-Time Customer")</f>
        <v>One-Time Customer</v>
      </c>
      <c r="H1475" s="1" t="s">
        <v>2422</v>
      </c>
      <c r="I1475" s="1" t="s">
        <v>49</v>
      </c>
      <c r="J1475" s="1" t="s">
        <v>28</v>
      </c>
      <c r="K1475" s="1" t="s">
        <v>29</v>
      </c>
      <c r="L1475" s="1" t="s">
        <v>174</v>
      </c>
      <c r="M1475" s="1" t="s">
        <v>51</v>
      </c>
      <c r="N1475" s="1" t="s">
        <v>2423</v>
      </c>
      <c r="O1475" s="1">
        <v>0.55000000000000004</v>
      </c>
      <c r="P1475" s="6">
        <f>Table1[[#This Row],[Profit]]/Table1[[#This Row],[Sales]]</f>
        <v>-1.2077582103760114</v>
      </c>
      <c r="Q1475" s="1" t="s">
        <v>33</v>
      </c>
      <c r="R1475" s="1" t="s">
        <v>53</v>
      </c>
      <c r="S1475" s="1" t="s">
        <v>197</v>
      </c>
      <c r="T1475" s="1" t="s">
        <v>2424</v>
      </c>
      <c r="U1475" s="1">
        <v>3054</v>
      </c>
      <c r="V1475" s="9">
        <v>42084</v>
      </c>
      <c r="W1475" s="13" t="str">
        <f>TEXT(Table1[[#This Row],[Order Date]],"mmmm")</f>
        <v>March</v>
      </c>
      <c r="X1475" s="7" t="str">
        <f>TEXT(Table1[[#This Row],[Order Date]],"yyyy")</f>
        <v>2015</v>
      </c>
      <c r="Y1475" s="9">
        <v>42089</v>
      </c>
      <c r="Z1475" s="1">
        <v>-50.75</v>
      </c>
      <c r="AA1475" s="1">
        <v>7</v>
      </c>
      <c r="AB1475" s="1">
        <v>42.02</v>
      </c>
      <c r="AC1475" s="1">
        <v>87382</v>
      </c>
      <c r="AD1475" s="6" t="str">
        <f>IF(COUNTIF(Returns!$A$2:$A$1635,Orders!AC1475)&gt;0,"Returned","Not Returned")</f>
        <v>Not Returned</v>
      </c>
    </row>
    <row r="1476" spans="1:30" ht="12.75" customHeight="1" thickTop="1" thickBot="1" x14ac:dyDescent="0.25">
      <c r="A1476" s="10">
        <v>20849</v>
      </c>
      <c r="B1476" s="11" t="s">
        <v>47</v>
      </c>
      <c r="C1476" s="11">
        <v>7.0000000000000007E-2</v>
      </c>
      <c r="D1476" s="11">
        <v>200.99</v>
      </c>
      <c r="E1476" s="11">
        <v>4.2</v>
      </c>
      <c r="F1476" s="11">
        <v>2603</v>
      </c>
      <c r="G1476" s="6" t="str">
        <f>IF(COUNTIF(Table1[Customer ID],Table1[[#This Row],[Customer ID]])&gt;1,"Repeat Customer","One-Time Customer")</f>
        <v>One-Time Customer</v>
      </c>
      <c r="H1476" s="11" t="s">
        <v>2425</v>
      </c>
      <c r="I1476" s="11" t="s">
        <v>49</v>
      </c>
      <c r="J1476" s="11" t="s">
        <v>28</v>
      </c>
      <c r="K1476" s="11" t="s">
        <v>77</v>
      </c>
      <c r="L1476" s="11" t="s">
        <v>78</v>
      </c>
      <c r="M1476" s="11" t="s">
        <v>59</v>
      </c>
      <c r="N1476" s="11" t="s">
        <v>548</v>
      </c>
      <c r="O1476" s="11">
        <v>0.59</v>
      </c>
      <c r="P1476" s="6">
        <f>Table1[[#This Row],[Profit]]/Table1[[#This Row],[Sales]]</f>
        <v>0.60053766389394203</v>
      </c>
      <c r="Q1476" s="11" t="s">
        <v>33</v>
      </c>
      <c r="R1476" s="11" t="s">
        <v>53</v>
      </c>
      <c r="S1476" s="11" t="s">
        <v>54</v>
      </c>
      <c r="T1476" s="11" t="s">
        <v>2426</v>
      </c>
      <c r="U1476" s="11">
        <v>7601</v>
      </c>
      <c r="V1476" s="12">
        <v>42099</v>
      </c>
      <c r="W1476" s="13" t="str">
        <f>TEXT(Table1[[#This Row],[Order Date]],"mmmm")</f>
        <v>April</v>
      </c>
      <c r="X1476" s="7" t="str">
        <f>TEXT(Table1[[#This Row],[Order Date]],"yyyy")</f>
        <v>2015</v>
      </c>
      <c r="Y1476" s="12">
        <v>42100</v>
      </c>
      <c r="Z1476" s="11">
        <v>2225.0761200000002</v>
      </c>
      <c r="AA1476" s="11">
        <v>22</v>
      </c>
      <c r="AB1476" s="11">
        <v>3705.14</v>
      </c>
      <c r="AC1476" s="11">
        <v>87383</v>
      </c>
      <c r="AD1476" s="6" t="str">
        <f>IF(COUNTIF(Returns!$A$2:$A$1635,Orders!AC1476)&gt;0,"Returned","Not Returned")</f>
        <v>Not Returned</v>
      </c>
    </row>
    <row r="1477" spans="1:30" ht="12.75" customHeight="1" thickTop="1" thickBot="1" x14ac:dyDescent="0.25">
      <c r="A1477" s="8">
        <v>20850</v>
      </c>
      <c r="B1477" s="1" t="s">
        <v>47</v>
      </c>
      <c r="C1477" s="1">
        <v>0.01</v>
      </c>
      <c r="D1477" s="1">
        <v>297.48</v>
      </c>
      <c r="E1477" s="1">
        <v>18.059999999999999</v>
      </c>
      <c r="F1477" s="1">
        <v>2604</v>
      </c>
      <c r="G1477" s="6" t="str">
        <f>IF(COUNTIF(Table1[Customer ID],Table1[[#This Row],[Customer ID]])&gt;1,"Repeat Customer","One-Time Customer")</f>
        <v>One-Time Customer</v>
      </c>
      <c r="H1477" s="1" t="s">
        <v>2427</v>
      </c>
      <c r="I1477" s="1" t="s">
        <v>39</v>
      </c>
      <c r="J1477" s="1" t="s">
        <v>28</v>
      </c>
      <c r="K1477" s="1" t="s">
        <v>77</v>
      </c>
      <c r="L1477" s="1" t="s">
        <v>85</v>
      </c>
      <c r="M1477" s="1" t="s">
        <v>43</v>
      </c>
      <c r="N1477" s="1" t="s">
        <v>565</v>
      </c>
      <c r="O1477" s="1">
        <v>0.6</v>
      </c>
      <c r="P1477" s="6">
        <f>Table1[[#This Row],[Profit]]/Table1[[#This Row],[Sales]]</f>
        <v>-0.35772703731911654</v>
      </c>
      <c r="Q1477" s="1" t="s">
        <v>33</v>
      </c>
      <c r="R1477" s="1" t="s">
        <v>53</v>
      </c>
      <c r="S1477" s="1" t="s">
        <v>54</v>
      </c>
      <c r="T1477" s="1" t="s">
        <v>2428</v>
      </c>
      <c r="U1477" s="1">
        <v>8830</v>
      </c>
      <c r="V1477" s="9">
        <v>42099</v>
      </c>
      <c r="W1477" s="13" t="str">
        <f>TEXT(Table1[[#This Row],[Order Date]],"mmmm")</f>
        <v>April</v>
      </c>
      <c r="X1477" s="7" t="str">
        <f>TEXT(Table1[[#This Row],[Order Date]],"yyyy")</f>
        <v>2015</v>
      </c>
      <c r="Y1477" s="9">
        <v>42100</v>
      </c>
      <c r="Z1477" s="1">
        <v>-338.18083200000001</v>
      </c>
      <c r="AA1477" s="1">
        <v>3</v>
      </c>
      <c r="AB1477" s="1">
        <v>945.36</v>
      </c>
      <c r="AC1477" s="1">
        <v>87383</v>
      </c>
      <c r="AD1477" s="6" t="str">
        <f>IF(COUNTIF(Returns!$A$2:$A$1635,Orders!AC1477)&gt;0,"Returned","Not Returned")</f>
        <v>Not Returned</v>
      </c>
    </row>
    <row r="1478" spans="1:30" ht="12.75" customHeight="1" thickTop="1" thickBot="1" x14ac:dyDescent="0.25">
      <c r="A1478" s="10">
        <v>18046</v>
      </c>
      <c r="B1478" s="11" t="s">
        <v>25</v>
      </c>
      <c r="C1478" s="11">
        <v>0.09</v>
      </c>
      <c r="D1478" s="11">
        <v>5.4</v>
      </c>
      <c r="E1478" s="11">
        <v>7.78</v>
      </c>
      <c r="F1478" s="11">
        <v>2610</v>
      </c>
      <c r="G1478" s="6" t="str">
        <f>IF(COUNTIF(Table1[Customer ID],Table1[[#This Row],[Customer ID]])&gt;1,"Repeat Customer","One-Time Customer")</f>
        <v>One-Time Customer</v>
      </c>
      <c r="H1478" s="11" t="s">
        <v>2429</v>
      </c>
      <c r="I1478" s="11" t="s">
        <v>49</v>
      </c>
      <c r="J1478" s="11" t="s">
        <v>28</v>
      </c>
      <c r="K1478" s="11" t="s">
        <v>29</v>
      </c>
      <c r="L1478" s="11" t="s">
        <v>109</v>
      </c>
      <c r="M1478" s="11" t="s">
        <v>59</v>
      </c>
      <c r="N1478" s="11" t="s">
        <v>310</v>
      </c>
      <c r="O1478" s="11">
        <v>0.37</v>
      </c>
      <c r="P1478" s="6">
        <f>Table1[[#This Row],[Profit]]/Table1[[#This Row],[Sales]]</f>
        <v>-2.7670999187652314</v>
      </c>
      <c r="Q1478" s="11" t="s">
        <v>33</v>
      </c>
      <c r="R1478" s="11" t="s">
        <v>34</v>
      </c>
      <c r="S1478" s="11" t="s">
        <v>45</v>
      </c>
      <c r="T1478" s="11" t="s">
        <v>2402</v>
      </c>
      <c r="U1478" s="11">
        <v>95616</v>
      </c>
      <c r="V1478" s="12">
        <v>42140</v>
      </c>
      <c r="W1478" s="13" t="str">
        <f>TEXT(Table1[[#This Row],[Order Date]],"mmmm")</f>
        <v>May</v>
      </c>
      <c r="X1478" s="7" t="str">
        <f>TEXT(Table1[[#This Row],[Order Date]],"yyyy")</f>
        <v>2015</v>
      </c>
      <c r="Y1478" s="12">
        <v>42141</v>
      </c>
      <c r="Z1478" s="11">
        <v>-136.25200000000001</v>
      </c>
      <c r="AA1478" s="11">
        <v>9</v>
      </c>
      <c r="AB1478" s="11">
        <v>49.24</v>
      </c>
      <c r="AC1478" s="11">
        <v>86118</v>
      </c>
      <c r="AD1478" s="6" t="str">
        <f>IF(COUNTIF(Returns!$A$2:$A$1635,Orders!AC1478)&gt;0,"Returned","Not Returned")</f>
        <v>Not Returned</v>
      </c>
    </row>
    <row r="1479" spans="1:30" ht="12.75" customHeight="1" thickTop="1" thickBot="1" x14ac:dyDescent="0.25">
      <c r="A1479" s="8">
        <v>19971</v>
      </c>
      <c r="B1479" s="1" t="s">
        <v>106</v>
      </c>
      <c r="C1479" s="1">
        <v>0.02</v>
      </c>
      <c r="D1479" s="1">
        <v>50.98</v>
      </c>
      <c r="E1479" s="1">
        <v>13.66</v>
      </c>
      <c r="F1479" s="1">
        <v>2613</v>
      </c>
      <c r="G1479" s="6" t="str">
        <f>IF(COUNTIF(Table1[Customer ID],Table1[[#This Row],[Customer ID]])&gt;1,"Repeat Customer","One-Time Customer")</f>
        <v>One-Time Customer</v>
      </c>
      <c r="H1479" s="1" t="s">
        <v>2430</v>
      </c>
      <c r="I1479" s="1" t="s">
        <v>27</v>
      </c>
      <c r="J1479" s="1" t="s">
        <v>28</v>
      </c>
      <c r="K1479" s="1" t="s">
        <v>29</v>
      </c>
      <c r="L1479" s="1" t="s">
        <v>257</v>
      </c>
      <c r="M1479" s="1" t="s">
        <v>59</v>
      </c>
      <c r="N1479" s="1" t="s">
        <v>2431</v>
      </c>
      <c r="O1479" s="1">
        <v>0.57999999999999996</v>
      </c>
      <c r="P1479" s="6">
        <f>Table1[[#This Row],[Profit]]/Table1[[#This Row],[Sales]]</f>
        <v>-0.37633308984660335</v>
      </c>
      <c r="Q1479" s="1" t="s">
        <v>33</v>
      </c>
      <c r="R1479" s="1" t="s">
        <v>53</v>
      </c>
      <c r="S1479" s="1" t="s">
        <v>54</v>
      </c>
      <c r="T1479" s="1" t="s">
        <v>2432</v>
      </c>
      <c r="U1479" s="1">
        <v>8863</v>
      </c>
      <c r="V1479" s="9">
        <v>42028</v>
      </c>
      <c r="W1479" s="13" t="str">
        <f>TEXT(Table1[[#This Row],[Order Date]],"mmmm")</f>
        <v>January</v>
      </c>
      <c r="X1479" s="7" t="str">
        <f>TEXT(Table1[[#This Row],[Order Date]],"yyyy")</f>
        <v>2015</v>
      </c>
      <c r="Y1479" s="9">
        <v>42028</v>
      </c>
      <c r="Z1479" s="1">
        <v>-25.76</v>
      </c>
      <c r="AA1479" s="1">
        <v>1</v>
      </c>
      <c r="AB1479" s="1">
        <v>68.45</v>
      </c>
      <c r="AC1479" s="1">
        <v>86119</v>
      </c>
      <c r="AD1479" s="6" t="str">
        <f>IF(COUNTIF(Returns!$A$2:$A$1635,Orders!AC1479)&gt;0,"Returned","Not Returned")</f>
        <v>Not Returned</v>
      </c>
    </row>
    <row r="1480" spans="1:30" ht="12.75" customHeight="1" thickTop="1" thickBot="1" x14ac:dyDescent="0.25">
      <c r="A1480" s="10">
        <v>25962</v>
      </c>
      <c r="B1480" s="11" t="s">
        <v>47</v>
      </c>
      <c r="C1480" s="11">
        <v>0</v>
      </c>
      <c r="D1480" s="11">
        <v>2.6</v>
      </c>
      <c r="E1480" s="11">
        <v>2.4</v>
      </c>
      <c r="F1480" s="11">
        <v>2616</v>
      </c>
      <c r="G1480" s="6" t="str">
        <f>IF(COUNTIF(Table1[Customer ID],Table1[[#This Row],[Customer ID]])&gt;1,"Repeat Customer","One-Time Customer")</f>
        <v>One-Time Customer</v>
      </c>
      <c r="H1480" s="11" t="s">
        <v>2433</v>
      </c>
      <c r="I1480" s="11" t="s">
        <v>49</v>
      </c>
      <c r="J1480" s="11" t="s">
        <v>28</v>
      </c>
      <c r="K1480" s="11" t="s">
        <v>29</v>
      </c>
      <c r="L1480" s="11" t="s">
        <v>30</v>
      </c>
      <c r="M1480" s="11" t="s">
        <v>31</v>
      </c>
      <c r="N1480" s="11" t="s">
        <v>1023</v>
      </c>
      <c r="O1480" s="11">
        <v>0.57999999999999996</v>
      </c>
      <c r="P1480" s="6">
        <f>Table1[[#This Row],[Profit]]/Table1[[#This Row],[Sales]]</f>
        <v>-1.0102793296089385</v>
      </c>
      <c r="Q1480" s="11" t="s">
        <v>33</v>
      </c>
      <c r="R1480" s="11" t="s">
        <v>61</v>
      </c>
      <c r="S1480" s="11" t="s">
        <v>300</v>
      </c>
      <c r="T1480" s="11" t="s">
        <v>2434</v>
      </c>
      <c r="U1480" s="11">
        <v>49002</v>
      </c>
      <c r="V1480" s="12">
        <v>42074</v>
      </c>
      <c r="W1480" s="13" t="str">
        <f>TEXT(Table1[[#This Row],[Order Date]],"mmmm")</f>
        <v>March</v>
      </c>
      <c r="X1480" s="7" t="str">
        <f>TEXT(Table1[[#This Row],[Order Date]],"yyyy")</f>
        <v>2015</v>
      </c>
      <c r="Y1480" s="12">
        <v>42076</v>
      </c>
      <c r="Z1480" s="11">
        <v>-45.21</v>
      </c>
      <c r="AA1480" s="11">
        <v>16</v>
      </c>
      <c r="AB1480" s="11">
        <v>44.75</v>
      </c>
      <c r="AC1480" s="11">
        <v>91495</v>
      </c>
      <c r="AD1480" s="6" t="str">
        <f>IF(COUNTIF(Returns!$A$2:$A$1635,Orders!AC1480)&gt;0,"Returned","Not Returned")</f>
        <v>Not Returned</v>
      </c>
    </row>
    <row r="1481" spans="1:30" ht="12.75" customHeight="1" thickTop="1" thickBot="1" x14ac:dyDescent="0.25">
      <c r="A1481" s="8">
        <v>25478</v>
      </c>
      <c r="B1481" s="1" t="s">
        <v>37</v>
      </c>
      <c r="C1481" s="1">
        <v>0.1</v>
      </c>
      <c r="D1481" s="1">
        <v>3.25</v>
      </c>
      <c r="E1481" s="1">
        <v>49</v>
      </c>
      <c r="F1481" s="1">
        <v>2617</v>
      </c>
      <c r="G1481" s="6" t="str">
        <f>IF(COUNTIF(Table1[Customer ID],Table1[[#This Row],[Customer ID]])&gt;1,"Repeat Customer","One-Time Customer")</f>
        <v>One-Time Customer</v>
      </c>
      <c r="H1481" s="1" t="s">
        <v>2435</v>
      </c>
      <c r="I1481" s="1" t="s">
        <v>49</v>
      </c>
      <c r="J1481" s="1" t="s">
        <v>28</v>
      </c>
      <c r="K1481" s="1" t="s">
        <v>29</v>
      </c>
      <c r="L1481" s="1" t="s">
        <v>257</v>
      </c>
      <c r="M1481" s="1" t="s">
        <v>236</v>
      </c>
      <c r="N1481" s="1" t="s">
        <v>1890</v>
      </c>
      <c r="O1481" s="1">
        <v>0.56000000000000005</v>
      </c>
      <c r="P1481" s="6">
        <f>Table1[[#This Row],[Profit]]/Table1[[#This Row],[Sales]]</f>
        <v>-7.0347751290243306</v>
      </c>
      <c r="Q1481" s="1" t="s">
        <v>33</v>
      </c>
      <c r="R1481" s="1" t="s">
        <v>61</v>
      </c>
      <c r="S1481" s="1" t="s">
        <v>2193</v>
      </c>
      <c r="T1481" s="1" t="s">
        <v>2436</v>
      </c>
      <c r="U1481" s="1">
        <v>57401</v>
      </c>
      <c r="V1481" s="9">
        <v>42182</v>
      </c>
      <c r="W1481" s="13" t="str">
        <f>TEXT(Table1[[#This Row],[Order Date]],"mmmm")</f>
        <v>June</v>
      </c>
      <c r="X1481" s="7" t="str">
        <f>TEXT(Table1[[#This Row],[Order Date]],"yyyy")</f>
        <v>2015</v>
      </c>
      <c r="Y1481" s="9">
        <v>42183</v>
      </c>
      <c r="Z1481" s="1">
        <v>-286.245</v>
      </c>
      <c r="AA1481" s="1">
        <v>6</v>
      </c>
      <c r="AB1481" s="1">
        <v>40.69</v>
      </c>
      <c r="AC1481" s="1">
        <v>91496</v>
      </c>
      <c r="AD1481" s="6" t="str">
        <f>IF(COUNTIF(Returns!$A$2:$A$1635,Orders!AC1481)&gt;0,"Returned","Not Returned")</f>
        <v>Not Returned</v>
      </c>
    </row>
    <row r="1482" spans="1:30" ht="12.75" customHeight="1" thickTop="1" thickBot="1" x14ac:dyDescent="0.25">
      <c r="A1482" s="10">
        <v>6585</v>
      </c>
      <c r="B1482" s="11" t="s">
        <v>56</v>
      </c>
      <c r="C1482" s="11">
        <v>0.1</v>
      </c>
      <c r="D1482" s="11">
        <v>7.64</v>
      </c>
      <c r="E1482" s="11">
        <v>1.39</v>
      </c>
      <c r="F1482" s="11">
        <v>2618</v>
      </c>
      <c r="G1482" s="6" t="str">
        <f>IF(COUNTIF(Table1[Customer ID],Table1[[#This Row],[Customer ID]])&gt;1,"Repeat Customer","One-Time Customer")</f>
        <v>Repeat Customer</v>
      </c>
      <c r="H1482" s="11" t="s">
        <v>2437</v>
      </c>
      <c r="I1482" s="11" t="s">
        <v>49</v>
      </c>
      <c r="J1482" s="11" t="s">
        <v>28</v>
      </c>
      <c r="K1482" s="11" t="s">
        <v>29</v>
      </c>
      <c r="L1482" s="11" t="s">
        <v>69</v>
      </c>
      <c r="M1482" s="11" t="s">
        <v>59</v>
      </c>
      <c r="N1482" s="11" t="s">
        <v>2438</v>
      </c>
      <c r="O1482" s="11">
        <v>0.36</v>
      </c>
      <c r="P1482" s="6">
        <f>Table1[[#This Row],[Profit]]/Table1[[#This Row],[Sales]]</f>
        <v>0.12389516562908308</v>
      </c>
      <c r="Q1482" s="11" t="s">
        <v>33</v>
      </c>
      <c r="R1482" s="11" t="s">
        <v>53</v>
      </c>
      <c r="S1482" s="11" t="s">
        <v>71</v>
      </c>
      <c r="T1482" s="11" t="s">
        <v>90</v>
      </c>
      <c r="U1482" s="11">
        <v>10004</v>
      </c>
      <c r="V1482" s="12">
        <v>42021</v>
      </c>
      <c r="W1482" s="13" t="str">
        <f>TEXT(Table1[[#This Row],[Order Date]],"mmmm")</f>
        <v>January</v>
      </c>
      <c r="X1482" s="7" t="str">
        <f>TEXT(Table1[[#This Row],[Order Date]],"yyyy")</f>
        <v>2015</v>
      </c>
      <c r="Y1482" s="12">
        <v>42023</v>
      </c>
      <c r="Z1482" s="11">
        <v>16.12</v>
      </c>
      <c r="AA1482" s="11">
        <v>18</v>
      </c>
      <c r="AB1482" s="11">
        <v>130.11000000000001</v>
      </c>
      <c r="AC1482" s="11">
        <v>46884</v>
      </c>
      <c r="AD1482" s="6" t="str">
        <f>IF(COUNTIF(Returns!$A$2:$A$1635,Orders!AC1482)&gt;0,"Returned","Not Returned")</f>
        <v>Not Returned</v>
      </c>
    </row>
    <row r="1483" spans="1:30" ht="12.75" customHeight="1" thickTop="1" thickBot="1" x14ac:dyDescent="0.25">
      <c r="A1483" s="8">
        <v>6586</v>
      </c>
      <c r="B1483" s="1" t="s">
        <v>56</v>
      </c>
      <c r="C1483" s="1">
        <v>0</v>
      </c>
      <c r="D1483" s="1">
        <v>125.99</v>
      </c>
      <c r="E1483" s="1">
        <v>2.5</v>
      </c>
      <c r="F1483" s="1">
        <v>2618</v>
      </c>
      <c r="G1483" s="6" t="str">
        <f>IF(COUNTIF(Table1[Customer ID],Table1[[#This Row],[Customer ID]])&gt;1,"Repeat Customer","One-Time Customer")</f>
        <v>Repeat Customer</v>
      </c>
      <c r="H1483" s="1" t="s">
        <v>2437</v>
      </c>
      <c r="I1483" s="1" t="s">
        <v>49</v>
      </c>
      <c r="J1483" s="1" t="s">
        <v>28</v>
      </c>
      <c r="K1483" s="1" t="s">
        <v>77</v>
      </c>
      <c r="L1483" s="1" t="s">
        <v>78</v>
      </c>
      <c r="M1483" s="1" t="s">
        <v>59</v>
      </c>
      <c r="N1483" s="1" t="s">
        <v>2439</v>
      </c>
      <c r="O1483" s="1">
        <v>0.59</v>
      </c>
      <c r="P1483" s="6">
        <f>Table1[[#This Row],[Profit]]/Table1[[#This Row],[Sales]]</f>
        <v>-2.4186304618485801</v>
      </c>
      <c r="Q1483" s="1" t="s">
        <v>33</v>
      </c>
      <c r="R1483" s="1" t="s">
        <v>53</v>
      </c>
      <c r="S1483" s="1" t="s">
        <v>71</v>
      </c>
      <c r="T1483" s="1" t="s">
        <v>90</v>
      </c>
      <c r="U1483" s="1">
        <v>10004</v>
      </c>
      <c r="V1483" s="9">
        <v>42021</v>
      </c>
      <c r="W1483" s="13" t="str">
        <f>TEXT(Table1[[#This Row],[Order Date]],"mmmm")</f>
        <v>January</v>
      </c>
      <c r="X1483" s="7" t="str">
        <f>TEXT(Table1[[#This Row],[Order Date]],"yyyy")</f>
        <v>2015</v>
      </c>
      <c r="Y1483" s="9">
        <v>42023</v>
      </c>
      <c r="Z1483" s="1">
        <v>-815.90079999999989</v>
      </c>
      <c r="AA1483" s="1">
        <v>3</v>
      </c>
      <c r="AB1483" s="1">
        <v>337.34</v>
      </c>
      <c r="AC1483" s="1">
        <v>46884</v>
      </c>
      <c r="AD1483" s="6" t="str">
        <f>IF(COUNTIF(Returns!$A$2:$A$1635,Orders!AC1483)&gt;0,"Returned","Not Returned")</f>
        <v>Not Returned</v>
      </c>
    </row>
    <row r="1484" spans="1:30" ht="12.75" customHeight="1" thickTop="1" thickBot="1" x14ac:dyDescent="0.25">
      <c r="A1484" s="10">
        <v>6587</v>
      </c>
      <c r="B1484" s="11" t="s">
        <v>56</v>
      </c>
      <c r="C1484" s="11">
        <v>0.1</v>
      </c>
      <c r="D1484" s="11">
        <v>11.55</v>
      </c>
      <c r="E1484" s="11">
        <v>2.36</v>
      </c>
      <c r="F1484" s="11">
        <v>2618</v>
      </c>
      <c r="G1484" s="6" t="str">
        <f>IF(COUNTIF(Table1[Customer ID],Table1[[#This Row],[Customer ID]])&gt;1,"Repeat Customer","One-Time Customer")</f>
        <v>Repeat Customer</v>
      </c>
      <c r="H1484" s="11" t="s">
        <v>2437</v>
      </c>
      <c r="I1484" s="11" t="s">
        <v>49</v>
      </c>
      <c r="J1484" s="11" t="s">
        <v>28</v>
      </c>
      <c r="K1484" s="11" t="s">
        <v>29</v>
      </c>
      <c r="L1484" s="11" t="s">
        <v>30</v>
      </c>
      <c r="M1484" s="11" t="s">
        <v>31</v>
      </c>
      <c r="N1484" s="11" t="s">
        <v>312</v>
      </c>
      <c r="O1484" s="11">
        <v>0.55000000000000004</v>
      </c>
      <c r="P1484" s="6">
        <f>Table1[[#This Row],[Profit]]/Table1[[#This Row],[Sales]]</f>
        <v>5.6370573761723081E-2</v>
      </c>
      <c r="Q1484" s="11" t="s">
        <v>33</v>
      </c>
      <c r="R1484" s="11" t="s">
        <v>53</v>
      </c>
      <c r="S1484" s="11" t="s">
        <v>71</v>
      </c>
      <c r="T1484" s="11" t="s">
        <v>90</v>
      </c>
      <c r="U1484" s="11">
        <v>10004</v>
      </c>
      <c r="V1484" s="12">
        <v>42021</v>
      </c>
      <c r="W1484" s="13" t="str">
        <f>TEXT(Table1[[#This Row],[Order Date]],"mmmm")</f>
        <v>January</v>
      </c>
      <c r="X1484" s="7" t="str">
        <f>TEXT(Table1[[#This Row],[Order Date]],"yyyy")</f>
        <v>2015</v>
      </c>
      <c r="Y1484" s="12">
        <v>42022</v>
      </c>
      <c r="Z1484" s="11">
        <v>15.808000000000003</v>
      </c>
      <c r="AA1484" s="11">
        <v>25</v>
      </c>
      <c r="AB1484" s="11">
        <v>280.43</v>
      </c>
      <c r="AC1484" s="11">
        <v>46884</v>
      </c>
      <c r="AD1484" s="6" t="str">
        <f>IF(COUNTIF(Returns!$A$2:$A$1635,Orders!AC1484)&gt;0,"Returned","Not Returned")</f>
        <v>Not Returned</v>
      </c>
    </row>
    <row r="1485" spans="1:30" ht="12.75" customHeight="1" thickTop="1" thickBot="1" x14ac:dyDescent="0.25">
      <c r="A1485" s="8">
        <v>4788</v>
      </c>
      <c r="B1485" s="1" t="s">
        <v>25</v>
      </c>
      <c r="C1485" s="1">
        <v>0.05</v>
      </c>
      <c r="D1485" s="1">
        <v>4.84</v>
      </c>
      <c r="E1485" s="1">
        <v>0.71</v>
      </c>
      <c r="F1485" s="1">
        <v>2618</v>
      </c>
      <c r="G1485" s="6" t="str">
        <f>IF(COUNTIF(Table1[Customer ID],Table1[[#This Row],[Customer ID]])&gt;1,"Repeat Customer","One-Time Customer")</f>
        <v>Repeat Customer</v>
      </c>
      <c r="H1485" s="1" t="s">
        <v>2437</v>
      </c>
      <c r="I1485" s="1" t="s">
        <v>27</v>
      </c>
      <c r="J1485" s="1" t="s">
        <v>28</v>
      </c>
      <c r="K1485" s="1" t="s">
        <v>29</v>
      </c>
      <c r="L1485" s="1" t="s">
        <v>30</v>
      </c>
      <c r="M1485" s="1" t="s">
        <v>31</v>
      </c>
      <c r="N1485" s="1" t="s">
        <v>1476</v>
      </c>
      <c r="O1485" s="1">
        <v>0.52</v>
      </c>
      <c r="P1485" s="6">
        <f>Table1[[#This Row],[Profit]]/Table1[[#This Row],[Sales]]</f>
        <v>0.28213560305638846</v>
      </c>
      <c r="Q1485" s="1" t="s">
        <v>33</v>
      </c>
      <c r="R1485" s="1" t="s">
        <v>53</v>
      </c>
      <c r="S1485" s="1" t="s">
        <v>71</v>
      </c>
      <c r="T1485" s="1" t="s">
        <v>90</v>
      </c>
      <c r="U1485" s="1">
        <v>10004</v>
      </c>
      <c r="V1485" s="9">
        <v>42086</v>
      </c>
      <c r="W1485" s="13" t="str">
        <f>TEXT(Table1[[#This Row],[Order Date]],"mmmm")</f>
        <v>March</v>
      </c>
      <c r="X1485" s="7" t="str">
        <f>TEXT(Table1[[#This Row],[Order Date]],"yyyy")</f>
        <v>2015</v>
      </c>
      <c r="Y1485" s="9">
        <v>42086</v>
      </c>
      <c r="Z1485" s="1">
        <v>29.17</v>
      </c>
      <c r="AA1485" s="1">
        <v>20</v>
      </c>
      <c r="AB1485" s="1">
        <v>103.39</v>
      </c>
      <c r="AC1485" s="1">
        <v>34017</v>
      </c>
      <c r="AD1485" s="6" t="str">
        <f>IF(COUNTIF(Returns!$A$2:$A$1635,Orders!AC1485)&gt;0,"Returned","Not Returned")</f>
        <v>Not Returned</v>
      </c>
    </row>
    <row r="1486" spans="1:30" ht="12.75" customHeight="1" thickTop="1" thickBot="1" x14ac:dyDescent="0.25">
      <c r="A1486" s="10">
        <v>4789</v>
      </c>
      <c r="B1486" s="11" t="s">
        <v>25</v>
      </c>
      <c r="C1486" s="11">
        <v>0.01</v>
      </c>
      <c r="D1486" s="11">
        <v>14.98</v>
      </c>
      <c r="E1486" s="11">
        <v>7.69</v>
      </c>
      <c r="F1486" s="11">
        <v>2618</v>
      </c>
      <c r="G1486" s="6" t="str">
        <f>IF(COUNTIF(Table1[Customer ID],Table1[[#This Row],[Customer ID]])&gt;1,"Repeat Customer","One-Time Customer")</f>
        <v>Repeat Customer</v>
      </c>
      <c r="H1486" s="11" t="s">
        <v>2437</v>
      </c>
      <c r="I1486" s="11" t="s">
        <v>49</v>
      </c>
      <c r="J1486" s="11" t="s">
        <v>28</v>
      </c>
      <c r="K1486" s="11" t="s">
        <v>29</v>
      </c>
      <c r="L1486" s="11" t="s">
        <v>141</v>
      </c>
      <c r="M1486" s="11" t="s">
        <v>59</v>
      </c>
      <c r="N1486" s="11" t="s">
        <v>1736</v>
      </c>
      <c r="O1486" s="11">
        <v>0.56999999999999995</v>
      </c>
      <c r="P1486" s="6">
        <f>Table1[[#This Row],[Profit]]/Table1[[#This Row],[Sales]]</f>
        <v>-0.11247387399802476</v>
      </c>
      <c r="Q1486" s="11" t="s">
        <v>33</v>
      </c>
      <c r="R1486" s="11" t="s">
        <v>53</v>
      </c>
      <c r="S1486" s="11" t="s">
        <v>71</v>
      </c>
      <c r="T1486" s="11" t="s">
        <v>90</v>
      </c>
      <c r="U1486" s="11">
        <v>10004</v>
      </c>
      <c r="V1486" s="12">
        <v>42086</v>
      </c>
      <c r="W1486" s="13" t="str">
        <f>TEXT(Table1[[#This Row],[Order Date]],"mmmm")</f>
        <v>March</v>
      </c>
      <c r="X1486" s="7" t="str">
        <f>TEXT(Table1[[#This Row],[Order Date]],"yyyy")</f>
        <v>2015</v>
      </c>
      <c r="Y1486" s="12">
        <v>42088</v>
      </c>
      <c r="Z1486" s="11">
        <v>-48.97</v>
      </c>
      <c r="AA1486" s="11">
        <v>28</v>
      </c>
      <c r="AB1486" s="11">
        <v>435.39</v>
      </c>
      <c r="AC1486" s="11">
        <v>34017</v>
      </c>
      <c r="AD1486" s="6" t="str">
        <f>IF(COUNTIF(Returns!$A$2:$A$1635,Orders!AC1486)&gt;0,"Returned","Not Returned")</f>
        <v>Not Returned</v>
      </c>
    </row>
    <row r="1487" spans="1:30" ht="12.75" customHeight="1" thickTop="1" thickBot="1" x14ac:dyDescent="0.25">
      <c r="A1487" s="8">
        <v>7452</v>
      </c>
      <c r="B1487" s="1" t="s">
        <v>47</v>
      </c>
      <c r="C1487" s="1">
        <v>0.1</v>
      </c>
      <c r="D1487" s="1">
        <v>20.27</v>
      </c>
      <c r="E1487" s="1">
        <v>3.99</v>
      </c>
      <c r="F1487" s="1">
        <v>2618</v>
      </c>
      <c r="G1487" s="6" t="str">
        <f>IF(COUNTIF(Table1[Customer ID],Table1[[#This Row],[Customer ID]])&gt;1,"Repeat Customer","One-Time Customer")</f>
        <v>Repeat Customer</v>
      </c>
      <c r="H1487" s="1" t="s">
        <v>2437</v>
      </c>
      <c r="I1487" s="1" t="s">
        <v>49</v>
      </c>
      <c r="J1487" s="1" t="s">
        <v>28</v>
      </c>
      <c r="K1487" s="1" t="s">
        <v>29</v>
      </c>
      <c r="L1487" s="1" t="s">
        <v>257</v>
      </c>
      <c r="M1487" s="1" t="s">
        <v>59</v>
      </c>
      <c r="N1487" s="1" t="s">
        <v>1514</v>
      </c>
      <c r="O1487" s="1">
        <v>0.56999999999999995</v>
      </c>
      <c r="P1487" s="6">
        <f>Table1[[#This Row],[Profit]]/Table1[[#This Row],[Sales]]</f>
        <v>7.9931908094948267E-2</v>
      </c>
      <c r="Q1487" s="1" t="s">
        <v>33</v>
      </c>
      <c r="R1487" s="1" t="s">
        <v>53</v>
      </c>
      <c r="S1487" s="1" t="s">
        <v>71</v>
      </c>
      <c r="T1487" s="1" t="s">
        <v>90</v>
      </c>
      <c r="U1487" s="1">
        <v>10004</v>
      </c>
      <c r="V1487" s="9">
        <v>42086</v>
      </c>
      <c r="W1487" s="13" t="str">
        <f>TEXT(Table1[[#This Row],[Order Date]],"mmmm")</f>
        <v>March</v>
      </c>
      <c r="X1487" s="7" t="str">
        <f>TEXT(Table1[[#This Row],[Order Date]],"yyyy")</f>
        <v>2015</v>
      </c>
      <c r="Y1487" s="9">
        <v>42087</v>
      </c>
      <c r="Z1487" s="1">
        <v>84.05</v>
      </c>
      <c r="AA1487" s="1">
        <v>53</v>
      </c>
      <c r="AB1487" s="1">
        <v>1051.52</v>
      </c>
      <c r="AC1487" s="1">
        <v>53153</v>
      </c>
      <c r="AD1487" s="6" t="str">
        <f>IF(COUNTIF(Returns!$A$2:$A$1635,Orders!AC1487)&gt;0,"Returned","Not Returned")</f>
        <v>Not Returned</v>
      </c>
    </row>
    <row r="1488" spans="1:30" ht="12.75" customHeight="1" thickTop="1" thickBot="1" x14ac:dyDescent="0.25">
      <c r="A1488" s="10">
        <v>22788</v>
      </c>
      <c r="B1488" s="11" t="s">
        <v>25</v>
      </c>
      <c r="C1488" s="11">
        <v>0.05</v>
      </c>
      <c r="D1488" s="11">
        <v>4.84</v>
      </c>
      <c r="E1488" s="11">
        <v>0.71</v>
      </c>
      <c r="F1488" s="11">
        <v>2619</v>
      </c>
      <c r="G1488" s="6" t="str">
        <f>IF(COUNTIF(Table1[Customer ID],Table1[[#This Row],[Customer ID]])&gt;1,"Repeat Customer","One-Time Customer")</f>
        <v>Repeat Customer</v>
      </c>
      <c r="H1488" s="11" t="s">
        <v>2440</v>
      </c>
      <c r="I1488" s="11" t="s">
        <v>27</v>
      </c>
      <c r="J1488" s="11" t="s">
        <v>28</v>
      </c>
      <c r="K1488" s="11" t="s">
        <v>29</v>
      </c>
      <c r="L1488" s="11" t="s">
        <v>30</v>
      </c>
      <c r="M1488" s="11" t="s">
        <v>31</v>
      </c>
      <c r="N1488" s="11" t="s">
        <v>1476</v>
      </c>
      <c r="O1488" s="11">
        <v>0.52</v>
      </c>
      <c r="P1488" s="6">
        <f>Table1[[#This Row],[Profit]]/Table1[[#This Row],[Sales]]</f>
        <v>0.69</v>
      </c>
      <c r="Q1488" s="11" t="s">
        <v>33</v>
      </c>
      <c r="R1488" s="11" t="s">
        <v>61</v>
      </c>
      <c r="S1488" s="11" t="s">
        <v>2193</v>
      </c>
      <c r="T1488" s="11" t="s">
        <v>2441</v>
      </c>
      <c r="U1488" s="11">
        <v>57103</v>
      </c>
      <c r="V1488" s="12">
        <v>42086</v>
      </c>
      <c r="W1488" s="13" t="str">
        <f>TEXT(Table1[[#This Row],[Order Date]],"mmmm")</f>
        <v>March</v>
      </c>
      <c r="X1488" s="7" t="str">
        <f>TEXT(Table1[[#This Row],[Order Date]],"yyyy")</f>
        <v>2015</v>
      </c>
      <c r="Y1488" s="12">
        <v>42086</v>
      </c>
      <c r="Z1488" s="11">
        <v>17.836500000000001</v>
      </c>
      <c r="AA1488" s="11">
        <v>5</v>
      </c>
      <c r="AB1488" s="11">
        <v>25.85</v>
      </c>
      <c r="AC1488" s="11">
        <v>88014</v>
      </c>
      <c r="AD1488" s="6" t="str">
        <f>IF(COUNTIF(Returns!$A$2:$A$1635,Orders!AC1488)&gt;0,"Returned","Not Returned")</f>
        <v>Not Returned</v>
      </c>
    </row>
    <row r="1489" spans="1:30" ht="12.75" customHeight="1" thickTop="1" thickBot="1" x14ac:dyDescent="0.25">
      <c r="A1489" s="8">
        <v>18461</v>
      </c>
      <c r="B1489" s="1" t="s">
        <v>37</v>
      </c>
      <c r="C1489" s="1">
        <v>0.1</v>
      </c>
      <c r="D1489" s="1">
        <v>30.98</v>
      </c>
      <c r="E1489" s="1">
        <v>8.99</v>
      </c>
      <c r="F1489" s="1">
        <v>2619</v>
      </c>
      <c r="G1489" s="6" t="str">
        <f>IF(COUNTIF(Table1[Customer ID],Table1[[#This Row],[Customer ID]])&gt;1,"Repeat Customer","One-Time Customer")</f>
        <v>Repeat Customer</v>
      </c>
      <c r="H1489" s="1" t="s">
        <v>2440</v>
      </c>
      <c r="I1489" s="1" t="s">
        <v>49</v>
      </c>
      <c r="J1489" s="1" t="s">
        <v>28</v>
      </c>
      <c r="K1489" s="1" t="s">
        <v>29</v>
      </c>
      <c r="L1489" s="1" t="s">
        <v>30</v>
      </c>
      <c r="M1489" s="1" t="s">
        <v>51</v>
      </c>
      <c r="N1489" s="1" t="s">
        <v>1555</v>
      </c>
      <c r="O1489" s="1">
        <v>0.57999999999999996</v>
      </c>
      <c r="P1489" s="6">
        <f>Table1[[#This Row],[Profit]]/Table1[[#This Row],[Sales]]</f>
        <v>-0.16941275027226271</v>
      </c>
      <c r="Q1489" s="1" t="s">
        <v>33</v>
      </c>
      <c r="R1489" s="1" t="s">
        <v>61</v>
      </c>
      <c r="S1489" s="1" t="s">
        <v>2193</v>
      </c>
      <c r="T1489" s="1" t="s">
        <v>2441</v>
      </c>
      <c r="U1489" s="1">
        <v>57103</v>
      </c>
      <c r="V1489" s="9">
        <v>42044</v>
      </c>
      <c r="W1489" s="13" t="str">
        <f>TEXT(Table1[[#This Row],[Order Date]],"mmmm")</f>
        <v>February</v>
      </c>
      <c r="X1489" s="7" t="str">
        <f>TEXT(Table1[[#This Row],[Order Date]],"yyyy")</f>
        <v>2015</v>
      </c>
      <c r="Y1489" s="9">
        <v>42046</v>
      </c>
      <c r="Z1489" s="1">
        <v>-20.222799999999999</v>
      </c>
      <c r="AA1489" s="1">
        <v>4</v>
      </c>
      <c r="AB1489" s="1">
        <v>119.37</v>
      </c>
      <c r="AC1489" s="1">
        <v>88015</v>
      </c>
      <c r="AD1489" s="6" t="str">
        <f>IF(COUNTIF(Returns!$A$2:$A$1635,Orders!AC1489)&gt;0,"Returned","Not Returned")</f>
        <v>Not Returned</v>
      </c>
    </row>
    <row r="1490" spans="1:30" ht="12.75" customHeight="1" thickTop="1" thickBot="1" x14ac:dyDescent="0.25">
      <c r="A1490" s="10">
        <v>25452</v>
      </c>
      <c r="B1490" s="11" t="s">
        <v>47</v>
      </c>
      <c r="C1490" s="11">
        <v>0.1</v>
      </c>
      <c r="D1490" s="11">
        <v>20.27</v>
      </c>
      <c r="E1490" s="11">
        <v>3.99</v>
      </c>
      <c r="F1490" s="11">
        <v>2620</v>
      </c>
      <c r="G1490" s="6" t="str">
        <f>IF(COUNTIF(Table1[Customer ID],Table1[[#This Row],[Customer ID]])&gt;1,"Repeat Customer","One-Time Customer")</f>
        <v>One-Time Customer</v>
      </c>
      <c r="H1490" s="11" t="s">
        <v>2442</v>
      </c>
      <c r="I1490" s="11" t="s">
        <v>49</v>
      </c>
      <c r="J1490" s="11" t="s">
        <v>28</v>
      </c>
      <c r="K1490" s="11" t="s">
        <v>29</v>
      </c>
      <c r="L1490" s="11" t="s">
        <v>257</v>
      </c>
      <c r="M1490" s="11" t="s">
        <v>59</v>
      </c>
      <c r="N1490" s="11" t="s">
        <v>1514</v>
      </c>
      <c r="O1490" s="11">
        <v>0.56999999999999995</v>
      </c>
      <c r="P1490" s="6">
        <f>Table1[[#This Row],[Profit]]/Table1[[#This Row],[Sales]]</f>
        <v>1.4795983250620344</v>
      </c>
      <c r="Q1490" s="11" t="s">
        <v>33</v>
      </c>
      <c r="R1490" s="11" t="s">
        <v>136</v>
      </c>
      <c r="S1490" s="11" t="s">
        <v>244</v>
      </c>
      <c r="T1490" s="11" t="s">
        <v>2443</v>
      </c>
      <c r="U1490" s="11">
        <v>38134</v>
      </c>
      <c r="V1490" s="12">
        <v>42086</v>
      </c>
      <c r="W1490" s="13" t="str">
        <f>TEXT(Table1[[#This Row],[Order Date]],"mmmm")</f>
        <v>March</v>
      </c>
      <c r="X1490" s="7" t="str">
        <f>TEXT(Table1[[#This Row],[Order Date]],"yyyy")</f>
        <v>2015</v>
      </c>
      <c r="Y1490" s="12">
        <v>42087</v>
      </c>
      <c r="Z1490" s="11">
        <v>381.61799999999994</v>
      </c>
      <c r="AA1490" s="11">
        <v>13</v>
      </c>
      <c r="AB1490" s="11">
        <v>257.92</v>
      </c>
      <c r="AC1490" s="11">
        <v>88017</v>
      </c>
      <c r="AD1490" s="6" t="str">
        <f>IF(COUNTIF(Returns!$A$2:$A$1635,Orders!AC1490)&gt;0,"Returned","Not Returned")</f>
        <v>Not Returned</v>
      </c>
    </row>
    <row r="1491" spans="1:30" ht="12.75" customHeight="1" thickTop="1" thickBot="1" x14ac:dyDescent="0.25">
      <c r="A1491" s="8">
        <v>26296</v>
      </c>
      <c r="B1491" s="1" t="s">
        <v>25</v>
      </c>
      <c r="C1491" s="1">
        <v>0.03</v>
      </c>
      <c r="D1491" s="1">
        <v>40.97</v>
      </c>
      <c r="E1491" s="1">
        <v>8.99</v>
      </c>
      <c r="F1491" s="1">
        <v>2621</v>
      </c>
      <c r="G1491" s="6" t="str">
        <f>IF(COUNTIF(Table1[Customer ID],Table1[[#This Row],[Customer ID]])&gt;1,"Repeat Customer","One-Time Customer")</f>
        <v>One-Time Customer</v>
      </c>
      <c r="H1491" s="1" t="s">
        <v>2444</v>
      </c>
      <c r="I1491" s="1" t="s">
        <v>27</v>
      </c>
      <c r="J1491" s="1" t="s">
        <v>28</v>
      </c>
      <c r="K1491" s="1" t="s">
        <v>29</v>
      </c>
      <c r="L1491" s="1" t="s">
        <v>30</v>
      </c>
      <c r="M1491" s="1" t="s">
        <v>51</v>
      </c>
      <c r="N1491" s="1" t="s">
        <v>2445</v>
      </c>
      <c r="O1491" s="1">
        <v>0.59</v>
      </c>
      <c r="P1491" s="6">
        <f>Table1[[#This Row],[Profit]]/Table1[[#This Row],[Sales]]</f>
        <v>-0.8544445516842003</v>
      </c>
      <c r="Q1491" s="1" t="s">
        <v>33</v>
      </c>
      <c r="R1491" s="1" t="s">
        <v>136</v>
      </c>
      <c r="S1491" s="1" t="s">
        <v>244</v>
      </c>
      <c r="T1491" s="1" t="s">
        <v>2446</v>
      </c>
      <c r="U1491" s="1">
        <v>37027</v>
      </c>
      <c r="V1491" s="9">
        <v>42082</v>
      </c>
      <c r="W1491" s="13" t="str">
        <f>TEXT(Table1[[#This Row],[Order Date]],"mmmm")</f>
        <v>March</v>
      </c>
      <c r="X1491" s="7" t="str">
        <f>TEXT(Table1[[#This Row],[Order Date]],"yyyy")</f>
        <v>2015</v>
      </c>
      <c r="Y1491" s="9">
        <v>42083</v>
      </c>
      <c r="Z1491" s="1">
        <v>-177.05799999999999</v>
      </c>
      <c r="AA1491" s="1">
        <v>5</v>
      </c>
      <c r="AB1491" s="1">
        <v>207.22</v>
      </c>
      <c r="AC1491" s="1">
        <v>88016</v>
      </c>
      <c r="AD1491" s="6" t="str">
        <f>IF(COUNTIF(Returns!$A$2:$A$1635,Orders!AC1491)&gt;0,"Returned","Not Returned")</f>
        <v>Not Returned</v>
      </c>
    </row>
    <row r="1492" spans="1:30" ht="12.75" customHeight="1" thickTop="1" thickBot="1" x14ac:dyDescent="0.25">
      <c r="A1492" s="10">
        <v>26032</v>
      </c>
      <c r="B1492" s="11" t="s">
        <v>25</v>
      </c>
      <c r="C1492" s="11">
        <v>0.1</v>
      </c>
      <c r="D1492" s="11">
        <v>41.94</v>
      </c>
      <c r="E1492" s="11">
        <v>2.99</v>
      </c>
      <c r="F1492" s="11">
        <v>2626</v>
      </c>
      <c r="G1492" s="6" t="str">
        <f>IF(COUNTIF(Table1[Customer ID],Table1[[#This Row],[Customer ID]])&gt;1,"Repeat Customer","One-Time Customer")</f>
        <v>One-Time Customer</v>
      </c>
      <c r="H1492" s="11" t="s">
        <v>2447</v>
      </c>
      <c r="I1492" s="11" t="s">
        <v>49</v>
      </c>
      <c r="J1492" s="11" t="s">
        <v>114</v>
      </c>
      <c r="K1492" s="11" t="s">
        <v>29</v>
      </c>
      <c r="L1492" s="11" t="s">
        <v>109</v>
      </c>
      <c r="M1492" s="11" t="s">
        <v>59</v>
      </c>
      <c r="N1492" s="11" t="s">
        <v>2448</v>
      </c>
      <c r="O1492" s="11">
        <v>0.35</v>
      </c>
      <c r="P1492" s="6">
        <f>Table1[[#This Row],[Profit]]/Table1[[#This Row],[Sales]]</f>
        <v>0.69</v>
      </c>
      <c r="Q1492" s="11" t="s">
        <v>33</v>
      </c>
      <c r="R1492" s="11" t="s">
        <v>34</v>
      </c>
      <c r="S1492" s="11" t="s">
        <v>45</v>
      </c>
      <c r="T1492" s="11" t="s">
        <v>1456</v>
      </c>
      <c r="U1492" s="11">
        <v>94025</v>
      </c>
      <c r="V1492" s="12">
        <v>42042</v>
      </c>
      <c r="W1492" s="13" t="str">
        <f>TEXT(Table1[[#This Row],[Order Date]],"mmmm")</f>
        <v>February</v>
      </c>
      <c r="X1492" s="7" t="str">
        <f>TEXT(Table1[[#This Row],[Order Date]],"yyyy")</f>
        <v>2015</v>
      </c>
      <c r="Y1492" s="12">
        <v>42043</v>
      </c>
      <c r="Z1492" s="11">
        <v>164.08199999999999</v>
      </c>
      <c r="AA1492" s="11">
        <v>6</v>
      </c>
      <c r="AB1492" s="11">
        <v>237.8</v>
      </c>
      <c r="AC1492" s="11">
        <v>90927</v>
      </c>
      <c r="AD1492" s="6" t="str">
        <f>IF(COUNTIF(Returns!$A$2:$A$1635,Orders!AC1492)&gt;0,"Returned","Not Returned")</f>
        <v>Not Returned</v>
      </c>
    </row>
    <row r="1493" spans="1:30" ht="12.75" customHeight="1" thickTop="1" thickBot="1" x14ac:dyDescent="0.25">
      <c r="A1493" s="8">
        <v>18623</v>
      </c>
      <c r="B1493" s="1" t="s">
        <v>56</v>
      </c>
      <c r="C1493" s="1">
        <v>0.02</v>
      </c>
      <c r="D1493" s="1">
        <v>30.53</v>
      </c>
      <c r="E1493" s="1">
        <v>19.989999999999998</v>
      </c>
      <c r="F1493" s="1">
        <v>2628</v>
      </c>
      <c r="G1493" s="6" t="str">
        <f>IF(COUNTIF(Table1[Customer ID],Table1[[#This Row],[Customer ID]])&gt;1,"Repeat Customer","One-Time Customer")</f>
        <v>One-Time Customer</v>
      </c>
      <c r="H1493" s="1" t="s">
        <v>2449</v>
      </c>
      <c r="I1493" s="1" t="s">
        <v>27</v>
      </c>
      <c r="J1493" s="1" t="s">
        <v>28</v>
      </c>
      <c r="K1493" s="1" t="s">
        <v>29</v>
      </c>
      <c r="L1493" s="1" t="s">
        <v>134</v>
      </c>
      <c r="M1493" s="1" t="s">
        <v>59</v>
      </c>
      <c r="N1493" s="1" t="s">
        <v>697</v>
      </c>
      <c r="O1493" s="1">
        <v>0.39</v>
      </c>
      <c r="P1493" s="6">
        <f>Table1[[#This Row],[Profit]]/Table1[[#This Row],[Sales]]</f>
        <v>-0.12181416817178406</v>
      </c>
      <c r="Q1493" s="1" t="s">
        <v>33</v>
      </c>
      <c r="R1493" s="1" t="s">
        <v>61</v>
      </c>
      <c r="S1493" s="1" t="s">
        <v>304</v>
      </c>
      <c r="T1493" s="1" t="s">
        <v>2289</v>
      </c>
      <c r="U1493" s="1">
        <v>73160</v>
      </c>
      <c r="V1493" s="9">
        <v>42021</v>
      </c>
      <c r="W1493" s="13" t="str">
        <f>TEXT(Table1[[#This Row],[Order Date]],"mmmm")</f>
        <v>January</v>
      </c>
      <c r="X1493" s="7" t="str">
        <f>TEXT(Table1[[#This Row],[Order Date]],"yyyy")</f>
        <v>2015</v>
      </c>
      <c r="Y1493" s="9">
        <v>42023</v>
      </c>
      <c r="Z1493" s="1">
        <v>-54.63</v>
      </c>
      <c r="AA1493" s="1">
        <v>14</v>
      </c>
      <c r="AB1493" s="1">
        <v>448.47</v>
      </c>
      <c r="AC1493" s="1">
        <v>85916</v>
      </c>
      <c r="AD1493" s="6" t="str">
        <f>IF(COUNTIF(Returns!$A$2:$A$1635,Orders!AC1493)&gt;0,"Returned","Not Returned")</f>
        <v>Not Returned</v>
      </c>
    </row>
    <row r="1494" spans="1:30" ht="12.75" customHeight="1" thickTop="1" thickBot="1" x14ac:dyDescent="0.25">
      <c r="A1494" s="10">
        <v>21981</v>
      </c>
      <c r="B1494" s="11" t="s">
        <v>47</v>
      </c>
      <c r="C1494" s="11">
        <v>0.01</v>
      </c>
      <c r="D1494" s="11">
        <v>194.3</v>
      </c>
      <c r="E1494" s="11">
        <v>11.54</v>
      </c>
      <c r="F1494" s="11">
        <v>2630</v>
      </c>
      <c r="G1494" s="6" t="str">
        <f>IF(COUNTIF(Table1[Customer ID],Table1[[#This Row],[Customer ID]])&gt;1,"Repeat Customer","One-Time Customer")</f>
        <v>Repeat Customer</v>
      </c>
      <c r="H1494" s="11" t="s">
        <v>2450</v>
      </c>
      <c r="I1494" s="11" t="s">
        <v>49</v>
      </c>
      <c r="J1494" s="11" t="s">
        <v>58</v>
      </c>
      <c r="K1494" s="11" t="s">
        <v>41</v>
      </c>
      <c r="L1494" s="11" t="s">
        <v>50</v>
      </c>
      <c r="M1494" s="11" t="s">
        <v>236</v>
      </c>
      <c r="N1494" s="11" t="s">
        <v>1163</v>
      </c>
      <c r="O1494" s="11">
        <v>0.59</v>
      </c>
      <c r="P1494" s="6">
        <f>Table1[[#This Row],[Profit]]/Table1[[#This Row],[Sales]]</f>
        <v>0.69</v>
      </c>
      <c r="Q1494" s="11" t="s">
        <v>33</v>
      </c>
      <c r="R1494" s="11" t="s">
        <v>61</v>
      </c>
      <c r="S1494" s="11" t="s">
        <v>304</v>
      </c>
      <c r="T1494" s="11" t="s">
        <v>2451</v>
      </c>
      <c r="U1494" s="11">
        <v>73071</v>
      </c>
      <c r="V1494" s="12">
        <v>42009</v>
      </c>
      <c r="W1494" s="13" t="str">
        <f>TEXT(Table1[[#This Row],[Order Date]],"mmmm")</f>
        <v>January</v>
      </c>
      <c r="X1494" s="7" t="str">
        <f>TEXT(Table1[[#This Row],[Order Date]],"yyyy")</f>
        <v>2015</v>
      </c>
      <c r="Y1494" s="12">
        <v>42011</v>
      </c>
      <c r="Z1494" s="11">
        <v>690.17939999999999</v>
      </c>
      <c r="AA1494" s="11">
        <v>5</v>
      </c>
      <c r="AB1494" s="11">
        <v>1000.26</v>
      </c>
      <c r="AC1494" s="11">
        <v>85914</v>
      </c>
      <c r="AD1494" s="6" t="str">
        <f>IF(COUNTIF(Returns!$A$2:$A$1635,Orders!AC1494)&gt;0,"Returned","Not Returned")</f>
        <v>Not Returned</v>
      </c>
    </row>
    <row r="1495" spans="1:30" ht="12.75" customHeight="1" thickTop="1" thickBot="1" x14ac:dyDescent="0.25">
      <c r="A1495" s="8">
        <v>21982</v>
      </c>
      <c r="B1495" s="1" t="s">
        <v>47</v>
      </c>
      <c r="C1495" s="1">
        <v>0.02</v>
      </c>
      <c r="D1495" s="1">
        <v>209.84</v>
      </c>
      <c r="E1495" s="1">
        <v>21.21</v>
      </c>
      <c r="F1495" s="1">
        <v>2630</v>
      </c>
      <c r="G1495" s="6" t="str">
        <f>IF(COUNTIF(Table1[Customer ID],Table1[[#This Row],[Customer ID]])&gt;1,"Repeat Customer","One-Time Customer")</f>
        <v>Repeat Customer</v>
      </c>
      <c r="H1495" s="1" t="s">
        <v>2450</v>
      </c>
      <c r="I1495" s="1" t="s">
        <v>49</v>
      </c>
      <c r="J1495" s="1" t="s">
        <v>58</v>
      </c>
      <c r="K1495" s="1" t="s">
        <v>41</v>
      </c>
      <c r="L1495" s="1" t="s">
        <v>50</v>
      </c>
      <c r="M1495" s="1" t="s">
        <v>236</v>
      </c>
      <c r="N1495" s="1" t="s">
        <v>1162</v>
      </c>
      <c r="O1495" s="1">
        <v>0.59</v>
      </c>
      <c r="P1495" s="6">
        <f>Table1[[#This Row],[Profit]]/Table1[[#This Row],[Sales]]</f>
        <v>0.69</v>
      </c>
      <c r="Q1495" s="1" t="s">
        <v>33</v>
      </c>
      <c r="R1495" s="1" t="s">
        <v>61</v>
      </c>
      <c r="S1495" s="1" t="s">
        <v>304</v>
      </c>
      <c r="T1495" s="1" t="s">
        <v>2451</v>
      </c>
      <c r="U1495" s="1">
        <v>73071</v>
      </c>
      <c r="V1495" s="9">
        <v>42009</v>
      </c>
      <c r="W1495" s="13" t="str">
        <f>TEXT(Table1[[#This Row],[Order Date]],"mmmm")</f>
        <v>January</v>
      </c>
      <c r="X1495" s="7" t="str">
        <f>TEXT(Table1[[#This Row],[Order Date]],"yyyy")</f>
        <v>2015</v>
      </c>
      <c r="Y1495" s="9">
        <v>42010</v>
      </c>
      <c r="Z1495" s="1">
        <v>1507.6430999999998</v>
      </c>
      <c r="AA1495" s="1">
        <v>10</v>
      </c>
      <c r="AB1495" s="1">
        <v>2184.9899999999998</v>
      </c>
      <c r="AC1495" s="1">
        <v>85914</v>
      </c>
      <c r="AD1495" s="6" t="str">
        <f>IF(COUNTIF(Returns!$A$2:$A$1635,Orders!AC1495)&gt;0,"Returned","Not Returned")</f>
        <v>Not Returned</v>
      </c>
    </row>
    <row r="1496" spans="1:30" ht="12.75" customHeight="1" thickTop="1" thickBot="1" x14ac:dyDescent="0.25">
      <c r="A1496" s="10">
        <v>21983</v>
      </c>
      <c r="B1496" s="11" t="s">
        <v>47</v>
      </c>
      <c r="C1496" s="11">
        <v>0</v>
      </c>
      <c r="D1496" s="11">
        <v>145.44999999999999</v>
      </c>
      <c r="E1496" s="11">
        <v>17.850000000000001</v>
      </c>
      <c r="F1496" s="11">
        <v>2630</v>
      </c>
      <c r="G1496" s="6" t="str">
        <f>IF(COUNTIF(Table1[Customer ID],Table1[[#This Row],[Customer ID]])&gt;1,"Repeat Customer","One-Time Customer")</f>
        <v>Repeat Customer</v>
      </c>
      <c r="H1496" s="11" t="s">
        <v>2450</v>
      </c>
      <c r="I1496" s="11" t="s">
        <v>39</v>
      </c>
      <c r="J1496" s="11" t="s">
        <v>58</v>
      </c>
      <c r="K1496" s="11" t="s">
        <v>77</v>
      </c>
      <c r="L1496" s="11" t="s">
        <v>85</v>
      </c>
      <c r="M1496" s="11" t="s">
        <v>43</v>
      </c>
      <c r="N1496" s="11" t="s">
        <v>1075</v>
      </c>
      <c r="O1496" s="11">
        <v>0.56000000000000005</v>
      </c>
      <c r="P1496" s="6">
        <f>Table1[[#This Row],[Profit]]/Table1[[#This Row],[Sales]]</f>
        <v>0.67305809267965089</v>
      </c>
      <c r="Q1496" s="11" t="s">
        <v>33</v>
      </c>
      <c r="R1496" s="11" t="s">
        <v>61</v>
      </c>
      <c r="S1496" s="11" t="s">
        <v>304</v>
      </c>
      <c r="T1496" s="11" t="s">
        <v>2451</v>
      </c>
      <c r="U1496" s="11">
        <v>73071</v>
      </c>
      <c r="V1496" s="12">
        <v>42009</v>
      </c>
      <c r="W1496" s="13" t="str">
        <f>TEXT(Table1[[#This Row],[Order Date]],"mmmm")</f>
        <v>January</v>
      </c>
      <c r="X1496" s="7" t="str">
        <f>TEXT(Table1[[#This Row],[Order Date]],"yyyy")</f>
        <v>2015</v>
      </c>
      <c r="Y1496" s="12">
        <v>42011</v>
      </c>
      <c r="Z1496" s="11">
        <v>801.74680000000012</v>
      </c>
      <c r="AA1496" s="11">
        <v>8</v>
      </c>
      <c r="AB1496" s="11">
        <v>1191.2</v>
      </c>
      <c r="AC1496" s="11">
        <v>85914</v>
      </c>
      <c r="AD1496" s="6" t="str">
        <f>IF(COUNTIF(Returns!$A$2:$A$1635,Orders!AC1496)&gt;0,"Returned","Not Returned")</f>
        <v>Not Returned</v>
      </c>
    </row>
    <row r="1497" spans="1:30" ht="12.75" customHeight="1" thickTop="1" thickBot="1" x14ac:dyDescent="0.25">
      <c r="A1497" s="8">
        <v>22540</v>
      </c>
      <c r="B1497" s="1" t="s">
        <v>25</v>
      </c>
      <c r="C1497" s="1">
        <v>7.0000000000000007E-2</v>
      </c>
      <c r="D1497" s="1">
        <v>65.989999999999995</v>
      </c>
      <c r="E1497" s="1">
        <v>5.99</v>
      </c>
      <c r="F1497" s="1">
        <v>2630</v>
      </c>
      <c r="G1497" s="6" t="str">
        <f>IF(COUNTIF(Table1[Customer ID],Table1[[#This Row],[Customer ID]])&gt;1,"Repeat Customer","One-Time Customer")</f>
        <v>Repeat Customer</v>
      </c>
      <c r="H1497" s="1" t="s">
        <v>2450</v>
      </c>
      <c r="I1497" s="1" t="s">
        <v>49</v>
      </c>
      <c r="J1497" s="1" t="s">
        <v>58</v>
      </c>
      <c r="K1497" s="1" t="s">
        <v>77</v>
      </c>
      <c r="L1497" s="1" t="s">
        <v>78</v>
      </c>
      <c r="M1497" s="1" t="s">
        <v>59</v>
      </c>
      <c r="N1497" s="1" t="s">
        <v>2452</v>
      </c>
      <c r="O1497" s="1">
        <v>0.57999999999999996</v>
      </c>
      <c r="P1497" s="6">
        <f>Table1[[#This Row],[Profit]]/Table1[[#This Row],[Sales]]</f>
        <v>-0.83991648059863611</v>
      </c>
      <c r="Q1497" s="1" t="s">
        <v>33</v>
      </c>
      <c r="R1497" s="1" t="s">
        <v>61</v>
      </c>
      <c r="S1497" s="1" t="s">
        <v>304</v>
      </c>
      <c r="T1497" s="1" t="s">
        <v>2451</v>
      </c>
      <c r="U1497" s="1">
        <v>73071</v>
      </c>
      <c r="V1497" s="9">
        <v>42011</v>
      </c>
      <c r="W1497" s="13" t="str">
        <f>TEXT(Table1[[#This Row],[Order Date]],"mmmm")</f>
        <v>January</v>
      </c>
      <c r="X1497" s="7" t="str">
        <f>TEXT(Table1[[#This Row],[Order Date]],"yyyy")</f>
        <v>2015</v>
      </c>
      <c r="Y1497" s="9">
        <v>42012</v>
      </c>
      <c r="Z1497" s="1">
        <v>-139.18256</v>
      </c>
      <c r="AA1497" s="1">
        <v>3</v>
      </c>
      <c r="AB1497" s="1">
        <v>165.71</v>
      </c>
      <c r="AC1497" s="1">
        <v>85915</v>
      </c>
      <c r="AD1497" s="6" t="str">
        <f>IF(COUNTIF(Returns!$A$2:$A$1635,Orders!AC1497)&gt;0,"Returned","Not Returned")</f>
        <v>Not Returned</v>
      </c>
    </row>
    <row r="1498" spans="1:30" ht="12.75" customHeight="1" thickTop="1" thickBot="1" x14ac:dyDescent="0.25">
      <c r="A1498" s="10">
        <v>25594</v>
      </c>
      <c r="B1498" s="11" t="s">
        <v>106</v>
      </c>
      <c r="C1498" s="11">
        <v>0.05</v>
      </c>
      <c r="D1498" s="11">
        <v>100.97</v>
      </c>
      <c r="E1498" s="11">
        <v>7.18</v>
      </c>
      <c r="F1498" s="11">
        <v>2638</v>
      </c>
      <c r="G1498" s="6" t="str">
        <f>IF(COUNTIF(Table1[Customer ID],Table1[[#This Row],[Customer ID]])&gt;1,"Repeat Customer","One-Time Customer")</f>
        <v>One-Time Customer</v>
      </c>
      <c r="H1498" s="11" t="s">
        <v>2453</v>
      </c>
      <c r="I1498" s="11" t="s">
        <v>27</v>
      </c>
      <c r="J1498" s="11" t="s">
        <v>114</v>
      </c>
      <c r="K1498" s="11" t="s">
        <v>77</v>
      </c>
      <c r="L1498" s="11" t="s">
        <v>180</v>
      </c>
      <c r="M1498" s="11" t="s">
        <v>59</v>
      </c>
      <c r="N1498" s="11" t="s">
        <v>2093</v>
      </c>
      <c r="O1498" s="11">
        <v>0.46</v>
      </c>
      <c r="P1498" s="6">
        <f>Table1[[#This Row],[Profit]]/Table1[[#This Row],[Sales]]</f>
        <v>0.69</v>
      </c>
      <c r="Q1498" s="11" t="s">
        <v>33</v>
      </c>
      <c r="R1498" s="11" t="s">
        <v>34</v>
      </c>
      <c r="S1498" s="11" t="s">
        <v>1741</v>
      </c>
      <c r="T1498" s="11" t="s">
        <v>2454</v>
      </c>
      <c r="U1498" s="11">
        <v>83704</v>
      </c>
      <c r="V1498" s="12">
        <v>42163</v>
      </c>
      <c r="W1498" s="13" t="str">
        <f>TEXT(Table1[[#This Row],[Order Date]],"mmmm")</f>
        <v>June</v>
      </c>
      <c r="X1498" s="7" t="str">
        <f>TEXT(Table1[[#This Row],[Order Date]],"yyyy")</f>
        <v>2015</v>
      </c>
      <c r="Y1498" s="12">
        <v>42163</v>
      </c>
      <c r="Z1498" s="11">
        <v>881.46809999999994</v>
      </c>
      <c r="AA1498" s="11">
        <v>13</v>
      </c>
      <c r="AB1498" s="11">
        <v>1277.49</v>
      </c>
      <c r="AC1498" s="11">
        <v>90951</v>
      </c>
      <c r="AD1498" s="6" t="str">
        <f>IF(COUNTIF(Returns!$A$2:$A$1635,Orders!AC1498)&gt;0,"Returned","Not Returned")</f>
        <v>Not Returned</v>
      </c>
    </row>
    <row r="1499" spans="1:30" ht="12.75" customHeight="1" thickTop="1" thickBot="1" x14ac:dyDescent="0.25">
      <c r="A1499" s="8">
        <v>21041</v>
      </c>
      <c r="B1499" s="1" t="s">
        <v>37</v>
      </c>
      <c r="C1499" s="1">
        <v>0.05</v>
      </c>
      <c r="D1499" s="1">
        <v>4.9800000000000004</v>
      </c>
      <c r="E1499" s="1">
        <v>0.49</v>
      </c>
      <c r="F1499" s="1">
        <v>2639</v>
      </c>
      <c r="G1499" s="6" t="str">
        <f>IF(COUNTIF(Table1[Customer ID],Table1[[#This Row],[Customer ID]])&gt;1,"Repeat Customer","One-Time Customer")</f>
        <v>One-Time Customer</v>
      </c>
      <c r="H1499" s="1" t="s">
        <v>2455</v>
      </c>
      <c r="I1499" s="1" t="s">
        <v>49</v>
      </c>
      <c r="J1499" s="1" t="s">
        <v>114</v>
      </c>
      <c r="K1499" s="1" t="s">
        <v>29</v>
      </c>
      <c r="L1499" s="1" t="s">
        <v>134</v>
      </c>
      <c r="M1499" s="1" t="s">
        <v>59</v>
      </c>
      <c r="N1499" s="1" t="s">
        <v>1422</v>
      </c>
      <c r="O1499" s="1">
        <v>0.39</v>
      </c>
      <c r="P1499" s="6">
        <f>Table1[[#This Row],[Profit]]/Table1[[#This Row],[Sales]]</f>
        <v>0.27042253521126763</v>
      </c>
      <c r="Q1499" s="1" t="s">
        <v>33</v>
      </c>
      <c r="R1499" s="1" t="s">
        <v>34</v>
      </c>
      <c r="S1499" s="1" t="s">
        <v>366</v>
      </c>
      <c r="T1499" s="1" t="s">
        <v>652</v>
      </c>
      <c r="U1499" s="1">
        <v>88201</v>
      </c>
      <c r="V1499" s="9">
        <v>42082</v>
      </c>
      <c r="W1499" s="13" t="str">
        <f>TEXT(Table1[[#This Row],[Order Date]],"mmmm")</f>
        <v>March</v>
      </c>
      <c r="X1499" s="7" t="str">
        <f>TEXT(Table1[[#This Row],[Order Date]],"yyyy")</f>
        <v>2015</v>
      </c>
      <c r="Y1499" s="9">
        <v>42082</v>
      </c>
      <c r="Z1499" s="1">
        <v>3.84</v>
      </c>
      <c r="AA1499" s="1">
        <v>3</v>
      </c>
      <c r="AB1499" s="1">
        <v>14.2</v>
      </c>
      <c r="AC1499" s="1">
        <v>90952</v>
      </c>
      <c r="AD1499" s="6" t="str">
        <f>IF(COUNTIF(Returns!$A$2:$A$1635,Orders!AC1499)&gt;0,"Returned","Not Returned")</f>
        <v>Not Returned</v>
      </c>
    </row>
    <row r="1500" spans="1:30" ht="12.75" customHeight="1" thickTop="1" thickBot="1" x14ac:dyDescent="0.25">
      <c r="A1500" s="10">
        <v>22438</v>
      </c>
      <c r="B1500" s="11" t="s">
        <v>106</v>
      </c>
      <c r="C1500" s="11">
        <v>0.1</v>
      </c>
      <c r="D1500" s="11">
        <v>10.98</v>
      </c>
      <c r="E1500" s="11">
        <v>3.99</v>
      </c>
      <c r="F1500" s="11">
        <v>2647</v>
      </c>
      <c r="G1500" s="6" t="str">
        <f>IF(COUNTIF(Table1[Customer ID],Table1[[#This Row],[Customer ID]])&gt;1,"Repeat Customer","One-Time Customer")</f>
        <v>Repeat Customer</v>
      </c>
      <c r="H1500" s="11" t="s">
        <v>2456</v>
      </c>
      <c r="I1500" s="11" t="s">
        <v>49</v>
      </c>
      <c r="J1500" s="11" t="s">
        <v>28</v>
      </c>
      <c r="K1500" s="11" t="s">
        <v>29</v>
      </c>
      <c r="L1500" s="11" t="s">
        <v>257</v>
      </c>
      <c r="M1500" s="11" t="s">
        <v>59</v>
      </c>
      <c r="N1500" s="11" t="s">
        <v>1578</v>
      </c>
      <c r="O1500" s="11">
        <v>0.57999999999999996</v>
      </c>
      <c r="P1500" s="6">
        <f>Table1[[#This Row],[Profit]]/Table1[[#This Row],[Sales]]</f>
        <v>-0.40279639915724957</v>
      </c>
      <c r="Q1500" s="11" t="s">
        <v>33</v>
      </c>
      <c r="R1500" s="11" t="s">
        <v>34</v>
      </c>
      <c r="S1500" s="11" t="s">
        <v>45</v>
      </c>
      <c r="T1500" s="11" t="s">
        <v>2457</v>
      </c>
      <c r="U1500" s="11">
        <v>93309</v>
      </c>
      <c r="V1500" s="12">
        <v>42080</v>
      </c>
      <c r="W1500" s="13" t="str">
        <f>TEXT(Table1[[#This Row],[Order Date]],"mmmm")</f>
        <v>March</v>
      </c>
      <c r="X1500" s="7" t="str">
        <f>TEXT(Table1[[#This Row],[Order Date]],"yyyy")</f>
        <v>2015</v>
      </c>
      <c r="Y1500" s="12">
        <v>42087</v>
      </c>
      <c r="Z1500" s="11">
        <v>-21.03</v>
      </c>
      <c r="AA1500" s="11">
        <v>5</v>
      </c>
      <c r="AB1500" s="11">
        <v>52.21</v>
      </c>
      <c r="AC1500" s="11">
        <v>91386</v>
      </c>
      <c r="AD1500" s="6" t="str">
        <f>IF(COUNTIF(Returns!$A$2:$A$1635,Orders!AC1500)&gt;0,"Returned","Not Returned")</f>
        <v>Not Returned</v>
      </c>
    </row>
    <row r="1501" spans="1:30" ht="12.75" customHeight="1" thickTop="1" thickBot="1" x14ac:dyDescent="0.25">
      <c r="A1501" s="8">
        <v>22439</v>
      </c>
      <c r="B1501" s="1" t="s">
        <v>106</v>
      </c>
      <c r="C1501" s="1">
        <v>0.01</v>
      </c>
      <c r="D1501" s="1">
        <v>39.979999999999997</v>
      </c>
      <c r="E1501" s="1">
        <v>9.1999999999999993</v>
      </c>
      <c r="F1501" s="1">
        <v>2647</v>
      </c>
      <c r="G1501" s="6" t="str">
        <f>IF(COUNTIF(Table1[Customer ID],Table1[[#This Row],[Customer ID]])&gt;1,"Repeat Customer","One-Time Customer")</f>
        <v>Repeat Customer</v>
      </c>
      <c r="H1501" s="1" t="s">
        <v>2456</v>
      </c>
      <c r="I1501" s="1" t="s">
        <v>49</v>
      </c>
      <c r="J1501" s="1" t="s">
        <v>28</v>
      </c>
      <c r="K1501" s="1" t="s">
        <v>41</v>
      </c>
      <c r="L1501" s="1" t="s">
        <v>50</v>
      </c>
      <c r="M1501" s="1" t="s">
        <v>31</v>
      </c>
      <c r="N1501" s="1" t="s">
        <v>2458</v>
      </c>
      <c r="O1501" s="1">
        <v>0.65</v>
      </c>
      <c r="P1501" s="6">
        <f>Table1[[#This Row],[Profit]]/Table1[[#This Row],[Sales]]</f>
        <v>0.69</v>
      </c>
      <c r="Q1501" s="1" t="s">
        <v>33</v>
      </c>
      <c r="R1501" s="1" t="s">
        <v>34</v>
      </c>
      <c r="S1501" s="1" t="s">
        <v>45</v>
      </c>
      <c r="T1501" s="1" t="s">
        <v>2457</v>
      </c>
      <c r="U1501" s="1">
        <v>93309</v>
      </c>
      <c r="V1501" s="9">
        <v>42080</v>
      </c>
      <c r="W1501" s="13" t="str">
        <f>TEXT(Table1[[#This Row],[Order Date]],"mmmm")</f>
        <v>March</v>
      </c>
      <c r="X1501" s="7" t="str">
        <f>TEXT(Table1[[#This Row],[Order Date]],"yyyy")</f>
        <v>2015</v>
      </c>
      <c r="Y1501" s="9">
        <v>42082</v>
      </c>
      <c r="Z1501" s="1">
        <v>117.52079999999998</v>
      </c>
      <c r="AA1501" s="1">
        <v>4</v>
      </c>
      <c r="AB1501" s="1">
        <v>170.32</v>
      </c>
      <c r="AC1501" s="1">
        <v>91386</v>
      </c>
      <c r="AD1501" s="6" t="str">
        <f>IF(COUNTIF(Returns!$A$2:$A$1635,Orders!AC1501)&gt;0,"Returned","Not Returned")</f>
        <v>Not Returned</v>
      </c>
    </row>
    <row r="1502" spans="1:30" ht="12.75" customHeight="1" thickTop="1" thickBot="1" x14ac:dyDescent="0.25">
      <c r="A1502" s="10">
        <v>18720</v>
      </c>
      <c r="B1502" s="11" t="s">
        <v>25</v>
      </c>
      <c r="C1502" s="11">
        <v>0.01</v>
      </c>
      <c r="D1502" s="11">
        <v>39.979999999999997</v>
      </c>
      <c r="E1502" s="11">
        <v>4</v>
      </c>
      <c r="F1502" s="11">
        <v>2649</v>
      </c>
      <c r="G1502" s="6" t="str">
        <f>IF(COUNTIF(Table1[Customer ID],Table1[[#This Row],[Customer ID]])&gt;1,"Repeat Customer","One-Time Customer")</f>
        <v>One-Time Customer</v>
      </c>
      <c r="H1502" s="11" t="s">
        <v>2459</v>
      </c>
      <c r="I1502" s="11" t="s">
        <v>49</v>
      </c>
      <c r="J1502" s="11" t="s">
        <v>28</v>
      </c>
      <c r="K1502" s="11" t="s">
        <v>77</v>
      </c>
      <c r="L1502" s="11" t="s">
        <v>180</v>
      </c>
      <c r="M1502" s="11" t="s">
        <v>59</v>
      </c>
      <c r="N1502" s="11" t="s">
        <v>252</v>
      </c>
      <c r="O1502" s="11">
        <v>0.7</v>
      </c>
      <c r="P1502" s="6">
        <f>Table1[[#This Row],[Profit]]/Table1[[#This Row],[Sales]]</f>
        <v>-0.15154705101087118</v>
      </c>
      <c r="Q1502" s="11" t="s">
        <v>33</v>
      </c>
      <c r="R1502" s="11" t="s">
        <v>53</v>
      </c>
      <c r="S1502" s="11" t="s">
        <v>415</v>
      </c>
      <c r="T1502" s="11" t="s">
        <v>2223</v>
      </c>
      <c r="U1502" s="11">
        <v>21040</v>
      </c>
      <c r="V1502" s="12">
        <v>42166</v>
      </c>
      <c r="W1502" s="13" t="str">
        <f>TEXT(Table1[[#This Row],[Order Date]],"mmmm")</f>
        <v>June</v>
      </c>
      <c r="X1502" s="7" t="str">
        <f>TEXT(Table1[[#This Row],[Order Date]],"yyyy")</f>
        <v>2015</v>
      </c>
      <c r="Y1502" s="12">
        <v>42167</v>
      </c>
      <c r="Z1502" s="11">
        <v>-30.808</v>
      </c>
      <c r="AA1502" s="11">
        <v>5</v>
      </c>
      <c r="AB1502" s="11">
        <v>203.29</v>
      </c>
      <c r="AC1502" s="11">
        <v>88814</v>
      </c>
      <c r="AD1502" s="6" t="str">
        <f>IF(COUNTIF(Returns!$A$2:$A$1635,Orders!AC1502)&gt;0,"Returned","Not Returned")</f>
        <v>Not Returned</v>
      </c>
    </row>
    <row r="1503" spans="1:30" ht="12.75" customHeight="1" thickTop="1" thickBot="1" x14ac:dyDescent="0.25">
      <c r="A1503" s="8">
        <v>22904</v>
      </c>
      <c r="B1503" s="1" t="s">
        <v>47</v>
      </c>
      <c r="C1503" s="1">
        <v>0.05</v>
      </c>
      <c r="D1503" s="1">
        <v>35.99</v>
      </c>
      <c r="E1503" s="1">
        <v>5.99</v>
      </c>
      <c r="F1503" s="1">
        <v>2650</v>
      </c>
      <c r="G1503" s="6" t="str">
        <f>IF(COUNTIF(Table1[Customer ID],Table1[[#This Row],[Customer ID]])&gt;1,"Repeat Customer","One-Time Customer")</f>
        <v>One-Time Customer</v>
      </c>
      <c r="H1503" s="1" t="s">
        <v>2460</v>
      </c>
      <c r="I1503" s="1" t="s">
        <v>49</v>
      </c>
      <c r="J1503" s="1" t="s">
        <v>28</v>
      </c>
      <c r="K1503" s="1" t="s">
        <v>77</v>
      </c>
      <c r="L1503" s="1" t="s">
        <v>78</v>
      </c>
      <c r="M1503" s="1" t="s">
        <v>31</v>
      </c>
      <c r="N1503" s="1" t="s">
        <v>981</v>
      </c>
      <c r="O1503" s="1">
        <v>0.38</v>
      </c>
      <c r="P1503" s="6">
        <f>Table1[[#This Row],[Profit]]/Table1[[#This Row],[Sales]]</f>
        <v>0.69</v>
      </c>
      <c r="Q1503" s="1" t="s">
        <v>33</v>
      </c>
      <c r="R1503" s="1" t="s">
        <v>53</v>
      </c>
      <c r="S1503" s="1" t="s">
        <v>234</v>
      </c>
      <c r="T1503" s="1" t="s">
        <v>2461</v>
      </c>
      <c r="U1503" s="1">
        <v>15234</v>
      </c>
      <c r="V1503" s="9">
        <v>42128</v>
      </c>
      <c r="W1503" s="13" t="str">
        <f>TEXT(Table1[[#This Row],[Order Date]],"mmmm")</f>
        <v>May</v>
      </c>
      <c r="X1503" s="7" t="str">
        <f>TEXT(Table1[[#This Row],[Order Date]],"yyyy")</f>
        <v>2015</v>
      </c>
      <c r="Y1503" s="9">
        <v>42129</v>
      </c>
      <c r="Z1503" s="1">
        <v>524.31719999999996</v>
      </c>
      <c r="AA1503" s="1">
        <v>26</v>
      </c>
      <c r="AB1503" s="1">
        <v>759.88</v>
      </c>
      <c r="AC1503" s="1">
        <v>88815</v>
      </c>
      <c r="AD1503" s="6" t="str">
        <f>IF(COUNTIF(Returns!$A$2:$A$1635,Orders!AC1503)&gt;0,"Returned","Not Returned")</f>
        <v>Not Returned</v>
      </c>
    </row>
    <row r="1504" spans="1:30" ht="12.75" customHeight="1" thickTop="1" thickBot="1" x14ac:dyDescent="0.25">
      <c r="A1504" s="10">
        <v>18949</v>
      </c>
      <c r="B1504" s="11" t="s">
        <v>56</v>
      </c>
      <c r="C1504" s="11">
        <v>0.06</v>
      </c>
      <c r="D1504" s="11">
        <v>47.9</v>
      </c>
      <c r="E1504" s="11">
        <v>5.86</v>
      </c>
      <c r="F1504" s="11">
        <v>2652</v>
      </c>
      <c r="G1504" s="6" t="str">
        <f>IF(COUNTIF(Table1[Customer ID],Table1[[#This Row],[Customer ID]])&gt;1,"Repeat Customer","One-Time Customer")</f>
        <v>One-Time Customer</v>
      </c>
      <c r="H1504" s="11" t="s">
        <v>2462</v>
      </c>
      <c r="I1504" s="11" t="s">
        <v>49</v>
      </c>
      <c r="J1504" s="11" t="s">
        <v>114</v>
      </c>
      <c r="K1504" s="11" t="s">
        <v>29</v>
      </c>
      <c r="L1504" s="11" t="s">
        <v>93</v>
      </c>
      <c r="M1504" s="11" t="s">
        <v>59</v>
      </c>
      <c r="N1504" s="11" t="s">
        <v>1937</v>
      </c>
      <c r="O1504" s="11">
        <v>0.37</v>
      </c>
      <c r="P1504" s="6">
        <f>Table1[[#This Row],[Profit]]/Table1[[#This Row],[Sales]]</f>
        <v>0.23121019108280255</v>
      </c>
      <c r="Q1504" s="11" t="s">
        <v>33</v>
      </c>
      <c r="R1504" s="11" t="s">
        <v>34</v>
      </c>
      <c r="S1504" s="11" t="s">
        <v>45</v>
      </c>
      <c r="T1504" s="11" t="s">
        <v>2457</v>
      </c>
      <c r="U1504" s="11">
        <v>93309</v>
      </c>
      <c r="V1504" s="12">
        <v>42149</v>
      </c>
      <c r="W1504" s="13" t="str">
        <f>TEXT(Table1[[#This Row],[Order Date]],"mmmm")</f>
        <v>May</v>
      </c>
      <c r="X1504" s="7" t="str">
        <f>TEXT(Table1[[#This Row],[Order Date]],"yyyy")</f>
        <v>2015</v>
      </c>
      <c r="Y1504" s="12">
        <v>42151</v>
      </c>
      <c r="Z1504" s="11">
        <v>21.78</v>
      </c>
      <c r="AA1504" s="11">
        <v>2</v>
      </c>
      <c r="AB1504" s="11">
        <v>94.2</v>
      </c>
      <c r="AC1504" s="11">
        <v>89361</v>
      </c>
      <c r="AD1504" s="6" t="str">
        <f>IF(COUNTIF(Returns!$A$2:$A$1635,Orders!AC1504)&gt;0,"Returned","Not Returned")</f>
        <v>Not Returned</v>
      </c>
    </row>
    <row r="1505" spans="1:30" ht="12.75" customHeight="1" thickTop="1" thickBot="1" x14ac:dyDescent="0.25">
      <c r="A1505" s="8">
        <v>25662</v>
      </c>
      <c r="B1505" s="1" t="s">
        <v>37</v>
      </c>
      <c r="C1505" s="1">
        <v>0.05</v>
      </c>
      <c r="D1505" s="1">
        <v>4.9800000000000004</v>
      </c>
      <c r="E1505" s="1">
        <v>4.62</v>
      </c>
      <c r="F1505" s="1">
        <v>2653</v>
      </c>
      <c r="G1505" s="6" t="str">
        <f>IF(COUNTIF(Table1[Customer ID],Table1[[#This Row],[Customer ID]])&gt;1,"Repeat Customer","One-Time Customer")</f>
        <v>Repeat Customer</v>
      </c>
      <c r="H1505" s="1" t="s">
        <v>2463</v>
      </c>
      <c r="I1505" s="1" t="s">
        <v>49</v>
      </c>
      <c r="J1505" s="1" t="s">
        <v>114</v>
      </c>
      <c r="K1505" s="1" t="s">
        <v>77</v>
      </c>
      <c r="L1505" s="1" t="s">
        <v>180</v>
      </c>
      <c r="M1505" s="1" t="s">
        <v>51</v>
      </c>
      <c r="N1505" s="1" t="s">
        <v>411</v>
      </c>
      <c r="O1505" s="1">
        <v>0.64</v>
      </c>
      <c r="P1505" s="6">
        <f>Table1[[#This Row],[Profit]]/Table1[[#This Row],[Sales]]</f>
        <v>-2.8656759906759905</v>
      </c>
      <c r="Q1505" s="1" t="s">
        <v>33</v>
      </c>
      <c r="R1505" s="1" t="s">
        <v>61</v>
      </c>
      <c r="S1505" s="1" t="s">
        <v>183</v>
      </c>
      <c r="T1505" s="1" t="s">
        <v>2464</v>
      </c>
      <c r="U1505" s="1">
        <v>67037</v>
      </c>
      <c r="V1505" s="9">
        <v>42057</v>
      </c>
      <c r="W1505" s="13" t="str">
        <f>TEXT(Table1[[#This Row],[Order Date]],"mmmm")</f>
        <v>February</v>
      </c>
      <c r="X1505" s="7" t="str">
        <f>TEXT(Table1[[#This Row],[Order Date]],"yyyy")</f>
        <v>2015</v>
      </c>
      <c r="Y1505" s="9">
        <v>42058</v>
      </c>
      <c r="Z1505" s="1">
        <v>-98.35</v>
      </c>
      <c r="AA1505" s="1">
        <v>7</v>
      </c>
      <c r="AB1505" s="1">
        <v>34.32</v>
      </c>
      <c r="AC1505" s="1">
        <v>89360</v>
      </c>
      <c r="AD1505" s="6" t="str">
        <f>IF(COUNTIF(Returns!$A$2:$A$1635,Orders!AC1505)&gt;0,"Returned","Not Returned")</f>
        <v>Not Returned</v>
      </c>
    </row>
    <row r="1506" spans="1:30" ht="12.75" customHeight="1" thickTop="1" thickBot="1" x14ac:dyDescent="0.25">
      <c r="A1506" s="10">
        <v>25663</v>
      </c>
      <c r="B1506" s="11" t="s">
        <v>37</v>
      </c>
      <c r="C1506" s="11">
        <v>0.02</v>
      </c>
      <c r="D1506" s="11">
        <v>34.229999999999997</v>
      </c>
      <c r="E1506" s="11">
        <v>5.0199999999999996</v>
      </c>
      <c r="F1506" s="11">
        <v>2653</v>
      </c>
      <c r="G1506" s="6" t="str">
        <f>IF(COUNTIF(Table1[Customer ID],Table1[[#This Row],[Customer ID]])&gt;1,"Repeat Customer","One-Time Customer")</f>
        <v>Repeat Customer</v>
      </c>
      <c r="H1506" s="11" t="s">
        <v>2463</v>
      </c>
      <c r="I1506" s="11" t="s">
        <v>49</v>
      </c>
      <c r="J1506" s="11" t="s">
        <v>114</v>
      </c>
      <c r="K1506" s="11" t="s">
        <v>41</v>
      </c>
      <c r="L1506" s="11" t="s">
        <v>50</v>
      </c>
      <c r="M1506" s="11" t="s">
        <v>59</v>
      </c>
      <c r="N1506" s="11" t="s">
        <v>1371</v>
      </c>
      <c r="O1506" s="11">
        <v>0.55000000000000004</v>
      </c>
      <c r="P1506" s="6">
        <f>Table1[[#This Row],[Profit]]/Table1[[#This Row],[Sales]]</f>
        <v>0.69</v>
      </c>
      <c r="Q1506" s="11" t="s">
        <v>33</v>
      </c>
      <c r="R1506" s="11" t="s">
        <v>61</v>
      </c>
      <c r="S1506" s="11" t="s">
        <v>183</v>
      </c>
      <c r="T1506" s="11" t="s">
        <v>2464</v>
      </c>
      <c r="U1506" s="11">
        <v>67037</v>
      </c>
      <c r="V1506" s="12">
        <v>42057</v>
      </c>
      <c r="W1506" s="13" t="str">
        <f>TEXT(Table1[[#This Row],[Order Date]],"mmmm")</f>
        <v>February</v>
      </c>
      <c r="X1506" s="7" t="str">
        <f>TEXT(Table1[[#This Row],[Order Date]],"yyyy")</f>
        <v>2015</v>
      </c>
      <c r="Y1506" s="12">
        <v>42059</v>
      </c>
      <c r="Z1506" s="11">
        <v>270.79049999999995</v>
      </c>
      <c r="AA1506" s="11">
        <v>11</v>
      </c>
      <c r="AB1506" s="11">
        <v>392.45</v>
      </c>
      <c r="AC1506" s="11">
        <v>89360</v>
      </c>
      <c r="AD1506" s="6" t="str">
        <f>IF(COUNTIF(Returns!$A$2:$A$1635,Orders!AC1506)&gt;0,"Returned","Not Returned")</f>
        <v>Not Returned</v>
      </c>
    </row>
    <row r="1507" spans="1:30" ht="12.75" customHeight="1" thickTop="1" thickBot="1" x14ac:dyDescent="0.25">
      <c r="A1507" s="8">
        <v>19131</v>
      </c>
      <c r="B1507" s="1" t="s">
        <v>56</v>
      </c>
      <c r="C1507" s="1">
        <v>0.09</v>
      </c>
      <c r="D1507" s="1">
        <v>89.99</v>
      </c>
      <c r="E1507" s="1">
        <v>42</v>
      </c>
      <c r="F1507" s="1">
        <v>2655</v>
      </c>
      <c r="G1507" s="6" t="str">
        <f>IF(COUNTIF(Table1[Customer ID],Table1[[#This Row],[Customer ID]])&gt;1,"Repeat Customer","One-Time Customer")</f>
        <v>Repeat Customer</v>
      </c>
      <c r="H1507" s="1" t="s">
        <v>2465</v>
      </c>
      <c r="I1507" s="1" t="s">
        <v>39</v>
      </c>
      <c r="J1507" s="1" t="s">
        <v>114</v>
      </c>
      <c r="K1507" s="1" t="s">
        <v>41</v>
      </c>
      <c r="L1507" s="1" t="s">
        <v>42</v>
      </c>
      <c r="M1507" s="1" t="s">
        <v>43</v>
      </c>
      <c r="N1507" s="1" t="s">
        <v>2466</v>
      </c>
      <c r="O1507" s="1">
        <v>0.66</v>
      </c>
      <c r="P1507" s="6">
        <f>Table1[[#This Row],[Profit]]/Table1[[#This Row],[Sales]]</f>
        <v>0.436999511002445</v>
      </c>
      <c r="Q1507" s="1" t="s">
        <v>33</v>
      </c>
      <c r="R1507" s="1" t="s">
        <v>136</v>
      </c>
      <c r="S1507" s="1" t="s">
        <v>387</v>
      </c>
      <c r="T1507" s="1" t="s">
        <v>580</v>
      </c>
      <c r="U1507" s="1">
        <v>30318</v>
      </c>
      <c r="V1507" s="9">
        <v>42112</v>
      </c>
      <c r="W1507" s="13" t="str">
        <f>TEXT(Table1[[#This Row],[Order Date]],"mmmm")</f>
        <v>April</v>
      </c>
      <c r="X1507" s="7" t="str">
        <f>TEXT(Table1[[#This Row],[Order Date]],"yyyy")</f>
        <v>2015</v>
      </c>
      <c r="Y1507" s="9">
        <v>42112</v>
      </c>
      <c r="Z1507" s="1">
        <v>223.416</v>
      </c>
      <c r="AA1507" s="1">
        <v>6</v>
      </c>
      <c r="AB1507" s="1">
        <v>511.25</v>
      </c>
      <c r="AC1507" s="1">
        <v>86063</v>
      </c>
      <c r="AD1507" s="6" t="str">
        <f>IF(COUNTIF(Returns!$A$2:$A$1635,Orders!AC1507)&gt;0,"Returned","Not Returned")</f>
        <v>Not Returned</v>
      </c>
    </row>
    <row r="1508" spans="1:30" ht="12.75" customHeight="1" thickTop="1" thickBot="1" x14ac:dyDescent="0.25">
      <c r="A1508" s="10">
        <v>22938</v>
      </c>
      <c r="B1508" s="11" t="s">
        <v>47</v>
      </c>
      <c r="C1508" s="11">
        <v>7.0000000000000007E-2</v>
      </c>
      <c r="D1508" s="11">
        <v>2.94</v>
      </c>
      <c r="E1508" s="11">
        <v>0.81</v>
      </c>
      <c r="F1508" s="11">
        <v>2655</v>
      </c>
      <c r="G1508" s="6" t="str">
        <f>IF(COUNTIF(Table1[Customer ID],Table1[[#This Row],[Customer ID]])&gt;1,"Repeat Customer","One-Time Customer")</f>
        <v>Repeat Customer</v>
      </c>
      <c r="H1508" s="11" t="s">
        <v>2465</v>
      </c>
      <c r="I1508" s="11" t="s">
        <v>49</v>
      </c>
      <c r="J1508" s="11" t="s">
        <v>28</v>
      </c>
      <c r="K1508" s="11" t="s">
        <v>29</v>
      </c>
      <c r="L1508" s="11" t="s">
        <v>30</v>
      </c>
      <c r="M1508" s="11" t="s">
        <v>31</v>
      </c>
      <c r="N1508" s="11" t="s">
        <v>2467</v>
      </c>
      <c r="O1508" s="11">
        <v>0.4</v>
      </c>
      <c r="P1508" s="6">
        <f>Table1[[#This Row],[Profit]]/Table1[[#This Row],[Sales]]</f>
        <v>-3.1434872824631865</v>
      </c>
      <c r="Q1508" s="11" t="s">
        <v>33</v>
      </c>
      <c r="R1508" s="11" t="s">
        <v>136</v>
      </c>
      <c r="S1508" s="11" t="s">
        <v>387</v>
      </c>
      <c r="T1508" s="11" t="s">
        <v>580</v>
      </c>
      <c r="U1508" s="11">
        <v>30318</v>
      </c>
      <c r="V1508" s="12">
        <v>42102</v>
      </c>
      <c r="W1508" s="13" t="str">
        <f>TEXT(Table1[[#This Row],[Order Date]],"mmmm")</f>
        <v>April</v>
      </c>
      <c r="X1508" s="7" t="str">
        <f>TEXT(Table1[[#This Row],[Order Date]],"yyyy")</f>
        <v>2015</v>
      </c>
      <c r="Y1508" s="12">
        <v>42103</v>
      </c>
      <c r="Z1508" s="11">
        <v>-93.927400000000006</v>
      </c>
      <c r="AA1508" s="11">
        <v>10</v>
      </c>
      <c r="AB1508" s="11">
        <v>29.88</v>
      </c>
      <c r="AC1508" s="11">
        <v>86064</v>
      </c>
      <c r="AD1508" s="6" t="str">
        <f>IF(COUNTIF(Returns!$A$2:$A$1635,Orders!AC1508)&gt;0,"Returned","Not Returned")</f>
        <v>Not Returned</v>
      </c>
    </row>
    <row r="1509" spans="1:30" ht="12.75" customHeight="1" thickTop="1" thickBot="1" x14ac:dyDescent="0.25">
      <c r="A1509" s="8">
        <v>19525</v>
      </c>
      <c r="B1509" s="1" t="s">
        <v>47</v>
      </c>
      <c r="C1509" s="1">
        <v>0.01</v>
      </c>
      <c r="D1509" s="1">
        <v>138.13999999999999</v>
      </c>
      <c r="E1509" s="1">
        <v>35</v>
      </c>
      <c r="F1509" s="1">
        <v>2660</v>
      </c>
      <c r="G1509" s="6" t="str">
        <f>IF(COUNTIF(Table1[Customer ID],Table1[[#This Row],[Customer ID]])&gt;1,"Repeat Customer","One-Time Customer")</f>
        <v>One-Time Customer</v>
      </c>
      <c r="H1509" s="1" t="s">
        <v>2468</v>
      </c>
      <c r="I1509" s="1" t="s">
        <v>49</v>
      </c>
      <c r="J1509" s="1" t="s">
        <v>58</v>
      </c>
      <c r="K1509" s="1" t="s">
        <v>29</v>
      </c>
      <c r="L1509" s="1" t="s">
        <v>141</v>
      </c>
      <c r="M1509" s="1" t="s">
        <v>236</v>
      </c>
      <c r="N1509" s="1" t="s">
        <v>2469</v>
      </c>
      <c r="O1509" s="1"/>
      <c r="P1509" s="6">
        <f>Table1[[#This Row],[Profit]]/Table1[[#This Row],[Sales]]</f>
        <v>-0.53671769360466093</v>
      </c>
      <c r="Q1509" s="1" t="s">
        <v>33</v>
      </c>
      <c r="R1509" s="1" t="s">
        <v>53</v>
      </c>
      <c r="S1509" s="1" t="s">
        <v>188</v>
      </c>
      <c r="T1509" s="1" t="s">
        <v>1109</v>
      </c>
      <c r="U1509" s="1">
        <v>4038</v>
      </c>
      <c r="V1509" s="9">
        <v>42059</v>
      </c>
      <c r="W1509" s="13" t="str">
        <f>TEXT(Table1[[#This Row],[Order Date]],"mmmm")</f>
        <v>February</v>
      </c>
      <c r="X1509" s="7" t="str">
        <f>TEXT(Table1[[#This Row],[Order Date]],"yyyy")</f>
        <v>2015</v>
      </c>
      <c r="Y1509" s="9">
        <v>42061</v>
      </c>
      <c r="Z1509" s="1">
        <v>-321.51</v>
      </c>
      <c r="AA1509" s="1">
        <v>4</v>
      </c>
      <c r="AB1509" s="1">
        <v>599.03</v>
      </c>
      <c r="AC1509" s="1">
        <v>86486</v>
      </c>
      <c r="AD1509" s="6" t="str">
        <f>IF(COUNTIF(Returns!$A$2:$A$1635,Orders!AC1509)&gt;0,"Returned","Not Returned")</f>
        <v>Not Returned</v>
      </c>
    </row>
    <row r="1510" spans="1:30" ht="12.75" customHeight="1" thickTop="1" thickBot="1" x14ac:dyDescent="0.25">
      <c r="A1510" s="10">
        <v>18400</v>
      </c>
      <c r="B1510" s="11" t="s">
        <v>25</v>
      </c>
      <c r="C1510" s="11">
        <v>0.04</v>
      </c>
      <c r="D1510" s="11">
        <v>90.24</v>
      </c>
      <c r="E1510" s="11">
        <v>0.99</v>
      </c>
      <c r="F1510" s="11">
        <v>2667</v>
      </c>
      <c r="G1510" s="6" t="str">
        <f>IF(COUNTIF(Table1[Customer ID],Table1[[#This Row],[Customer ID]])&gt;1,"Repeat Customer","One-Time Customer")</f>
        <v>Repeat Customer</v>
      </c>
      <c r="H1510" s="11" t="s">
        <v>2470</v>
      </c>
      <c r="I1510" s="11" t="s">
        <v>49</v>
      </c>
      <c r="J1510" s="11" t="s">
        <v>40</v>
      </c>
      <c r="K1510" s="11" t="s">
        <v>29</v>
      </c>
      <c r="L1510" s="11" t="s">
        <v>257</v>
      </c>
      <c r="M1510" s="11" t="s">
        <v>59</v>
      </c>
      <c r="N1510" s="11" t="s">
        <v>2471</v>
      </c>
      <c r="O1510" s="11">
        <v>0.56000000000000005</v>
      </c>
      <c r="P1510" s="6">
        <f>Table1[[#This Row],[Profit]]/Table1[[#This Row],[Sales]]</f>
        <v>0.69</v>
      </c>
      <c r="Q1510" s="11" t="s">
        <v>33</v>
      </c>
      <c r="R1510" s="11" t="s">
        <v>53</v>
      </c>
      <c r="S1510" s="11" t="s">
        <v>154</v>
      </c>
      <c r="T1510" s="11" t="s">
        <v>99</v>
      </c>
      <c r="U1510" s="11">
        <v>44107</v>
      </c>
      <c r="V1510" s="12">
        <v>42096</v>
      </c>
      <c r="W1510" s="13" t="str">
        <f>TEXT(Table1[[#This Row],[Order Date]],"mmmm")</f>
        <v>April</v>
      </c>
      <c r="X1510" s="7" t="str">
        <f>TEXT(Table1[[#This Row],[Order Date]],"yyyy")</f>
        <v>2015</v>
      </c>
      <c r="Y1510" s="12">
        <v>42098</v>
      </c>
      <c r="Z1510" s="11">
        <v>246.2748</v>
      </c>
      <c r="AA1510" s="11">
        <v>4</v>
      </c>
      <c r="AB1510" s="11">
        <v>356.92</v>
      </c>
      <c r="AC1510" s="11">
        <v>87831</v>
      </c>
      <c r="AD1510" s="6" t="str">
        <f>IF(COUNTIF(Returns!$A$2:$A$1635,Orders!AC1510)&gt;0,"Returned","Not Returned")</f>
        <v>Not Returned</v>
      </c>
    </row>
    <row r="1511" spans="1:30" ht="12.75" customHeight="1" thickTop="1" thickBot="1" x14ac:dyDescent="0.25">
      <c r="A1511" s="8">
        <v>18401</v>
      </c>
      <c r="B1511" s="1" t="s">
        <v>25</v>
      </c>
      <c r="C1511" s="1">
        <v>0.09</v>
      </c>
      <c r="D1511" s="1">
        <v>47.9</v>
      </c>
      <c r="E1511" s="1">
        <v>5.86</v>
      </c>
      <c r="F1511" s="1">
        <v>2667</v>
      </c>
      <c r="G1511" s="6" t="str">
        <f>IF(COUNTIF(Table1[Customer ID],Table1[[#This Row],[Customer ID]])&gt;1,"Repeat Customer","One-Time Customer")</f>
        <v>Repeat Customer</v>
      </c>
      <c r="H1511" s="1" t="s">
        <v>2470</v>
      </c>
      <c r="I1511" s="1" t="s">
        <v>27</v>
      </c>
      <c r="J1511" s="1" t="s">
        <v>40</v>
      </c>
      <c r="K1511" s="1" t="s">
        <v>29</v>
      </c>
      <c r="L1511" s="1" t="s">
        <v>93</v>
      </c>
      <c r="M1511" s="1" t="s">
        <v>59</v>
      </c>
      <c r="N1511" s="1" t="s">
        <v>1937</v>
      </c>
      <c r="O1511" s="1">
        <v>0.37</v>
      </c>
      <c r="P1511" s="6">
        <f>Table1[[#This Row],[Profit]]/Table1[[#This Row],[Sales]]</f>
        <v>0.69</v>
      </c>
      <c r="Q1511" s="1" t="s">
        <v>33</v>
      </c>
      <c r="R1511" s="1" t="s">
        <v>53</v>
      </c>
      <c r="S1511" s="1" t="s">
        <v>154</v>
      </c>
      <c r="T1511" s="1" t="s">
        <v>99</v>
      </c>
      <c r="U1511" s="1">
        <v>44107</v>
      </c>
      <c r="V1511" s="9">
        <v>42096</v>
      </c>
      <c r="W1511" s="13" t="str">
        <f>TEXT(Table1[[#This Row],[Order Date]],"mmmm")</f>
        <v>April</v>
      </c>
      <c r="X1511" s="7" t="str">
        <f>TEXT(Table1[[#This Row],[Order Date]],"yyyy")</f>
        <v>2015</v>
      </c>
      <c r="Y1511" s="9">
        <v>42098</v>
      </c>
      <c r="Z1511" s="1">
        <v>93.950399999999988</v>
      </c>
      <c r="AA1511" s="1">
        <v>3</v>
      </c>
      <c r="AB1511" s="1">
        <v>136.16</v>
      </c>
      <c r="AC1511" s="1">
        <v>87831</v>
      </c>
      <c r="AD1511" s="6" t="str">
        <f>IF(COUNTIF(Returns!$A$2:$A$1635,Orders!AC1511)&gt;0,"Returned","Not Returned")</f>
        <v>Not Returned</v>
      </c>
    </row>
    <row r="1512" spans="1:30" ht="12.75" customHeight="1" thickTop="1" thickBot="1" x14ac:dyDescent="0.25">
      <c r="A1512" s="10">
        <v>19294</v>
      </c>
      <c r="B1512" s="11" t="s">
        <v>25</v>
      </c>
      <c r="C1512" s="11">
        <v>0.04</v>
      </c>
      <c r="D1512" s="11">
        <v>10.4</v>
      </c>
      <c r="E1512" s="11">
        <v>5.4</v>
      </c>
      <c r="F1512" s="11">
        <v>2668</v>
      </c>
      <c r="G1512" s="6" t="str">
        <f>IF(COUNTIF(Table1[Customer ID],Table1[[#This Row],[Customer ID]])&gt;1,"Repeat Customer","One-Time Customer")</f>
        <v>Repeat Customer</v>
      </c>
      <c r="H1512" s="11" t="s">
        <v>2472</v>
      </c>
      <c r="I1512" s="11" t="s">
        <v>49</v>
      </c>
      <c r="J1512" s="11" t="s">
        <v>28</v>
      </c>
      <c r="K1512" s="11" t="s">
        <v>41</v>
      </c>
      <c r="L1512" s="11" t="s">
        <v>50</v>
      </c>
      <c r="M1512" s="11" t="s">
        <v>51</v>
      </c>
      <c r="N1512" s="11" t="s">
        <v>2473</v>
      </c>
      <c r="O1512" s="11">
        <v>0.51</v>
      </c>
      <c r="P1512" s="6">
        <f>Table1[[#This Row],[Profit]]/Table1[[#This Row],[Sales]]</f>
        <v>0.22931008107694659</v>
      </c>
      <c r="Q1512" s="11" t="s">
        <v>33</v>
      </c>
      <c r="R1512" s="11" t="s">
        <v>61</v>
      </c>
      <c r="S1512" s="11" t="s">
        <v>2193</v>
      </c>
      <c r="T1512" s="11" t="s">
        <v>2474</v>
      </c>
      <c r="U1512" s="11">
        <v>57701</v>
      </c>
      <c r="V1512" s="12">
        <v>42091</v>
      </c>
      <c r="W1512" s="13" t="str">
        <f>TEXT(Table1[[#This Row],[Order Date]],"mmmm")</f>
        <v>March</v>
      </c>
      <c r="X1512" s="7" t="str">
        <f>TEXT(Table1[[#This Row],[Order Date]],"yyyy")</f>
        <v>2015</v>
      </c>
      <c r="Y1512" s="12">
        <v>42092</v>
      </c>
      <c r="Z1512" s="11">
        <v>29.98</v>
      </c>
      <c r="AA1512" s="11">
        <v>12</v>
      </c>
      <c r="AB1512" s="11">
        <v>130.74</v>
      </c>
      <c r="AC1512" s="11">
        <v>87830</v>
      </c>
      <c r="AD1512" s="6" t="str">
        <f>IF(COUNTIF(Returns!$A$2:$A$1635,Orders!AC1512)&gt;0,"Returned","Not Returned")</f>
        <v>Not Returned</v>
      </c>
    </row>
    <row r="1513" spans="1:30" ht="12.75" customHeight="1" thickTop="1" thickBot="1" x14ac:dyDescent="0.25">
      <c r="A1513" s="8">
        <v>19295</v>
      </c>
      <c r="B1513" s="1" t="s">
        <v>25</v>
      </c>
      <c r="C1513" s="1">
        <v>0.08</v>
      </c>
      <c r="D1513" s="1">
        <v>4.28</v>
      </c>
      <c r="E1513" s="1">
        <v>4.79</v>
      </c>
      <c r="F1513" s="1">
        <v>2668</v>
      </c>
      <c r="G1513" s="6" t="str">
        <f>IF(COUNTIF(Table1[Customer ID],Table1[[#This Row],[Customer ID]])&gt;1,"Repeat Customer","One-Time Customer")</f>
        <v>Repeat Customer</v>
      </c>
      <c r="H1513" s="1" t="s">
        <v>2472</v>
      </c>
      <c r="I1513" s="1" t="s">
        <v>49</v>
      </c>
      <c r="J1513" s="1" t="s">
        <v>28</v>
      </c>
      <c r="K1513" s="1" t="s">
        <v>29</v>
      </c>
      <c r="L1513" s="1" t="s">
        <v>93</v>
      </c>
      <c r="M1513" s="1" t="s">
        <v>59</v>
      </c>
      <c r="N1513" s="1" t="s">
        <v>2475</v>
      </c>
      <c r="O1513" s="1">
        <v>0.4</v>
      </c>
      <c r="P1513" s="6">
        <f>Table1[[#This Row],[Profit]]/Table1[[#This Row],[Sales]]</f>
        <v>-2.4303188289552837</v>
      </c>
      <c r="Q1513" s="1" t="s">
        <v>33</v>
      </c>
      <c r="R1513" s="1" t="s">
        <v>61</v>
      </c>
      <c r="S1513" s="1" t="s">
        <v>2193</v>
      </c>
      <c r="T1513" s="1" t="s">
        <v>2474</v>
      </c>
      <c r="U1513" s="1">
        <v>57701</v>
      </c>
      <c r="V1513" s="9">
        <v>42091</v>
      </c>
      <c r="W1513" s="13" t="str">
        <f>TEXT(Table1[[#This Row],[Order Date]],"mmmm")</f>
        <v>March</v>
      </c>
      <c r="X1513" s="7" t="str">
        <f>TEXT(Table1[[#This Row],[Order Date]],"yyyy")</f>
        <v>2015</v>
      </c>
      <c r="Y1513" s="9">
        <v>42093</v>
      </c>
      <c r="Z1513" s="1">
        <v>-121.2</v>
      </c>
      <c r="AA1513" s="1">
        <v>12</v>
      </c>
      <c r="AB1513" s="1">
        <v>49.87</v>
      </c>
      <c r="AC1513" s="1">
        <v>87830</v>
      </c>
      <c r="AD1513" s="6" t="str">
        <f>IF(COUNTIF(Returns!$A$2:$A$1635,Orders!AC1513)&gt;0,"Returned","Not Returned")</f>
        <v>Not Returned</v>
      </c>
    </row>
    <row r="1514" spans="1:30" ht="12.75" customHeight="1" thickTop="1" thickBot="1" x14ac:dyDescent="0.25">
      <c r="A1514" s="10">
        <v>18870</v>
      </c>
      <c r="B1514" s="11" t="s">
        <v>37</v>
      </c>
      <c r="C1514" s="11">
        <v>0.06</v>
      </c>
      <c r="D1514" s="11">
        <v>3.93</v>
      </c>
      <c r="E1514" s="11">
        <v>0.99</v>
      </c>
      <c r="F1514" s="11">
        <v>2668</v>
      </c>
      <c r="G1514" s="6" t="str">
        <f>IF(COUNTIF(Table1[Customer ID],Table1[[#This Row],[Customer ID]])&gt;1,"Repeat Customer","One-Time Customer")</f>
        <v>Repeat Customer</v>
      </c>
      <c r="H1514" s="11" t="s">
        <v>2472</v>
      </c>
      <c r="I1514" s="11" t="s">
        <v>49</v>
      </c>
      <c r="J1514" s="11" t="s">
        <v>40</v>
      </c>
      <c r="K1514" s="11" t="s">
        <v>29</v>
      </c>
      <c r="L1514" s="11" t="s">
        <v>66</v>
      </c>
      <c r="M1514" s="11" t="s">
        <v>31</v>
      </c>
      <c r="N1514" s="11" t="s">
        <v>2476</v>
      </c>
      <c r="O1514" s="11">
        <v>0.39</v>
      </c>
      <c r="P1514" s="6">
        <f>Table1[[#This Row],[Profit]]/Table1[[#This Row],[Sales]]</f>
        <v>0.4459222497932176</v>
      </c>
      <c r="Q1514" s="11" t="s">
        <v>33</v>
      </c>
      <c r="R1514" s="11" t="s">
        <v>61</v>
      </c>
      <c r="S1514" s="11" t="s">
        <v>2193</v>
      </c>
      <c r="T1514" s="11" t="s">
        <v>2474</v>
      </c>
      <c r="U1514" s="11">
        <v>57701</v>
      </c>
      <c r="V1514" s="12">
        <v>42115</v>
      </c>
      <c r="W1514" s="13" t="str">
        <f>TEXT(Table1[[#This Row],[Order Date]],"mmmm")</f>
        <v>April</v>
      </c>
      <c r="X1514" s="7" t="str">
        <f>TEXT(Table1[[#This Row],[Order Date]],"yyyy")</f>
        <v>2015</v>
      </c>
      <c r="Y1514" s="12">
        <v>42117</v>
      </c>
      <c r="Z1514" s="11">
        <v>10.782400000000001</v>
      </c>
      <c r="AA1514" s="11">
        <v>6</v>
      </c>
      <c r="AB1514" s="11">
        <v>24.18</v>
      </c>
      <c r="AC1514" s="11">
        <v>87832</v>
      </c>
      <c r="AD1514" s="6" t="str">
        <f>IF(COUNTIF(Returns!$A$2:$A$1635,Orders!AC1514)&gt;0,"Returned","Not Returned")</f>
        <v>Not Returned</v>
      </c>
    </row>
    <row r="1515" spans="1:30" ht="12.75" customHeight="1" thickTop="1" thickBot="1" x14ac:dyDescent="0.25">
      <c r="A1515" s="8">
        <v>5338</v>
      </c>
      <c r="B1515" s="1" t="s">
        <v>25</v>
      </c>
      <c r="C1515" s="1">
        <v>0.05</v>
      </c>
      <c r="D1515" s="1">
        <v>165.2</v>
      </c>
      <c r="E1515" s="1">
        <v>19.989999999999998</v>
      </c>
      <c r="F1515" s="1">
        <v>2670</v>
      </c>
      <c r="G1515" s="6" t="str">
        <f>IF(COUNTIF(Table1[Customer ID],Table1[[#This Row],[Customer ID]])&gt;1,"Repeat Customer","One-Time Customer")</f>
        <v>Repeat Customer</v>
      </c>
      <c r="H1515" s="1" t="s">
        <v>2477</v>
      </c>
      <c r="I1515" s="1" t="s">
        <v>49</v>
      </c>
      <c r="J1515" s="1" t="s">
        <v>40</v>
      </c>
      <c r="K1515" s="1" t="s">
        <v>29</v>
      </c>
      <c r="L1515" s="1" t="s">
        <v>141</v>
      </c>
      <c r="M1515" s="1" t="s">
        <v>59</v>
      </c>
      <c r="N1515" s="1" t="s">
        <v>562</v>
      </c>
      <c r="O1515" s="1">
        <v>0.59</v>
      </c>
      <c r="P1515" s="6">
        <f>Table1[[#This Row],[Profit]]/Table1[[#This Row],[Sales]]</f>
        <v>7.2812192456379779E-2</v>
      </c>
      <c r="Q1515" s="1" t="s">
        <v>33</v>
      </c>
      <c r="R1515" s="1" t="s">
        <v>34</v>
      </c>
      <c r="S1515" s="1" t="s">
        <v>45</v>
      </c>
      <c r="T1515" s="1" t="s">
        <v>663</v>
      </c>
      <c r="U1515" s="1">
        <v>90049</v>
      </c>
      <c r="V1515" s="9">
        <v>42153</v>
      </c>
      <c r="W1515" s="13" t="str">
        <f>TEXT(Table1[[#This Row],[Order Date]],"mmmm")</f>
        <v>May</v>
      </c>
      <c r="X1515" s="7" t="str">
        <f>TEXT(Table1[[#This Row],[Order Date]],"yyyy")</f>
        <v>2015</v>
      </c>
      <c r="Y1515" s="9">
        <v>42153</v>
      </c>
      <c r="Z1515" s="1">
        <v>2008.71</v>
      </c>
      <c r="AA1515" s="1">
        <v>167</v>
      </c>
      <c r="AB1515" s="1">
        <v>27587.55</v>
      </c>
      <c r="AC1515" s="1">
        <v>37924</v>
      </c>
      <c r="AD1515" s="6" t="str">
        <f>IF(COUNTIF(Returns!$A$2:$A$1635,Orders!AC1515)&gt;0,"Returned","Not Returned")</f>
        <v>Returned</v>
      </c>
    </row>
    <row r="1516" spans="1:30" ht="12.75" customHeight="1" thickTop="1" thickBot="1" x14ac:dyDescent="0.25">
      <c r="A1516" s="10">
        <v>5339</v>
      </c>
      <c r="B1516" s="11" t="s">
        <v>25</v>
      </c>
      <c r="C1516" s="11">
        <v>0.09</v>
      </c>
      <c r="D1516" s="11">
        <v>17.989999999999998</v>
      </c>
      <c r="E1516" s="11">
        <v>8.65</v>
      </c>
      <c r="F1516" s="11">
        <v>2670</v>
      </c>
      <c r="G1516" s="6" t="str">
        <f>IF(COUNTIF(Table1[Customer ID],Table1[[#This Row],[Customer ID]])&gt;1,"Repeat Customer","One-Time Customer")</f>
        <v>Repeat Customer</v>
      </c>
      <c r="H1516" s="11" t="s">
        <v>2477</v>
      </c>
      <c r="I1516" s="11" t="s">
        <v>49</v>
      </c>
      <c r="J1516" s="11" t="s">
        <v>40</v>
      </c>
      <c r="K1516" s="11" t="s">
        <v>29</v>
      </c>
      <c r="L1516" s="11" t="s">
        <v>30</v>
      </c>
      <c r="M1516" s="11" t="s">
        <v>59</v>
      </c>
      <c r="N1516" s="11" t="s">
        <v>2478</v>
      </c>
      <c r="O1516" s="11">
        <v>0.56999999999999995</v>
      </c>
      <c r="P1516" s="6">
        <f>Table1[[#This Row],[Profit]]/Table1[[#This Row],[Sales]]</f>
        <v>-6.7582537471256657E-2</v>
      </c>
      <c r="Q1516" s="11" t="s">
        <v>33</v>
      </c>
      <c r="R1516" s="11" t="s">
        <v>34</v>
      </c>
      <c r="S1516" s="11" t="s">
        <v>45</v>
      </c>
      <c r="T1516" s="11" t="s">
        <v>663</v>
      </c>
      <c r="U1516" s="11">
        <v>90049</v>
      </c>
      <c r="V1516" s="12">
        <v>42153</v>
      </c>
      <c r="W1516" s="13" t="str">
        <f>TEXT(Table1[[#This Row],[Order Date]],"mmmm")</f>
        <v>May</v>
      </c>
      <c r="X1516" s="7" t="str">
        <f>TEXT(Table1[[#This Row],[Order Date]],"yyyy")</f>
        <v>2015</v>
      </c>
      <c r="Y1516" s="12">
        <v>42153</v>
      </c>
      <c r="Z1516" s="11">
        <v>-80.53</v>
      </c>
      <c r="AA1516" s="11">
        <v>71</v>
      </c>
      <c r="AB1516" s="11">
        <v>1191.58</v>
      </c>
      <c r="AC1516" s="11">
        <v>37924</v>
      </c>
      <c r="AD1516" s="6" t="str">
        <f>IF(COUNTIF(Returns!$A$2:$A$1635,Orders!AC1516)&gt;0,"Returned","Not Returned")</f>
        <v>Returned</v>
      </c>
    </row>
    <row r="1517" spans="1:30" ht="12.75" customHeight="1" thickTop="1" thickBot="1" x14ac:dyDescent="0.25">
      <c r="A1517" s="8">
        <v>23338</v>
      </c>
      <c r="B1517" s="1" t="s">
        <v>25</v>
      </c>
      <c r="C1517" s="1">
        <v>0.05</v>
      </c>
      <c r="D1517" s="1">
        <v>165.2</v>
      </c>
      <c r="E1517" s="1">
        <v>19.989999999999998</v>
      </c>
      <c r="F1517" s="1">
        <v>2671</v>
      </c>
      <c r="G1517" s="6" t="str">
        <f>IF(COUNTIF(Table1[Customer ID],Table1[[#This Row],[Customer ID]])&gt;1,"Repeat Customer","One-Time Customer")</f>
        <v>One-Time Customer</v>
      </c>
      <c r="H1517" s="1" t="s">
        <v>2479</v>
      </c>
      <c r="I1517" s="1" t="s">
        <v>49</v>
      </c>
      <c r="J1517" s="1" t="s">
        <v>40</v>
      </c>
      <c r="K1517" s="1" t="s">
        <v>29</v>
      </c>
      <c r="L1517" s="1" t="s">
        <v>141</v>
      </c>
      <c r="M1517" s="1" t="s">
        <v>59</v>
      </c>
      <c r="N1517" s="1" t="s">
        <v>562</v>
      </c>
      <c r="O1517" s="1">
        <v>0.59</v>
      </c>
      <c r="P1517" s="6">
        <f>Table1[[#This Row],[Profit]]/Table1[[#This Row],[Sales]]</f>
        <v>-7.0563071925098626E-3</v>
      </c>
      <c r="Q1517" s="1" t="s">
        <v>33</v>
      </c>
      <c r="R1517" s="1" t="s">
        <v>136</v>
      </c>
      <c r="S1517" s="1" t="s">
        <v>244</v>
      </c>
      <c r="T1517" s="1" t="s">
        <v>2446</v>
      </c>
      <c r="U1517" s="1">
        <v>37027</v>
      </c>
      <c r="V1517" s="9">
        <v>42153</v>
      </c>
      <c r="W1517" s="13" t="str">
        <f>TEXT(Table1[[#This Row],[Order Date]],"mmmm")</f>
        <v>May</v>
      </c>
      <c r="X1517" s="7" t="str">
        <f>TEXT(Table1[[#This Row],[Order Date]],"yyyy")</f>
        <v>2015</v>
      </c>
      <c r="Y1517" s="9">
        <v>42153</v>
      </c>
      <c r="Z1517" s="1">
        <v>-48.957999999999998</v>
      </c>
      <c r="AA1517" s="1">
        <v>42</v>
      </c>
      <c r="AB1517" s="1">
        <v>6938.19</v>
      </c>
      <c r="AC1517" s="1">
        <v>90551</v>
      </c>
      <c r="AD1517" s="6" t="str">
        <f>IF(COUNTIF(Returns!$A$2:$A$1635,Orders!AC1517)&gt;0,"Returned","Not Returned")</f>
        <v>Not Returned</v>
      </c>
    </row>
    <row r="1518" spans="1:30" ht="12.75" customHeight="1" thickTop="1" thickBot="1" x14ac:dyDescent="0.25">
      <c r="A1518" s="10">
        <v>18147</v>
      </c>
      <c r="B1518" s="11" t="s">
        <v>47</v>
      </c>
      <c r="C1518" s="11">
        <v>0.03</v>
      </c>
      <c r="D1518" s="11">
        <v>41.32</v>
      </c>
      <c r="E1518" s="11">
        <v>58.66</v>
      </c>
      <c r="F1518" s="11">
        <v>2677</v>
      </c>
      <c r="G1518" s="6" t="str">
        <f>IF(COUNTIF(Table1[Customer ID],Table1[[#This Row],[Customer ID]])&gt;1,"Repeat Customer","One-Time Customer")</f>
        <v>Repeat Customer</v>
      </c>
      <c r="H1518" s="11" t="s">
        <v>2480</v>
      </c>
      <c r="I1518" s="11" t="s">
        <v>27</v>
      </c>
      <c r="J1518" s="11" t="s">
        <v>58</v>
      </c>
      <c r="K1518" s="11" t="s">
        <v>41</v>
      </c>
      <c r="L1518" s="11" t="s">
        <v>50</v>
      </c>
      <c r="M1518" s="11" t="s">
        <v>86</v>
      </c>
      <c r="N1518" s="11" t="s">
        <v>2481</v>
      </c>
      <c r="O1518" s="11">
        <v>0.76</v>
      </c>
      <c r="P1518" s="6">
        <f>Table1[[#This Row],[Profit]]/Table1[[#This Row],[Sales]]</f>
        <v>-7.8269372957759931E-2</v>
      </c>
      <c r="Q1518" s="11" t="s">
        <v>33</v>
      </c>
      <c r="R1518" s="11" t="s">
        <v>136</v>
      </c>
      <c r="S1518" s="11" t="s">
        <v>137</v>
      </c>
      <c r="T1518" s="11" t="s">
        <v>2482</v>
      </c>
      <c r="U1518" s="11">
        <v>22601</v>
      </c>
      <c r="V1518" s="12">
        <v>42171</v>
      </c>
      <c r="W1518" s="13" t="str">
        <f>TEXT(Table1[[#This Row],[Order Date]],"mmmm")</f>
        <v>June</v>
      </c>
      <c r="X1518" s="7" t="str">
        <f>TEXT(Table1[[#This Row],[Order Date]],"yyyy")</f>
        <v>2015</v>
      </c>
      <c r="Y1518" s="12">
        <v>42172</v>
      </c>
      <c r="Z1518" s="11">
        <v>-32.816000000000003</v>
      </c>
      <c r="AA1518" s="11">
        <v>10</v>
      </c>
      <c r="AB1518" s="11">
        <v>419.27</v>
      </c>
      <c r="AC1518" s="11">
        <v>86633</v>
      </c>
      <c r="AD1518" s="6" t="str">
        <f>IF(COUNTIF(Returns!$A$2:$A$1635,Orders!AC1518)&gt;0,"Returned","Not Returned")</f>
        <v>Not Returned</v>
      </c>
    </row>
    <row r="1519" spans="1:30" ht="12.75" customHeight="1" thickTop="1" thickBot="1" x14ac:dyDescent="0.25">
      <c r="A1519" s="8">
        <v>18148</v>
      </c>
      <c r="B1519" s="1" t="s">
        <v>47</v>
      </c>
      <c r="C1519" s="1">
        <v>0</v>
      </c>
      <c r="D1519" s="1">
        <v>6.88</v>
      </c>
      <c r="E1519" s="1">
        <v>2</v>
      </c>
      <c r="F1519" s="1">
        <v>2677</v>
      </c>
      <c r="G1519" s="6" t="str">
        <f>IF(COUNTIF(Table1[Customer ID],Table1[[#This Row],[Customer ID]])&gt;1,"Repeat Customer","One-Time Customer")</f>
        <v>Repeat Customer</v>
      </c>
      <c r="H1519" s="1" t="s">
        <v>2480</v>
      </c>
      <c r="I1519" s="1" t="s">
        <v>49</v>
      </c>
      <c r="J1519" s="1" t="s">
        <v>58</v>
      </c>
      <c r="K1519" s="1" t="s">
        <v>29</v>
      </c>
      <c r="L1519" s="1" t="s">
        <v>93</v>
      </c>
      <c r="M1519" s="1" t="s">
        <v>31</v>
      </c>
      <c r="N1519" s="1" t="s">
        <v>662</v>
      </c>
      <c r="O1519" s="1">
        <v>0.39</v>
      </c>
      <c r="P1519" s="6">
        <f>Table1[[#This Row],[Profit]]/Table1[[#This Row],[Sales]]</f>
        <v>-0.43361111111111111</v>
      </c>
      <c r="Q1519" s="1" t="s">
        <v>33</v>
      </c>
      <c r="R1519" s="1" t="s">
        <v>136</v>
      </c>
      <c r="S1519" s="1" t="s">
        <v>137</v>
      </c>
      <c r="T1519" s="1" t="s">
        <v>2482</v>
      </c>
      <c r="U1519" s="1">
        <v>22601</v>
      </c>
      <c r="V1519" s="9">
        <v>42171</v>
      </c>
      <c r="W1519" s="13" t="str">
        <f>TEXT(Table1[[#This Row],[Order Date]],"mmmm")</f>
        <v>June</v>
      </c>
      <c r="X1519" s="7" t="str">
        <f>TEXT(Table1[[#This Row],[Order Date]],"yyyy")</f>
        <v>2015</v>
      </c>
      <c r="Y1519" s="9">
        <v>42171</v>
      </c>
      <c r="Z1519" s="1">
        <v>-15.61</v>
      </c>
      <c r="AA1519" s="1">
        <v>5</v>
      </c>
      <c r="AB1519" s="1">
        <v>36</v>
      </c>
      <c r="AC1519" s="1">
        <v>86633</v>
      </c>
      <c r="AD1519" s="6" t="str">
        <f>IF(COUNTIF(Returns!$A$2:$A$1635,Orders!AC1519)&gt;0,"Returned","Not Returned")</f>
        <v>Not Returned</v>
      </c>
    </row>
    <row r="1520" spans="1:30" ht="12.75" customHeight="1" thickTop="1" thickBot="1" x14ac:dyDescent="0.25">
      <c r="A1520" s="10">
        <v>22848</v>
      </c>
      <c r="B1520" s="11" t="s">
        <v>106</v>
      </c>
      <c r="C1520" s="11">
        <v>0.09</v>
      </c>
      <c r="D1520" s="11">
        <v>8.74</v>
      </c>
      <c r="E1520" s="11">
        <v>1.39</v>
      </c>
      <c r="F1520" s="11">
        <v>2684</v>
      </c>
      <c r="G1520" s="6" t="str">
        <f>IF(COUNTIF(Table1[Customer ID],Table1[[#This Row],[Customer ID]])&gt;1,"Repeat Customer","One-Time Customer")</f>
        <v>Repeat Customer</v>
      </c>
      <c r="H1520" s="11" t="s">
        <v>2483</v>
      </c>
      <c r="I1520" s="11" t="s">
        <v>27</v>
      </c>
      <c r="J1520" s="11" t="s">
        <v>58</v>
      </c>
      <c r="K1520" s="11" t="s">
        <v>29</v>
      </c>
      <c r="L1520" s="11" t="s">
        <v>69</v>
      </c>
      <c r="M1520" s="11" t="s">
        <v>59</v>
      </c>
      <c r="N1520" s="11" t="s">
        <v>1482</v>
      </c>
      <c r="O1520" s="11">
        <v>0.38</v>
      </c>
      <c r="P1520" s="6">
        <f>Table1[[#This Row],[Profit]]/Table1[[#This Row],[Sales]]</f>
        <v>2.0047538200339559</v>
      </c>
      <c r="Q1520" s="11" t="s">
        <v>33</v>
      </c>
      <c r="R1520" s="11" t="s">
        <v>136</v>
      </c>
      <c r="S1520" s="11" t="s">
        <v>362</v>
      </c>
      <c r="T1520" s="11" t="s">
        <v>2484</v>
      </c>
      <c r="U1520" s="11">
        <v>33952</v>
      </c>
      <c r="V1520" s="12">
        <v>42050</v>
      </c>
      <c r="W1520" s="13" t="str">
        <f>TEXT(Table1[[#This Row],[Order Date]],"mmmm")</f>
        <v>February</v>
      </c>
      <c r="X1520" s="7" t="str">
        <f>TEXT(Table1[[#This Row],[Order Date]],"yyyy")</f>
        <v>2015</v>
      </c>
      <c r="Y1520" s="12">
        <v>42055</v>
      </c>
      <c r="Z1520" s="11">
        <v>23.616</v>
      </c>
      <c r="AA1520" s="11">
        <v>1</v>
      </c>
      <c r="AB1520" s="11">
        <v>11.78</v>
      </c>
      <c r="AC1520" s="11">
        <v>89146</v>
      </c>
      <c r="AD1520" s="6" t="str">
        <f>IF(COUNTIF(Returns!$A$2:$A$1635,Orders!AC1520)&gt;0,"Returned","Not Returned")</f>
        <v>Not Returned</v>
      </c>
    </row>
    <row r="1521" spans="1:30" ht="12.75" customHeight="1" thickTop="1" thickBot="1" x14ac:dyDescent="0.25">
      <c r="A1521" s="8">
        <v>22849</v>
      </c>
      <c r="B1521" s="1" t="s">
        <v>106</v>
      </c>
      <c r="C1521" s="1">
        <v>0.09</v>
      </c>
      <c r="D1521" s="1">
        <v>18.97</v>
      </c>
      <c r="E1521" s="1">
        <v>9.0299999999999994</v>
      </c>
      <c r="F1521" s="1">
        <v>2684</v>
      </c>
      <c r="G1521" s="6" t="str">
        <f>IF(COUNTIF(Table1[Customer ID],Table1[[#This Row],[Customer ID]])&gt;1,"Repeat Customer","One-Time Customer")</f>
        <v>Repeat Customer</v>
      </c>
      <c r="H1521" s="1" t="s">
        <v>2483</v>
      </c>
      <c r="I1521" s="1" t="s">
        <v>49</v>
      </c>
      <c r="J1521" s="1" t="s">
        <v>58</v>
      </c>
      <c r="K1521" s="1" t="s">
        <v>29</v>
      </c>
      <c r="L1521" s="1" t="s">
        <v>93</v>
      </c>
      <c r="M1521" s="1" t="s">
        <v>59</v>
      </c>
      <c r="N1521" s="1" t="s">
        <v>775</v>
      </c>
      <c r="O1521" s="1">
        <v>0.37</v>
      </c>
      <c r="P1521" s="6">
        <f>Table1[[#This Row],[Profit]]/Table1[[#This Row],[Sales]]</f>
        <v>-83.397519083969456</v>
      </c>
      <c r="Q1521" s="1" t="s">
        <v>33</v>
      </c>
      <c r="R1521" s="1" t="s">
        <v>136</v>
      </c>
      <c r="S1521" s="1" t="s">
        <v>362</v>
      </c>
      <c r="T1521" s="1" t="s">
        <v>2484</v>
      </c>
      <c r="U1521" s="1">
        <v>33952</v>
      </c>
      <c r="V1521" s="9">
        <v>42050</v>
      </c>
      <c r="W1521" s="13" t="str">
        <f>TEXT(Table1[[#This Row],[Order Date]],"mmmm")</f>
        <v>February</v>
      </c>
      <c r="X1521" s="7" t="str">
        <f>TEXT(Table1[[#This Row],[Order Date]],"yyyy")</f>
        <v>2015</v>
      </c>
      <c r="Y1521" s="9">
        <v>42055</v>
      </c>
      <c r="Z1521" s="1">
        <v>-1748.0119999999999</v>
      </c>
      <c r="AA1521" s="1">
        <v>1</v>
      </c>
      <c r="AB1521" s="1">
        <v>20.96</v>
      </c>
      <c r="AC1521" s="1">
        <v>89146</v>
      </c>
      <c r="AD1521" s="6" t="str">
        <f>IF(COUNTIF(Returns!$A$2:$A$1635,Orders!AC1521)&gt;0,"Returned","Not Returned")</f>
        <v>Not Returned</v>
      </c>
    </row>
    <row r="1522" spans="1:30" ht="12.75" customHeight="1" thickTop="1" thickBot="1" x14ac:dyDescent="0.25">
      <c r="A1522" s="10">
        <v>25649</v>
      </c>
      <c r="B1522" s="11" t="s">
        <v>106</v>
      </c>
      <c r="C1522" s="11">
        <v>7.0000000000000007E-2</v>
      </c>
      <c r="D1522" s="11">
        <v>4.97</v>
      </c>
      <c r="E1522" s="11">
        <v>5.71</v>
      </c>
      <c r="F1522" s="11">
        <v>2684</v>
      </c>
      <c r="G1522" s="6" t="str">
        <f>IF(COUNTIF(Table1[Customer ID],Table1[[#This Row],[Customer ID]])&gt;1,"Repeat Customer","One-Time Customer")</f>
        <v>Repeat Customer</v>
      </c>
      <c r="H1522" s="11" t="s">
        <v>2483</v>
      </c>
      <c r="I1522" s="11" t="s">
        <v>49</v>
      </c>
      <c r="J1522" s="11" t="s">
        <v>58</v>
      </c>
      <c r="K1522" s="11" t="s">
        <v>41</v>
      </c>
      <c r="L1522" s="11" t="s">
        <v>50</v>
      </c>
      <c r="M1522" s="11" t="s">
        <v>86</v>
      </c>
      <c r="N1522" s="11" t="s">
        <v>2485</v>
      </c>
      <c r="O1522" s="11">
        <v>0.54</v>
      </c>
      <c r="P1522" s="6">
        <f>Table1[[#This Row],[Profit]]/Table1[[#This Row],[Sales]]</f>
        <v>-6.7573893473368347</v>
      </c>
      <c r="Q1522" s="11" t="s">
        <v>33</v>
      </c>
      <c r="R1522" s="11" t="s">
        <v>136</v>
      </c>
      <c r="S1522" s="11" t="s">
        <v>362</v>
      </c>
      <c r="T1522" s="11" t="s">
        <v>2484</v>
      </c>
      <c r="U1522" s="11">
        <v>33952</v>
      </c>
      <c r="V1522" s="12">
        <v>42104</v>
      </c>
      <c r="W1522" s="13" t="str">
        <f>TEXT(Table1[[#This Row],[Order Date]],"mmmm")</f>
        <v>April</v>
      </c>
      <c r="X1522" s="7" t="str">
        <f>TEXT(Table1[[#This Row],[Order Date]],"yyyy")</f>
        <v>2015</v>
      </c>
      <c r="Y1522" s="12">
        <v>42109</v>
      </c>
      <c r="Z1522" s="11">
        <v>-180.15200000000002</v>
      </c>
      <c r="AA1522" s="11">
        <v>5</v>
      </c>
      <c r="AB1522" s="11">
        <v>26.66</v>
      </c>
      <c r="AC1522" s="11">
        <v>89148</v>
      </c>
      <c r="AD1522" s="6" t="str">
        <f>IF(COUNTIF(Returns!$A$2:$A$1635,Orders!AC1522)&gt;0,"Returned","Not Returned")</f>
        <v>Not Returned</v>
      </c>
    </row>
    <row r="1523" spans="1:30" ht="12.75" customHeight="1" thickTop="1" thickBot="1" x14ac:dyDescent="0.25">
      <c r="A1523" s="8">
        <v>25650</v>
      </c>
      <c r="B1523" s="1" t="s">
        <v>106</v>
      </c>
      <c r="C1523" s="1">
        <v>0.09</v>
      </c>
      <c r="D1523" s="1">
        <v>2.62</v>
      </c>
      <c r="E1523" s="1">
        <v>0.8</v>
      </c>
      <c r="F1523" s="1">
        <v>2684</v>
      </c>
      <c r="G1523" s="6" t="str">
        <f>IF(COUNTIF(Table1[Customer ID],Table1[[#This Row],[Customer ID]])&gt;1,"Repeat Customer","One-Time Customer")</f>
        <v>Repeat Customer</v>
      </c>
      <c r="H1523" s="1" t="s">
        <v>2483</v>
      </c>
      <c r="I1523" s="1" t="s">
        <v>49</v>
      </c>
      <c r="J1523" s="1" t="s">
        <v>58</v>
      </c>
      <c r="K1523" s="1" t="s">
        <v>29</v>
      </c>
      <c r="L1523" s="1" t="s">
        <v>66</v>
      </c>
      <c r="M1523" s="1" t="s">
        <v>31</v>
      </c>
      <c r="N1523" s="1" t="s">
        <v>1409</v>
      </c>
      <c r="O1523" s="1">
        <v>0.39</v>
      </c>
      <c r="P1523" s="6">
        <f>Table1[[#This Row],[Profit]]/Table1[[#This Row],[Sales]]</f>
        <v>0.28385786802030455</v>
      </c>
      <c r="Q1523" s="1" t="s">
        <v>33</v>
      </c>
      <c r="R1523" s="1" t="s">
        <v>136</v>
      </c>
      <c r="S1523" s="1" t="s">
        <v>362</v>
      </c>
      <c r="T1523" s="1" t="s">
        <v>2484</v>
      </c>
      <c r="U1523" s="1">
        <v>33952</v>
      </c>
      <c r="V1523" s="9">
        <v>42104</v>
      </c>
      <c r="W1523" s="13" t="str">
        <f>TEXT(Table1[[#This Row],[Order Date]],"mmmm")</f>
        <v>April</v>
      </c>
      <c r="X1523" s="7" t="str">
        <f>TEXT(Table1[[#This Row],[Order Date]],"yyyy")</f>
        <v>2015</v>
      </c>
      <c r="Y1523" s="9">
        <v>42106</v>
      </c>
      <c r="Z1523" s="1">
        <v>8.3879999999999999</v>
      </c>
      <c r="AA1523" s="1">
        <v>12</v>
      </c>
      <c r="AB1523" s="1">
        <v>29.55</v>
      </c>
      <c r="AC1523" s="1">
        <v>89148</v>
      </c>
      <c r="AD1523" s="6" t="str">
        <f>IF(COUNTIF(Returns!$A$2:$A$1635,Orders!AC1523)&gt;0,"Returned","Not Returned")</f>
        <v>Not Returned</v>
      </c>
    </row>
    <row r="1524" spans="1:30" ht="12.75" customHeight="1" thickTop="1" thickBot="1" x14ac:dyDescent="0.25">
      <c r="A1524" s="10">
        <v>25651</v>
      </c>
      <c r="B1524" s="11" t="s">
        <v>106</v>
      </c>
      <c r="C1524" s="11">
        <v>0.03</v>
      </c>
      <c r="D1524" s="11">
        <v>65.989999999999995</v>
      </c>
      <c r="E1524" s="11">
        <v>8.8000000000000007</v>
      </c>
      <c r="F1524" s="11">
        <v>2684</v>
      </c>
      <c r="G1524" s="6" t="str">
        <f>IF(COUNTIF(Table1[Customer ID],Table1[[#This Row],[Customer ID]])&gt;1,"Repeat Customer","One-Time Customer")</f>
        <v>Repeat Customer</v>
      </c>
      <c r="H1524" s="11" t="s">
        <v>2483</v>
      </c>
      <c r="I1524" s="11" t="s">
        <v>49</v>
      </c>
      <c r="J1524" s="11" t="s">
        <v>58</v>
      </c>
      <c r="K1524" s="11" t="s">
        <v>77</v>
      </c>
      <c r="L1524" s="11" t="s">
        <v>78</v>
      </c>
      <c r="M1524" s="11" t="s">
        <v>59</v>
      </c>
      <c r="N1524" s="11" t="s">
        <v>751</v>
      </c>
      <c r="O1524" s="11">
        <v>0.57999999999999996</v>
      </c>
      <c r="P1524" s="6">
        <f>Table1[[#This Row],[Profit]]/Table1[[#This Row],[Sales]]</f>
        <v>8.0328915467916574E-3</v>
      </c>
      <c r="Q1524" s="11" t="s">
        <v>33</v>
      </c>
      <c r="R1524" s="11" t="s">
        <v>136</v>
      </c>
      <c r="S1524" s="11" t="s">
        <v>362</v>
      </c>
      <c r="T1524" s="11" t="s">
        <v>2484</v>
      </c>
      <c r="U1524" s="11">
        <v>33952</v>
      </c>
      <c r="V1524" s="12">
        <v>42104</v>
      </c>
      <c r="W1524" s="13" t="str">
        <f>TEXT(Table1[[#This Row],[Order Date]],"mmmm")</f>
        <v>April</v>
      </c>
      <c r="X1524" s="7" t="str">
        <f>TEXT(Table1[[#This Row],[Order Date]],"yyyy")</f>
        <v>2015</v>
      </c>
      <c r="Y1524" s="12">
        <v>42104</v>
      </c>
      <c r="Z1524" s="11">
        <v>9.939899999999998</v>
      </c>
      <c r="AA1524" s="11">
        <v>21</v>
      </c>
      <c r="AB1524" s="11">
        <v>1237.4000000000001</v>
      </c>
      <c r="AC1524" s="11">
        <v>89148</v>
      </c>
      <c r="AD1524" s="6" t="str">
        <f>IF(COUNTIF(Returns!$A$2:$A$1635,Orders!AC1524)&gt;0,"Returned","Not Returned")</f>
        <v>Not Returned</v>
      </c>
    </row>
    <row r="1525" spans="1:30" ht="12.75" customHeight="1" thickTop="1" thickBot="1" x14ac:dyDescent="0.25">
      <c r="A1525" s="8">
        <v>21114</v>
      </c>
      <c r="B1525" s="1" t="s">
        <v>25</v>
      </c>
      <c r="C1525" s="1">
        <v>0</v>
      </c>
      <c r="D1525" s="1">
        <v>7.38</v>
      </c>
      <c r="E1525" s="1">
        <v>11.51</v>
      </c>
      <c r="F1525" s="1">
        <v>2685</v>
      </c>
      <c r="G1525" s="6" t="str">
        <f>IF(COUNTIF(Table1[Customer ID],Table1[[#This Row],[Customer ID]])&gt;1,"Repeat Customer","One-Time Customer")</f>
        <v>One-Time Customer</v>
      </c>
      <c r="H1525" s="1" t="s">
        <v>2486</v>
      </c>
      <c r="I1525" s="1" t="s">
        <v>49</v>
      </c>
      <c r="J1525" s="1" t="s">
        <v>58</v>
      </c>
      <c r="K1525" s="1" t="s">
        <v>29</v>
      </c>
      <c r="L1525" s="1" t="s">
        <v>109</v>
      </c>
      <c r="M1525" s="1" t="s">
        <v>59</v>
      </c>
      <c r="N1525" s="1" t="s">
        <v>2487</v>
      </c>
      <c r="O1525" s="1">
        <v>0.36</v>
      </c>
      <c r="P1525" s="6">
        <f>Table1[[#This Row],[Profit]]/Table1[[#This Row],[Sales]]</f>
        <v>-3.7511904761904757</v>
      </c>
      <c r="Q1525" s="1" t="s">
        <v>33</v>
      </c>
      <c r="R1525" s="1" t="s">
        <v>53</v>
      </c>
      <c r="S1525" s="1" t="s">
        <v>71</v>
      </c>
      <c r="T1525" s="1" t="s">
        <v>2488</v>
      </c>
      <c r="U1525" s="1">
        <v>11803</v>
      </c>
      <c r="V1525" s="9">
        <v>42098</v>
      </c>
      <c r="W1525" s="13" t="str">
        <f>TEXT(Table1[[#This Row],[Order Date]],"mmmm")</f>
        <v>April</v>
      </c>
      <c r="X1525" s="7" t="str">
        <f>TEXT(Table1[[#This Row],[Order Date]],"yyyy")</f>
        <v>2015</v>
      </c>
      <c r="Y1525" s="9">
        <v>42099</v>
      </c>
      <c r="Z1525" s="1">
        <v>-66.170999999999992</v>
      </c>
      <c r="AA1525" s="1">
        <v>2</v>
      </c>
      <c r="AB1525" s="1">
        <v>17.64</v>
      </c>
      <c r="AC1525" s="1">
        <v>89147</v>
      </c>
      <c r="AD1525" s="6" t="str">
        <f>IF(COUNTIF(Returns!$A$2:$A$1635,Orders!AC1525)&gt;0,"Returned","Not Returned")</f>
        <v>Not Returned</v>
      </c>
    </row>
    <row r="1526" spans="1:30" ht="12.75" customHeight="1" thickTop="1" thickBot="1" x14ac:dyDescent="0.25">
      <c r="A1526" s="10">
        <v>23299</v>
      </c>
      <c r="B1526" s="11" t="s">
        <v>47</v>
      </c>
      <c r="C1526" s="11">
        <v>0.09</v>
      </c>
      <c r="D1526" s="11">
        <v>3.75</v>
      </c>
      <c r="E1526" s="11">
        <v>0.5</v>
      </c>
      <c r="F1526" s="11">
        <v>2689</v>
      </c>
      <c r="G1526" s="6" t="str">
        <f>IF(COUNTIF(Table1[Customer ID],Table1[[#This Row],[Customer ID]])&gt;1,"Repeat Customer","One-Time Customer")</f>
        <v>One-Time Customer</v>
      </c>
      <c r="H1526" s="11" t="s">
        <v>2489</v>
      </c>
      <c r="I1526" s="11" t="s">
        <v>49</v>
      </c>
      <c r="J1526" s="11" t="s">
        <v>40</v>
      </c>
      <c r="K1526" s="11" t="s">
        <v>29</v>
      </c>
      <c r="L1526" s="11" t="s">
        <v>134</v>
      </c>
      <c r="M1526" s="11" t="s">
        <v>59</v>
      </c>
      <c r="N1526" s="11" t="s">
        <v>2490</v>
      </c>
      <c r="O1526" s="11">
        <v>0.37</v>
      </c>
      <c r="P1526" s="6">
        <f>Table1[[#This Row],[Profit]]/Table1[[#This Row],[Sales]]</f>
        <v>0.69</v>
      </c>
      <c r="Q1526" s="11" t="s">
        <v>33</v>
      </c>
      <c r="R1526" s="11" t="s">
        <v>53</v>
      </c>
      <c r="S1526" s="11" t="s">
        <v>54</v>
      </c>
      <c r="T1526" s="11" t="s">
        <v>2491</v>
      </c>
      <c r="U1526" s="11">
        <v>7011</v>
      </c>
      <c r="V1526" s="12">
        <v>42128</v>
      </c>
      <c r="W1526" s="13" t="str">
        <f>TEXT(Table1[[#This Row],[Order Date]],"mmmm")</f>
        <v>May</v>
      </c>
      <c r="X1526" s="7" t="str">
        <f>TEXT(Table1[[#This Row],[Order Date]],"yyyy")</f>
        <v>2015</v>
      </c>
      <c r="Y1526" s="12">
        <v>42130</v>
      </c>
      <c r="Z1526" s="11">
        <v>51.218699999999998</v>
      </c>
      <c r="AA1526" s="11">
        <v>21</v>
      </c>
      <c r="AB1526" s="11">
        <v>74.23</v>
      </c>
      <c r="AC1526" s="11">
        <v>90624</v>
      </c>
      <c r="AD1526" s="6" t="str">
        <f>IF(COUNTIF(Returns!$A$2:$A$1635,Orders!AC1526)&gt;0,"Returned","Not Returned")</f>
        <v>Not Returned</v>
      </c>
    </row>
    <row r="1527" spans="1:30" ht="12.75" customHeight="1" thickTop="1" thickBot="1" x14ac:dyDescent="0.25">
      <c r="A1527" s="8">
        <v>23298</v>
      </c>
      <c r="B1527" s="1" t="s">
        <v>47</v>
      </c>
      <c r="C1527" s="1">
        <v>0.01</v>
      </c>
      <c r="D1527" s="1">
        <v>30.98</v>
      </c>
      <c r="E1527" s="1">
        <v>9.18</v>
      </c>
      <c r="F1527" s="1">
        <v>2693</v>
      </c>
      <c r="G1527" s="6" t="str">
        <f>IF(COUNTIF(Table1[Customer ID],Table1[[#This Row],[Customer ID]])&gt;1,"Repeat Customer","One-Time Customer")</f>
        <v>One-Time Customer</v>
      </c>
      <c r="H1527" s="1" t="s">
        <v>2492</v>
      </c>
      <c r="I1527" s="1" t="s">
        <v>49</v>
      </c>
      <c r="J1527" s="1" t="s">
        <v>40</v>
      </c>
      <c r="K1527" s="1" t="s">
        <v>29</v>
      </c>
      <c r="L1527" s="1" t="s">
        <v>93</v>
      </c>
      <c r="M1527" s="1" t="s">
        <v>59</v>
      </c>
      <c r="N1527" s="1" t="s">
        <v>2357</v>
      </c>
      <c r="O1527" s="1">
        <v>0.4</v>
      </c>
      <c r="P1527" s="6">
        <f>Table1[[#This Row],[Profit]]/Table1[[#This Row],[Sales]]</f>
        <v>0.60662319233406148</v>
      </c>
      <c r="Q1527" s="1" t="s">
        <v>33</v>
      </c>
      <c r="R1527" s="1" t="s">
        <v>53</v>
      </c>
      <c r="S1527" s="1" t="s">
        <v>149</v>
      </c>
      <c r="T1527" s="1" t="s">
        <v>1104</v>
      </c>
      <c r="U1527" s="1">
        <v>5201</v>
      </c>
      <c r="V1527" s="9">
        <v>42128</v>
      </c>
      <c r="W1527" s="13" t="str">
        <f>TEXT(Table1[[#This Row],[Order Date]],"mmmm")</f>
        <v>May</v>
      </c>
      <c r="X1527" s="7" t="str">
        <f>TEXT(Table1[[#This Row],[Order Date]],"yyyy")</f>
        <v>2015</v>
      </c>
      <c r="Y1527" s="9">
        <v>42128</v>
      </c>
      <c r="Z1527" s="1">
        <v>380.46800000000002</v>
      </c>
      <c r="AA1527" s="1">
        <v>20</v>
      </c>
      <c r="AB1527" s="1">
        <v>627.19000000000005</v>
      </c>
      <c r="AC1527" s="1">
        <v>90624</v>
      </c>
      <c r="AD1527" s="6" t="str">
        <f>IF(COUNTIF(Returns!$A$2:$A$1635,Orders!AC1527)&gt;0,"Returned","Not Returned")</f>
        <v>Not Returned</v>
      </c>
    </row>
    <row r="1528" spans="1:30" ht="12.75" customHeight="1" thickTop="1" thickBot="1" x14ac:dyDescent="0.25">
      <c r="A1528" s="10">
        <v>18354</v>
      </c>
      <c r="B1528" s="11" t="s">
        <v>47</v>
      </c>
      <c r="C1528" s="11">
        <v>0.05</v>
      </c>
      <c r="D1528" s="11">
        <v>107.53</v>
      </c>
      <c r="E1528" s="11">
        <v>5.81</v>
      </c>
      <c r="F1528" s="11">
        <v>2696</v>
      </c>
      <c r="G1528" s="6" t="str">
        <f>IF(COUNTIF(Table1[Customer ID],Table1[[#This Row],[Customer ID]])&gt;1,"Repeat Customer","One-Time Customer")</f>
        <v>One-Time Customer</v>
      </c>
      <c r="H1528" s="11" t="s">
        <v>2493</v>
      </c>
      <c r="I1528" s="11" t="s">
        <v>49</v>
      </c>
      <c r="J1528" s="11" t="s">
        <v>40</v>
      </c>
      <c r="K1528" s="11" t="s">
        <v>41</v>
      </c>
      <c r="L1528" s="11" t="s">
        <v>50</v>
      </c>
      <c r="M1528" s="11" t="s">
        <v>86</v>
      </c>
      <c r="N1528" s="11" t="s">
        <v>1653</v>
      </c>
      <c r="O1528" s="11">
        <v>0.65</v>
      </c>
      <c r="P1528" s="6">
        <f>Table1[[#This Row],[Profit]]/Table1[[#This Row],[Sales]]</f>
        <v>-0.14588853357697582</v>
      </c>
      <c r="Q1528" s="11" t="s">
        <v>33</v>
      </c>
      <c r="R1528" s="11" t="s">
        <v>136</v>
      </c>
      <c r="S1528" s="11" t="s">
        <v>1278</v>
      </c>
      <c r="T1528" s="11" t="s">
        <v>2494</v>
      </c>
      <c r="U1528" s="11">
        <v>35401</v>
      </c>
      <c r="V1528" s="12">
        <v>42068</v>
      </c>
      <c r="W1528" s="13" t="str">
        <f>TEXT(Table1[[#This Row],[Order Date]],"mmmm")</f>
        <v>March</v>
      </c>
      <c r="X1528" s="7" t="str">
        <f>TEXT(Table1[[#This Row],[Order Date]],"yyyy")</f>
        <v>2015</v>
      </c>
      <c r="Y1528" s="12">
        <v>42069</v>
      </c>
      <c r="Z1528" s="11">
        <v>-89.418000000000006</v>
      </c>
      <c r="AA1528" s="11">
        <v>6</v>
      </c>
      <c r="AB1528" s="11">
        <v>612.91999999999996</v>
      </c>
      <c r="AC1528" s="11">
        <v>87676</v>
      </c>
      <c r="AD1528" s="6" t="str">
        <f>IF(COUNTIF(Returns!$A$2:$A$1635,Orders!AC1528)&gt;0,"Returned","Not Returned")</f>
        <v>Not Returned</v>
      </c>
    </row>
    <row r="1529" spans="1:30" ht="12.75" customHeight="1" thickTop="1" thickBot="1" x14ac:dyDescent="0.25">
      <c r="A1529" s="8">
        <v>19506</v>
      </c>
      <c r="B1529" s="1" t="s">
        <v>47</v>
      </c>
      <c r="C1529" s="1">
        <v>0.04</v>
      </c>
      <c r="D1529" s="1">
        <v>1.74</v>
      </c>
      <c r="E1529" s="1">
        <v>4.08</v>
      </c>
      <c r="F1529" s="1">
        <v>2697</v>
      </c>
      <c r="G1529" s="6" t="str">
        <f>IF(COUNTIF(Table1[Customer ID],Table1[[#This Row],[Customer ID]])&gt;1,"Repeat Customer","One-Time Customer")</f>
        <v>Repeat Customer</v>
      </c>
      <c r="H1529" s="1" t="s">
        <v>2495</v>
      </c>
      <c r="I1529" s="1" t="s">
        <v>49</v>
      </c>
      <c r="J1529" s="1" t="s">
        <v>28</v>
      </c>
      <c r="K1529" s="1" t="s">
        <v>41</v>
      </c>
      <c r="L1529" s="1" t="s">
        <v>50</v>
      </c>
      <c r="M1529" s="1" t="s">
        <v>51</v>
      </c>
      <c r="N1529" s="1" t="s">
        <v>219</v>
      </c>
      <c r="O1529" s="1">
        <v>0.53</v>
      </c>
      <c r="P1529" s="6">
        <f>Table1[[#This Row],[Profit]]/Table1[[#This Row],[Sales]]</f>
        <v>0.31815680880330122</v>
      </c>
      <c r="Q1529" s="1" t="s">
        <v>33</v>
      </c>
      <c r="R1529" s="1" t="s">
        <v>136</v>
      </c>
      <c r="S1529" s="1" t="s">
        <v>1278</v>
      </c>
      <c r="T1529" s="1" t="s">
        <v>2496</v>
      </c>
      <c r="U1529" s="1">
        <v>35216</v>
      </c>
      <c r="V1529" s="9">
        <v>42058</v>
      </c>
      <c r="W1529" s="13" t="str">
        <f>TEXT(Table1[[#This Row],[Order Date]],"mmmm")</f>
        <v>February</v>
      </c>
      <c r="X1529" s="7" t="str">
        <f>TEXT(Table1[[#This Row],[Order Date]],"yyyy")</f>
        <v>2015</v>
      </c>
      <c r="Y1529" s="9">
        <v>42060</v>
      </c>
      <c r="Z1529" s="1">
        <v>9.2519999999999989</v>
      </c>
      <c r="AA1529" s="1">
        <v>16</v>
      </c>
      <c r="AB1529" s="1">
        <v>29.08</v>
      </c>
      <c r="AC1529" s="1">
        <v>87678</v>
      </c>
      <c r="AD1529" s="6" t="str">
        <f>IF(COUNTIF(Returns!$A$2:$A$1635,Orders!AC1529)&gt;0,"Returned","Not Returned")</f>
        <v>Not Returned</v>
      </c>
    </row>
    <row r="1530" spans="1:30" ht="12.75" customHeight="1" thickTop="1" thickBot="1" x14ac:dyDescent="0.25">
      <c r="A1530" s="10">
        <v>19507</v>
      </c>
      <c r="B1530" s="11" t="s">
        <v>47</v>
      </c>
      <c r="C1530" s="11">
        <v>0.01</v>
      </c>
      <c r="D1530" s="11">
        <v>119.99</v>
      </c>
      <c r="E1530" s="11">
        <v>56.14</v>
      </c>
      <c r="F1530" s="11">
        <v>2697</v>
      </c>
      <c r="G1530" s="6" t="str">
        <f>IF(COUNTIF(Table1[Customer ID],Table1[[#This Row],[Customer ID]])&gt;1,"Repeat Customer","One-Time Customer")</f>
        <v>Repeat Customer</v>
      </c>
      <c r="H1530" s="11" t="s">
        <v>2495</v>
      </c>
      <c r="I1530" s="11" t="s">
        <v>39</v>
      </c>
      <c r="J1530" s="11" t="s">
        <v>28</v>
      </c>
      <c r="K1530" s="11" t="s">
        <v>77</v>
      </c>
      <c r="L1530" s="11" t="s">
        <v>85</v>
      </c>
      <c r="M1530" s="11" t="s">
        <v>121</v>
      </c>
      <c r="N1530" s="11" t="s">
        <v>318</v>
      </c>
      <c r="O1530" s="11">
        <v>0.39</v>
      </c>
      <c r="P1530" s="6">
        <f>Table1[[#This Row],[Profit]]/Table1[[#This Row],[Sales]]</f>
        <v>-0.46585304155948265</v>
      </c>
      <c r="Q1530" s="11" t="s">
        <v>33</v>
      </c>
      <c r="R1530" s="11" t="s">
        <v>136</v>
      </c>
      <c r="S1530" s="11" t="s">
        <v>1278</v>
      </c>
      <c r="T1530" s="11" t="s">
        <v>2496</v>
      </c>
      <c r="U1530" s="11">
        <v>35216</v>
      </c>
      <c r="V1530" s="12">
        <v>42058</v>
      </c>
      <c r="W1530" s="13" t="str">
        <f>TEXT(Table1[[#This Row],[Order Date]],"mmmm")</f>
        <v>February</v>
      </c>
      <c r="X1530" s="7" t="str">
        <f>TEXT(Table1[[#This Row],[Order Date]],"yyyy")</f>
        <v>2015</v>
      </c>
      <c r="Y1530" s="12">
        <v>42059</v>
      </c>
      <c r="Z1530" s="11">
        <v>-1197.0419999999999</v>
      </c>
      <c r="AA1530" s="11">
        <v>21</v>
      </c>
      <c r="AB1530" s="11">
        <v>2569.5700000000002</v>
      </c>
      <c r="AC1530" s="11">
        <v>87678</v>
      </c>
      <c r="AD1530" s="6" t="str">
        <f>IF(COUNTIF(Returns!$A$2:$A$1635,Orders!AC1530)&gt;0,"Returned","Not Returned")</f>
        <v>Not Returned</v>
      </c>
    </row>
    <row r="1531" spans="1:30" ht="14.25" thickTop="1" thickBot="1" x14ac:dyDescent="0.25">
      <c r="A1531" s="8">
        <v>21580</v>
      </c>
      <c r="B1531" s="1" t="s">
        <v>47</v>
      </c>
      <c r="C1531" s="1">
        <v>0.06</v>
      </c>
      <c r="D1531" s="1">
        <v>4.9800000000000004</v>
      </c>
      <c r="E1531" s="1">
        <v>4.95</v>
      </c>
      <c r="F1531" s="1">
        <v>2699</v>
      </c>
      <c r="G1531" s="6" t="str">
        <f>IF(COUNTIF(Table1[Customer ID],Table1[[#This Row],[Customer ID]])&gt;1,"Repeat Customer","One-Time Customer")</f>
        <v>Repeat Customer</v>
      </c>
      <c r="H1531" s="1" t="s">
        <v>2497</v>
      </c>
      <c r="I1531" s="1" t="s">
        <v>49</v>
      </c>
      <c r="J1531" s="1" t="s">
        <v>28</v>
      </c>
      <c r="K1531" s="1" t="s">
        <v>29</v>
      </c>
      <c r="L1531" s="1" t="s">
        <v>109</v>
      </c>
      <c r="M1531" s="1" t="s">
        <v>59</v>
      </c>
      <c r="N1531" s="1" t="s">
        <v>2498</v>
      </c>
      <c r="O1531" s="1">
        <v>0.37</v>
      </c>
      <c r="P1531" s="6">
        <f>Table1[[#This Row],[Profit]]/Table1[[#This Row],[Sales]]</f>
        <v>-1.3067983289023928</v>
      </c>
      <c r="Q1531" s="1" t="s">
        <v>33</v>
      </c>
      <c r="R1531" s="1" t="s">
        <v>34</v>
      </c>
      <c r="S1531" s="1" t="s">
        <v>378</v>
      </c>
      <c r="T1531" s="1" t="s">
        <v>2499</v>
      </c>
      <c r="U1531" s="1">
        <v>86442</v>
      </c>
      <c r="V1531" s="9">
        <v>42146</v>
      </c>
      <c r="W1531" s="13" t="str">
        <f>TEXT(Table1[[#This Row],[Order Date]],"mmmm")</f>
        <v>May</v>
      </c>
      <c r="X1531" s="7" t="str">
        <f>TEXT(Table1[[#This Row],[Order Date]],"yyyy")</f>
        <v>2015</v>
      </c>
      <c r="Y1531" s="9">
        <v>42148</v>
      </c>
      <c r="Z1531" s="1">
        <v>-103.224</v>
      </c>
      <c r="AA1531" s="1">
        <v>16</v>
      </c>
      <c r="AB1531" s="1">
        <v>78.989999999999995</v>
      </c>
      <c r="AC1531" s="1">
        <v>87677</v>
      </c>
      <c r="AD1531" s="6" t="str">
        <f>IF(COUNTIF(Returns!$A$2:$A$1635,Orders!AC1531)&gt;0,"Returned","Not Returned")</f>
        <v>Not Returned</v>
      </c>
    </row>
    <row r="1532" spans="1:30" ht="14.25" thickTop="1" thickBot="1" x14ac:dyDescent="0.25">
      <c r="A1532" s="10">
        <v>20983</v>
      </c>
      <c r="B1532" s="11" t="s">
        <v>37</v>
      </c>
      <c r="C1532" s="11">
        <v>0.04</v>
      </c>
      <c r="D1532" s="11">
        <v>70.98</v>
      </c>
      <c r="E1532" s="11">
        <v>26.74</v>
      </c>
      <c r="F1532" s="11">
        <v>2699</v>
      </c>
      <c r="G1532" s="6" t="str">
        <f>IF(COUNTIF(Table1[Customer ID],Table1[[#This Row],[Customer ID]])&gt;1,"Repeat Customer","One-Time Customer")</f>
        <v>Repeat Customer</v>
      </c>
      <c r="H1532" s="11" t="s">
        <v>2497</v>
      </c>
      <c r="I1532" s="11" t="s">
        <v>39</v>
      </c>
      <c r="J1532" s="11" t="s">
        <v>28</v>
      </c>
      <c r="K1532" s="11" t="s">
        <v>41</v>
      </c>
      <c r="L1532" s="11" t="s">
        <v>191</v>
      </c>
      <c r="M1532" s="11" t="s">
        <v>121</v>
      </c>
      <c r="N1532" s="11" t="s">
        <v>2500</v>
      </c>
      <c r="O1532" s="11">
        <v>0.6</v>
      </c>
      <c r="P1532" s="6">
        <f>Table1[[#This Row],[Profit]]/Table1[[#This Row],[Sales]]</f>
        <v>-6.2905606802791877E-2</v>
      </c>
      <c r="Q1532" s="11" t="s">
        <v>33</v>
      </c>
      <c r="R1532" s="11" t="s">
        <v>34</v>
      </c>
      <c r="S1532" s="11" t="s">
        <v>378</v>
      </c>
      <c r="T1532" s="11" t="s">
        <v>2499</v>
      </c>
      <c r="U1532" s="11">
        <v>86442</v>
      </c>
      <c r="V1532" s="12">
        <v>42102</v>
      </c>
      <c r="W1532" s="13" t="str">
        <f>TEXT(Table1[[#This Row],[Order Date]],"mmmm")</f>
        <v>April</v>
      </c>
      <c r="X1532" s="7" t="str">
        <f>TEXT(Table1[[#This Row],[Order Date]],"yyyy")</f>
        <v>2015</v>
      </c>
      <c r="Y1532" s="12">
        <v>42104</v>
      </c>
      <c r="Z1532" s="11">
        <v>-84.628799999999998</v>
      </c>
      <c r="AA1532" s="11">
        <v>19</v>
      </c>
      <c r="AB1532" s="11">
        <v>1345.33</v>
      </c>
      <c r="AC1532" s="11">
        <v>87679</v>
      </c>
      <c r="AD1532" s="6" t="str">
        <f>IF(COUNTIF(Returns!$A$2:$A$1635,Orders!AC1532)&gt;0,"Returned","Not Returned")</f>
        <v>Not Returned</v>
      </c>
    </row>
    <row r="1533" spans="1:30" ht="12.75" customHeight="1" thickTop="1" thickBot="1" x14ac:dyDescent="0.25">
      <c r="A1533" s="8">
        <v>24151</v>
      </c>
      <c r="B1533" s="1" t="s">
        <v>47</v>
      </c>
      <c r="C1533" s="1">
        <v>0.06</v>
      </c>
      <c r="D1533" s="1">
        <v>3.6</v>
      </c>
      <c r="E1533" s="1">
        <v>2.2000000000000002</v>
      </c>
      <c r="F1533" s="1">
        <v>2704</v>
      </c>
      <c r="G1533" s="6" t="str">
        <f>IF(COUNTIF(Table1[Customer ID],Table1[[#This Row],[Customer ID]])&gt;1,"Repeat Customer","One-Time Customer")</f>
        <v>Repeat Customer</v>
      </c>
      <c r="H1533" s="1" t="s">
        <v>2501</v>
      </c>
      <c r="I1533" s="1" t="s">
        <v>49</v>
      </c>
      <c r="J1533" s="1" t="s">
        <v>114</v>
      </c>
      <c r="K1533" s="1" t="s">
        <v>29</v>
      </c>
      <c r="L1533" s="1" t="s">
        <v>93</v>
      </c>
      <c r="M1533" s="1" t="s">
        <v>31</v>
      </c>
      <c r="N1533" s="1" t="s">
        <v>1669</v>
      </c>
      <c r="O1533" s="1">
        <v>0.39</v>
      </c>
      <c r="P1533" s="6">
        <f>Table1[[#This Row],[Profit]]/Table1[[#This Row],[Sales]]</f>
        <v>181.41159973666888</v>
      </c>
      <c r="Q1533" s="1" t="s">
        <v>33</v>
      </c>
      <c r="R1533" s="1" t="s">
        <v>136</v>
      </c>
      <c r="S1533" s="1" t="s">
        <v>362</v>
      </c>
      <c r="T1533" s="1" t="s">
        <v>2502</v>
      </c>
      <c r="U1533" s="1">
        <v>32503</v>
      </c>
      <c r="V1533" s="9">
        <v>42124</v>
      </c>
      <c r="W1533" s="13" t="str">
        <f>TEXT(Table1[[#This Row],[Order Date]],"mmmm")</f>
        <v>April</v>
      </c>
      <c r="X1533" s="7" t="str">
        <f>TEXT(Table1[[#This Row],[Order Date]],"yyyy")</f>
        <v>2015</v>
      </c>
      <c r="Y1533" s="9">
        <v>42126</v>
      </c>
      <c r="Z1533" s="1">
        <v>2755.6422000000002</v>
      </c>
      <c r="AA1533" s="1">
        <v>4</v>
      </c>
      <c r="AB1533" s="1">
        <v>15.19</v>
      </c>
      <c r="AC1533" s="1">
        <v>91407</v>
      </c>
      <c r="AD1533" s="6" t="str">
        <f>IF(COUNTIF(Returns!$A$2:$A$1635,Orders!AC1533)&gt;0,"Returned","Not Returned")</f>
        <v>Not Returned</v>
      </c>
    </row>
    <row r="1534" spans="1:30" ht="12.75" customHeight="1" thickTop="1" thickBot="1" x14ac:dyDescent="0.25">
      <c r="A1534" s="10">
        <v>21979</v>
      </c>
      <c r="B1534" s="11" t="s">
        <v>106</v>
      </c>
      <c r="C1534" s="11">
        <v>0.03</v>
      </c>
      <c r="D1534" s="11">
        <v>13.48</v>
      </c>
      <c r="E1534" s="11">
        <v>4.51</v>
      </c>
      <c r="F1534" s="11">
        <v>2704</v>
      </c>
      <c r="G1534" s="6" t="str">
        <f>IF(COUNTIF(Table1[Customer ID],Table1[[#This Row],[Customer ID]])&gt;1,"Repeat Customer","One-Time Customer")</f>
        <v>Repeat Customer</v>
      </c>
      <c r="H1534" s="11" t="s">
        <v>2501</v>
      </c>
      <c r="I1534" s="11" t="s">
        <v>27</v>
      </c>
      <c r="J1534" s="11" t="s">
        <v>114</v>
      </c>
      <c r="K1534" s="11" t="s">
        <v>29</v>
      </c>
      <c r="L1534" s="11" t="s">
        <v>141</v>
      </c>
      <c r="M1534" s="11" t="s">
        <v>59</v>
      </c>
      <c r="N1534" s="11" t="s">
        <v>2503</v>
      </c>
      <c r="O1534" s="11">
        <v>0.59</v>
      </c>
      <c r="P1534" s="6">
        <f>Table1[[#This Row],[Profit]]/Table1[[#This Row],[Sales]]</f>
        <v>-4.3035468145906881</v>
      </c>
      <c r="Q1534" s="11" t="s">
        <v>33</v>
      </c>
      <c r="R1534" s="11" t="s">
        <v>136</v>
      </c>
      <c r="S1534" s="11" t="s">
        <v>362</v>
      </c>
      <c r="T1534" s="11" t="s">
        <v>2502</v>
      </c>
      <c r="U1534" s="11">
        <v>32503</v>
      </c>
      <c r="V1534" s="12">
        <v>42124</v>
      </c>
      <c r="W1534" s="13" t="str">
        <f>TEXT(Table1[[#This Row],[Order Date]],"mmmm")</f>
        <v>April</v>
      </c>
      <c r="X1534" s="7" t="str">
        <f>TEXT(Table1[[#This Row],[Order Date]],"yyyy")</f>
        <v>2015</v>
      </c>
      <c r="Y1534" s="12">
        <v>42128</v>
      </c>
      <c r="Z1534" s="11">
        <v>-256.01800000000003</v>
      </c>
      <c r="AA1534" s="11">
        <v>4</v>
      </c>
      <c r="AB1534" s="11">
        <v>59.49</v>
      </c>
      <c r="AC1534" s="11">
        <v>91408</v>
      </c>
      <c r="AD1534" s="6" t="str">
        <f>IF(COUNTIF(Returns!$A$2:$A$1635,Orders!AC1534)&gt;0,"Returned","Not Returned")</f>
        <v>Not Returned</v>
      </c>
    </row>
    <row r="1535" spans="1:30" ht="12.75" customHeight="1" thickTop="1" thickBot="1" x14ac:dyDescent="0.25">
      <c r="A1535" s="8">
        <v>18898</v>
      </c>
      <c r="B1535" s="1" t="s">
        <v>56</v>
      </c>
      <c r="C1535" s="1">
        <v>7.0000000000000007E-2</v>
      </c>
      <c r="D1535" s="1">
        <v>60.97</v>
      </c>
      <c r="E1535" s="1">
        <v>4.5</v>
      </c>
      <c r="F1535" s="1">
        <v>2709</v>
      </c>
      <c r="G1535" s="6" t="str">
        <f>IF(COUNTIF(Table1[Customer ID],Table1[[#This Row],[Customer ID]])&gt;1,"Repeat Customer","One-Time Customer")</f>
        <v>Repeat Customer</v>
      </c>
      <c r="H1535" s="1" t="s">
        <v>2504</v>
      </c>
      <c r="I1535" s="1" t="s">
        <v>49</v>
      </c>
      <c r="J1535" s="1" t="s">
        <v>114</v>
      </c>
      <c r="K1535" s="1" t="s">
        <v>29</v>
      </c>
      <c r="L1535" s="1" t="s">
        <v>257</v>
      </c>
      <c r="M1535" s="1" t="s">
        <v>59</v>
      </c>
      <c r="N1535" s="1" t="s">
        <v>2132</v>
      </c>
      <c r="O1535" s="1">
        <v>0.56000000000000005</v>
      </c>
      <c r="P1535" s="6">
        <f>Table1[[#This Row],[Profit]]/Table1[[#This Row],[Sales]]</f>
        <v>-0.72216459197786997</v>
      </c>
      <c r="Q1535" s="1" t="s">
        <v>33</v>
      </c>
      <c r="R1535" s="1" t="s">
        <v>53</v>
      </c>
      <c r="S1535" s="1" t="s">
        <v>415</v>
      </c>
      <c r="T1535" s="1" t="s">
        <v>2505</v>
      </c>
      <c r="U1535" s="1">
        <v>21042</v>
      </c>
      <c r="V1535" s="9">
        <v>42152</v>
      </c>
      <c r="W1535" s="13" t="str">
        <f>TEXT(Table1[[#This Row],[Order Date]],"mmmm")</f>
        <v>May</v>
      </c>
      <c r="X1535" s="7" t="str">
        <f>TEXT(Table1[[#This Row],[Order Date]],"yyyy")</f>
        <v>2015</v>
      </c>
      <c r="Y1535" s="9">
        <v>42154</v>
      </c>
      <c r="Z1535" s="1">
        <v>-41.77</v>
      </c>
      <c r="AA1535" s="1">
        <v>1</v>
      </c>
      <c r="AB1535" s="1">
        <v>57.84</v>
      </c>
      <c r="AC1535" s="1">
        <v>89240</v>
      </c>
      <c r="AD1535" s="6" t="str">
        <f>IF(COUNTIF(Returns!$A$2:$A$1635,Orders!AC1535)&gt;0,"Returned","Not Returned")</f>
        <v>Not Returned</v>
      </c>
    </row>
    <row r="1536" spans="1:30" ht="12.75" customHeight="1" thickTop="1" thickBot="1" x14ac:dyDescent="0.25">
      <c r="A1536" s="10">
        <v>18899</v>
      </c>
      <c r="B1536" s="11" t="s">
        <v>56</v>
      </c>
      <c r="C1536" s="11">
        <v>0</v>
      </c>
      <c r="D1536" s="11">
        <v>90.98</v>
      </c>
      <c r="E1536" s="11">
        <v>56.2</v>
      </c>
      <c r="F1536" s="11">
        <v>2709</v>
      </c>
      <c r="G1536" s="6" t="str">
        <f>IF(COUNTIF(Table1[Customer ID],Table1[[#This Row],[Customer ID]])&gt;1,"Repeat Customer","One-Time Customer")</f>
        <v>Repeat Customer</v>
      </c>
      <c r="H1536" s="11" t="s">
        <v>2504</v>
      </c>
      <c r="I1536" s="11" t="s">
        <v>49</v>
      </c>
      <c r="J1536" s="11" t="s">
        <v>114</v>
      </c>
      <c r="K1536" s="11" t="s">
        <v>41</v>
      </c>
      <c r="L1536" s="11" t="s">
        <v>50</v>
      </c>
      <c r="M1536" s="11" t="s">
        <v>86</v>
      </c>
      <c r="N1536" s="11" t="s">
        <v>1061</v>
      </c>
      <c r="O1536" s="11">
        <v>0.74</v>
      </c>
      <c r="P1536" s="6">
        <f>Table1[[#This Row],[Profit]]/Table1[[#This Row],[Sales]]</f>
        <v>-0.71130173737997204</v>
      </c>
      <c r="Q1536" s="11" t="s">
        <v>33</v>
      </c>
      <c r="R1536" s="11" t="s">
        <v>53</v>
      </c>
      <c r="S1536" s="11" t="s">
        <v>415</v>
      </c>
      <c r="T1536" s="11" t="s">
        <v>2505</v>
      </c>
      <c r="U1536" s="11">
        <v>21042</v>
      </c>
      <c r="V1536" s="12">
        <v>42152</v>
      </c>
      <c r="W1536" s="13" t="str">
        <f>TEXT(Table1[[#This Row],[Order Date]],"mmmm")</f>
        <v>May</v>
      </c>
      <c r="X1536" s="7" t="str">
        <f>TEXT(Table1[[#This Row],[Order Date]],"yyyy")</f>
        <v>2015</v>
      </c>
      <c r="Y1536" s="12">
        <v>42154</v>
      </c>
      <c r="Z1536" s="11">
        <v>-1014.11</v>
      </c>
      <c r="AA1536" s="11">
        <v>15</v>
      </c>
      <c r="AB1536" s="11">
        <v>1425.71</v>
      </c>
      <c r="AC1536" s="11">
        <v>89240</v>
      </c>
      <c r="AD1536" s="6" t="str">
        <f>IF(COUNTIF(Returns!$A$2:$A$1635,Orders!AC1536)&gt;0,"Returned","Not Returned")</f>
        <v>Not Returned</v>
      </c>
    </row>
    <row r="1537" spans="1:30" ht="12.75" customHeight="1" thickTop="1" thickBot="1" x14ac:dyDescent="0.25">
      <c r="A1537" s="8">
        <v>18855</v>
      </c>
      <c r="B1537" s="1" t="s">
        <v>47</v>
      </c>
      <c r="C1537" s="1">
        <v>7.0000000000000007E-2</v>
      </c>
      <c r="D1537" s="1">
        <v>2.88</v>
      </c>
      <c r="E1537" s="1">
        <v>0.5</v>
      </c>
      <c r="F1537" s="1">
        <v>2713</v>
      </c>
      <c r="G1537" s="6" t="str">
        <f>IF(COUNTIF(Table1[Customer ID],Table1[[#This Row],[Customer ID]])&gt;1,"Repeat Customer","One-Time Customer")</f>
        <v>Repeat Customer</v>
      </c>
      <c r="H1537" s="1" t="s">
        <v>2506</v>
      </c>
      <c r="I1537" s="1" t="s">
        <v>49</v>
      </c>
      <c r="J1537" s="1" t="s">
        <v>28</v>
      </c>
      <c r="K1537" s="1" t="s">
        <v>29</v>
      </c>
      <c r="L1537" s="1" t="s">
        <v>134</v>
      </c>
      <c r="M1537" s="1" t="s">
        <v>59</v>
      </c>
      <c r="N1537" s="1" t="s">
        <v>2507</v>
      </c>
      <c r="O1537" s="1">
        <v>0.39</v>
      </c>
      <c r="P1537" s="6">
        <f>Table1[[#This Row],[Profit]]/Table1[[#This Row],[Sales]]</f>
        <v>0.69</v>
      </c>
      <c r="Q1537" s="1" t="s">
        <v>33</v>
      </c>
      <c r="R1537" s="1" t="s">
        <v>61</v>
      </c>
      <c r="S1537" s="1" t="s">
        <v>300</v>
      </c>
      <c r="T1537" s="1" t="s">
        <v>2508</v>
      </c>
      <c r="U1537" s="1">
        <v>49001</v>
      </c>
      <c r="V1537" s="9">
        <v>42176</v>
      </c>
      <c r="W1537" s="13" t="str">
        <f>TEXT(Table1[[#This Row],[Order Date]],"mmmm")</f>
        <v>June</v>
      </c>
      <c r="X1537" s="7" t="str">
        <f>TEXT(Table1[[#This Row],[Order Date]],"yyyy")</f>
        <v>2015</v>
      </c>
      <c r="Y1537" s="9">
        <v>42179</v>
      </c>
      <c r="Z1537" s="1">
        <v>17.429400000000001</v>
      </c>
      <c r="AA1537" s="1">
        <v>9</v>
      </c>
      <c r="AB1537" s="1">
        <v>25.26</v>
      </c>
      <c r="AC1537" s="1">
        <v>88701</v>
      </c>
      <c r="AD1537" s="6" t="str">
        <f>IF(COUNTIF(Returns!$A$2:$A$1635,Orders!AC1537)&gt;0,"Returned","Not Returned")</f>
        <v>Not Returned</v>
      </c>
    </row>
    <row r="1538" spans="1:30" ht="12.75" customHeight="1" thickTop="1" thickBot="1" x14ac:dyDescent="0.25">
      <c r="A1538" s="10">
        <v>18856</v>
      </c>
      <c r="B1538" s="11" t="s">
        <v>47</v>
      </c>
      <c r="C1538" s="11">
        <v>0.03</v>
      </c>
      <c r="D1538" s="11">
        <v>348.21</v>
      </c>
      <c r="E1538" s="11">
        <v>40.19</v>
      </c>
      <c r="F1538" s="11">
        <v>2713</v>
      </c>
      <c r="G1538" s="6" t="str">
        <f>IF(COUNTIF(Table1[Customer ID],Table1[[#This Row],[Customer ID]])&gt;1,"Repeat Customer","One-Time Customer")</f>
        <v>Repeat Customer</v>
      </c>
      <c r="H1538" s="11" t="s">
        <v>2506</v>
      </c>
      <c r="I1538" s="11" t="s">
        <v>39</v>
      </c>
      <c r="J1538" s="11" t="s">
        <v>28</v>
      </c>
      <c r="K1538" s="11" t="s">
        <v>41</v>
      </c>
      <c r="L1538" s="11" t="s">
        <v>152</v>
      </c>
      <c r="M1538" s="11" t="s">
        <v>121</v>
      </c>
      <c r="N1538" s="11" t="s">
        <v>1572</v>
      </c>
      <c r="O1538" s="11">
        <v>0.62</v>
      </c>
      <c r="P1538" s="6">
        <f>Table1[[#This Row],[Profit]]/Table1[[#This Row],[Sales]]</f>
        <v>-0.24297652684199092</v>
      </c>
      <c r="Q1538" s="11" t="s">
        <v>33</v>
      </c>
      <c r="R1538" s="11" t="s">
        <v>61</v>
      </c>
      <c r="S1538" s="11" t="s">
        <v>300</v>
      </c>
      <c r="T1538" s="11" t="s">
        <v>2508</v>
      </c>
      <c r="U1538" s="11">
        <v>49001</v>
      </c>
      <c r="V1538" s="12">
        <v>42176</v>
      </c>
      <c r="W1538" s="13" t="str">
        <f>TEXT(Table1[[#This Row],[Order Date]],"mmmm")</f>
        <v>June</v>
      </c>
      <c r="X1538" s="7" t="str">
        <f>TEXT(Table1[[#This Row],[Order Date]],"yyyy")</f>
        <v>2015</v>
      </c>
      <c r="Y1538" s="12">
        <v>42177</v>
      </c>
      <c r="Z1538" s="11">
        <v>-178.86960000000002</v>
      </c>
      <c r="AA1538" s="11">
        <v>2</v>
      </c>
      <c r="AB1538" s="11">
        <v>736.16</v>
      </c>
      <c r="AC1538" s="11">
        <v>88701</v>
      </c>
      <c r="AD1538" s="6" t="str">
        <f>IF(COUNTIF(Returns!$A$2:$A$1635,Orders!AC1538)&gt;0,"Returned","Not Returned")</f>
        <v>Not Returned</v>
      </c>
    </row>
    <row r="1539" spans="1:30" ht="12.75" customHeight="1" thickTop="1" thickBot="1" x14ac:dyDescent="0.25">
      <c r="A1539" s="8">
        <v>21690</v>
      </c>
      <c r="B1539" s="1" t="s">
        <v>106</v>
      </c>
      <c r="C1539" s="1">
        <v>0.01</v>
      </c>
      <c r="D1539" s="1">
        <v>29.89</v>
      </c>
      <c r="E1539" s="1">
        <v>1.99</v>
      </c>
      <c r="F1539" s="1">
        <v>2715</v>
      </c>
      <c r="G1539" s="6" t="str">
        <f>IF(COUNTIF(Table1[Customer ID],Table1[[#This Row],[Customer ID]])&gt;1,"Repeat Customer","One-Time Customer")</f>
        <v>One-Time Customer</v>
      </c>
      <c r="H1539" s="1" t="s">
        <v>2509</v>
      </c>
      <c r="I1539" s="1" t="s">
        <v>49</v>
      </c>
      <c r="J1539" s="1" t="s">
        <v>28</v>
      </c>
      <c r="K1539" s="1" t="s">
        <v>77</v>
      </c>
      <c r="L1539" s="1" t="s">
        <v>180</v>
      </c>
      <c r="M1539" s="1" t="s">
        <v>51</v>
      </c>
      <c r="N1539" s="1" t="s">
        <v>1311</v>
      </c>
      <c r="O1539" s="1">
        <v>0.5</v>
      </c>
      <c r="P1539" s="6">
        <f>Table1[[#This Row],[Profit]]/Table1[[#This Row],[Sales]]</f>
        <v>-2.3354192740926156</v>
      </c>
      <c r="Q1539" s="1" t="s">
        <v>33</v>
      </c>
      <c r="R1539" s="1" t="s">
        <v>61</v>
      </c>
      <c r="S1539" s="1" t="s">
        <v>300</v>
      </c>
      <c r="T1539" s="1" t="s">
        <v>2510</v>
      </c>
      <c r="U1539" s="1">
        <v>48911</v>
      </c>
      <c r="V1539" s="9">
        <v>42016</v>
      </c>
      <c r="W1539" s="13" t="str">
        <f>TEXT(Table1[[#This Row],[Order Date]],"mmmm")</f>
        <v>January</v>
      </c>
      <c r="X1539" s="7" t="str">
        <f>TEXT(Table1[[#This Row],[Order Date]],"yyyy")</f>
        <v>2015</v>
      </c>
      <c r="Y1539" s="9">
        <v>42020</v>
      </c>
      <c r="Z1539" s="1">
        <v>-74.64</v>
      </c>
      <c r="AA1539" s="1">
        <v>1</v>
      </c>
      <c r="AB1539" s="1">
        <v>31.96</v>
      </c>
      <c r="AC1539" s="1">
        <v>88702</v>
      </c>
      <c r="AD1539" s="6" t="str">
        <f>IF(COUNTIF(Returns!$A$2:$A$1635,Orders!AC1539)&gt;0,"Returned","Not Returned")</f>
        <v>Not Returned</v>
      </c>
    </row>
    <row r="1540" spans="1:30" ht="12.75" customHeight="1" thickTop="1" thickBot="1" x14ac:dyDescent="0.25">
      <c r="A1540" s="10">
        <v>21863</v>
      </c>
      <c r="B1540" s="11" t="s">
        <v>47</v>
      </c>
      <c r="C1540" s="11">
        <v>0.1</v>
      </c>
      <c r="D1540" s="11">
        <v>6.74</v>
      </c>
      <c r="E1540" s="11">
        <v>1.72</v>
      </c>
      <c r="F1540" s="11">
        <v>2718</v>
      </c>
      <c r="G1540" s="6" t="str">
        <f>IF(COUNTIF(Table1[Customer ID],Table1[[#This Row],[Customer ID]])&gt;1,"Repeat Customer","One-Time Customer")</f>
        <v>One-Time Customer</v>
      </c>
      <c r="H1540" s="11" t="s">
        <v>2511</v>
      </c>
      <c r="I1540" s="11" t="s">
        <v>49</v>
      </c>
      <c r="J1540" s="11" t="s">
        <v>114</v>
      </c>
      <c r="K1540" s="11" t="s">
        <v>29</v>
      </c>
      <c r="L1540" s="11" t="s">
        <v>93</v>
      </c>
      <c r="M1540" s="11" t="s">
        <v>31</v>
      </c>
      <c r="N1540" s="11" t="s">
        <v>2512</v>
      </c>
      <c r="O1540" s="11">
        <v>0.35</v>
      </c>
      <c r="P1540" s="6">
        <f>Table1[[#This Row],[Profit]]/Table1[[#This Row],[Sales]]</f>
        <v>0.66629316491799939</v>
      </c>
      <c r="Q1540" s="11" t="s">
        <v>33</v>
      </c>
      <c r="R1540" s="11" t="s">
        <v>61</v>
      </c>
      <c r="S1540" s="11" t="s">
        <v>178</v>
      </c>
      <c r="T1540" s="11" t="s">
        <v>2510</v>
      </c>
      <c r="U1540" s="11">
        <v>60438</v>
      </c>
      <c r="V1540" s="12">
        <v>42064</v>
      </c>
      <c r="W1540" s="13" t="str">
        <f>TEXT(Table1[[#This Row],[Order Date]],"mmmm")</f>
        <v>March</v>
      </c>
      <c r="X1540" s="7" t="str">
        <f>TEXT(Table1[[#This Row],[Order Date]],"yyyy")</f>
        <v>2015</v>
      </c>
      <c r="Y1540" s="12">
        <v>42066</v>
      </c>
      <c r="Z1540" s="11">
        <v>65.41</v>
      </c>
      <c r="AA1540" s="11">
        <v>15</v>
      </c>
      <c r="AB1540" s="11">
        <v>98.17</v>
      </c>
      <c r="AC1540" s="11">
        <v>89394</v>
      </c>
      <c r="AD1540" s="6" t="str">
        <f>IF(COUNTIF(Returns!$A$2:$A$1635,Orders!AC1540)&gt;0,"Returned","Not Returned")</f>
        <v>Not Returned</v>
      </c>
    </row>
    <row r="1541" spans="1:30" ht="12.75" customHeight="1" thickTop="1" thickBot="1" x14ac:dyDescent="0.25">
      <c r="A1541" s="8">
        <v>21399</v>
      </c>
      <c r="B1541" s="1" t="s">
        <v>47</v>
      </c>
      <c r="C1541" s="1">
        <v>0</v>
      </c>
      <c r="D1541" s="1">
        <v>40.479999999999997</v>
      </c>
      <c r="E1541" s="1">
        <v>19.989999999999998</v>
      </c>
      <c r="F1541" s="1">
        <v>2720</v>
      </c>
      <c r="G1541" s="6" t="str">
        <f>IF(COUNTIF(Table1[Customer ID],Table1[[#This Row],[Customer ID]])&gt;1,"Repeat Customer","One-Time Customer")</f>
        <v>One-Time Customer</v>
      </c>
      <c r="H1541" s="1" t="s">
        <v>2513</v>
      </c>
      <c r="I1541" s="1" t="s">
        <v>49</v>
      </c>
      <c r="J1541" s="1" t="s">
        <v>58</v>
      </c>
      <c r="K1541" s="1" t="s">
        <v>77</v>
      </c>
      <c r="L1541" s="1" t="s">
        <v>180</v>
      </c>
      <c r="M1541" s="1" t="s">
        <v>59</v>
      </c>
      <c r="N1541" s="1" t="s">
        <v>830</v>
      </c>
      <c r="O1541" s="1">
        <v>0.77</v>
      </c>
      <c r="P1541" s="6">
        <f>Table1[[#This Row],[Profit]]/Table1[[#This Row],[Sales]]</f>
        <v>-9.6750330250990765E-2</v>
      </c>
      <c r="Q1541" s="1" t="s">
        <v>33</v>
      </c>
      <c r="R1541" s="1" t="s">
        <v>136</v>
      </c>
      <c r="S1541" s="1" t="s">
        <v>387</v>
      </c>
      <c r="T1541" s="1" t="s">
        <v>2514</v>
      </c>
      <c r="U1541" s="1">
        <v>30721</v>
      </c>
      <c r="V1541" s="9">
        <v>42171</v>
      </c>
      <c r="W1541" s="13" t="str">
        <f>TEXT(Table1[[#This Row],[Order Date]],"mmmm")</f>
        <v>June</v>
      </c>
      <c r="X1541" s="7" t="str">
        <f>TEXT(Table1[[#This Row],[Order Date]],"yyyy")</f>
        <v>2015</v>
      </c>
      <c r="Y1541" s="9">
        <v>42172</v>
      </c>
      <c r="Z1541" s="1">
        <v>-25.634</v>
      </c>
      <c r="AA1541" s="1">
        <v>6</v>
      </c>
      <c r="AB1541" s="1">
        <v>264.95</v>
      </c>
      <c r="AC1541" s="1">
        <v>88766</v>
      </c>
      <c r="AD1541" s="6" t="str">
        <f>IF(COUNTIF(Returns!$A$2:$A$1635,Orders!AC1541)&gt;0,"Returned","Not Returned")</f>
        <v>Not Returned</v>
      </c>
    </row>
    <row r="1542" spans="1:30" ht="12.75" customHeight="1" thickTop="1" thickBot="1" x14ac:dyDescent="0.25">
      <c r="A1542" s="10">
        <v>19907</v>
      </c>
      <c r="B1542" s="11" t="s">
        <v>47</v>
      </c>
      <c r="C1542" s="11">
        <v>0.06</v>
      </c>
      <c r="D1542" s="11">
        <v>4.9800000000000004</v>
      </c>
      <c r="E1542" s="11">
        <v>7.44</v>
      </c>
      <c r="F1542" s="11">
        <v>2724</v>
      </c>
      <c r="G1542" s="6" t="str">
        <f>IF(COUNTIF(Table1[Customer ID],Table1[[#This Row],[Customer ID]])&gt;1,"Repeat Customer","One-Time Customer")</f>
        <v>Repeat Customer</v>
      </c>
      <c r="H1542" s="11" t="s">
        <v>2515</v>
      </c>
      <c r="I1542" s="11" t="s">
        <v>49</v>
      </c>
      <c r="J1542" s="11" t="s">
        <v>40</v>
      </c>
      <c r="K1542" s="11" t="s">
        <v>29</v>
      </c>
      <c r="L1542" s="11" t="s">
        <v>93</v>
      </c>
      <c r="M1542" s="11" t="s">
        <v>59</v>
      </c>
      <c r="N1542" s="11" t="s">
        <v>384</v>
      </c>
      <c r="O1542" s="11">
        <v>0.36</v>
      </c>
      <c r="P1542" s="6">
        <f>Table1[[#This Row],[Profit]]/Table1[[#This Row],[Sales]]</f>
        <v>-0.70591993986092838</v>
      </c>
      <c r="Q1542" s="11" t="s">
        <v>33</v>
      </c>
      <c r="R1542" s="11" t="s">
        <v>136</v>
      </c>
      <c r="S1542" s="11" t="s">
        <v>244</v>
      </c>
      <c r="T1542" s="11" t="s">
        <v>2516</v>
      </c>
      <c r="U1542" s="11">
        <v>37421</v>
      </c>
      <c r="V1542" s="12">
        <v>42125</v>
      </c>
      <c r="W1542" s="13" t="str">
        <f>TEXT(Table1[[#This Row],[Order Date]],"mmmm")</f>
        <v>May</v>
      </c>
      <c r="X1542" s="7" t="str">
        <f>TEXT(Table1[[#This Row],[Order Date]],"yyyy")</f>
        <v>2015</v>
      </c>
      <c r="Y1542" s="12">
        <v>42126</v>
      </c>
      <c r="Z1542" s="11">
        <v>-37.561999999999998</v>
      </c>
      <c r="AA1542" s="11">
        <v>10</v>
      </c>
      <c r="AB1542" s="11">
        <v>53.21</v>
      </c>
      <c r="AC1542" s="11">
        <v>88959</v>
      </c>
      <c r="AD1542" s="6" t="str">
        <f>IF(COUNTIF(Returns!$A$2:$A$1635,Orders!AC1542)&gt;0,"Returned","Not Returned")</f>
        <v>Not Returned</v>
      </c>
    </row>
    <row r="1543" spans="1:30" ht="12.75" customHeight="1" thickTop="1" thickBot="1" x14ac:dyDescent="0.25">
      <c r="A1543" s="8">
        <v>19908</v>
      </c>
      <c r="B1543" s="1" t="s">
        <v>47</v>
      </c>
      <c r="C1543" s="1">
        <v>0.01</v>
      </c>
      <c r="D1543" s="1">
        <v>6.48</v>
      </c>
      <c r="E1543" s="1">
        <v>7.37</v>
      </c>
      <c r="F1543" s="1">
        <v>2724</v>
      </c>
      <c r="G1543" s="6" t="str">
        <f>IF(COUNTIF(Table1[Customer ID],Table1[[#This Row],[Customer ID]])&gt;1,"Repeat Customer","One-Time Customer")</f>
        <v>Repeat Customer</v>
      </c>
      <c r="H1543" s="1" t="s">
        <v>2515</v>
      </c>
      <c r="I1543" s="1" t="s">
        <v>49</v>
      </c>
      <c r="J1543" s="1" t="s">
        <v>40</v>
      </c>
      <c r="K1543" s="1" t="s">
        <v>29</v>
      </c>
      <c r="L1543" s="1" t="s">
        <v>93</v>
      </c>
      <c r="M1543" s="1" t="s">
        <v>59</v>
      </c>
      <c r="N1543" s="1" t="s">
        <v>714</v>
      </c>
      <c r="O1543" s="1">
        <v>0.37</v>
      </c>
      <c r="P1543" s="6">
        <f>Table1[[#This Row],[Profit]]/Table1[[#This Row],[Sales]]</f>
        <v>-3.66200325732899</v>
      </c>
      <c r="Q1543" s="1" t="s">
        <v>33</v>
      </c>
      <c r="R1543" s="1" t="s">
        <v>136</v>
      </c>
      <c r="S1543" s="1" t="s">
        <v>244</v>
      </c>
      <c r="T1543" s="1" t="s">
        <v>2516</v>
      </c>
      <c r="U1543" s="1">
        <v>37421</v>
      </c>
      <c r="V1543" s="9">
        <v>42125</v>
      </c>
      <c r="W1543" s="13" t="str">
        <f>TEXT(Table1[[#This Row],[Order Date]],"mmmm")</f>
        <v>May</v>
      </c>
      <c r="X1543" s="7" t="str">
        <f>TEXT(Table1[[#This Row],[Order Date]],"yyyy")</f>
        <v>2015</v>
      </c>
      <c r="Y1543" s="9">
        <v>42127</v>
      </c>
      <c r="Z1543" s="1">
        <v>-449.69399999999996</v>
      </c>
      <c r="AA1543" s="1">
        <v>18</v>
      </c>
      <c r="AB1543" s="1">
        <v>122.8</v>
      </c>
      <c r="AC1543" s="1">
        <v>88959</v>
      </c>
      <c r="AD1543" s="6" t="str">
        <f>IF(COUNTIF(Returns!$A$2:$A$1635,Orders!AC1543)&gt;0,"Returned","Not Returned")</f>
        <v>Not Returned</v>
      </c>
    </row>
    <row r="1544" spans="1:30" ht="12.75" customHeight="1" thickTop="1" thickBot="1" x14ac:dyDescent="0.25">
      <c r="A1544" s="10">
        <v>22612</v>
      </c>
      <c r="B1544" s="11" t="s">
        <v>37</v>
      </c>
      <c r="C1544" s="11">
        <v>0.05</v>
      </c>
      <c r="D1544" s="11">
        <v>28.15</v>
      </c>
      <c r="E1544" s="11">
        <v>6.17</v>
      </c>
      <c r="F1544" s="11">
        <v>2725</v>
      </c>
      <c r="G1544" s="6" t="str">
        <f>IF(COUNTIF(Table1[Customer ID],Table1[[#This Row],[Customer ID]])&gt;1,"Repeat Customer","One-Time Customer")</f>
        <v>One-Time Customer</v>
      </c>
      <c r="H1544" s="11" t="s">
        <v>2517</v>
      </c>
      <c r="I1544" s="11" t="s">
        <v>49</v>
      </c>
      <c r="J1544" s="11" t="s">
        <v>40</v>
      </c>
      <c r="K1544" s="11" t="s">
        <v>29</v>
      </c>
      <c r="L1544" s="11" t="s">
        <v>30</v>
      </c>
      <c r="M1544" s="11" t="s">
        <v>51</v>
      </c>
      <c r="N1544" s="11" t="s">
        <v>2337</v>
      </c>
      <c r="O1544" s="11">
        <v>0.55000000000000004</v>
      </c>
      <c r="P1544" s="6">
        <f>Table1[[#This Row],[Profit]]/Table1[[#This Row],[Sales]]</f>
        <v>-0.23460585027268221</v>
      </c>
      <c r="Q1544" s="11" t="s">
        <v>33</v>
      </c>
      <c r="R1544" s="11" t="s">
        <v>136</v>
      </c>
      <c r="S1544" s="11" t="s">
        <v>244</v>
      </c>
      <c r="T1544" s="11" t="s">
        <v>2518</v>
      </c>
      <c r="U1544" s="11">
        <v>37042</v>
      </c>
      <c r="V1544" s="12">
        <v>42021</v>
      </c>
      <c r="W1544" s="13" t="str">
        <f>TEXT(Table1[[#This Row],[Order Date]],"mmmm")</f>
        <v>January</v>
      </c>
      <c r="X1544" s="7" t="str">
        <f>TEXT(Table1[[#This Row],[Order Date]],"yyyy")</f>
        <v>2015</v>
      </c>
      <c r="Y1544" s="12">
        <v>42022</v>
      </c>
      <c r="Z1544" s="11">
        <v>-66.248000000000005</v>
      </c>
      <c r="AA1544" s="11">
        <v>10</v>
      </c>
      <c r="AB1544" s="11">
        <v>282.38</v>
      </c>
      <c r="AC1544" s="11">
        <v>88958</v>
      </c>
      <c r="AD1544" s="6" t="str">
        <f>IF(COUNTIF(Returns!$A$2:$A$1635,Orders!AC1544)&gt;0,"Returned","Not Returned")</f>
        <v>Not Returned</v>
      </c>
    </row>
    <row r="1545" spans="1:30" ht="12.75" customHeight="1" thickTop="1" thickBot="1" x14ac:dyDescent="0.25">
      <c r="A1545" s="8">
        <v>21422</v>
      </c>
      <c r="B1545" s="1" t="s">
        <v>106</v>
      </c>
      <c r="C1545" s="1">
        <v>0.08</v>
      </c>
      <c r="D1545" s="1">
        <v>230.98</v>
      </c>
      <c r="E1545" s="1">
        <v>23.78</v>
      </c>
      <c r="F1545" s="1">
        <v>2729</v>
      </c>
      <c r="G1545" s="6" t="str">
        <f>IF(COUNTIF(Table1[Customer ID],Table1[[#This Row],[Customer ID]])&gt;1,"Repeat Customer","One-Time Customer")</f>
        <v>One-Time Customer</v>
      </c>
      <c r="H1545" s="1" t="s">
        <v>2519</v>
      </c>
      <c r="I1545" s="1" t="s">
        <v>39</v>
      </c>
      <c r="J1545" s="1" t="s">
        <v>114</v>
      </c>
      <c r="K1545" s="1" t="s">
        <v>41</v>
      </c>
      <c r="L1545" s="1" t="s">
        <v>152</v>
      </c>
      <c r="M1545" s="1" t="s">
        <v>121</v>
      </c>
      <c r="N1545" s="1" t="s">
        <v>825</v>
      </c>
      <c r="O1545" s="1">
        <v>0.6</v>
      </c>
      <c r="P1545" s="6">
        <f>Table1[[#This Row],[Profit]]/Table1[[#This Row],[Sales]]</f>
        <v>0.54248486159169551</v>
      </c>
      <c r="Q1545" s="1" t="s">
        <v>33</v>
      </c>
      <c r="R1545" s="1" t="s">
        <v>34</v>
      </c>
      <c r="S1545" s="1" t="s">
        <v>35</v>
      </c>
      <c r="T1545" s="1" t="s">
        <v>566</v>
      </c>
      <c r="U1545" s="1">
        <v>98226</v>
      </c>
      <c r="V1545" s="9">
        <v>42069</v>
      </c>
      <c r="W1545" s="13" t="str">
        <f>TEXT(Table1[[#This Row],[Order Date]],"mmmm")</f>
        <v>March</v>
      </c>
      <c r="X1545" s="7" t="str">
        <f>TEXT(Table1[[#This Row],[Order Date]],"yyyy")</f>
        <v>2015</v>
      </c>
      <c r="Y1545" s="9">
        <v>42073</v>
      </c>
      <c r="Z1545" s="1">
        <v>501.69</v>
      </c>
      <c r="AA1545" s="1">
        <v>4</v>
      </c>
      <c r="AB1545" s="1">
        <v>924.8</v>
      </c>
      <c r="AC1545" s="1">
        <v>88114</v>
      </c>
      <c r="AD1545" s="6" t="str">
        <f>IF(COUNTIF(Returns!$A$2:$A$1635,Orders!AC1545)&gt;0,"Returned","Not Returned")</f>
        <v>Not Returned</v>
      </c>
    </row>
    <row r="1546" spans="1:30" ht="12.75" customHeight="1" thickTop="1" thickBot="1" x14ac:dyDescent="0.25">
      <c r="A1546" s="10">
        <v>19819</v>
      </c>
      <c r="B1546" s="11" t="s">
        <v>37</v>
      </c>
      <c r="C1546" s="11">
        <v>0.05</v>
      </c>
      <c r="D1546" s="11">
        <v>100.98</v>
      </c>
      <c r="E1546" s="11">
        <v>7.18</v>
      </c>
      <c r="F1546" s="11">
        <v>2737</v>
      </c>
      <c r="G1546" s="6" t="str">
        <f>IF(COUNTIF(Table1[Customer ID],Table1[[#This Row],[Customer ID]])&gt;1,"Repeat Customer","One-Time Customer")</f>
        <v>Repeat Customer</v>
      </c>
      <c r="H1546" s="11" t="s">
        <v>2520</v>
      </c>
      <c r="I1546" s="11" t="s">
        <v>49</v>
      </c>
      <c r="J1546" s="11" t="s">
        <v>58</v>
      </c>
      <c r="K1546" s="11" t="s">
        <v>77</v>
      </c>
      <c r="L1546" s="11" t="s">
        <v>180</v>
      </c>
      <c r="M1546" s="11" t="s">
        <v>59</v>
      </c>
      <c r="N1546" s="11" t="s">
        <v>2275</v>
      </c>
      <c r="O1546" s="11">
        <v>0.4</v>
      </c>
      <c r="P1546" s="6">
        <f>Table1[[#This Row],[Profit]]/Table1[[#This Row],[Sales]]</f>
        <v>0.69</v>
      </c>
      <c r="Q1546" s="11" t="s">
        <v>33</v>
      </c>
      <c r="R1546" s="11" t="s">
        <v>53</v>
      </c>
      <c r="S1546" s="11" t="s">
        <v>149</v>
      </c>
      <c r="T1546" s="11" t="s">
        <v>739</v>
      </c>
      <c r="U1546" s="11">
        <v>5701</v>
      </c>
      <c r="V1546" s="12">
        <v>42116</v>
      </c>
      <c r="W1546" s="13" t="str">
        <f>TEXT(Table1[[#This Row],[Order Date]],"mmmm")</f>
        <v>April</v>
      </c>
      <c r="X1546" s="7" t="str">
        <f>TEXT(Table1[[#This Row],[Order Date]],"yyyy")</f>
        <v>2015</v>
      </c>
      <c r="Y1546" s="12">
        <v>42118</v>
      </c>
      <c r="Z1546" s="11">
        <v>566.6072999999999</v>
      </c>
      <c r="AA1546" s="11">
        <v>8</v>
      </c>
      <c r="AB1546" s="11">
        <v>821.17</v>
      </c>
      <c r="AC1546" s="11">
        <v>89018</v>
      </c>
      <c r="AD1546" s="6" t="str">
        <f>IF(COUNTIF(Returns!$A$2:$A$1635,Orders!AC1546)&gt;0,"Returned","Not Returned")</f>
        <v>Not Returned</v>
      </c>
    </row>
    <row r="1547" spans="1:30" ht="12.75" customHeight="1" thickTop="1" thickBot="1" x14ac:dyDescent="0.25">
      <c r="A1547" s="8">
        <v>18790</v>
      </c>
      <c r="B1547" s="1" t="s">
        <v>56</v>
      </c>
      <c r="C1547" s="1">
        <v>0.03</v>
      </c>
      <c r="D1547" s="1">
        <v>15.31</v>
      </c>
      <c r="E1547" s="1">
        <v>8.7799999999999994</v>
      </c>
      <c r="F1547" s="1">
        <v>2737</v>
      </c>
      <c r="G1547" s="6" t="str">
        <f>IF(COUNTIF(Table1[Customer ID],Table1[[#This Row],[Customer ID]])&gt;1,"Repeat Customer","One-Time Customer")</f>
        <v>Repeat Customer</v>
      </c>
      <c r="H1547" s="1" t="s">
        <v>2520</v>
      </c>
      <c r="I1547" s="1" t="s">
        <v>49</v>
      </c>
      <c r="J1547" s="1" t="s">
        <v>58</v>
      </c>
      <c r="K1547" s="1" t="s">
        <v>29</v>
      </c>
      <c r="L1547" s="1" t="s">
        <v>141</v>
      </c>
      <c r="M1547" s="1" t="s">
        <v>59</v>
      </c>
      <c r="N1547" s="1" t="s">
        <v>1928</v>
      </c>
      <c r="O1547" s="1">
        <v>0.56999999999999995</v>
      </c>
      <c r="P1547" s="6">
        <f>Table1[[#This Row],[Profit]]/Table1[[#This Row],[Sales]]</f>
        <v>-0.29657873042044519</v>
      </c>
      <c r="Q1547" s="1" t="s">
        <v>33</v>
      </c>
      <c r="R1547" s="1" t="s">
        <v>53</v>
      </c>
      <c r="S1547" s="1" t="s">
        <v>149</v>
      </c>
      <c r="T1547" s="1" t="s">
        <v>739</v>
      </c>
      <c r="U1547" s="1">
        <v>5701</v>
      </c>
      <c r="V1547" s="9">
        <v>42156</v>
      </c>
      <c r="W1547" s="13" t="str">
        <f>TEXT(Table1[[#This Row],[Order Date]],"mmmm")</f>
        <v>June</v>
      </c>
      <c r="X1547" s="7" t="str">
        <f>TEXT(Table1[[#This Row],[Order Date]],"yyyy")</f>
        <v>2015</v>
      </c>
      <c r="Y1547" s="9">
        <v>42157</v>
      </c>
      <c r="Z1547" s="1">
        <v>-57.56</v>
      </c>
      <c r="AA1547" s="1">
        <v>12</v>
      </c>
      <c r="AB1547" s="1">
        <v>194.08</v>
      </c>
      <c r="AC1547" s="1">
        <v>89019</v>
      </c>
      <c r="AD1547" s="6" t="str">
        <f>IF(COUNTIF(Returns!$A$2:$A$1635,Orders!AC1547)&gt;0,"Returned","Not Returned")</f>
        <v>Not Returned</v>
      </c>
    </row>
    <row r="1548" spans="1:30" ht="12.75" customHeight="1" thickTop="1" thickBot="1" x14ac:dyDescent="0.25">
      <c r="A1548" s="10">
        <v>24278</v>
      </c>
      <c r="B1548" s="11" t="s">
        <v>47</v>
      </c>
      <c r="C1548" s="11">
        <v>0.02</v>
      </c>
      <c r="D1548" s="11">
        <v>33.979999999999997</v>
      </c>
      <c r="E1548" s="11">
        <v>1.99</v>
      </c>
      <c r="F1548" s="11">
        <v>2738</v>
      </c>
      <c r="G1548" s="6" t="str">
        <f>IF(COUNTIF(Table1[Customer ID],Table1[[#This Row],[Customer ID]])&gt;1,"Repeat Customer","One-Time Customer")</f>
        <v>One-Time Customer</v>
      </c>
      <c r="H1548" s="11" t="s">
        <v>2521</v>
      </c>
      <c r="I1548" s="11" t="s">
        <v>49</v>
      </c>
      <c r="J1548" s="11" t="s">
        <v>58</v>
      </c>
      <c r="K1548" s="11" t="s">
        <v>77</v>
      </c>
      <c r="L1548" s="11" t="s">
        <v>180</v>
      </c>
      <c r="M1548" s="11" t="s">
        <v>51</v>
      </c>
      <c r="N1548" s="11" t="s">
        <v>2522</v>
      </c>
      <c r="O1548" s="11">
        <v>0.45</v>
      </c>
      <c r="P1548" s="6">
        <f>Table1[[#This Row],[Profit]]/Table1[[#This Row],[Sales]]</f>
        <v>0.69</v>
      </c>
      <c r="Q1548" s="11" t="s">
        <v>33</v>
      </c>
      <c r="R1548" s="11" t="s">
        <v>53</v>
      </c>
      <c r="S1548" s="11" t="s">
        <v>149</v>
      </c>
      <c r="T1548" s="11" t="s">
        <v>778</v>
      </c>
      <c r="U1548" s="11">
        <v>5403</v>
      </c>
      <c r="V1548" s="12">
        <v>42107</v>
      </c>
      <c r="W1548" s="13" t="str">
        <f>TEXT(Table1[[#This Row],[Order Date]],"mmmm")</f>
        <v>April</v>
      </c>
      <c r="X1548" s="7" t="str">
        <f>TEXT(Table1[[#This Row],[Order Date]],"yyyy")</f>
        <v>2015</v>
      </c>
      <c r="Y1548" s="12">
        <v>42109</v>
      </c>
      <c r="Z1548" s="11">
        <v>164.06129999999999</v>
      </c>
      <c r="AA1548" s="11">
        <v>7</v>
      </c>
      <c r="AB1548" s="11">
        <v>237.77</v>
      </c>
      <c r="AC1548" s="11">
        <v>89017</v>
      </c>
      <c r="AD1548" s="6" t="str">
        <f>IF(COUNTIF(Returns!$A$2:$A$1635,Orders!AC1548)&gt;0,"Returned","Not Returned")</f>
        <v>Not Returned</v>
      </c>
    </row>
    <row r="1549" spans="1:30" ht="12.75" customHeight="1" thickTop="1" thickBot="1" x14ac:dyDescent="0.25">
      <c r="A1549" s="8">
        <v>19987</v>
      </c>
      <c r="B1549" s="1" t="s">
        <v>106</v>
      </c>
      <c r="C1549" s="1">
        <v>0.01</v>
      </c>
      <c r="D1549" s="1">
        <v>35.99</v>
      </c>
      <c r="E1549" s="1">
        <v>5.99</v>
      </c>
      <c r="F1549" s="1">
        <v>2741</v>
      </c>
      <c r="G1549" s="6" t="str">
        <f>IF(COUNTIF(Table1[Customer ID],Table1[[#This Row],[Customer ID]])&gt;1,"Repeat Customer","One-Time Customer")</f>
        <v>One-Time Customer</v>
      </c>
      <c r="H1549" s="1" t="s">
        <v>2523</v>
      </c>
      <c r="I1549" s="1" t="s">
        <v>49</v>
      </c>
      <c r="J1549" s="1" t="s">
        <v>58</v>
      </c>
      <c r="K1549" s="1" t="s">
        <v>77</v>
      </c>
      <c r="L1549" s="1" t="s">
        <v>78</v>
      </c>
      <c r="M1549" s="1" t="s">
        <v>31</v>
      </c>
      <c r="N1549" s="1" t="s">
        <v>981</v>
      </c>
      <c r="O1549" s="1">
        <v>0.38</v>
      </c>
      <c r="P1549" s="6">
        <f>Table1[[#This Row],[Profit]]/Table1[[#This Row],[Sales]]</f>
        <v>0.69</v>
      </c>
      <c r="Q1549" s="1" t="s">
        <v>33</v>
      </c>
      <c r="R1549" s="1" t="s">
        <v>34</v>
      </c>
      <c r="S1549" s="1" t="s">
        <v>1741</v>
      </c>
      <c r="T1549" s="1" t="s">
        <v>2524</v>
      </c>
      <c r="U1549" s="1">
        <v>83605</v>
      </c>
      <c r="V1549" s="9">
        <v>42075</v>
      </c>
      <c r="W1549" s="13" t="str">
        <f>TEXT(Table1[[#This Row],[Order Date]],"mmmm")</f>
        <v>March</v>
      </c>
      <c r="X1549" s="7" t="str">
        <f>TEXT(Table1[[#This Row],[Order Date]],"yyyy")</f>
        <v>2015</v>
      </c>
      <c r="Y1549" s="9">
        <v>42082</v>
      </c>
      <c r="Z1549" s="1">
        <v>218.23319999999995</v>
      </c>
      <c r="AA1549" s="1">
        <v>10</v>
      </c>
      <c r="AB1549" s="1">
        <v>316.27999999999997</v>
      </c>
      <c r="AC1549" s="1">
        <v>89481</v>
      </c>
      <c r="AD1549" s="6" t="str">
        <f>IF(COUNTIF(Returns!$A$2:$A$1635,Orders!AC1549)&gt;0,"Returned","Not Returned")</f>
        <v>Not Returned</v>
      </c>
    </row>
    <row r="1550" spans="1:30" ht="14.25" thickTop="1" thickBot="1" x14ac:dyDescent="0.25">
      <c r="A1550" s="10">
        <v>21323</v>
      </c>
      <c r="B1550" s="11" t="s">
        <v>56</v>
      </c>
      <c r="C1550" s="11">
        <v>0.01</v>
      </c>
      <c r="D1550" s="11">
        <v>220.98</v>
      </c>
      <c r="E1550" s="11">
        <v>64.66</v>
      </c>
      <c r="F1550" s="11">
        <v>2745</v>
      </c>
      <c r="G1550" s="6" t="str">
        <f>IF(COUNTIF(Table1[Customer ID],Table1[[#This Row],[Customer ID]])&gt;1,"Repeat Customer","One-Time Customer")</f>
        <v>One-Time Customer</v>
      </c>
      <c r="H1550" s="11" t="s">
        <v>2525</v>
      </c>
      <c r="I1550" s="11" t="s">
        <v>39</v>
      </c>
      <c r="J1550" s="11" t="s">
        <v>28</v>
      </c>
      <c r="K1550" s="11" t="s">
        <v>41</v>
      </c>
      <c r="L1550" s="11" t="s">
        <v>191</v>
      </c>
      <c r="M1550" s="11" t="s">
        <v>121</v>
      </c>
      <c r="N1550" s="11" t="s">
        <v>2526</v>
      </c>
      <c r="O1550" s="11">
        <v>0.62</v>
      </c>
      <c r="P1550" s="6">
        <f>Table1[[#This Row],[Profit]]/Table1[[#This Row],[Sales]]</f>
        <v>0.40486050272279228</v>
      </c>
      <c r="Q1550" s="11" t="s">
        <v>33</v>
      </c>
      <c r="R1550" s="11" t="s">
        <v>34</v>
      </c>
      <c r="S1550" s="11" t="s">
        <v>378</v>
      </c>
      <c r="T1550" s="11" t="s">
        <v>2527</v>
      </c>
      <c r="U1550" s="11">
        <v>85224</v>
      </c>
      <c r="V1550" s="12">
        <v>42081</v>
      </c>
      <c r="W1550" s="13" t="str">
        <f>TEXT(Table1[[#This Row],[Order Date]],"mmmm")</f>
        <v>March</v>
      </c>
      <c r="X1550" s="7" t="str">
        <f>TEXT(Table1[[#This Row],[Order Date]],"yyyy")</f>
        <v>2015</v>
      </c>
      <c r="Y1550" s="12">
        <v>42082</v>
      </c>
      <c r="Z1550" s="11">
        <v>1049.03</v>
      </c>
      <c r="AA1550" s="11">
        <v>11</v>
      </c>
      <c r="AB1550" s="11">
        <v>2591.09</v>
      </c>
      <c r="AC1550" s="11">
        <v>86184</v>
      </c>
      <c r="AD1550" s="6" t="str">
        <f>IF(COUNTIF(Returns!$A$2:$A$1635,Orders!AC1550)&gt;0,"Returned","Not Returned")</f>
        <v>Not Returned</v>
      </c>
    </row>
    <row r="1551" spans="1:30" ht="12.75" customHeight="1" thickTop="1" thickBot="1" x14ac:dyDescent="0.25">
      <c r="A1551" s="8">
        <v>4949</v>
      </c>
      <c r="B1551" s="1" t="s">
        <v>56</v>
      </c>
      <c r="C1551" s="1">
        <v>0.08</v>
      </c>
      <c r="D1551" s="1">
        <v>9.98</v>
      </c>
      <c r="E1551" s="1">
        <v>12.52</v>
      </c>
      <c r="F1551" s="1">
        <v>2747</v>
      </c>
      <c r="G1551" s="6" t="str">
        <f>IF(COUNTIF(Table1[Customer ID],Table1[[#This Row],[Customer ID]])&gt;1,"Repeat Customer","One-Time Customer")</f>
        <v>Repeat Customer</v>
      </c>
      <c r="H1551" s="1" t="s">
        <v>2528</v>
      </c>
      <c r="I1551" s="1" t="s">
        <v>49</v>
      </c>
      <c r="J1551" s="1" t="s">
        <v>28</v>
      </c>
      <c r="K1551" s="1" t="s">
        <v>41</v>
      </c>
      <c r="L1551" s="1" t="s">
        <v>50</v>
      </c>
      <c r="M1551" s="1" t="s">
        <v>59</v>
      </c>
      <c r="N1551" s="1" t="s">
        <v>2529</v>
      </c>
      <c r="O1551" s="1">
        <v>0.56999999999999995</v>
      </c>
      <c r="P1551" s="6">
        <f>Table1[[#This Row],[Profit]]/Table1[[#This Row],[Sales]]</f>
        <v>-0.68510383386581475</v>
      </c>
      <c r="Q1551" s="1" t="s">
        <v>33</v>
      </c>
      <c r="R1551" s="1" t="s">
        <v>53</v>
      </c>
      <c r="S1551" s="1" t="s">
        <v>71</v>
      </c>
      <c r="T1551" s="1" t="s">
        <v>90</v>
      </c>
      <c r="U1551" s="1">
        <v>10115</v>
      </c>
      <c r="V1551" s="9">
        <v>42040</v>
      </c>
      <c r="W1551" s="13" t="str">
        <f>TEXT(Table1[[#This Row],[Order Date]],"mmmm")</f>
        <v>February</v>
      </c>
      <c r="X1551" s="7" t="str">
        <f>TEXT(Table1[[#This Row],[Order Date]],"yyyy")</f>
        <v>2015</v>
      </c>
      <c r="Y1551" s="9">
        <v>42042</v>
      </c>
      <c r="Z1551" s="1">
        <v>-102.93</v>
      </c>
      <c r="AA1551" s="1">
        <v>15</v>
      </c>
      <c r="AB1551" s="1">
        <v>150.24</v>
      </c>
      <c r="AC1551" s="1">
        <v>35200</v>
      </c>
      <c r="AD1551" s="6" t="str">
        <f>IF(COUNTIF(Returns!$A$2:$A$1635,Orders!AC1551)&gt;0,"Returned","Not Returned")</f>
        <v>Not Returned</v>
      </c>
    </row>
    <row r="1552" spans="1:30" ht="12.75" customHeight="1" thickTop="1" thickBot="1" x14ac:dyDescent="0.25">
      <c r="A1552" s="10">
        <v>3323</v>
      </c>
      <c r="B1552" s="11" t="s">
        <v>56</v>
      </c>
      <c r="C1552" s="11">
        <v>0.01</v>
      </c>
      <c r="D1552" s="11">
        <v>220.98</v>
      </c>
      <c r="E1552" s="11">
        <v>64.66</v>
      </c>
      <c r="F1552" s="11">
        <v>2747</v>
      </c>
      <c r="G1552" s="6" t="str">
        <f>IF(COUNTIF(Table1[Customer ID],Table1[[#This Row],[Customer ID]])&gt;1,"Repeat Customer","One-Time Customer")</f>
        <v>Repeat Customer</v>
      </c>
      <c r="H1552" s="11" t="s">
        <v>2528</v>
      </c>
      <c r="I1552" s="11" t="s">
        <v>39</v>
      </c>
      <c r="J1552" s="11" t="s">
        <v>28</v>
      </c>
      <c r="K1552" s="11" t="s">
        <v>41</v>
      </c>
      <c r="L1552" s="11" t="s">
        <v>191</v>
      </c>
      <c r="M1552" s="11" t="s">
        <v>121</v>
      </c>
      <c r="N1552" s="11" t="s">
        <v>2526</v>
      </c>
      <c r="O1552" s="11">
        <v>0.62</v>
      </c>
      <c r="P1552" s="6">
        <f>Table1[[#This Row],[Profit]]/Table1[[#This Row],[Sales]]</f>
        <v>0.10121512568069807</v>
      </c>
      <c r="Q1552" s="11" t="s">
        <v>33</v>
      </c>
      <c r="R1552" s="11" t="s">
        <v>53</v>
      </c>
      <c r="S1552" s="11" t="s">
        <v>71</v>
      </c>
      <c r="T1552" s="11" t="s">
        <v>90</v>
      </c>
      <c r="U1552" s="11">
        <v>10115</v>
      </c>
      <c r="V1552" s="12">
        <v>42081</v>
      </c>
      <c r="W1552" s="13" t="str">
        <f>TEXT(Table1[[#This Row],[Order Date]],"mmmm")</f>
        <v>March</v>
      </c>
      <c r="X1552" s="7" t="str">
        <f>TEXT(Table1[[#This Row],[Order Date]],"yyyy")</f>
        <v>2015</v>
      </c>
      <c r="Y1552" s="12">
        <v>42082</v>
      </c>
      <c r="Z1552" s="11">
        <v>1049.03</v>
      </c>
      <c r="AA1552" s="11">
        <v>44</v>
      </c>
      <c r="AB1552" s="11">
        <v>10364.36</v>
      </c>
      <c r="AC1552" s="11">
        <v>23751</v>
      </c>
      <c r="AD1552" s="6" t="str">
        <f>IF(COUNTIF(Returns!$A$2:$A$1635,Orders!AC1552)&gt;0,"Returned","Not Returned")</f>
        <v>Not Returned</v>
      </c>
    </row>
    <row r="1553" spans="1:30" ht="12.75" customHeight="1" thickTop="1" thickBot="1" x14ac:dyDescent="0.25">
      <c r="A1553" s="8">
        <v>23271</v>
      </c>
      <c r="B1553" s="1" t="s">
        <v>47</v>
      </c>
      <c r="C1553" s="1">
        <v>0.02</v>
      </c>
      <c r="D1553" s="1">
        <v>161.55000000000001</v>
      </c>
      <c r="E1553" s="1">
        <v>19.989999999999998</v>
      </c>
      <c r="F1553" s="1">
        <v>2750</v>
      </c>
      <c r="G1553" s="6" t="str">
        <f>IF(COUNTIF(Table1[Customer ID],Table1[[#This Row],[Customer ID]])&gt;1,"Repeat Customer","One-Time Customer")</f>
        <v>One-Time Customer</v>
      </c>
      <c r="H1553" s="1" t="s">
        <v>2530</v>
      </c>
      <c r="I1553" s="1" t="s">
        <v>49</v>
      </c>
      <c r="J1553" s="1" t="s">
        <v>58</v>
      </c>
      <c r="K1553" s="1" t="s">
        <v>29</v>
      </c>
      <c r="L1553" s="1" t="s">
        <v>141</v>
      </c>
      <c r="M1553" s="1" t="s">
        <v>59</v>
      </c>
      <c r="N1553" s="1" t="s">
        <v>161</v>
      </c>
      <c r="O1553" s="1">
        <v>0.66</v>
      </c>
      <c r="P1553" s="6">
        <f>Table1[[#This Row],[Profit]]/Table1[[#This Row],[Sales]]</f>
        <v>1.0105047064369459</v>
      </c>
      <c r="Q1553" s="1" t="s">
        <v>33</v>
      </c>
      <c r="R1553" s="1" t="s">
        <v>136</v>
      </c>
      <c r="S1553" s="1" t="s">
        <v>137</v>
      </c>
      <c r="T1553" s="1" t="s">
        <v>2531</v>
      </c>
      <c r="U1553" s="1">
        <v>22980</v>
      </c>
      <c r="V1553" s="9">
        <v>42071</v>
      </c>
      <c r="W1553" s="13" t="str">
        <f>TEXT(Table1[[#This Row],[Order Date]],"mmmm")</f>
        <v>March</v>
      </c>
      <c r="X1553" s="7" t="str">
        <f>TEXT(Table1[[#This Row],[Order Date]],"yyyy")</f>
        <v>2015</v>
      </c>
      <c r="Y1553" s="9">
        <v>42071</v>
      </c>
      <c r="Z1553" s="1">
        <v>664.51800000000003</v>
      </c>
      <c r="AA1553" s="1">
        <v>4</v>
      </c>
      <c r="AB1553" s="1">
        <v>657.61</v>
      </c>
      <c r="AC1553" s="1">
        <v>91424</v>
      </c>
      <c r="AD1553" s="6" t="str">
        <f>IF(COUNTIF(Returns!$A$2:$A$1635,Orders!AC1553)&gt;0,"Returned","Not Returned")</f>
        <v>Not Returned</v>
      </c>
    </row>
    <row r="1554" spans="1:30" ht="12.75" customHeight="1" thickTop="1" thickBot="1" x14ac:dyDescent="0.25">
      <c r="A1554" s="10">
        <v>21630</v>
      </c>
      <c r="B1554" s="11" t="s">
        <v>56</v>
      </c>
      <c r="C1554" s="11">
        <v>0.08</v>
      </c>
      <c r="D1554" s="11">
        <v>22.01</v>
      </c>
      <c r="E1554" s="11">
        <v>5.53</v>
      </c>
      <c r="F1554" s="11">
        <v>2760</v>
      </c>
      <c r="G1554" s="6" t="str">
        <f>IF(COUNTIF(Table1[Customer ID],Table1[[#This Row],[Customer ID]])&gt;1,"Repeat Customer","One-Time Customer")</f>
        <v>One-Time Customer</v>
      </c>
      <c r="H1554" s="11" t="s">
        <v>2532</v>
      </c>
      <c r="I1554" s="11" t="s">
        <v>49</v>
      </c>
      <c r="J1554" s="11" t="s">
        <v>28</v>
      </c>
      <c r="K1554" s="11" t="s">
        <v>29</v>
      </c>
      <c r="L1554" s="11" t="s">
        <v>30</v>
      </c>
      <c r="M1554" s="11" t="s">
        <v>51</v>
      </c>
      <c r="N1554" s="11" t="s">
        <v>2051</v>
      </c>
      <c r="O1554" s="11">
        <v>0.59</v>
      </c>
      <c r="P1554" s="6">
        <f>Table1[[#This Row],[Profit]]/Table1[[#This Row],[Sales]]</f>
        <v>0.43683101210893915</v>
      </c>
      <c r="Q1554" s="11" t="s">
        <v>33</v>
      </c>
      <c r="R1554" s="11" t="s">
        <v>53</v>
      </c>
      <c r="S1554" s="11" t="s">
        <v>228</v>
      </c>
      <c r="T1554" s="11" t="s">
        <v>2533</v>
      </c>
      <c r="U1554" s="11">
        <v>6708</v>
      </c>
      <c r="V1554" s="12">
        <v>42116</v>
      </c>
      <c r="W1554" s="13" t="str">
        <f>TEXT(Table1[[#This Row],[Order Date]],"mmmm")</f>
        <v>April</v>
      </c>
      <c r="X1554" s="7" t="str">
        <f>TEXT(Table1[[#This Row],[Order Date]],"yyyy")</f>
        <v>2015</v>
      </c>
      <c r="Y1554" s="12">
        <v>42118</v>
      </c>
      <c r="Z1554" s="11">
        <v>105.7</v>
      </c>
      <c r="AA1554" s="11">
        <v>11</v>
      </c>
      <c r="AB1554" s="11">
        <v>241.97</v>
      </c>
      <c r="AC1554" s="11">
        <v>90724</v>
      </c>
      <c r="AD1554" s="6" t="str">
        <f>IF(COUNTIF(Returns!$A$2:$A$1635,Orders!AC1554)&gt;0,"Returned","Not Returned")</f>
        <v>Not Returned</v>
      </c>
    </row>
    <row r="1555" spans="1:30" ht="12.75" customHeight="1" thickTop="1" thickBot="1" x14ac:dyDescent="0.25">
      <c r="A1555" s="8">
        <v>21629</v>
      </c>
      <c r="B1555" s="1" t="s">
        <v>56</v>
      </c>
      <c r="C1555" s="1">
        <v>0.02</v>
      </c>
      <c r="D1555" s="1">
        <v>29.74</v>
      </c>
      <c r="E1555" s="1">
        <v>6.64</v>
      </c>
      <c r="F1555" s="1">
        <v>2764</v>
      </c>
      <c r="G1555" s="6" t="str">
        <f>IF(COUNTIF(Table1[Customer ID],Table1[[#This Row],[Customer ID]])&gt;1,"Repeat Customer","One-Time Customer")</f>
        <v>One-Time Customer</v>
      </c>
      <c r="H1555" s="1" t="s">
        <v>2534</v>
      </c>
      <c r="I1555" s="1" t="s">
        <v>49</v>
      </c>
      <c r="J1555" s="1" t="s">
        <v>28</v>
      </c>
      <c r="K1555" s="1" t="s">
        <v>29</v>
      </c>
      <c r="L1555" s="1" t="s">
        <v>141</v>
      </c>
      <c r="M1555" s="1" t="s">
        <v>59</v>
      </c>
      <c r="N1555" s="1" t="s">
        <v>2535</v>
      </c>
      <c r="O1555" s="1">
        <v>0.7</v>
      </c>
      <c r="P1555" s="6">
        <f>Table1[[#This Row],[Profit]]/Table1[[#This Row],[Sales]]</f>
        <v>-0.17432331760615841</v>
      </c>
      <c r="Q1555" s="1" t="s">
        <v>33</v>
      </c>
      <c r="R1555" s="1" t="s">
        <v>53</v>
      </c>
      <c r="S1555" s="1" t="s">
        <v>54</v>
      </c>
      <c r="T1555" s="1" t="s">
        <v>2426</v>
      </c>
      <c r="U1555" s="1">
        <v>7601</v>
      </c>
      <c r="V1555" s="9">
        <v>42116</v>
      </c>
      <c r="W1555" s="13" t="str">
        <f>TEXT(Table1[[#This Row],[Order Date]],"mmmm")</f>
        <v>April</v>
      </c>
      <c r="X1555" s="7" t="str">
        <f>TEXT(Table1[[#This Row],[Order Date]],"yyyy")</f>
        <v>2015</v>
      </c>
      <c r="Y1555" s="9">
        <v>42116</v>
      </c>
      <c r="Z1555" s="1">
        <v>-21.06</v>
      </c>
      <c r="AA1555" s="1">
        <v>4</v>
      </c>
      <c r="AB1555" s="1">
        <v>120.81</v>
      </c>
      <c r="AC1555" s="1">
        <v>90724</v>
      </c>
      <c r="AD1555" s="6" t="str">
        <f>IF(COUNTIF(Returns!$A$2:$A$1635,Orders!AC1555)&gt;0,"Returned","Not Returned")</f>
        <v>Not Returned</v>
      </c>
    </row>
    <row r="1556" spans="1:30" ht="12.75" customHeight="1" thickTop="1" thickBot="1" x14ac:dyDescent="0.25">
      <c r="A1556" s="10">
        <v>26156</v>
      </c>
      <c r="B1556" s="11" t="s">
        <v>106</v>
      </c>
      <c r="C1556" s="11">
        <v>0.03</v>
      </c>
      <c r="D1556" s="11">
        <v>5.85</v>
      </c>
      <c r="E1556" s="11">
        <v>2.27</v>
      </c>
      <c r="F1556" s="11">
        <v>2765</v>
      </c>
      <c r="G1556" s="6" t="str">
        <f>IF(COUNTIF(Table1[Customer ID],Table1[[#This Row],[Customer ID]])&gt;1,"Repeat Customer","One-Time Customer")</f>
        <v>One-Time Customer</v>
      </c>
      <c r="H1556" s="11" t="s">
        <v>2536</v>
      </c>
      <c r="I1556" s="11" t="s">
        <v>49</v>
      </c>
      <c r="J1556" s="11" t="s">
        <v>28</v>
      </c>
      <c r="K1556" s="11" t="s">
        <v>29</v>
      </c>
      <c r="L1556" s="11" t="s">
        <v>30</v>
      </c>
      <c r="M1556" s="11" t="s">
        <v>31</v>
      </c>
      <c r="N1556" s="11" t="s">
        <v>2537</v>
      </c>
      <c r="O1556" s="11">
        <v>0.56000000000000005</v>
      </c>
      <c r="P1556" s="6">
        <f>Table1[[#This Row],[Profit]]/Table1[[#This Row],[Sales]]</f>
        <v>-0.12270531400966184</v>
      </c>
      <c r="Q1556" s="11" t="s">
        <v>33</v>
      </c>
      <c r="R1556" s="11" t="s">
        <v>53</v>
      </c>
      <c r="S1556" s="11" t="s">
        <v>54</v>
      </c>
      <c r="T1556" s="11" t="s">
        <v>2538</v>
      </c>
      <c r="U1556" s="11">
        <v>8021</v>
      </c>
      <c r="V1556" s="12">
        <v>42152</v>
      </c>
      <c r="W1556" s="13" t="str">
        <f>TEXT(Table1[[#This Row],[Order Date]],"mmmm")</f>
        <v>May</v>
      </c>
      <c r="X1556" s="7" t="str">
        <f>TEXT(Table1[[#This Row],[Order Date]],"yyyy")</f>
        <v>2015</v>
      </c>
      <c r="Y1556" s="12">
        <v>42154</v>
      </c>
      <c r="Z1556" s="11">
        <v>-5.08</v>
      </c>
      <c r="AA1556" s="11">
        <v>7</v>
      </c>
      <c r="AB1556" s="11">
        <v>41.4</v>
      </c>
      <c r="AC1556" s="11">
        <v>90725</v>
      </c>
      <c r="AD1556" s="6" t="str">
        <f>IF(COUNTIF(Returns!$A$2:$A$1635,Orders!AC1556)&gt;0,"Returned","Not Returned")</f>
        <v>Not Returned</v>
      </c>
    </row>
    <row r="1557" spans="1:30" ht="12.75" customHeight="1" thickTop="1" thickBot="1" x14ac:dyDescent="0.25">
      <c r="A1557" s="8">
        <v>23342</v>
      </c>
      <c r="B1557" s="1" t="s">
        <v>47</v>
      </c>
      <c r="C1557" s="1">
        <v>0.02</v>
      </c>
      <c r="D1557" s="1">
        <v>11.55</v>
      </c>
      <c r="E1557" s="1">
        <v>2.36</v>
      </c>
      <c r="F1557" s="1">
        <v>2770</v>
      </c>
      <c r="G1557" s="6" t="str">
        <f>IF(COUNTIF(Table1[Customer ID],Table1[[#This Row],[Customer ID]])&gt;1,"Repeat Customer","One-Time Customer")</f>
        <v>One-Time Customer</v>
      </c>
      <c r="H1557" s="1" t="s">
        <v>2539</v>
      </c>
      <c r="I1557" s="1" t="s">
        <v>49</v>
      </c>
      <c r="J1557" s="1" t="s">
        <v>28</v>
      </c>
      <c r="K1557" s="1" t="s">
        <v>29</v>
      </c>
      <c r="L1557" s="1" t="s">
        <v>30</v>
      </c>
      <c r="M1557" s="1" t="s">
        <v>31</v>
      </c>
      <c r="N1557" s="1" t="s">
        <v>312</v>
      </c>
      <c r="O1557" s="1">
        <v>0.55000000000000004</v>
      </c>
      <c r="P1557" s="6">
        <f>Table1[[#This Row],[Profit]]/Table1[[#This Row],[Sales]]</f>
        <v>8.0823794897511423</v>
      </c>
      <c r="Q1557" s="1" t="s">
        <v>33</v>
      </c>
      <c r="R1557" s="1" t="s">
        <v>136</v>
      </c>
      <c r="S1557" s="1" t="s">
        <v>387</v>
      </c>
      <c r="T1557" s="1" t="s">
        <v>2540</v>
      </c>
      <c r="U1557" s="1">
        <v>30338</v>
      </c>
      <c r="V1557" s="9">
        <v>42071</v>
      </c>
      <c r="W1557" s="13" t="str">
        <f>TEXT(Table1[[#This Row],[Order Date]],"mmmm")</f>
        <v>March</v>
      </c>
      <c r="X1557" s="7" t="str">
        <f>TEXT(Table1[[#This Row],[Order Date]],"yyyy")</f>
        <v>2015</v>
      </c>
      <c r="Y1557" s="9">
        <v>42073</v>
      </c>
      <c r="Z1557" s="1">
        <v>1289.3819999999998</v>
      </c>
      <c r="AA1557" s="1">
        <v>14</v>
      </c>
      <c r="AB1557" s="1">
        <v>159.53</v>
      </c>
      <c r="AC1557" s="1">
        <v>88975</v>
      </c>
      <c r="AD1557" s="6" t="str">
        <f>IF(COUNTIF(Returns!$A$2:$A$1635,Orders!AC1557)&gt;0,"Returned","Not Returned")</f>
        <v>Not Returned</v>
      </c>
    </row>
    <row r="1558" spans="1:30" ht="12.75" customHeight="1" thickTop="1" thickBot="1" x14ac:dyDescent="0.25">
      <c r="A1558" s="10">
        <v>26157</v>
      </c>
      <c r="B1558" s="11" t="s">
        <v>25</v>
      </c>
      <c r="C1558" s="11">
        <v>7.0000000000000007E-2</v>
      </c>
      <c r="D1558" s="11">
        <v>177.98</v>
      </c>
      <c r="E1558" s="11">
        <v>0.99</v>
      </c>
      <c r="F1558" s="11">
        <v>2771</v>
      </c>
      <c r="G1558" s="6" t="str">
        <f>IF(COUNTIF(Table1[Customer ID],Table1[[#This Row],[Customer ID]])&gt;1,"Repeat Customer","One-Time Customer")</f>
        <v>One-Time Customer</v>
      </c>
      <c r="H1558" s="11" t="s">
        <v>2541</v>
      </c>
      <c r="I1558" s="11" t="s">
        <v>49</v>
      </c>
      <c r="J1558" s="11" t="s">
        <v>28</v>
      </c>
      <c r="K1558" s="11" t="s">
        <v>29</v>
      </c>
      <c r="L1558" s="11" t="s">
        <v>257</v>
      </c>
      <c r="M1558" s="11" t="s">
        <v>59</v>
      </c>
      <c r="N1558" s="11" t="s">
        <v>1496</v>
      </c>
      <c r="O1558" s="11">
        <v>0.56000000000000005</v>
      </c>
      <c r="P1558" s="6">
        <f>Table1[[#This Row],[Profit]]/Table1[[#This Row],[Sales]]</f>
        <v>-0.35717242536687244</v>
      </c>
      <c r="Q1558" s="11" t="s">
        <v>33</v>
      </c>
      <c r="R1558" s="11" t="s">
        <v>136</v>
      </c>
      <c r="S1558" s="11" t="s">
        <v>387</v>
      </c>
      <c r="T1558" s="11" t="s">
        <v>2542</v>
      </c>
      <c r="U1558" s="11">
        <v>30344</v>
      </c>
      <c r="V1558" s="12">
        <v>42168</v>
      </c>
      <c r="W1558" s="13" t="str">
        <f>TEXT(Table1[[#This Row],[Order Date]],"mmmm")</f>
        <v>June</v>
      </c>
      <c r="X1558" s="7" t="str">
        <f>TEXT(Table1[[#This Row],[Order Date]],"yyyy")</f>
        <v>2015</v>
      </c>
      <c r="Y1558" s="12">
        <v>42168</v>
      </c>
      <c r="Z1558" s="11">
        <v>-191.548</v>
      </c>
      <c r="AA1558" s="11">
        <v>3</v>
      </c>
      <c r="AB1558" s="11">
        <v>536.29</v>
      </c>
      <c r="AC1558" s="11">
        <v>88974</v>
      </c>
      <c r="AD1558" s="6" t="str">
        <f>IF(COUNTIF(Returns!$A$2:$A$1635,Orders!AC1558)&gt;0,"Returned","Not Returned")</f>
        <v>Not Returned</v>
      </c>
    </row>
    <row r="1559" spans="1:30" ht="12.75" customHeight="1" thickTop="1" thickBot="1" x14ac:dyDescent="0.25">
      <c r="A1559" s="8">
        <v>24523</v>
      </c>
      <c r="B1559" s="1" t="s">
        <v>37</v>
      </c>
      <c r="C1559" s="1">
        <v>0.1</v>
      </c>
      <c r="D1559" s="1">
        <v>5.18</v>
      </c>
      <c r="E1559" s="1">
        <v>5.74</v>
      </c>
      <c r="F1559" s="1">
        <v>2773</v>
      </c>
      <c r="G1559" s="6" t="str">
        <f>IF(COUNTIF(Table1[Customer ID],Table1[[#This Row],[Customer ID]])&gt;1,"Repeat Customer","One-Time Customer")</f>
        <v>One-Time Customer</v>
      </c>
      <c r="H1559" s="1" t="s">
        <v>2543</v>
      </c>
      <c r="I1559" s="1" t="s">
        <v>49</v>
      </c>
      <c r="J1559" s="1" t="s">
        <v>28</v>
      </c>
      <c r="K1559" s="1" t="s">
        <v>29</v>
      </c>
      <c r="L1559" s="1" t="s">
        <v>109</v>
      </c>
      <c r="M1559" s="1" t="s">
        <v>59</v>
      </c>
      <c r="N1559" s="1" t="s">
        <v>875</v>
      </c>
      <c r="O1559" s="1">
        <v>0.36</v>
      </c>
      <c r="P1559" s="6">
        <f>Table1[[#This Row],[Profit]]/Table1[[#This Row],[Sales]]</f>
        <v>-2.646259124087591</v>
      </c>
      <c r="Q1559" s="1" t="s">
        <v>33</v>
      </c>
      <c r="R1559" s="1" t="s">
        <v>34</v>
      </c>
      <c r="S1559" s="1" t="s">
        <v>45</v>
      </c>
      <c r="T1559" s="1" t="s">
        <v>1152</v>
      </c>
      <c r="U1559" s="1">
        <v>94568</v>
      </c>
      <c r="V1559" s="9">
        <v>42089</v>
      </c>
      <c r="W1559" s="13" t="str">
        <f>TEXT(Table1[[#This Row],[Order Date]],"mmmm")</f>
        <v>March</v>
      </c>
      <c r="X1559" s="7" t="str">
        <f>TEXT(Table1[[#This Row],[Order Date]],"yyyy")</f>
        <v>2015</v>
      </c>
      <c r="Y1559" s="9">
        <v>42091</v>
      </c>
      <c r="Z1559" s="1">
        <v>-29.003</v>
      </c>
      <c r="AA1559" s="1">
        <v>2</v>
      </c>
      <c r="AB1559" s="1">
        <v>10.96</v>
      </c>
      <c r="AC1559" s="1">
        <v>91584</v>
      </c>
      <c r="AD1559" s="6" t="str">
        <f>IF(COUNTIF(Returns!$A$2:$A$1635,Orders!AC1559)&gt;0,"Returned","Not Returned")</f>
        <v>Not Returned</v>
      </c>
    </row>
    <row r="1560" spans="1:30" ht="12.75" customHeight="1" thickTop="1" thickBot="1" x14ac:dyDescent="0.25">
      <c r="A1560" s="10">
        <v>20956</v>
      </c>
      <c r="B1560" s="11" t="s">
        <v>106</v>
      </c>
      <c r="C1560" s="11">
        <v>7.0000000000000007E-2</v>
      </c>
      <c r="D1560" s="11">
        <v>574.74</v>
      </c>
      <c r="E1560" s="11">
        <v>24.49</v>
      </c>
      <c r="F1560" s="11">
        <v>2775</v>
      </c>
      <c r="G1560" s="6" t="str">
        <f>IF(COUNTIF(Table1[Customer ID],Table1[[#This Row],[Customer ID]])&gt;1,"Repeat Customer","One-Time Customer")</f>
        <v>One-Time Customer</v>
      </c>
      <c r="H1560" s="11" t="s">
        <v>2544</v>
      </c>
      <c r="I1560" s="11" t="s">
        <v>49</v>
      </c>
      <c r="J1560" s="11" t="s">
        <v>114</v>
      </c>
      <c r="K1560" s="11" t="s">
        <v>77</v>
      </c>
      <c r="L1560" s="11" t="s">
        <v>85</v>
      </c>
      <c r="M1560" s="11" t="s">
        <v>236</v>
      </c>
      <c r="N1560" s="11" t="s">
        <v>269</v>
      </c>
      <c r="O1560" s="11">
        <v>0.37</v>
      </c>
      <c r="P1560" s="6">
        <f>Table1[[#This Row],[Profit]]/Table1[[#This Row],[Sales]]</f>
        <v>0.69</v>
      </c>
      <c r="Q1560" s="11" t="s">
        <v>33</v>
      </c>
      <c r="R1560" s="11" t="s">
        <v>61</v>
      </c>
      <c r="S1560" s="11" t="s">
        <v>178</v>
      </c>
      <c r="T1560" s="11" t="s">
        <v>2545</v>
      </c>
      <c r="U1560" s="11">
        <v>60131</v>
      </c>
      <c r="V1560" s="12">
        <v>42034</v>
      </c>
      <c r="W1560" s="13" t="str">
        <f>TEXT(Table1[[#This Row],[Order Date]],"mmmm")</f>
        <v>January</v>
      </c>
      <c r="X1560" s="7" t="str">
        <f>TEXT(Table1[[#This Row],[Order Date]],"yyyy")</f>
        <v>2015</v>
      </c>
      <c r="Y1560" s="12">
        <v>42039</v>
      </c>
      <c r="Z1560" s="11">
        <v>2860.9331999999995</v>
      </c>
      <c r="AA1560" s="11">
        <v>8</v>
      </c>
      <c r="AB1560" s="11">
        <v>4146.28</v>
      </c>
      <c r="AC1560" s="11">
        <v>91229</v>
      </c>
      <c r="AD1560" s="6" t="str">
        <f>IF(COUNTIF(Returns!$A$2:$A$1635,Orders!AC1560)&gt;0,"Returned","Not Returned")</f>
        <v>Not Returned</v>
      </c>
    </row>
    <row r="1561" spans="1:30" ht="12.75" customHeight="1" thickTop="1" thickBot="1" x14ac:dyDescent="0.25">
      <c r="A1561" s="8">
        <v>24122</v>
      </c>
      <c r="B1561" s="1" t="s">
        <v>47</v>
      </c>
      <c r="C1561" s="1">
        <v>0.03</v>
      </c>
      <c r="D1561" s="1">
        <v>350.98</v>
      </c>
      <c r="E1561" s="1">
        <v>30</v>
      </c>
      <c r="F1561" s="1">
        <v>2776</v>
      </c>
      <c r="G1561" s="6" t="str">
        <f>IF(COUNTIF(Table1[Customer ID],Table1[[#This Row],[Customer ID]])&gt;1,"Repeat Customer","One-Time Customer")</f>
        <v>Repeat Customer</v>
      </c>
      <c r="H1561" s="1" t="s">
        <v>2546</v>
      </c>
      <c r="I1561" s="1" t="s">
        <v>39</v>
      </c>
      <c r="J1561" s="1" t="s">
        <v>114</v>
      </c>
      <c r="K1561" s="1" t="s">
        <v>41</v>
      </c>
      <c r="L1561" s="1" t="s">
        <v>42</v>
      </c>
      <c r="M1561" s="1" t="s">
        <v>43</v>
      </c>
      <c r="N1561" s="1" t="s">
        <v>862</v>
      </c>
      <c r="O1561" s="1">
        <v>0.61</v>
      </c>
      <c r="P1561" s="6">
        <f>Table1[[#This Row],[Profit]]/Table1[[#This Row],[Sales]]</f>
        <v>0.69</v>
      </c>
      <c r="Q1561" s="1" t="s">
        <v>33</v>
      </c>
      <c r="R1561" s="1" t="s">
        <v>53</v>
      </c>
      <c r="S1561" s="1" t="s">
        <v>415</v>
      </c>
      <c r="T1561" s="1" t="s">
        <v>2547</v>
      </c>
      <c r="U1561" s="1">
        <v>20877</v>
      </c>
      <c r="V1561" s="9">
        <v>42016</v>
      </c>
      <c r="W1561" s="13" t="str">
        <f>TEXT(Table1[[#This Row],[Order Date]],"mmmm")</f>
        <v>January</v>
      </c>
      <c r="X1561" s="7" t="str">
        <f>TEXT(Table1[[#This Row],[Order Date]],"yyyy")</f>
        <v>2015</v>
      </c>
      <c r="Y1561" s="9">
        <v>42019</v>
      </c>
      <c r="Z1561" s="1">
        <v>2692.4420999999998</v>
      </c>
      <c r="AA1561" s="1">
        <v>11</v>
      </c>
      <c r="AB1561" s="1">
        <v>3902.09</v>
      </c>
      <c r="AC1561" s="1">
        <v>91228</v>
      </c>
      <c r="AD1561" s="6" t="str">
        <f>IF(COUNTIF(Returns!$A$2:$A$1635,Orders!AC1561)&gt;0,"Returned","Not Returned")</f>
        <v>Not Returned</v>
      </c>
    </row>
    <row r="1562" spans="1:30" ht="12.75" customHeight="1" thickTop="1" thickBot="1" x14ac:dyDescent="0.25">
      <c r="A1562" s="10">
        <v>24123</v>
      </c>
      <c r="B1562" s="11" t="s">
        <v>47</v>
      </c>
      <c r="C1562" s="11">
        <v>0.04</v>
      </c>
      <c r="D1562" s="11">
        <v>1.68</v>
      </c>
      <c r="E1562" s="11">
        <v>1</v>
      </c>
      <c r="F1562" s="11">
        <v>2776</v>
      </c>
      <c r="G1562" s="6" t="str">
        <f>IF(COUNTIF(Table1[Customer ID],Table1[[#This Row],[Customer ID]])&gt;1,"Repeat Customer","One-Time Customer")</f>
        <v>Repeat Customer</v>
      </c>
      <c r="H1562" s="11" t="s">
        <v>2546</v>
      </c>
      <c r="I1562" s="11" t="s">
        <v>49</v>
      </c>
      <c r="J1562" s="11" t="s">
        <v>114</v>
      </c>
      <c r="K1562" s="11" t="s">
        <v>29</v>
      </c>
      <c r="L1562" s="11" t="s">
        <v>30</v>
      </c>
      <c r="M1562" s="11" t="s">
        <v>31</v>
      </c>
      <c r="N1562" s="11" t="s">
        <v>2548</v>
      </c>
      <c r="O1562" s="11">
        <v>0.35</v>
      </c>
      <c r="P1562" s="6">
        <f>Table1[[#This Row],[Profit]]/Table1[[#This Row],[Sales]]</f>
        <v>0.14578279266572639</v>
      </c>
      <c r="Q1562" s="11" t="s">
        <v>33</v>
      </c>
      <c r="R1562" s="11" t="s">
        <v>53</v>
      </c>
      <c r="S1562" s="11" t="s">
        <v>415</v>
      </c>
      <c r="T1562" s="11" t="s">
        <v>2547</v>
      </c>
      <c r="U1562" s="11">
        <v>20877</v>
      </c>
      <c r="V1562" s="12">
        <v>42016</v>
      </c>
      <c r="W1562" s="13" t="str">
        <f>TEXT(Table1[[#This Row],[Order Date]],"mmmm")</f>
        <v>January</v>
      </c>
      <c r="X1562" s="7" t="str">
        <f>TEXT(Table1[[#This Row],[Order Date]],"yyyy")</f>
        <v>2015</v>
      </c>
      <c r="Y1562" s="12">
        <v>42018</v>
      </c>
      <c r="Z1562" s="11">
        <v>2.0672000000000001</v>
      </c>
      <c r="AA1562" s="11">
        <v>8</v>
      </c>
      <c r="AB1562" s="11">
        <v>14.18</v>
      </c>
      <c r="AC1562" s="11">
        <v>91228</v>
      </c>
      <c r="AD1562" s="6" t="str">
        <f>IF(COUNTIF(Returns!$A$2:$A$1635,Orders!AC1562)&gt;0,"Returned","Not Returned")</f>
        <v>Not Returned</v>
      </c>
    </row>
    <row r="1563" spans="1:30" ht="12.75" customHeight="1" thickTop="1" thickBot="1" x14ac:dyDescent="0.25">
      <c r="A1563" s="8">
        <v>20097</v>
      </c>
      <c r="B1563" s="1" t="s">
        <v>25</v>
      </c>
      <c r="C1563" s="1">
        <v>0.05</v>
      </c>
      <c r="D1563" s="1">
        <v>205.99</v>
      </c>
      <c r="E1563" s="1">
        <v>8.99</v>
      </c>
      <c r="F1563" s="1">
        <v>2778</v>
      </c>
      <c r="G1563" s="6" t="str">
        <f>IF(COUNTIF(Table1[Customer ID],Table1[[#This Row],[Customer ID]])&gt;1,"Repeat Customer","One-Time Customer")</f>
        <v>Repeat Customer</v>
      </c>
      <c r="H1563" s="1" t="s">
        <v>2549</v>
      </c>
      <c r="I1563" s="1" t="s">
        <v>27</v>
      </c>
      <c r="J1563" s="1" t="s">
        <v>114</v>
      </c>
      <c r="K1563" s="1" t="s">
        <v>77</v>
      </c>
      <c r="L1563" s="1" t="s">
        <v>78</v>
      </c>
      <c r="M1563" s="1" t="s">
        <v>59</v>
      </c>
      <c r="N1563" s="1" t="s">
        <v>2550</v>
      </c>
      <c r="O1563" s="1">
        <v>0.57999999999999996</v>
      </c>
      <c r="P1563" s="6">
        <f>Table1[[#This Row],[Profit]]/Table1[[#This Row],[Sales]]</f>
        <v>5.2408222785383603E-2</v>
      </c>
      <c r="Q1563" s="1" t="s">
        <v>33</v>
      </c>
      <c r="R1563" s="1" t="s">
        <v>136</v>
      </c>
      <c r="S1563" s="1" t="s">
        <v>322</v>
      </c>
      <c r="T1563" s="1" t="s">
        <v>1021</v>
      </c>
      <c r="U1563" s="1">
        <v>28403</v>
      </c>
      <c r="V1563" s="9">
        <v>42046</v>
      </c>
      <c r="W1563" s="13" t="str">
        <f>TEXT(Table1[[#This Row],[Order Date]],"mmmm")</f>
        <v>February</v>
      </c>
      <c r="X1563" s="7" t="str">
        <f>TEXT(Table1[[#This Row],[Order Date]],"yyyy")</f>
        <v>2015</v>
      </c>
      <c r="Y1563" s="9">
        <v>42047</v>
      </c>
      <c r="Z1563" s="1">
        <v>111.05249999999999</v>
      </c>
      <c r="AA1563" s="1">
        <v>12</v>
      </c>
      <c r="AB1563" s="1">
        <v>2118.9899999999998</v>
      </c>
      <c r="AC1563" s="1">
        <v>87160</v>
      </c>
      <c r="AD1563" s="6" t="str">
        <f>IF(COUNTIF(Returns!$A$2:$A$1635,Orders!AC1563)&gt;0,"Returned","Not Returned")</f>
        <v>Not Returned</v>
      </c>
    </row>
    <row r="1564" spans="1:30" ht="12.75" customHeight="1" thickTop="1" thickBot="1" x14ac:dyDescent="0.25">
      <c r="A1564" s="10">
        <v>20098</v>
      </c>
      <c r="B1564" s="11" t="s">
        <v>25</v>
      </c>
      <c r="C1564" s="11">
        <v>0.08</v>
      </c>
      <c r="D1564" s="11">
        <v>205.99</v>
      </c>
      <c r="E1564" s="11">
        <v>8.99</v>
      </c>
      <c r="F1564" s="11">
        <v>2778</v>
      </c>
      <c r="G1564" s="6" t="str">
        <f>IF(COUNTIF(Table1[Customer ID],Table1[[#This Row],[Customer ID]])&gt;1,"Repeat Customer","One-Time Customer")</f>
        <v>Repeat Customer</v>
      </c>
      <c r="H1564" s="11" t="s">
        <v>2549</v>
      </c>
      <c r="I1564" s="11" t="s">
        <v>49</v>
      </c>
      <c r="J1564" s="11" t="s">
        <v>114</v>
      </c>
      <c r="K1564" s="11" t="s">
        <v>77</v>
      </c>
      <c r="L1564" s="11" t="s">
        <v>78</v>
      </c>
      <c r="M1564" s="11" t="s">
        <v>59</v>
      </c>
      <c r="N1564" s="11" t="s">
        <v>107</v>
      </c>
      <c r="O1564" s="11">
        <v>0.56000000000000005</v>
      </c>
      <c r="P1564" s="6">
        <f>Table1[[#This Row],[Profit]]/Table1[[#This Row],[Sales]]</f>
        <v>-2.3443866099995225</v>
      </c>
      <c r="Q1564" s="11" t="s">
        <v>33</v>
      </c>
      <c r="R1564" s="11" t="s">
        <v>136</v>
      </c>
      <c r="S1564" s="11" t="s">
        <v>322</v>
      </c>
      <c r="T1564" s="11" t="s">
        <v>1021</v>
      </c>
      <c r="U1564" s="11">
        <v>28403</v>
      </c>
      <c r="V1564" s="12">
        <v>42046</v>
      </c>
      <c r="W1564" s="13" t="str">
        <f>TEXT(Table1[[#This Row],[Order Date]],"mmmm")</f>
        <v>February</v>
      </c>
      <c r="X1564" s="7" t="str">
        <f>TEXT(Table1[[#This Row],[Order Date]],"yyyy")</f>
        <v>2015</v>
      </c>
      <c r="Y1564" s="12">
        <v>42047</v>
      </c>
      <c r="Z1564" s="11">
        <v>-1963.752</v>
      </c>
      <c r="AA1564" s="11">
        <v>5</v>
      </c>
      <c r="AB1564" s="11">
        <v>837.64</v>
      </c>
      <c r="AC1564" s="11">
        <v>87160</v>
      </c>
      <c r="AD1564" s="6" t="str">
        <f>IF(COUNTIF(Returns!$A$2:$A$1635,Orders!AC1564)&gt;0,"Returned","Not Returned")</f>
        <v>Not Returned</v>
      </c>
    </row>
    <row r="1565" spans="1:30" ht="12.75" customHeight="1" thickTop="1" thickBot="1" x14ac:dyDescent="0.25">
      <c r="A1565" s="8">
        <v>21707</v>
      </c>
      <c r="B1565" s="1" t="s">
        <v>47</v>
      </c>
      <c r="C1565" s="1">
        <v>0.01</v>
      </c>
      <c r="D1565" s="1">
        <v>35.99</v>
      </c>
      <c r="E1565" s="1">
        <v>5.99</v>
      </c>
      <c r="F1565" s="1">
        <v>2779</v>
      </c>
      <c r="G1565" s="6" t="str">
        <f>IF(COUNTIF(Table1[Customer ID],Table1[[#This Row],[Customer ID]])&gt;1,"Repeat Customer","One-Time Customer")</f>
        <v>One-Time Customer</v>
      </c>
      <c r="H1565" s="1" t="s">
        <v>2551</v>
      </c>
      <c r="I1565" s="1" t="s">
        <v>49</v>
      </c>
      <c r="J1565" s="1" t="s">
        <v>28</v>
      </c>
      <c r="K1565" s="1" t="s">
        <v>77</v>
      </c>
      <c r="L1565" s="1" t="s">
        <v>78</v>
      </c>
      <c r="M1565" s="1" t="s">
        <v>31</v>
      </c>
      <c r="N1565" s="1" t="s">
        <v>981</v>
      </c>
      <c r="O1565" s="1">
        <v>0.38</v>
      </c>
      <c r="P1565" s="6">
        <f>Table1[[#This Row],[Profit]]/Table1[[#This Row],[Sales]]</f>
        <v>-0.17591792969542414</v>
      </c>
      <c r="Q1565" s="1" t="s">
        <v>33</v>
      </c>
      <c r="R1565" s="1" t="s">
        <v>136</v>
      </c>
      <c r="S1565" s="1" t="s">
        <v>322</v>
      </c>
      <c r="T1565" s="1" t="s">
        <v>2552</v>
      </c>
      <c r="U1565" s="1">
        <v>27893</v>
      </c>
      <c r="V1565" s="9">
        <v>42166</v>
      </c>
      <c r="W1565" s="13" t="str">
        <f>TEXT(Table1[[#This Row],[Order Date]],"mmmm")</f>
        <v>June</v>
      </c>
      <c r="X1565" s="7" t="str">
        <f>TEXT(Table1[[#This Row],[Order Date]],"yyyy")</f>
        <v>2015</v>
      </c>
      <c r="Y1565" s="9">
        <v>42167</v>
      </c>
      <c r="Z1565" s="1">
        <v>-60.704000000000001</v>
      </c>
      <c r="AA1565" s="1">
        <v>11</v>
      </c>
      <c r="AB1565" s="1">
        <v>345.07</v>
      </c>
      <c r="AC1565" s="1">
        <v>87161</v>
      </c>
      <c r="AD1565" s="6" t="str">
        <f>IF(COUNTIF(Returns!$A$2:$A$1635,Orders!AC1565)&gt;0,"Returned","Not Returned")</f>
        <v>Not Returned</v>
      </c>
    </row>
    <row r="1566" spans="1:30" ht="12.75" customHeight="1" thickTop="1" thickBot="1" x14ac:dyDescent="0.25">
      <c r="A1566" s="10">
        <v>22095</v>
      </c>
      <c r="B1566" s="11" t="s">
        <v>106</v>
      </c>
      <c r="C1566" s="11">
        <v>0.09</v>
      </c>
      <c r="D1566" s="11">
        <v>2.16</v>
      </c>
      <c r="E1566" s="11">
        <v>6.05</v>
      </c>
      <c r="F1566" s="11">
        <v>2781</v>
      </c>
      <c r="G1566" s="6" t="str">
        <f>IF(COUNTIF(Table1[Customer ID],Table1[[#This Row],[Customer ID]])&gt;1,"Repeat Customer","One-Time Customer")</f>
        <v>Repeat Customer</v>
      </c>
      <c r="H1566" s="11" t="s">
        <v>2553</v>
      </c>
      <c r="I1566" s="11" t="s">
        <v>49</v>
      </c>
      <c r="J1566" s="11" t="s">
        <v>114</v>
      </c>
      <c r="K1566" s="11" t="s">
        <v>29</v>
      </c>
      <c r="L1566" s="11" t="s">
        <v>109</v>
      </c>
      <c r="M1566" s="11" t="s">
        <v>59</v>
      </c>
      <c r="N1566" s="11" t="s">
        <v>1536</v>
      </c>
      <c r="O1566" s="11">
        <v>0.37</v>
      </c>
      <c r="P1566" s="6">
        <f>Table1[[#This Row],[Profit]]/Table1[[#This Row],[Sales]]</f>
        <v>-6.8958029197080286</v>
      </c>
      <c r="Q1566" s="11" t="s">
        <v>33</v>
      </c>
      <c r="R1566" s="11" t="s">
        <v>34</v>
      </c>
      <c r="S1566" s="11" t="s">
        <v>102</v>
      </c>
      <c r="T1566" s="11" t="s">
        <v>2554</v>
      </c>
      <c r="U1566" s="11">
        <v>97071</v>
      </c>
      <c r="V1566" s="12">
        <v>42035</v>
      </c>
      <c r="W1566" s="13" t="str">
        <f>TEXT(Table1[[#This Row],[Order Date]],"mmmm")</f>
        <v>January</v>
      </c>
      <c r="X1566" s="7" t="str">
        <f>TEXT(Table1[[#This Row],[Order Date]],"yyyy")</f>
        <v>2015</v>
      </c>
      <c r="Y1566" s="12">
        <v>42039</v>
      </c>
      <c r="Z1566" s="11">
        <v>-37.789000000000001</v>
      </c>
      <c r="AA1566" s="11">
        <v>2</v>
      </c>
      <c r="AB1566" s="11">
        <v>5.48</v>
      </c>
      <c r="AC1566" s="11">
        <v>87162</v>
      </c>
      <c r="AD1566" s="6" t="str">
        <f>IF(COUNTIF(Returns!$A$2:$A$1635,Orders!AC1566)&gt;0,"Returned","Not Returned")</f>
        <v>Not Returned</v>
      </c>
    </row>
    <row r="1567" spans="1:30" ht="12.75" customHeight="1" thickTop="1" thickBot="1" x14ac:dyDescent="0.25">
      <c r="A1567" s="8">
        <v>22096</v>
      </c>
      <c r="B1567" s="1" t="s">
        <v>106</v>
      </c>
      <c r="C1567" s="1">
        <v>0.03</v>
      </c>
      <c r="D1567" s="1">
        <v>808.49</v>
      </c>
      <c r="E1567" s="1">
        <v>55.3</v>
      </c>
      <c r="F1567" s="1">
        <v>2781</v>
      </c>
      <c r="G1567" s="6" t="str">
        <f>IF(COUNTIF(Table1[Customer ID],Table1[[#This Row],[Customer ID]])&gt;1,"Repeat Customer","One-Time Customer")</f>
        <v>Repeat Customer</v>
      </c>
      <c r="H1567" s="1" t="s">
        <v>2553</v>
      </c>
      <c r="I1567" s="1" t="s">
        <v>39</v>
      </c>
      <c r="J1567" s="1" t="s">
        <v>114</v>
      </c>
      <c r="K1567" s="1" t="s">
        <v>77</v>
      </c>
      <c r="L1567" s="1" t="s">
        <v>85</v>
      </c>
      <c r="M1567" s="1" t="s">
        <v>43</v>
      </c>
      <c r="N1567" s="1" t="s">
        <v>2555</v>
      </c>
      <c r="O1567" s="1">
        <v>0.4</v>
      </c>
      <c r="P1567" s="6">
        <f>Table1[[#This Row],[Profit]]/Table1[[#This Row],[Sales]]</f>
        <v>0.92376602331573043</v>
      </c>
      <c r="Q1567" s="1" t="s">
        <v>33</v>
      </c>
      <c r="R1567" s="1" t="s">
        <v>34</v>
      </c>
      <c r="S1567" s="1" t="s">
        <v>102</v>
      </c>
      <c r="T1567" s="1" t="s">
        <v>2554</v>
      </c>
      <c r="U1567" s="1">
        <v>97071</v>
      </c>
      <c r="V1567" s="9">
        <v>42035</v>
      </c>
      <c r="W1567" s="13" t="str">
        <f>TEXT(Table1[[#This Row],[Order Date]],"mmmm")</f>
        <v>January</v>
      </c>
      <c r="X1567" s="7" t="str">
        <f>TEXT(Table1[[#This Row],[Order Date]],"yyyy")</f>
        <v>2015</v>
      </c>
      <c r="Y1567" s="9">
        <v>42042</v>
      </c>
      <c r="Z1567" s="1">
        <v>7576.11</v>
      </c>
      <c r="AA1567" s="1">
        <v>11</v>
      </c>
      <c r="AB1567" s="1">
        <v>8201.33</v>
      </c>
      <c r="AC1567" s="1">
        <v>87162</v>
      </c>
      <c r="AD1567" s="6" t="str">
        <f>IF(COUNTIF(Returns!$A$2:$A$1635,Orders!AC1567)&gt;0,"Returned","Not Returned")</f>
        <v>Not Returned</v>
      </c>
    </row>
    <row r="1568" spans="1:30" ht="12.75" customHeight="1" thickTop="1" thickBot="1" x14ac:dyDescent="0.25">
      <c r="A1568" s="10">
        <v>22097</v>
      </c>
      <c r="B1568" s="11" t="s">
        <v>106</v>
      </c>
      <c r="C1568" s="11">
        <v>0</v>
      </c>
      <c r="D1568" s="11">
        <v>6.48</v>
      </c>
      <c r="E1568" s="11">
        <v>8.19</v>
      </c>
      <c r="F1568" s="11">
        <v>2781</v>
      </c>
      <c r="G1568" s="6" t="str">
        <f>IF(COUNTIF(Table1[Customer ID],Table1[[#This Row],[Customer ID]])&gt;1,"Repeat Customer","One-Time Customer")</f>
        <v>Repeat Customer</v>
      </c>
      <c r="H1568" s="11" t="s">
        <v>2553</v>
      </c>
      <c r="I1568" s="11" t="s">
        <v>49</v>
      </c>
      <c r="J1568" s="11" t="s">
        <v>114</v>
      </c>
      <c r="K1568" s="11" t="s">
        <v>29</v>
      </c>
      <c r="L1568" s="11" t="s">
        <v>93</v>
      </c>
      <c r="M1568" s="11" t="s">
        <v>59</v>
      </c>
      <c r="N1568" s="11" t="s">
        <v>2556</v>
      </c>
      <c r="O1568" s="11">
        <v>0.37</v>
      </c>
      <c r="P1568" s="6">
        <f>Table1[[#This Row],[Profit]]/Table1[[#This Row],[Sales]]</f>
        <v>-1.9082487869430964</v>
      </c>
      <c r="Q1568" s="11" t="s">
        <v>33</v>
      </c>
      <c r="R1568" s="11" t="s">
        <v>34</v>
      </c>
      <c r="S1568" s="11" t="s">
        <v>102</v>
      </c>
      <c r="T1568" s="11" t="s">
        <v>2554</v>
      </c>
      <c r="U1568" s="11">
        <v>97071</v>
      </c>
      <c r="V1568" s="12">
        <v>42035</v>
      </c>
      <c r="W1568" s="13" t="str">
        <f>TEXT(Table1[[#This Row],[Order Date]],"mmmm")</f>
        <v>January</v>
      </c>
      <c r="X1568" s="7" t="str">
        <f>TEXT(Table1[[#This Row],[Order Date]],"yyyy")</f>
        <v>2015</v>
      </c>
      <c r="Y1568" s="12">
        <v>42042</v>
      </c>
      <c r="Z1568" s="11">
        <v>-43.26</v>
      </c>
      <c r="AA1568" s="11">
        <v>3</v>
      </c>
      <c r="AB1568" s="11">
        <v>22.67</v>
      </c>
      <c r="AC1568" s="11">
        <v>87162</v>
      </c>
      <c r="AD1568" s="6" t="str">
        <f>IF(COUNTIF(Returns!$A$2:$A$1635,Orders!AC1568)&gt;0,"Returned","Not Returned")</f>
        <v>Not Returned</v>
      </c>
    </row>
    <row r="1569" spans="1:30" ht="12.75" customHeight="1" thickTop="1" thickBot="1" x14ac:dyDescent="0.25">
      <c r="A1569" s="8">
        <v>21587</v>
      </c>
      <c r="B1569" s="1" t="s">
        <v>37</v>
      </c>
      <c r="C1569" s="1">
        <v>0.01</v>
      </c>
      <c r="D1569" s="1">
        <v>47.98</v>
      </c>
      <c r="E1569" s="1">
        <v>3.61</v>
      </c>
      <c r="F1569" s="1">
        <v>2787</v>
      </c>
      <c r="G1569" s="6" t="str">
        <f>IF(COUNTIF(Table1[Customer ID],Table1[[#This Row],[Customer ID]])&gt;1,"Repeat Customer","One-Time Customer")</f>
        <v>One-Time Customer</v>
      </c>
      <c r="H1569" s="1" t="s">
        <v>2557</v>
      </c>
      <c r="I1569" s="1" t="s">
        <v>27</v>
      </c>
      <c r="J1569" s="1" t="s">
        <v>114</v>
      </c>
      <c r="K1569" s="1" t="s">
        <v>77</v>
      </c>
      <c r="L1569" s="1" t="s">
        <v>180</v>
      </c>
      <c r="M1569" s="1" t="s">
        <v>51</v>
      </c>
      <c r="N1569" s="1" t="s">
        <v>1013</v>
      </c>
      <c r="O1569" s="1">
        <v>0.71</v>
      </c>
      <c r="P1569" s="6">
        <f>Table1[[#This Row],[Profit]]/Table1[[#This Row],[Sales]]</f>
        <v>-0.11278745113965176</v>
      </c>
      <c r="Q1569" s="1" t="s">
        <v>33</v>
      </c>
      <c r="R1569" s="1" t="s">
        <v>136</v>
      </c>
      <c r="S1569" s="1" t="s">
        <v>171</v>
      </c>
      <c r="T1569" s="1" t="s">
        <v>2558</v>
      </c>
      <c r="U1569" s="1">
        <v>70003</v>
      </c>
      <c r="V1569" s="9">
        <v>42075</v>
      </c>
      <c r="W1569" s="13" t="str">
        <f>TEXT(Table1[[#This Row],[Order Date]],"mmmm")</f>
        <v>March</v>
      </c>
      <c r="X1569" s="7" t="str">
        <f>TEXT(Table1[[#This Row],[Order Date]],"yyyy")</f>
        <v>2015</v>
      </c>
      <c r="Y1569" s="9">
        <v>42076</v>
      </c>
      <c r="Z1569" s="1">
        <v>-44.436</v>
      </c>
      <c r="AA1569" s="1">
        <v>8</v>
      </c>
      <c r="AB1569" s="1">
        <v>393.98</v>
      </c>
      <c r="AC1569" s="1">
        <v>91316</v>
      </c>
      <c r="AD1569" s="6" t="str">
        <f>IF(COUNTIF(Returns!$A$2:$A$1635,Orders!AC1569)&gt;0,"Returned","Not Returned")</f>
        <v>Not Returned</v>
      </c>
    </row>
    <row r="1570" spans="1:30" ht="12.75" customHeight="1" thickTop="1" thickBot="1" x14ac:dyDescent="0.25">
      <c r="A1570" s="10">
        <v>19860</v>
      </c>
      <c r="B1570" s="11" t="s">
        <v>47</v>
      </c>
      <c r="C1570" s="11">
        <v>0.09</v>
      </c>
      <c r="D1570" s="11">
        <v>2.88</v>
      </c>
      <c r="E1570" s="11">
        <v>0.7</v>
      </c>
      <c r="F1570" s="11">
        <v>2791</v>
      </c>
      <c r="G1570" s="6" t="str">
        <f>IF(COUNTIF(Table1[Customer ID],Table1[[#This Row],[Customer ID]])&gt;1,"Repeat Customer","One-Time Customer")</f>
        <v>One-Time Customer</v>
      </c>
      <c r="H1570" s="11" t="s">
        <v>2559</v>
      </c>
      <c r="I1570" s="11" t="s">
        <v>49</v>
      </c>
      <c r="J1570" s="11" t="s">
        <v>28</v>
      </c>
      <c r="K1570" s="11" t="s">
        <v>29</v>
      </c>
      <c r="L1570" s="11" t="s">
        <v>30</v>
      </c>
      <c r="M1570" s="11" t="s">
        <v>31</v>
      </c>
      <c r="N1570" s="11" t="s">
        <v>2560</v>
      </c>
      <c r="O1570" s="11">
        <v>0.56000000000000005</v>
      </c>
      <c r="P1570" s="6">
        <f>Table1[[#This Row],[Profit]]/Table1[[#This Row],[Sales]]</f>
        <v>0.25142560912389839</v>
      </c>
      <c r="Q1570" s="11" t="s">
        <v>33</v>
      </c>
      <c r="R1570" s="11" t="s">
        <v>61</v>
      </c>
      <c r="S1570" s="11" t="s">
        <v>300</v>
      </c>
      <c r="T1570" s="11" t="s">
        <v>2561</v>
      </c>
      <c r="U1570" s="11">
        <v>48071</v>
      </c>
      <c r="V1570" s="12">
        <v>42019</v>
      </c>
      <c r="W1570" s="13" t="str">
        <f>TEXT(Table1[[#This Row],[Order Date]],"mmmm")</f>
        <v>January</v>
      </c>
      <c r="X1570" s="7" t="str">
        <f>TEXT(Table1[[#This Row],[Order Date]],"yyyy")</f>
        <v>2015</v>
      </c>
      <c r="Y1570" s="12">
        <v>42019</v>
      </c>
      <c r="Z1570" s="11">
        <v>4.8499999999999996</v>
      </c>
      <c r="AA1570" s="11">
        <v>7</v>
      </c>
      <c r="AB1570" s="11">
        <v>19.29</v>
      </c>
      <c r="AC1570" s="11">
        <v>88758</v>
      </c>
      <c r="AD1570" s="6" t="str">
        <f>IF(COUNTIF(Returns!$A$2:$A$1635,Orders!AC1570)&gt;0,"Returned","Not Returned")</f>
        <v>Not Returned</v>
      </c>
    </row>
    <row r="1571" spans="1:30" ht="12.75" customHeight="1" thickTop="1" thickBot="1" x14ac:dyDescent="0.25">
      <c r="A1571" s="8">
        <v>18361</v>
      </c>
      <c r="B1571" s="1" t="s">
        <v>56</v>
      </c>
      <c r="C1571" s="1">
        <v>0.06</v>
      </c>
      <c r="D1571" s="1">
        <v>2.61</v>
      </c>
      <c r="E1571" s="1">
        <v>0.5</v>
      </c>
      <c r="F1571" s="1">
        <v>2794</v>
      </c>
      <c r="G1571" s="6" t="str">
        <f>IF(COUNTIF(Table1[Customer ID],Table1[[#This Row],[Customer ID]])&gt;1,"Repeat Customer","One-Time Customer")</f>
        <v>Repeat Customer</v>
      </c>
      <c r="H1571" s="1" t="s">
        <v>2562</v>
      </c>
      <c r="I1571" s="1" t="s">
        <v>49</v>
      </c>
      <c r="J1571" s="1" t="s">
        <v>28</v>
      </c>
      <c r="K1571" s="1" t="s">
        <v>29</v>
      </c>
      <c r="L1571" s="1" t="s">
        <v>134</v>
      </c>
      <c r="M1571" s="1" t="s">
        <v>59</v>
      </c>
      <c r="N1571" s="1" t="s">
        <v>885</v>
      </c>
      <c r="O1571" s="1">
        <v>0.39</v>
      </c>
      <c r="P1571" s="6">
        <f>Table1[[#This Row],[Profit]]/Table1[[#This Row],[Sales]]</f>
        <v>0.69</v>
      </c>
      <c r="Q1571" s="1" t="s">
        <v>33</v>
      </c>
      <c r="R1571" s="1" t="s">
        <v>61</v>
      </c>
      <c r="S1571" s="1" t="s">
        <v>330</v>
      </c>
      <c r="T1571" s="1" t="s">
        <v>2563</v>
      </c>
      <c r="U1571" s="1">
        <v>50158</v>
      </c>
      <c r="V1571" s="9">
        <v>42083</v>
      </c>
      <c r="W1571" s="13" t="str">
        <f>TEXT(Table1[[#This Row],[Order Date]],"mmmm")</f>
        <v>March</v>
      </c>
      <c r="X1571" s="7" t="str">
        <f>TEXT(Table1[[#This Row],[Order Date]],"yyyy")</f>
        <v>2015</v>
      </c>
      <c r="Y1571" s="9">
        <v>42085</v>
      </c>
      <c r="Z1571" s="1">
        <v>3.5948999999999995</v>
      </c>
      <c r="AA1571" s="1">
        <v>2</v>
      </c>
      <c r="AB1571" s="1">
        <v>5.21</v>
      </c>
      <c r="AC1571" s="1">
        <v>87554</v>
      </c>
      <c r="AD1571" s="6" t="str">
        <f>IF(COUNTIF(Returns!$A$2:$A$1635,Orders!AC1571)&gt;0,"Returned","Not Returned")</f>
        <v>Not Returned</v>
      </c>
    </row>
    <row r="1572" spans="1:30" ht="12.75" customHeight="1" thickTop="1" thickBot="1" x14ac:dyDescent="0.25">
      <c r="A1572" s="10">
        <v>18895</v>
      </c>
      <c r="B1572" s="11" t="s">
        <v>25</v>
      </c>
      <c r="C1572" s="11">
        <v>7.0000000000000007E-2</v>
      </c>
      <c r="D1572" s="11">
        <v>4.76</v>
      </c>
      <c r="E1572" s="11">
        <v>0.88</v>
      </c>
      <c r="F1572" s="11">
        <v>2794</v>
      </c>
      <c r="G1572" s="6" t="str">
        <f>IF(COUNTIF(Table1[Customer ID],Table1[[#This Row],[Customer ID]])&gt;1,"Repeat Customer","One-Time Customer")</f>
        <v>Repeat Customer</v>
      </c>
      <c r="H1572" s="11" t="s">
        <v>2562</v>
      </c>
      <c r="I1572" s="11" t="s">
        <v>49</v>
      </c>
      <c r="J1572" s="11" t="s">
        <v>28</v>
      </c>
      <c r="K1572" s="11" t="s">
        <v>29</v>
      </c>
      <c r="L1572" s="11" t="s">
        <v>93</v>
      </c>
      <c r="M1572" s="11" t="s">
        <v>31</v>
      </c>
      <c r="N1572" s="11" t="s">
        <v>2564</v>
      </c>
      <c r="O1572" s="11">
        <v>0.39</v>
      </c>
      <c r="P1572" s="6">
        <f>Table1[[#This Row],[Profit]]/Table1[[#This Row],[Sales]]</f>
        <v>0.69</v>
      </c>
      <c r="Q1572" s="11" t="s">
        <v>33</v>
      </c>
      <c r="R1572" s="11" t="s">
        <v>61</v>
      </c>
      <c r="S1572" s="11" t="s">
        <v>330</v>
      </c>
      <c r="T1572" s="11" t="s">
        <v>2563</v>
      </c>
      <c r="U1572" s="11">
        <v>50158</v>
      </c>
      <c r="V1572" s="12">
        <v>42162</v>
      </c>
      <c r="W1572" s="13" t="str">
        <f>TEXT(Table1[[#This Row],[Order Date]],"mmmm")</f>
        <v>June</v>
      </c>
      <c r="X1572" s="7" t="str">
        <f>TEXT(Table1[[#This Row],[Order Date]],"yyyy")</f>
        <v>2015</v>
      </c>
      <c r="Y1572" s="12">
        <v>42162</v>
      </c>
      <c r="Z1572" s="11">
        <v>15.8148</v>
      </c>
      <c r="AA1572" s="11">
        <v>5</v>
      </c>
      <c r="AB1572" s="11">
        <v>22.92</v>
      </c>
      <c r="AC1572" s="11">
        <v>87555</v>
      </c>
      <c r="AD1572" s="6" t="str">
        <f>IF(COUNTIF(Returns!$A$2:$A$1635,Orders!AC1572)&gt;0,"Returned","Not Returned")</f>
        <v>Not Returned</v>
      </c>
    </row>
    <row r="1573" spans="1:30" ht="12.75" customHeight="1" thickTop="1" thickBot="1" x14ac:dyDescent="0.25">
      <c r="A1573" s="8">
        <v>19486</v>
      </c>
      <c r="B1573" s="1" t="s">
        <v>106</v>
      </c>
      <c r="C1573" s="1">
        <v>0.04</v>
      </c>
      <c r="D1573" s="1">
        <v>3.57</v>
      </c>
      <c r="E1573" s="1">
        <v>4.17</v>
      </c>
      <c r="F1573" s="1">
        <v>2795</v>
      </c>
      <c r="G1573" s="6" t="str">
        <f>IF(COUNTIF(Table1[Customer ID],Table1[[#This Row],[Customer ID]])&gt;1,"Repeat Customer","One-Time Customer")</f>
        <v>Repeat Customer</v>
      </c>
      <c r="H1573" s="1" t="s">
        <v>2565</v>
      </c>
      <c r="I1573" s="1" t="s">
        <v>49</v>
      </c>
      <c r="J1573" s="1" t="s">
        <v>28</v>
      </c>
      <c r="K1573" s="1" t="s">
        <v>29</v>
      </c>
      <c r="L1573" s="1" t="s">
        <v>30</v>
      </c>
      <c r="M1573" s="1" t="s">
        <v>51</v>
      </c>
      <c r="N1573" s="1" t="s">
        <v>2566</v>
      </c>
      <c r="O1573" s="1">
        <v>0.59</v>
      </c>
      <c r="P1573" s="6">
        <f>Table1[[#This Row],[Profit]]/Table1[[#This Row],[Sales]]</f>
        <v>-2.2624595469255664</v>
      </c>
      <c r="Q1573" s="1" t="s">
        <v>33</v>
      </c>
      <c r="R1573" s="1" t="s">
        <v>61</v>
      </c>
      <c r="S1573" s="1" t="s">
        <v>330</v>
      </c>
      <c r="T1573" s="1" t="s">
        <v>2567</v>
      </c>
      <c r="U1573" s="1">
        <v>50401</v>
      </c>
      <c r="V1573" s="9">
        <v>42030</v>
      </c>
      <c r="W1573" s="13" t="str">
        <f>TEXT(Table1[[#This Row],[Order Date]],"mmmm")</f>
        <v>January</v>
      </c>
      <c r="X1573" s="7" t="str">
        <f>TEXT(Table1[[#This Row],[Order Date]],"yyyy")</f>
        <v>2015</v>
      </c>
      <c r="Y1573" s="9">
        <v>42032</v>
      </c>
      <c r="Z1573" s="1">
        <v>-69.91</v>
      </c>
      <c r="AA1573" s="1">
        <v>8</v>
      </c>
      <c r="AB1573" s="1">
        <v>30.9</v>
      </c>
      <c r="AC1573" s="1">
        <v>87556</v>
      </c>
      <c r="AD1573" s="6" t="str">
        <f>IF(COUNTIF(Returns!$A$2:$A$1635,Orders!AC1573)&gt;0,"Returned","Not Returned")</f>
        <v>Not Returned</v>
      </c>
    </row>
    <row r="1574" spans="1:30" ht="12.75" customHeight="1" thickTop="1" thickBot="1" x14ac:dyDescent="0.25">
      <c r="A1574" s="10">
        <v>19487</v>
      </c>
      <c r="B1574" s="11" t="s">
        <v>106</v>
      </c>
      <c r="C1574" s="11">
        <v>0.05</v>
      </c>
      <c r="D1574" s="11">
        <v>200.99</v>
      </c>
      <c r="E1574" s="11">
        <v>4.2</v>
      </c>
      <c r="F1574" s="11">
        <v>2795</v>
      </c>
      <c r="G1574" s="6" t="str">
        <f>IF(COUNTIF(Table1[Customer ID],Table1[[#This Row],[Customer ID]])&gt;1,"Repeat Customer","One-Time Customer")</f>
        <v>Repeat Customer</v>
      </c>
      <c r="H1574" s="11" t="s">
        <v>2565</v>
      </c>
      <c r="I1574" s="11" t="s">
        <v>49</v>
      </c>
      <c r="J1574" s="11" t="s">
        <v>28</v>
      </c>
      <c r="K1574" s="11" t="s">
        <v>77</v>
      </c>
      <c r="L1574" s="11" t="s">
        <v>78</v>
      </c>
      <c r="M1574" s="11" t="s">
        <v>59</v>
      </c>
      <c r="N1574" s="11" t="s">
        <v>548</v>
      </c>
      <c r="O1574" s="11">
        <v>0.59</v>
      </c>
      <c r="P1574" s="6">
        <f>Table1[[#This Row],[Profit]]/Table1[[#This Row],[Sales]]</f>
        <v>0.69</v>
      </c>
      <c r="Q1574" s="11" t="s">
        <v>33</v>
      </c>
      <c r="R1574" s="11" t="s">
        <v>61</v>
      </c>
      <c r="S1574" s="11" t="s">
        <v>330</v>
      </c>
      <c r="T1574" s="11" t="s">
        <v>2567</v>
      </c>
      <c r="U1574" s="11">
        <v>50401</v>
      </c>
      <c r="V1574" s="12">
        <v>42030</v>
      </c>
      <c r="W1574" s="13" t="str">
        <f>TEXT(Table1[[#This Row],[Order Date]],"mmmm")</f>
        <v>January</v>
      </c>
      <c r="X1574" s="7" t="str">
        <f>TEXT(Table1[[#This Row],[Order Date]],"yyyy")</f>
        <v>2015</v>
      </c>
      <c r="Y1574" s="12">
        <v>42034</v>
      </c>
      <c r="Z1574" s="11">
        <v>1630.5251999999998</v>
      </c>
      <c r="AA1574" s="11">
        <v>14</v>
      </c>
      <c r="AB1574" s="11">
        <v>2363.08</v>
      </c>
      <c r="AC1574" s="11">
        <v>87556</v>
      </c>
      <c r="AD1574" s="6" t="str">
        <f>IF(COUNTIF(Returns!$A$2:$A$1635,Orders!AC1574)&gt;0,"Returned","Not Returned")</f>
        <v>Not Returned</v>
      </c>
    </row>
    <row r="1575" spans="1:30" ht="12.75" customHeight="1" thickTop="1" thickBot="1" x14ac:dyDescent="0.25">
      <c r="A1575" s="8">
        <v>19488</v>
      </c>
      <c r="B1575" s="1" t="s">
        <v>106</v>
      </c>
      <c r="C1575" s="1">
        <v>7.0000000000000007E-2</v>
      </c>
      <c r="D1575" s="1">
        <v>195.99</v>
      </c>
      <c r="E1575" s="1">
        <v>8.99</v>
      </c>
      <c r="F1575" s="1">
        <v>2795</v>
      </c>
      <c r="G1575" s="6" t="str">
        <f>IF(COUNTIF(Table1[Customer ID],Table1[[#This Row],[Customer ID]])&gt;1,"Repeat Customer","One-Time Customer")</f>
        <v>Repeat Customer</v>
      </c>
      <c r="H1575" s="1" t="s">
        <v>2565</v>
      </c>
      <c r="I1575" s="1" t="s">
        <v>49</v>
      </c>
      <c r="J1575" s="1" t="s">
        <v>28</v>
      </c>
      <c r="K1575" s="1" t="s">
        <v>77</v>
      </c>
      <c r="L1575" s="1" t="s">
        <v>78</v>
      </c>
      <c r="M1575" s="1" t="s">
        <v>59</v>
      </c>
      <c r="N1575" s="1" t="s">
        <v>2568</v>
      </c>
      <c r="O1575" s="1">
        <v>0.57999999999999996</v>
      </c>
      <c r="P1575" s="6">
        <f>Table1[[#This Row],[Profit]]/Table1[[#This Row],[Sales]]</f>
        <v>-1.391870908814127</v>
      </c>
      <c r="Q1575" s="1" t="s">
        <v>33</v>
      </c>
      <c r="R1575" s="1" t="s">
        <v>61</v>
      </c>
      <c r="S1575" s="1" t="s">
        <v>330</v>
      </c>
      <c r="T1575" s="1" t="s">
        <v>2567</v>
      </c>
      <c r="U1575" s="1">
        <v>50401</v>
      </c>
      <c r="V1575" s="9">
        <v>42030</v>
      </c>
      <c r="W1575" s="13" t="str">
        <f>TEXT(Table1[[#This Row],[Order Date]],"mmmm")</f>
        <v>January</v>
      </c>
      <c r="X1575" s="7" t="str">
        <f>TEXT(Table1[[#This Row],[Order Date]],"yyyy")</f>
        <v>2015</v>
      </c>
      <c r="Y1575" s="9">
        <v>42030</v>
      </c>
      <c r="Z1575" s="1">
        <v>-457.16</v>
      </c>
      <c r="AA1575" s="1">
        <v>2</v>
      </c>
      <c r="AB1575" s="1">
        <v>328.45</v>
      </c>
      <c r="AC1575" s="1">
        <v>87556</v>
      </c>
      <c r="AD1575" s="6" t="str">
        <f>IF(COUNTIF(Returns!$A$2:$A$1635,Orders!AC1575)&gt;0,"Returned","Not Returned")</f>
        <v>Not Returned</v>
      </c>
    </row>
    <row r="1576" spans="1:30" ht="12.75" customHeight="1" thickTop="1" thickBot="1" x14ac:dyDescent="0.25">
      <c r="A1576" s="10">
        <v>23351</v>
      </c>
      <c r="B1576" s="11" t="s">
        <v>56</v>
      </c>
      <c r="C1576" s="11">
        <v>0.02</v>
      </c>
      <c r="D1576" s="11">
        <v>30.44</v>
      </c>
      <c r="E1576" s="11">
        <v>1.49</v>
      </c>
      <c r="F1576" s="11">
        <v>2796</v>
      </c>
      <c r="G1576" s="6" t="str">
        <f>IF(COUNTIF(Table1[Customer ID],Table1[[#This Row],[Customer ID]])&gt;1,"Repeat Customer","One-Time Customer")</f>
        <v>One-Time Customer</v>
      </c>
      <c r="H1576" s="11" t="s">
        <v>2569</v>
      </c>
      <c r="I1576" s="11" t="s">
        <v>49</v>
      </c>
      <c r="J1576" s="11" t="s">
        <v>28</v>
      </c>
      <c r="K1576" s="11" t="s">
        <v>29</v>
      </c>
      <c r="L1576" s="11" t="s">
        <v>109</v>
      </c>
      <c r="M1576" s="11" t="s">
        <v>59</v>
      </c>
      <c r="N1576" s="11" t="s">
        <v>2570</v>
      </c>
      <c r="O1576" s="11">
        <v>0.37</v>
      </c>
      <c r="P1576" s="6">
        <f>Table1[[#This Row],[Profit]]/Table1[[#This Row],[Sales]]</f>
        <v>0.69</v>
      </c>
      <c r="Q1576" s="11" t="s">
        <v>33</v>
      </c>
      <c r="R1576" s="11" t="s">
        <v>61</v>
      </c>
      <c r="S1576" s="11" t="s">
        <v>330</v>
      </c>
      <c r="T1576" s="11" t="s">
        <v>2571</v>
      </c>
      <c r="U1576" s="11">
        <v>51106</v>
      </c>
      <c r="V1576" s="12">
        <v>42025</v>
      </c>
      <c r="W1576" s="13" t="str">
        <f>TEXT(Table1[[#This Row],[Order Date]],"mmmm")</f>
        <v>January</v>
      </c>
      <c r="X1576" s="7" t="str">
        <f>TEXT(Table1[[#This Row],[Order Date]],"yyyy")</f>
        <v>2015</v>
      </c>
      <c r="Y1576" s="12">
        <v>42027</v>
      </c>
      <c r="Z1576" s="11">
        <v>266.76089999999999</v>
      </c>
      <c r="AA1576" s="11">
        <v>12</v>
      </c>
      <c r="AB1576" s="11">
        <v>386.61</v>
      </c>
      <c r="AC1576" s="11">
        <v>87553</v>
      </c>
      <c r="AD1576" s="6" t="str">
        <f>IF(COUNTIF(Returns!$A$2:$A$1635,Orders!AC1576)&gt;0,"Returned","Not Returned")</f>
        <v>Not Returned</v>
      </c>
    </row>
    <row r="1577" spans="1:30" ht="12.75" customHeight="1" thickTop="1" thickBot="1" x14ac:dyDescent="0.25">
      <c r="A1577" s="8">
        <v>22787</v>
      </c>
      <c r="B1577" s="1" t="s">
        <v>56</v>
      </c>
      <c r="C1577" s="1">
        <v>0</v>
      </c>
      <c r="D1577" s="1">
        <v>5.0199999999999996</v>
      </c>
      <c r="E1577" s="1">
        <v>5.14</v>
      </c>
      <c r="F1577" s="1">
        <v>2797</v>
      </c>
      <c r="G1577" s="6" t="str">
        <f>IF(COUNTIF(Table1[Customer ID],Table1[[#This Row],[Customer ID]])&gt;1,"Repeat Customer","One-Time Customer")</f>
        <v>Repeat Customer</v>
      </c>
      <c r="H1577" s="1" t="s">
        <v>2572</v>
      </c>
      <c r="I1577" s="1" t="s">
        <v>49</v>
      </c>
      <c r="J1577" s="1" t="s">
        <v>114</v>
      </c>
      <c r="K1577" s="1" t="s">
        <v>77</v>
      </c>
      <c r="L1577" s="1" t="s">
        <v>180</v>
      </c>
      <c r="M1577" s="1" t="s">
        <v>51</v>
      </c>
      <c r="N1577" s="1" t="s">
        <v>840</v>
      </c>
      <c r="O1577" s="1">
        <v>0.79</v>
      </c>
      <c r="P1577" s="6">
        <f>Table1[[#This Row],[Profit]]/Table1[[#This Row],[Sales]]</f>
        <v>-3.625461993627674</v>
      </c>
      <c r="Q1577" s="1" t="s">
        <v>33</v>
      </c>
      <c r="R1577" s="1" t="s">
        <v>53</v>
      </c>
      <c r="S1577" s="1" t="s">
        <v>234</v>
      </c>
      <c r="T1577" s="1" t="s">
        <v>2573</v>
      </c>
      <c r="U1577" s="1">
        <v>15122</v>
      </c>
      <c r="V1577" s="9">
        <v>42014</v>
      </c>
      <c r="W1577" s="13" t="str">
        <f>TEXT(Table1[[#This Row],[Order Date]],"mmmm")</f>
        <v>January</v>
      </c>
      <c r="X1577" s="7" t="str">
        <f>TEXT(Table1[[#This Row],[Order Date]],"yyyy")</f>
        <v>2015</v>
      </c>
      <c r="Y1577" s="9">
        <v>42015</v>
      </c>
      <c r="Z1577" s="1">
        <v>-159.30279999999999</v>
      </c>
      <c r="AA1577" s="1">
        <v>8</v>
      </c>
      <c r="AB1577" s="1">
        <v>43.94</v>
      </c>
      <c r="AC1577" s="1">
        <v>87552</v>
      </c>
      <c r="AD1577" s="6" t="str">
        <f>IF(COUNTIF(Returns!$A$2:$A$1635,Orders!AC1577)&gt;0,"Returned","Not Returned")</f>
        <v>Not Returned</v>
      </c>
    </row>
    <row r="1578" spans="1:30" ht="12.75" customHeight="1" thickTop="1" thickBot="1" x14ac:dyDescent="0.25">
      <c r="A1578" s="10">
        <v>23350</v>
      </c>
      <c r="B1578" s="11" t="s">
        <v>56</v>
      </c>
      <c r="C1578" s="11">
        <v>0.02</v>
      </c>
      <c r="D1578" s="11">
        <v>4.91</v>
      </c>
      <c r="E1578" s="11">
        <v>0.5</v>
      </c>
      <c r="F1578" s="11">
        <v>2797</v>
      </c>
      <c r="G1578" s="6" t="str">
        <f>IF(COUNTIF(Table1[Customer ID],Table1[[#This Row],[Customer ID]])&gt;1,"Repeat Customer","One-Time Customer")</f>
        <v>Repeat Customer</v>
      </c>
      <c r="H1578" s="11" t="s">
        <v>2572</v>
      </c>
      <c r="I1578" s="11" t="s">
        <v>49</v>
      </c>
      <c r="J1578" s="11" t="s">
        <v>28</v>
      </c>
      <c r="K1578" s="11" t="s">
        <v>29</v>
      </c>
      <c r="L1578" s="11" t="s">
        <v>134</v>
      </c>
      <c r="M1578" s="11" t="s">
        <v>59</v>
      </c>
      <c r="N1578" s="11" t="s">
        <v>1561</v>
      </c>
      <c r="O1578" s="11">
        <v>0.36</v>
      </c>
      <c r="P1578" s="6">
        <f>Table1[[#This Row],[Profit]]/Table1[[#This Row],[Sales]]</f>
        <v>0.69</v>
      </c>
      <c r="Q1578" s="11" t="s">
        <v>33</v>
      </c>
      <c r="R1578" s="11" t="s">
        <v>53</v>
      </c>
      <c r="S1578" s="11" t="s">
        <v>234</v>
      </c>
      <c r="T1578" s="11" t="s">
        <v>2573</v>
      </c>
      <c r="U1578" s="11">
        <v>15122</v>
      </c>
      <c r="V1578" s="12">
        <v>42025</v>
      </c>
      <c r="W1578" s="13" t="str">
        <f>TEXT(Table1[[#This Row],[Order Date]],"mmmm")</f>
        <v>January</v>
      </c>
      <c r="X1578" s="7" t="str">
        <f>TEXT(Table1[[#This Row],[Order Date]],"yyyy")</f>
        <v>2015</v>
      </c>
      <c r="Y1578" s="12">
        <v>42026</v>
      </c>
      <c r="Z1578" s="11">
        <v>29.883900000000001</v>
      </c>
      <c r="AA1578" s="11">
        <v>9</v>
      </c>
      <c r="AB1578" s="11">
        <v>43.31</v>
      </c>
      <c r="AC1578" s="11">
        <v>87553</v>
      </c>
      <c r="AD1578" s="6" t="str">
        <f>IF(COUNTIF(Returns!$A$2:$A$1635,Orders!AC1578)&gt;0,"Returned","Not Returned")</f>
        <v>Not Returned</v>
      </c>
    </row>
    <row r="1579" spans="1:30" ht="14.25" thickTop="1" thickBot="1" x14ac:dyDescent="0.25">
      <c r="A1579" s="8">
        <v>20618</v>
      </c>
      <c r="B1579" s="1" t="s">
        <v>106</v>
      </c>
      <c r="C1579" s="1">
        <v>0</v>
      </c>
      <c r="D1579" s="1">
        <v>17.52</v>
      </c>
      <c r="E1579" s="1">
        <v>8.17</v>
      </c>
      <c r="F1579" s="1">
        <v>2801</v>
      </c>
      <c r="G1579" s="6" t="str">
        <f>IF(COUNTIF(Table1[Customer ID],Table1[[#This Row],[Customer ID]])&gt;1,"Repeat Customer","One-Time Customer")</f>
        <v>One-Time Customer</v>
      </c>
      <c r="H1579" s="1" t="s">
        <v>2574</v>
      </c>
      <c r="I1579" s="1" t="s">
        <v>49</v>
      </c>
      <c r="J1579" s="1" t="s">
        <v>40</v>
      </c>
      <c r="K1579" s="1" t="s">
        <v>29</v>
      </c>
      <c r="L1579" s="1" t="s">
        <v>257</v>
      </c>
      <c r="M1579" s="1" t="s">
        <v>86</v>
      </c>
      <c r="N1579" s="1" t="s">
        <v>2575</v>
      </c>
      <c r="O1579" s="1">
        <v>0.5</v>
      </c>
      <c r="P1579" s="6">
        <f>Table1[[#This Row],[Profit]]/Table1[[#This Row],[Sales]]</f>
        <v>0.18556657522684111</v>
      </c>
      <c r="Q1579" s="1" t="s">
        <v>33</v>
      </c>
      <c r="R1579" s="1" t="s">
        <v>34</v>
      </c>
      <c r="S1579" s="1" t="s">
        <v>378</v>
      </c>
      <c r="T1579" s="1" t="s">
        <v>2527</v>
      </c>
      <c r="U1579" s="1">
        <v>85224</v>
      </c>
      <c r="V1579" s="9">
        <v>42183</v>
      </c>
      <c r="W1579" s="13" t="str">
        <f>TEXT(Table1[[#This Row],[Order Date]],"mmmm")</f>
        <v>June</v>
      </c>
      <c r="X1579" s="7" t="str">
        <f>TEXT(Table1[[#This Row],[Order Date]],"yyyy")</f>
        <v>2015</v>
      </c>
      <c r="Y1579" s="9">
        <v>42188</v>
      </c>
      <c r="Z1579" s="1">
        <v>52.763999999999996</v>
      </c>
      <c r="AA1579" s="1">
        <v>15</v>
      </c>
      <c r="AB1579" s="1">
        <v>284.33999999999997</v>
      </c>
      <c r="AC1579" s="1">
        <v>91049</v>
      </c>
      <c r="AD1579" s="6" t="str">
        <f>IF(COUNTIF(Returns!$A$2:$A$1635,Orders!AC1579)&gt;0,"Returned","Not Returned")</f>
        <v>Not Returned</v>
      </c>
    </row>
    <row r="1580" spans="1:30" ht="12.75" customHeight="1" thickTop="1" thickBot="1" x14ac:dyDescent="0.25">
      <c r="A1580" s="10">
        <v>18070</v>
      </c>
      <c r="B1580" s="11" t="s">
        <v>56</v>
      </c>
      <c r="C1580" s="11">
        <v>7.0000000000000007E-2</v>
      </c>
      <c r="D1580" s="11">
        <v>500.98</v>
      </c>
      <c r="E1580" s="11">
        <v>28.14</v>
      </c>
      <c r="F1580" s="11">
        <v>2803</v>
      </c>
      <c r="G1580" s="6" t="str">
        <f>IF(COUNTIF(Table1[Customer ID],Table1[[#This Row],[Customer ID]])&gt;1,"Repeat Customer","One-Time Customer")</f>
        <v>Repeat Customer</v>
      </c>
      <c r="H1580" s="11" t="s">
        <v>2576</v>
      </c>
      <c r="I1580" s="11" t="s">
        <v>39</v>
      </c>
      <c r="J1580" s="11" t="s">
        <v>58</v>
      </c>
      <c r="K1580" s="11" t="s">
        <v>77</v>
      </c>
      <c r="L1580" s="11" t="s">
        <v>85</v>
      </c>
      <c r="M1580" s="11" t="s">
        <v>43</v>
      </c>
      <c r="N1580" s="11" t="s">
        <v>2577</v>
      </c>
      <c r="O1580" s="11">
        <v>0.38</v>
      </c>
      <c r="P1580" s="6">
        <f>Table1[[#This Row],[Profit]]/Table1[[#This Row],[Sales]]</f>
        <v>0.69</v>
      </c>
      <c r="Q1580" s="11" t="s">
        <v>33</v>
      </c>
      <c r="R1580" s="11" t="s">
        <v>34</v>
      </c>
      <c r="S1580" s="11" t="s">
        <v>45</v>
      </c>
      <c r="T1580" s="11" t="s">
        <v>2578</v>
      </c>
      <c r="U1580" s="11">
        <v>90022</v>
      </c>
      <c r="V1580" s="12">
        <v>42040</v>
      </c>
      <c r="W1580" s="13" t="str">
        <f>TEXT(Table1[[#This Row],[Order Date]],"mmmm")</f>
        <v>February</v>
      </c>
      <c r="X1580" s="7" t="str">
        <f>TEXT(Table1[[#This Row],[Order Date]],"yyyy")</f>
        <v>2015</v>
      </c>
      <c r="Y1580" s="12">
        <v>42041</v>
      </c>
      <c r="Z1580" s="11">
        <v>2699.9838</v>
      </c>
      <c r="AA1580" s="11">
        <v>10</v>
      </c>
      <c r="AB1580" s="11">
        <v>3913.02</v>
      </c>
      <c r="AC1580" s="11">
        <v>86227</v>
      </c>
      <c r="AD1580" s="6" t="str">
        <f>IF(COUNTIF(Returns!$A$2:$A$1635,Orders!AC1580)&gt;0,"Returned","Not Returned")</f>
        <v>Not Returned</v>
      </c>
    </row>
    <row r="1581" spans="1:30" ht="12.75" customHeight="1" thickTop="1" thickBot="1" x14ac:dyDescent="0.25">
      <c r="A1581" s="8">
        <v>18071</v>
      </c>
      <c r="B1581" s="1" t="s">
        <v>56</v>
      </c>
      <c r="C1581" s="1">
        <v>0.1</v>
      </c>
      <c r="D1581" s="1">
        <v>178.47</v>
      </c>
      <c r="E1581" s="1">
        <v>19.989999999999998</v>
      </c>
      <c r="F1581" s="1">
        <v>2803</v>
      </c>
      <c r="G1581" s="6" t="str">
        <f>IF(COUNTIF(Table1[Customer ID],Table1[[#This Row],[Customer ID]])&gt;1,"Repeat Customer","One-Time Customer")</f>
        <v>Repeat Customer</v>
      </c>
      <c r="H1581" s="1" t="s">
        <v>2576</v>
      </c>
      <c r="I1581" s="1" t="s">
        <v>49</v>
      </c>
      <c r="J1581" s="1" t="s">
        <v>58</v>
      </c>
      <c r="K1581" s="1" t="s">
        <v>29</v>
      </c>
      <c r="L1581" s="1" t="s">
        <v>141</v>
      </c>
      <c r="M1581" s="1" t="s">
        <v>59</v>
      </c>
      <c r="N1581" s="1" t="s">
        <v>528</v>
      </c>
      <c r="O1581" s="1">
        <v>0.55000000000000004</v>
      </c>
      <c r="P1581" s="6">
        <f>Table1[[#This Row],[Profit]]/Table1[[#This Row],[Sales]]</f>
        <v>-0.94915066059731323</v>
      </c>
      <c r="Q1581" s="1" t="s">
        <v>33</v>
      </c>
      <c r="R1581" s="1" t="s">
        <v>34</v>
      </c>
      <c r="S1581" s="1" t="s">
        <v>45</v>
      </c>
      <c r="T1581" s="1" t="s">
        <v>2578</v>
      </c>
      <c r="U1581" s="1">
        <v>90022</v>
      </c>
      <c r="V1581" s="9">
        <v>42040</v>
      </c>
      <c r="W1581" s="13" t="str">
        <f>TEXT(Table1[[#This Row],[Order Date]],"mmmm")</f>
        <v>February</v>
      </c>
      <c r="X1581" s="7" t="str">
        <f>TEXT(Table1[[#This Row],[Order Date]],"yyyy")</f>
        <v>2015</v>
      </c>
      <c r="Y1581" s="9">
        <v>42042</v>
      </c>
      <c r="Z1581" s="1">
        <v>-170.98</v>
      </c>
      <c r="AA1581" s="1">
        <v>1</v>
      </c>
      <c r="AB1581" s="1">
        <v>180.14</v>
      </c>
      <c r="AC1581" s="1">
        <v>86227</v>
      </c>
      <c r="AD1581" s="6" t="str">
        <f>IF(COUNTIF(Returns!$A$2:$A$1635,Orders!AC1581)&gt;0,"Returned","Not Returned")</f>
        <v>Not Returned</v>
      </c>
    </row>
    <row r="1582" spans="1:30" ht="12.75" customHeight="1" thickTop="1" thickBot="1" x14ac:dyDescent="0.25">
      <c r="A1582" s="10">
        <v>24604</v>
      </c>
      <c r="B1582" s="11" t="s">
        <v>56</v>
      </c>
      <c r="C1582" s="11">
        <v>7.0000000000000007E-2</v>
      </c>
      <c r="D1582" s="11">
        <v>30.56</v>
      </c>
      <c r="E1582" s="11">
        <v>2.99</v>
      </c>
      <c r="F1582" s="11">
        <v>2813</v>
      </c>
      <c r="G1582" s="6" t="str">
        <f>IF(COUNTIF(Table1[Customer ID],Table1[[#This Row],[Customer ID]])&gt;1,"Repeat Customer","One-Time Customer")</f>
        <v>One-Time Customer</v>
      </c>
      <c r="H1582" s="11" t="s">
        <v>2579</v>
      </c>
      <c r="I1582" s="11" t="s">
        <v>49</v>
      </c>
      <c r="J1582" s="11" t="s">
        <v>28</v>
      </c>
      <c r="K1582" s="11" t="s">
        <v>29</v>
      </c>
      <c r="L1582" s="11" t="s">
        <v>109</v>
      </c>
      <c r="M1582" s="11" t="s">
        <v>59</v>
      </c>
      <c r="N1582" s="11" t="s">
        <v>2580</v>
      </c>
      <c r="O1582" s="11">
        <v>0.35</v>
      </c>
      <c r="P1582" s="6">
        <f>Table1[[#This Row],[Profit]]/Table1[[#This Row],[Sales]]</f>
        <v>-0.26202619752274475</v>
      </c>
      <c r="Q1582" s="11" t="s">
        <v>33</v>
      </c>
      <c r="R1582" s="11" t="s">
        <v>136</v>
      </c>
      <c r="S1582" s="11" t="s">
        <v>244</v>
      </c>
      <c r="T1582" s="11" t="s">
        <v>2581</v>
      </c>
      <c r="U1582" s="11">
        <v>37311</v>
      </c>
      <c r="V1582" s="12">
        <v>42042</v>
      </c>
      <c r="W1582" s="13" t="str">
        <f>TEXT(Table1[[#This Row],[Order Date]],"mmmm")</f>
        <v>February</v>
      </c>
      <c r="X1582" s="7" t="str">
        <f>TEXT(Table1[[#This Row],[Order Date]],"yyyy")</f>
        <v>2015</v>
      </c>
      <c r="Y1582" s="12">
        <v>42042</v>
      </c>
      <c r="Z1582" s="11">
        <v>-95.618600000000015</v>
      </c>
      <c r="AA1582" s="11">
        <v>12</v>
      </c>
      <c r="AB1582" s="11">
        <v>364.92</v>
      </c>
      <c r="AC1582" s="11">
        <v>88819</v>
      </c>
      <c r="AD1582" s="6" t="str">
        <f>IF(COUNTIF(Returns!$A$2:$A$1635,Orders!AC1582)&gt;0,"Returned","Not Returned")</f>
        <v>Not Returned</v>
      </c>
    </row>
    <row r="1583" spans="1:30" ht="12.75" customHeight="1" thickTop="1" thickBot="1" x14ac:dyDescent="0.25">
      <c r="A1583" s="8">
        <v>24044</v>
      </c>
      <c r="B1583" s="1" t="s">
        <v>25</v>
      </c>
      <c r="C1583" s="1">
        <v>0.05</v>
      </c>
      <c r="D1583" s="1">
        <v>4.71</v>
      </c>
      <c r="E1583" s="1">
        <v>0.7</v>
      </c>
      <c r="F1583" s="1">
        <v>2817</v>
      </c>
      <c r="G1583" s="6" t="str">
        <f>IF(COUNTIF(Table1[Customer ID],Table1[[#This Row],[Customer ID]])&gt;1,"Repeat Customer","One-Time Customer")</f>
        <v>Repeat Customer</v>
      </c>
      <c r="H1583" s="1" t="s">
        <v>2582</v>
      </c>
      <c r="I1583" s="1" t="s">
        <v>27</v>
      </c>
      <c r="J1583" s="1" t="s">
        <v>28</v>
      </c>
      <c r="K1583" s="1" t="s">
        <v>29</v>
      </c>
      <c r="L1583" s="1" t="s">
        <v>66</v>
      </c>
      <c r="M1583" s="1" t="s">
        <v>31</v>
      </c>
      <c r="N1583" s="1" t="s">
        <v>1232</v>
      </c>
      <c r="O1583" s="1">
        <v>0.8</v>
      </c>
      <c r="P1583" s="6">
        <f>Table1[[#This Row],[Profit]]/Table1[[#This Row],[Sales]]</f>
        <v>-0.19539473684210529</v>
      </c>
      <c r="Q1583" s="1" t="s">
        <v>33</v>
      </c>
      <c r="R1583" s="1" t="s">
        <v>53</v>
      </c>
      <c r="S1583" s="1" t="s">
        <v>154</v>
      </c>
      <c r="T1583" s="1" t="s">
        <v>401</v>
      </c>
      <c r="U1583" s="1">
        <v>43055</v>
      </c>
      <c r="V1583" s="9">
        <v>42156</v>
      </c>
      <c r="W1583" s="13" t="str">
        <f>TEXT(Table1[[#This Row],[Order Date]],"mmmm")</f>
        <v>June</v>
      </c>
      <c r="X1583" s="7" t="str">
        <f>TEXT(Table1[[#This Row],[Order Date]],"yyyy")</f>
        <v>2015</v>
      </c>
      <c r="Y1583" s="9">
        <v>42157</v>
      </c>
      <c r="Z1583" s="1">
        <v>-2.3760000000000003</v>
      </c>
      <c r="AA1583" s="1">
        <v>2</v>
      </c>
      <c r="AB1583" s="1">
        <v>12.16</v>
      </c>
      <c r="AC1583" s="1">
        <v>89743</v>
      </c>
      <c r="AD1583" s="6" t="str">
        <f>IF(COUNTIF(Returns!$A$2:$A$1635,Orders!AC1583)&gt;0,"Returned","Not Returned")</f>
        <v>Not Returned</v>
      </c>
    </row>
    <row r="1584" spans="1:30" ht="12.75" customHeight="1" thickTop="1" thickBot="1" x14ac:dyDescent="0.25">
      <c r="A1584" s="10">
        <v>24045</v>
      </c>
      <c r="B1584" s="11" t="s">
        <v>25</v>
      </c>
      <c r="C1584" s="11">
        <v>0.04</v>
      </c>
      <c r="D1584" s="11">
        <v>55.99</v>
      </c>
      <c r="E1584" s="11">
        <v>1.25</v>
      </c>
      <c r="F1584" s="11">
        <v>2817</v>
      </c>
      <c r="G1584" s="6" t="str">
        <f>IF(COUNTIF(Table1[Customer ID],Table1[[#This Row],[Customer ID]])&gt;1,"Repeat Customer","One-Time Customer")</f>
        <v>Repeat Customer</v>
      </c>
      <c r="H1584" s="11" t="s">
        <v>2582</v>
      </c>
      <c r="I1584" s="11" t="s">
        <v>27</v>
      </c>
      <c r="J1584" s="11" t="s">
        <v>28</v>
      </c>
      <c r="K1584" s="11" t="s">
        <v>77</v>
      </c>
      <c r="L1584" s="11" t="s">
        <v>78</v>
      </c>
      <c r="M1584" s="11" t="s">
        <v>51</v>
      </c>
      <c r="N1584" s="11" t="s">
        <v>2583</v>
      </c>
      <c r="O1584" s="11">
        <v>0.35</v>
      </c>
      <c r="P1584" s="6">
        <f>Table1[[#This Row],[Profit]]/Table1[[#This Row],[Sales]]</f>
        <v>-0.12416373000813229</v>
      </c>
      <c r="Q1584" s="11" t="s">
        <v>33</v>
      </c>
      <c r="R1584" s="11" t="s">
        <v>53</v>
      </c>
      <c r="S1584" s="11" t="s">
        <v>154</v>
      </c>
      <c r="T1584" s="11" t="s">
        <v>401</v>
      </c>
      <c r="U1584" s="11">
        <v>43055</v>
      </c>
      <c r="V1584" s="12">
        <v>42156</v>
      </c>
      <c r="W1584" s="13" t="str">
        <f>TEXT(Table1[[#This Row],[Order Date]],"mmmm")</f>
        <v>June</v>
      </c>
      <c r="X1584" s="7" t="str">
        <f>TEXT(Table1[[#This Row],[Order Date]],"yyyy")</f>
        <v>2015</v>
      </c>
      <c r="Y1584" s="12">
        <v>42157</v>
      </c>
      <c r="Z1584" s="11">
        <v>-18.3216</v>
      </c>
      <c r="AA1584" s="11">
        <v>3</v>
      </c>
      <c r="AB1584" s="11">
        <v>147.56</v>
      </c>
      <c r="AC1584" s="11">
        <v>89743</v>
      </c>
      <c r="AD1584" s="6" t="str">
        <f>IF(COUNTIF(Returns!$A$2:$A$1635,Orders!AC1584)&gt;0,"Returned","Not Returned")</f>
        <v>Not Returned</v>
      </c>
    </row>
    <row r="1585" spans="1:30" ht="12.75" customHeight="1" thickTop="1" thickBot="1" x14ac:dyDescent="0.25">
      <c r="A1585" s="8">
        <v>24373</v>
      </c>
      <c r="B1585" s="1" t="s">
        <v>106</v>
      </c>
      <c r="C1585" s="1">
        <v>0.08</v>
      </c>
      <c r="D1585" s="1">
        <v>6.48</v>
      </c>
      <c r="E1585" s="1">
        <v>2.74</v>
      </c>
      <c r="F1585" s="1">
        <v>2820</v>
      </c>
      <c r="G1585" s="6" t="str">
        <f>IF(COUNTIF(Table1[Customer ID],Table1[[#This Row],[Customer ID]])&gt;1,"Repeat Customer","One-Time Customer")</f>
        <v>Repeat Customer</v>
      </c>
      <c r="H1585" s="1" t="s">
        <v>2584</v>
      </c>
      <c r="I1585" s="1" t="s">
        <v>49</v>
      </c>
      <c r="J1585" s="1" t="s">
        <v>40</v>
      </c>
      <c r="K1585" s="1" t="s">
        <v>77</v>
      </c>
      <c r="L1585" s="1" t="s">
        <v>180</v>
      </c>
      <c r="M1585" s="1" t="s">
        <v>51</v>
      </c>
      <c r="N1585" s="1" t="s">
        <v>1662</v>
      </c>
      <c r="O1585" s="1">
        <v>0.71</v>
      </c>
      <c r="P1585" s="6">
        <f>Table1[[#This Row],[Profit]]/Table1[[#This Row],[Sales]]</f>
        <v>-0.72695285010555943</v>
      </c>
      <c r="Q1585" s="1" t="s">
        <v>33</v>
      </c>
      <c r="R1585" s="1" t="s">
        <v>61</v>
      </c>
      <c r="S1585" s="1" t="s">
        <v>506</v>
      </c>
      <c r="T1585" s="1" t="s">
        <v>2585</v>
      </c>
      <c r="U1585" s="1">
        <v>63129</v>
      </c>
      <c r="V1585" s="9">
        <v>42134</v>
      </c>
      <c r="W1585" s="13" t="str">
        <f>TEXT(Table1[[#This Row],[Order Date]],"mmmm")</f>
        <v>May</v>
      </c>
      <c r="X1585" s="7" t="str">
        <f>TEXT(Table1[[#This Row],[Order Date]],"yyyy")</f>
        <v>2015</v>
      </c>
      <c r="Y1585" s="9">
        <v>42136</v>
      </c>
      <c r="Z1585" s="1">
        <v>-82.64</v>
      </c>
      <c r="AA1585" s="1">
        <v>18</v>
      </c>
      <c r="AB1585" s="1">
        <v>113.68</v>
      </c>
      <c r="AC1585" s="1">
        <v>87899</v>
      </c>
      <c r="AD1585" s="6" t="str">
        <f>IF(COUNTIF(Returns!$A$2:$A$1635,Orders!AC1585)&gt;0,"Returned","Not Returned")</f>
        <v>Not Returned</v>
      </c>
    </row>
    <row r="1586" spans="1:30" ht="12.75" customHeight="1" thickTop="1" thickBot="1" x14ac:dyDescent="0.25">
      <c r="A1586" s="10">
        <v>24746</v>
      </c>
      <c r="B1586" s="11" t="s">
        <v>37</v>
      </c>
      <c r="C1586" s="11">
        <v>0.1</v>
      </c>
      <c r="D1586" s="11">
        <v>22.01</v>
      </c>
      <c r="E1586" s="11">
        <v>5.53</v>
      </c>
      <c r="F1586" s="11">
        <v>2820</v>
      </c>
      <c r="G1586" s="6" t="str">
        <f>IF(COUNTIF(Table1[Customer ID],Table1[[#This Row],[Customer ID]])&gt;1,"Repeat Customer","One-Time Customer")</f>
        <v>Repeat Customer</v>
      </c>
      <c r="H1586" s="11" t="s">
        <v>2584</v>
      </c>
      <c r="I1586" s="11" t="s">
        <v>49</v>
      </c>
      <c r="J1586" s="11" t="s">
        <v>40</v>
      </c>
      <c r="K1586" s="11" t="s">
        <v>29</v>
      </c>
      <c r="L1586" s="11" t="s">
        <v>30</v>
      </c>
      <c r="M1586" s="11" t="s">
        <v>51</v>
      </c>
      <c r="N1586" s="11" t="s">
        <v>2051</v>
      </c>
      <c r="O1586" s="11">
        <v>0.59</v>
      </c>
      <c r="P1586" s="6">
        <f>Table1[[#This Row],[Profit]]/Table1[[#This Row],[Sales]]</f>
        <v>0.1121206743566992</v>
      </c>
      <c r="Q1586" s="11" t="s">
        <v>33</v>
      </c>
      <c r="R1586" s="11" t="s">
        <v>61</v>
      </c>
      <c r="S1586" s="11" t="s">
        <v>506</v>
      </c>
      <c r="T1586" s="11" t="s">
        <v>2585</v>
      </c>
      <c r="U1586" s="11">
        <v>63129</v>
      </c>
      <c r="V1586" s="12">
        <v>42018</v>
      </c>
      <c r="W1586" s="13" t="str">
        <f>TEXT(Table1[[#This Row],[Order Date]],"mmmm")</f>
        <v>January</v>
      </c>
      <c r="X1586" s="7" t="str">
        <f>TEXT(Table1[[#This Row],[Order Date]],"yyyy")</f>
        <v>2015</v>
      </c>
      <c r="Y1586" s="12">
        <v>42019</v>
      </c>
      <c r="Z1586" s="11">
        <v>31.59</v>
      </c>
      <c r="AA1586" s="11">
        <v>14</v>
      </c>
      <c r="AB1586" s="11">
        <v>281.75</v>
      </c>
      <c r="AC1586" s="11">
        <v>87900</v>
      </c>
      <c r="AD1586" s="6" t="str">
        <f>IF(COUNTIF(Returns!$A$2:$A$1635,Orders!AC1586)&gt;0,"Returned","Not Returned")</f>
        <v>Not Returned</v>
      </c>
    </row>
    <row r="1587" spans="1:30" ht="12.75" customHeight="1" thickTop="1" thickBot="1" x14ac:dyDescent="0.25">
      <c r="A1587" s="8">
        <v>23803</v>
      </c>
      <c r="B1587" s="1" t="s">
        <v>106</v>
      </c>
      <c r="C1587" s="1">
        <v>0.02</v>
      </c>
      <c r="D1587" s="1">
        <v>21.98</v>
      </c>
      <c r="E1587" s="1">
        <v>2.87</v>
      </c>
      <c r="F1587" s="1">
        <v>2823</v>
      </c>
      <c r="G1587" s="6" t="str">
        <f>IF(COUNTIF(Table1[Customer ID],Table1[[#This Row],[Customer ID]])&gt;1,"Repeat Customer","One-Time Customer")</f>
        <v>One-Time Customer</v>
      </c>
      <c r="H1587" s="1" t="s">
        <v>2586</v>
      </c>
      <c r="I1587" s="1" t="s">
        <v>49</v>
      </c>
      <c r="J1587" s="1" t="s">
        <v>28</v>
      </c>
      <c r="K1587" s="1" t="s">
        <v>29</v>
      </c>
      <c r="L1587" s="1" t="s">
        <v>30</v>
      </c>
      <c r="M1587" s="1" t="s">
        <v>51</v>
      </c>
      <c r="N1587" s="1" t="s">
        <v>2587</v>
      </c>
      <c r="O1587" s="1">
        <v>0.55000000000000004</v>
      </c>
      <c r="P1587" s="6">
        <f>Table1[[#This Row],[Profit]]/Table1[[#This Row],[Sales]]</f>
        <v>0.69</v>
      </c>
      <c r="Q1587" s="1" t="s">
        <v>33</v>
      </c>
      <c r="R1587" s="1" t="s">
        <v>34</v>
      </c>
      <c r="S1587" s="1" t="s">
        <v>533</v>
      </c>
      <c r="T1587" s="1" t="s">
        <v>2588</v>
      </c>
      <c r="U1587" s="1">
        <v>89031</v>
      </c>
      <c r="V1587" s="9">
        <v>42124</v>
      </c>
      <c r="W1587" s="13" t="str">
        <f>TEXT(Table1[[#This Row],[Order Date]],"mmmm")</f>
        <v>April</v>
      </c>
      <c r="X1587" s="7" t="str">
        <f>TEXT(Table1[[#This Row],[Order Date]],"yyyy")</f>
        <v>2015</v>
      </c>
      <c r="Y1587" s="9">
        <v>42126</v>
      </c>
      <c r="Z1587" s="1">
        <v>165.6345</v>
      </c>
      <c r="AA1587" s="1">
        <v>11</v>
      </c>
      <c r="AB1587" s="1">
        <v>240.05</v>
      </c>
      <c r="AC1587" s="1">
        <v>87240</v>
      </c>
      <c r="AD1587" s="6" t="str">
        <f>IF(COUNTIF(Returns!$A$2:$A$1635,Orders!AC1587)&gt;0,"Returned","Not Returned")</f>
        <v>Not Returned</v>
      </c>
    </row>
    <row r="1588" spans="1:30" ht="12.75" customHeight="1" thickTop="1" thickBot="1" x14ac:dyDescent="0.25">
      <c r="A1588" s="10">
        <v>22660</v>
      </c>
      <c r="B1588" s="11" t="s">
        <v>106</v>
      </c>
      <c r="C1588" s="11">
        <v>0.02</v>
      </c>
      <c r="D1588" s="11">
        <v>27.48</v>
      </c>
      <c r="E1588" s="11">
        <v>4</v>
      </c>
      <c r="F1588" s="11">
        <v>2825</v>
      </c>
      <c r="G1588" s="6" t="str">
        <f>IF(COUNTIF(Table1[Customer ID],Table1[[#This Row],[Customer ID]])&gt;1,"Repeat Customer","One-Time Customer")</f>
        <v>Repeat Customer</v>
      </c>
      <c r="H1588" s="11" t="s">
        <v>2589</v>
      </c>
      <c r="I1588" s="11" t="s">
        <v>49</v>
      </c>
      <c r="J1588" s="11" t="s">
        <v>114</v>
      </c>
      <c r="K1588" s="11" t="s">
        <v>77</v>
      </c>
      <c r="L1588" s="11" t="s">
        <v>180</v>
      </c>
      <c r="M1588" s="11" t="s">
        <v>59</v>
      </c>
      <c r="N1588" s="11" t="s">
        <v>870</v>
      </c>
      <c r="O1588" s="11">
        <v>0.75</v>
      </c>
      <c r="P1588" s="6">
        <f>Table1[[#This Row],[Profit]]/Table1[[#This Row],[Sales]]</f>
        <v>0.22139662882696964</v>
      </c>
      <c r="Q1588" s="11" t="s">
        <v>33</v>
      </c>
      <c r="R1588" s="11" t="s">
        <v>34</v>
      </c>
      <c r="S1588" s="11" t="s">
        <v>1741</v>
      </c>
      <c r="T1588" s="11" t="s">
        <v>2454</v>
      </c>
      <c r="U1588" s="11">
        <v>83701</v>
      </c>
      <c r="V1588" s="12">
        <v>42144</v>
      </c>
      <c r="W1588" s="13" t="str">
        <f>TEXT(Table1[[#This Row],[Order Date]],"mmmm")</f>
        <v>May</v>
      </c>
      <c r="X1588" s="7" t="str">
        <f>TEXT(Table1[[#This Row],[Order Date]],"yyyy")</f>
        <v>2015</v>
      </c>
      <c r="Y1588" s="12">
        <v>42151</v>
      </c>
      <c r="Z1588" s="11">
        <v>19.308000000000021</v>
      </c>
      <c r="AA1588" s="11">
        <v>3</v>
      </c>
      <c r="AB1588" s="11">
        <v>87.21</v>
      </c>
      <c r="AC1588" s="11">
        <v>89497</v>
      </c>
      <c r="AD1588" s="6" t="str">
        <f>IF(COUNTIF(Returns!$A$2:$A$1635,Orders!AC1588)&gt;0,"Returned","Not Returned")</f>
        <v>Not Returned</v>
      </c>
    </row>
    <row r="1589" spans="1:30" ht="12.75" customHeight="1" thickTop="1" thickBot="1" x14ac:dyDescent="0.25">
      <c r="A1589" s="8">
        <v>22661</v>
      </c>
      <c r="B1589" s="1" t="s">
        <v>106</v>
      </c>
      <c r="C1589" s="1">
        <v>0.08</v>
      </c>
      <c r="D1589" s="1">
        <v>10.06</v>
      </c>
      <c r="E1589" s="1">
        <v>2.06</v>
      </c>
      <c r="F1589" s="1">
        <v>2825</v>
      </c>
      <c r="G1589" s="6" t="str">
        <f>IF(COUNTIF(Table1[Customer ID],Table1[[#This Row],[Customer ID]])&gt;1,"Repeat Customer","One-Time Customer")</f>
        <v>Repeat Customer</v>
      </c>
      <c r="H1589" s="1" t="s">
        <v>2589</v>
      </c>
      <c r="I1589" s="1" t="s">
        <v>49</v>
      </c>
      <c r="J1589" s="1" t="s">
        <v>114</v>
      </c>
      <c r="K1589" s="1" t="s">
        <v>29</v>
      </c>
      <c r="L1589" s="1" t="s">
        <v>93</v>
      </c>
      <c r="M1589" s="1" t="s">
        <v>31</v>
      </c>
      <c r="N1589" s="1" t="s">
        <v>280</v>
      </c>
      <c r="O1589" s="1">
        <v>0.39</v>
      </c>
      <c r="P1589" s="6">
        <f>Table1[[#This Row],[Profit]]/Table1[[#This Row],[Sales]]</f>
        <v>8.2191780821917037E-3</v>
      </c>
      <c r="Q1589" s="1" t="s">
        <v>33</v>
      </c>
      <c r="R1589" s="1" t="s">
        <v>34</v>
      </c>
      <c r="S1589" s="1" t="s">
        <v>1741</v>
      </c>
      <c r="T1589" s="1" t="s">
        <v>2454</v>
      </c>
      <c r="U1589" s="1">
        <v>83701</v>
      </c>
      <c r="V1589" s="9">
        <v>42144</v>
      </c>
      <c r="W1589" s="13" t="str">
        <f>TEXT(Table1[[#This Row],[Order Date]],"mmmm")</f>
        <v>May</v>
      </c>
      <c r="X1589" s="7" t="str">
        <f>TEXT(Table1[[#This Row],[Order Date]],"yyyy")</f>
        <v>2015</v>
      </c>
      <c r="Y1589" s="9">
        <v>42148</v>
      </c>
      <c r="Z1589" s="1">
        <v>0.32999999999999691</v>
      </c>
      <c r="AA1589" s="1">
        <v>4</v>
      </c>
      <c r="AB1589" s="1">
        <v>40.15</v>
      </c>
      <c r="AC1589" s="1">
        <v>89497</v>
      </c>
      <c r="AD1589" s="6" t="str">
        <f>IF(COUNTIF(Returns!$A$2:$A$1635,Orders!AC1589)&gt;0,"Returned","Not Returned")</f>
        <v>Not Returned</v>
      </c>
    </row>
    <row r="1590" spans="1:30" ht="12.75" customHeight="1" thickTop="1" thickBot="1" x14ac:dyDescent="0.25">
      <c r="A1590" s="10">
        <v>24607</v>
      </c>
      <c r="B1590" s="11" t="s">
        <v>25</v>
      </c>
      <c r="C1590" s="11">
        <v>0.05</v>
      </c>
      <c r="D1590" s="11">
        <v>11.29</v>
      </c>
      <c r="E1590" s="11">
        <v>5.03</v>
      </c>
      <c r="F1590" s="11">
        <v>2828</v>
      </c>
      <c r="G1590" s="6" t="str">
        <f>IF(COUNTIF(Table1[Customer ID],Table1[[#This Row],[Customer ID]])&gt;1,"Repeat Customer","One-Time Customer")</f>
        <v>Repeat Customer</v>
      </c>
      <c r="H1590" s="11" t="s">
        <v>2590</v>
      </c>
      <c r="I1590" s="11" t="s">
        <v>49</v>
      </c>
      <c r="J1590" s="11" t="s">
        <v>28</v>
      </c>
      <c r="K1590" s="11" t="s">
        <v>29</v>
      </c>
      <c r="L1590" s="11" t="s">
        <v>141</v>
      </c>
      <c r="M1590" s="11" t="s">
        <v>59</v>
      </c>
      <c r="N1590" s="11" t="s">
        <v>1453</v>
      </c>
      <c r="O1590" s="11">
        <v>0.59</v>
      </c>
      <c r="P1590" s="6">
        <f>Table1[[#This Row],[Profit]]/Table1[[#This Row],[Sales]]</f>
        <v>-0.38978554057041787</v>
      </c>
      <c r="Q1590" s="11" t="s">
        <v>33</v>
      </c>
      <c r="R1590" s="11" t="s">
        <v>34</v>
      </c>
      <c r="S1590" s="11" t="s">
        <v>45</v>
      </c>
      <c r="T1590" s="11" t="s">
        <v>2591</v>
      </c>
      <c r="U1590" s="11">
        <v>92243</v>
      </c>
      <c r="V1590" s="12">
        <v>42054</v>
      </c>
      <c r="W1590" s="13" t="str">
        <f>TEXT(Table1[[#This Row],[Order Date]],"mmmm")</f>
        <v>February</v>
      </c>
      <c r="X1590" s="7" t="str">
        <f>TEXT(Table1[[#This Row],[Order Date]],"yyyy")</f>
        <v>2015</v>
      </c>
      <c r="Y1590" s="12">
        <v>42056</v>
      </c>
      <c r="Z1590" s="11">
        <v>-35.26</v>
      </c>
      <c r="AA1590" s="11">
        <v>8</v>
      </c>
      <c r="AB1590" s="11">
        <v>90.46</v>
      </c>
      <c r="AC1590" s="11">
        <v>87720</v>
      </c>
      <c r="AD1590" s="6" t="str">
        <f>IF(COUNTIF(Returns!$A$2:$A$1635,Orders!AC1590)&gt;0,"Returned","Not Returned")</f>
        <v>Not Returned</v>
      </c>
    </row>
    <row r="1591" spans="1:30" ht="12.75" customHeight="1" thickTop="1" thickBot="1" x14ac:dyDescent="0.25">
      <c r="A1591" s="8">
        <v>23431</v>
      </c>
      <c r="B1591" s="1" t="s">
        <v>56</v>
      </c>
      <c r="C1591" s="1">
        <v>7.0000000000000007E-2</v>
      </c>
      <c r="D1591" s="1">
        <v>39.479999999999997</v>
      </c>
      <c r="E1591" s="1">
        <v>1.99</v>
      </c>
      <c r="F1591" s="1">
        <v>2828</v>
      </c>
      <c r="G1591" s="6" t="str">
        <f>IF(COUNTIF(Table1[Customer ID],Table1[[#This Row],[Customer ID]])&gt;1,"Repeat Customer","One-Time Customer")</f>
        <v>Repeat Customer</v>
      </c>
      <c r="H1591" s="1" t="s">
        <v>2590</v>
      </c>
      <c r="I1591" s="1" t="s">
        <v>49</v>
      </c>
      <c r="J1591" s="1" t="s">
        <v>28</v>
      </c>
      <c r="K1591" s="1" t="s">
        <v>77</v>
      </c>
      <c r="L1591" s="1" t="s">
        <v>180</v>
      </c>
      <c r="M1591" s="1" t="s">
        <v>51</v>
      </c>
      <c r="N1591" s="1" t="s">
        <v>705</v>
      </c>
      <c r="O1591" s="1">
        <v>0.54</v>
      </c>
      <c r="P1591" s="6">
        <f>Table1[[#This Row],[Profit]]/Table1[[#This Row],[Sales]]</f>
        <v>0.69</v>
      </c>
      <c r="Q1591" s="1" t="s">
        <v>33</v>
      </c>
      <c r="R1591" s="1" t="s">
        <v>34</v>
      </c>
      <c r="S1591" s="1" t="s">
        <v>45</v>
      </c>
      <c r="T1591" s="1" t="s">
        <v>2591</v>
      </c>
      <c r="U1591" s="1">
        <v>92243</v>
      </c>
      <c r="V1591" s="9">
        <v>42156</v>
      </c>
      <c r="W1591" s="13" t="str">
        <f>TEXT(Table1[[#This Row],[Order Date]],"mmmm")</f>
        <v>June</v>
      </c>
      <c r="X1591" s="7" t="str">
        <f>TEXT(Table1[[#This Row],[Order Date]],"yyyy")</f>
        <v>2015</v>
      </c>
      <c r="Y1591" s="9">
        <v>42157</v>
      </c>
      <c r="Z1591" s="1">
        <v>322.25069999999994</v>
      </c>
      <c r="AA1591" s="1">
        <v>12</v>
      </c>
      <c r="AB1591" s="1">
        <v>467.03</v>
      </c>
      <c r="AC1591" s="1">
        <v>87721</v>
      </c>
      <c r="AD1591" s="6" t="str">
        <f>IF(COUNTIF(Returns!$A$2:$A$1635,Orders!AC1591)&gt;0,"Returned","Not Returned")</f>
        <v>Not Returned</v>
      </c>
    </row>
    <row r="1592" spans="1:30" ht="12.75" customHeight="1" thickTop="1" thickBot="1" x14ac:dyDescent="0.25">
      <c r="A1592" s="10">
        <v>20594</v>
      </c>
      <c r="B1592" s="11" t="s">
        <v>37</v>
      </c>
      <c r="C1592" s="11">
        <v>0.03</v>
      </c>
      <c r="D1592" s="11">
        <v>140.97999999999999</v>
      </c>
      <c r="E1592" s="11">
        <v>36.090000000000003</v>
      </c>
      <c r="F1592" s="11">
        <v>2833</v>
      </c>
      <c r="G1592" s="6" t="str">
        <f>IF(COUNTIF(Table1[Customer ID],Table1[[#This Row],[Customer ID]])&gt;1,"Repeat Customer","One-Time Customer")</f>
        <v>Repeat Customer</v>
      </c>
      <c r="H1592" s="11" t="s">
        <v>2592</v>
      </c>
      <c r="I1592" s="11" t="s">
        <v>39</v>
      </c>
      <c r="J1592" s="11" t="s">
        <v>58</v>
      </c>
      <c r="K1592" s="11" t="s">
        <v>41</v>
      </c>
      <c r="L1592" s="11" t="s">
        <v>191</v>
      </c>
      <c r="M1592" s="11" t="s">
        <v>121</v>
      </c>
      <c r="N1592" s="11" t="s">
        <v>1347</v>
      </c>
      <c r="O1592" s="11">
        <v>0.77</v>
      </c>
      <c r="P1592" s="6">
        <f>Table1[[#This Row],[Profit]]/Table1[[#This Row],[Sales]]</f>
        <v>-0.36382451010988653</v>
      </c>
      <c r="Q1592" s="11" t="s">
        <v>33</v>
      </c>
      <c r="R1592" s="11" t="s">
        <v>61</v>
      </c>
      <c r="S1592" s="11" t="s">
        <v>62</v>
      </c>
      <c r="T1592" s="11" t="s">
        <v>2593</v>
      </c>
      <c r="U1592" s="11">
        <v>55076</v>
      </c>
      <c r="V1592" s="12">
        <v>42088</v>
      </c>
      <c r="W1592" s="13" t="str">
        <f>TEXT(Table1[[#This Row],[Order Date]],"mmmm")</f>
        <v>March</v>
      </c>
      <c r="X1592" s="7" t="str">
        <f>TEXT(Table1[[#This Row],[Order Date]],"yyyy")</f>
        <v>2015</v>
      </c>
      <c r="Y1592" s="12">
        <v>42090</v>
      </c>
      <c r="Z1592" s="11">
        <v>-221.5</v>
      </c>
      <c r="AA1592" s="11">
        <v>4</v>
      </c>
      <c r="AB1592" s="11">
        <v>608.80999999999995</v>
      </c>
      <c r="AC1592" s="11">
        <v>91030</v>
      </c>
      <c r="AD1592" s="6" t="str">
        <f>IF(COUNTIF(Returns!$A$2:$A$1635,Orders!AC1592)&gt;0,"Returned","Not Returned")</f>
        <v>Not Returned</v>
      </c>
    </row>
    <row r="1593" spans="1:30" ht="12.75" customHeight="1" thickTop="1" thickBot="1" x14ac:dyDescent="0.25">
      <c r="A1593" s="8">
        <v>20595</v>
      </c>
      <c r="B1593" s="1" t="s">
        <v>37</v>
      </c>
      <c r="C1593" s="1">
        <v>0.08</v>
      </c>
      <c r="D1593" s="1">
        <v>65.989999999999995</v>
      </c>
      <c r="E1593" s="1">
        <v>8.99</v>
      </c>
      <c r="F1593" s="1">
        <v>2833</v>
      </c>
      <c r="G1593" s="6" t="str">
        <f>IF(COUNTIF(Table1[Customer ID],Table1[[#This Row],[Customer ID]])&gt;1,"Repeat Customer","One-Time Customer")</f>
        <v>Repeat Customer</v>
      </c>
      <c r="H1593" s="1" t="s">
        <v>2592</v>
      </c>
      <c r="I1593" s="1" t="s">
        <v>49</v>
      </c>
      <c r="J1593" s="1" t="s">
        <v>58</v>
      </c>
      <c r="K1593" s="1" t="s">
        <v>77</v>
      </c>
      <c r="L1593" s="1" t="s">
        <v>78</v>
      </c>
      <c r="M1593" s="1" t="s">
        <v>59</v>
      </c>
      <c r="N1593" s="1" t="s">
        <v>615</v>
      </c>
      <c r="O1593" s="1">
        <v>0.56000000000000005</v>
      </c>
      <c r="P1593" s="6">
        <f>Table1[[#This Row],[Profit]]/Table1[[#This Row],[Sales]]</f>
        <v>0.25519348016967386</v>
      </c>
      <c r="Q1593" s="1" t="s">
        <v>33</v>
      </c>
      <c r="R1593" s="1" t="s">
        <v>61</v>
      </c>
      <c r="S1593" s="1" t="s">
        <v>62</v>
      </c>
      <c r="T1593" s="1" t="s">
        <v>2593</v>
      </c>
      <c r="U1593" s="1">
        <v>55076</v>
      </c>
      <c r="V1593" s="9">
        <v>42088</v>
      </c>
      <c r="W1593" s="13" t="str">
        <f>TEXT(Table1[[#This Row],[Order Date]],"mmmm")</f>
        <v>March</v>
      </c>
      <c r="X1593" s="7" t="str">
        <f>TEXT(Table1[[#This Row],[Order Date]],"yyyy")</f>
        <v>2015</v>
      </c>
      <c r="Y1593" s="9">
        <v>42089</v>
      </c>
      <c r="Z1593" s="1">
        <v>206.352</v>
      </c>
      <c r="AA1593" s="1">
        <v>15</v>
      </c>
      <c r="AB1593" s="1">
        <v>808.61</v>
      </c>
      <c r="AC1593" s="1">
        <v>91030</v>
      </c>
      <c r="AD1593" s="6" t="str">
        <f>IF(COUNTIF(Returns!$A$2:$A$1635,Orders!AC1593)&gt;0,"Returned","Not Returned")</f>
        <v>Not Returned</v>
      </c>
    </row>
    <row r="1594" spans="1:30" ht="12.75" customHeight="1" thickTop="1" thickBot="1" x14ac:dyDescent="0.25">
      <c r="A1594" s="10">
        <v>19191</v>
      </c>
      <c r="B1594" s="11" t="s">
        <v>25</v>
      </c>
      <c r="C1594" s="11">
        <v>7.0000000000000007E-2</v>
      </c>
      <c r="D1594" s="11">
        <v>51.98</v>
      </c>
      <c r="E1594" s="11">
        <v>10.17</v>
      </c>
      <c r="F1594" s="11">
        <v>2837</v>
      </c>
      <c r="G1594" s="6" t="str">
        <f>IF(COUNTIF(Table1[Customer ID],Table1[[#This Row],[Customer ID]])&gt;1,"Repeat Customer","One-Time Customer")</f>
        <v>Repeat Customer</v>
      </c>
      <c r="H1594" s="11" t="s">
        <v>2594</v>
      </c>
      <c r="I1594" s="11" t="s">
        <v>49</v>
      </c>
      <c r="J1594" s="11" t="s">
        <v>40</v>
      </c>
      <c r="K1594" s="11" t="s">
        <v>77</v>
      </c>
      <c r="L1594" s="11" t="s">
        <v>85</v>
      </c>
      <c r="M1594" s="11" t="s">
        <v>86</v>
      </c>
      <c r="N1594" s="11" t="s">
        <v>1142</v>
      </c>
      <c r="O1594" s="11">
        <v>0.37</v>
      </c>
      <c r="P1594" s="6">
        <f>Table1[[#This Row],[Profit]]/Table1[[#This Row],[Sales]]</f>
        <v>0.69</v>
      </c>
      <c r="Q1594" s="11" t="s">
        <v>33</v>
      </c>
      <c r="R1594" s="11" t="s">
        <v>61</v>
      </c>
      <c r="S1594" s="11" t="s">
        <v>304</v>
      </c>
      <c r="T1594" s="11" t="s">
        <v>2595</v>
      </c>
      <c r="U1594" s="11">
        <v>74133</v>
      </c>
      <c r="V1594" s="12">
        <v>42071</v>
      </c>
      <c r="W1594" s="13" t="str">
        <f>TEXT(Table1[[#This Row],[Order Date]],"mmmm")</f>
        <v>March</v>
      </c>
      <c r="X1594" s="7" t="str">
        <f>TEXT(Table1[[#This Row],[Order Date]],"yyyy")</f>
        <v>2015</v>
      </c>
      <c r="Y1594" s="12">
        <v>42073</v>
      </c>
      <c r="Z1594" s="11">
        <v>439.78529999999995</v>
      </c>
      <c r="AA1594" s="11">
        <v>13</v>
      </c>
      <c r="AB1594" s="11">
        <v>637.37</v>
      </c>
      <c r="AC1594" s="11">
        <v>89801</v>
      </c>
      <c r="AD1594" s="6" t="str">
        <f>IF(COUNTIF(Returns!$A$2:$A$1635,Orders!AC1594)&gt;0,"Returned","Not Returned")</f>
        <v>Not Returned</v>
      </c>
    </row>
    <row r="1595" spans="1:30" ht="12.75" customHeight="1" thickTop="1" thickBot="1" x14ac:dyDescent="0.25">
      <c r="A1595" s="8">
        <v>19192</v>
      </c>
      <c r="B1595" s="1" t="s">
        <v>25</v>
      </c>
      <c r="C1595" s="1">
        <v>0.1</v>
      </c>
      <c r="D1595" s="1">
        <v>80.97</v>
      </c>
      <c r="E1595" s="1">
        <v>33.6</v>
      </c>
      <c r="F1595" s="1">
        <v>2837</v>
      </c>
      <c r="G1595" s="6" t="str">
        <f>IF(COUNTIF(Table1[Customer ID],Table1[[#This Row],[Customer ID]])&gt;1,"Repeat Customer","One-Time Customer")</f>
        <v>Repeat Customer</v>
      </c>
      <c r="H1595" s="1" t="s">
        <v>2594</v>
      </c>
      <c r="I1595" s="1" t="s">
        <v>39</v>
      </c>
      <c r="J1595" s="1" t="s">
        <v>40</v>
      </c>
      <c r="K1595" s="1" t="s">
        <v>77</v>
      </c>
      <c r="L1595" s="1" t="s">
        <v>85</v>
      </c>
      <c r="M1595" s="1" t="s">
        <v>43</v>
      </c>
      <c r="N1595" s="1" t="s">
        <v>2032</v>
      </c>
      <c r="O1595" s="1">
        <v>0.37</v>
      </c>
      <c r="P1595" s="6">
        <f>Table1[[#This Row],[Profit]]/Table1[[#This Row],[Sales]]</f>
        <v>-0.6437685217091661</v>
      </c>
      <c r="Q1595" s="1" t="s">
        <v>33</v>
      </c>
      <c r="R1595" s="1" t="s">
        <v>61</v>
      </c>
      <c r="S1595" s="1" t="s">
        <v>304</v>
      </c>
      <c r="T1595" s="1" t="s">
        <v>2595</v>
      </c>
      <c r="U1595" s="1">
        <v>74133</v>
      </c>
      <c r="V1595" s="9">
        <v>42071</v>
      </c>
      <c r="W1595" s="13" t="str">
        <f>TEXT(Table1[[#This Row],[Order Date]],"mmmm")</f>
        <v>March</v>
      </c>
      <c r="X1595" s="7" t="str">
        <f>TEXT(Table1[[#This Row],[Order Date]],"yyyy")</f>
        <v>2015</v>
      </c>
      <c r="Y1595" s="9">
        <v>42074</v>
      </c>
      <c r="Z1595" s="1">
        <v>-149.4573</v>
      </c>
      <c r="AA1595" s="1">
        <v>3</v>
      </c>
      <c r="AB1595" s="1">
        <v>232.16</v>
      </c>
      <c r="AC1595" s="1">
        <v>89801</v>
      </c>
      <c r="AD1595" s="6" t="str">
        <f>IF(COUNTIF(Returns!$A$2:$A$1635,Orders!AC1595)&gt;0,"Returned","Not Returned")</f>
        <v>Not Returned</v>
      </c>
    </row>
    <row r="1596" spans="1:30" ht="12.75" customHeight="1" thickTop="1" thickBot="1" x14ac:dyDescent="0.25">
      <c r="A1596" s="10">
        <v>18416</v>
      </c>
      <c r="B1596" s="11" t="s">
        <v>25</v>
      </c>
      <c r="C1596" s="11">
        <v>0</v>
      </c>
      <c r="D1596" s="11">
        <v>21.98</v>
      </c>
      <c r="E1596" s="11">
        <v>2.87</v>
      </c>
      <c r="F1596" s="11">
        <v>2840</v>
      </c>
      <c r="G1596" s="6" t="str">
        <f>IF(COUNTIF(Table1[Customer ID],Table1[[#This Row],[Customer ID]])&gt;1,"Repeat Customer","One-Time Customer")</f>
        <v>Repeat Customer</v>
      </c>
      <c r="H1596" s="11" t="s">
        <v>2596</v>
      </c>
      <c r="I1596" s="11" t="s">
        <v>49</v>
      </c>
      <c r="J1596" s="11" t="s">
        <v>28</v>
      </c>
      <c r="K1596" s="11" t="s">
        <v>29</v>
      </c>
      <c r="L1596" s="11" t="s">
        <v>30</v>
      </c>
      <c r="M1596" s="11" t="s">
        <v>51</v>
      </c>
      <c r="N1596" s="11" t="s">
        <v>2587</v>
      </c>
      <c r="O1596" s="11">
        <v>0.55000000000000004</v>
      </c>
      <c r="P1596" s="6">
        <f>Table1[[#This Row],[Profit]]/Table1[[#This Row],[Sales]]</f>
        <v>5.8595117073577195E-2</v>
      </c>
      <c r="Q1596" s="11" t="s">
        <v>33</v>
      </c>
      <c r="R1596" s="11" t="s">
        <v>136</v>
      </c>
      <c r="S1596" s="11" t="s">
        <v>362</v>
      </c>
      <c r="T1596" s="11" t="s">
        <v>2597</v>
      </c>
      <c r="U1596" s="11">
        <v>33161</v>
      </c>
      <c r="V1596" s="12">
        <v>42082</v>
      </c>
      <c r="W1596" s="13" t="str">
        <f>TEXT(Table1[[#This Row],[Order Date]],"mmmm")</f>
        <v>March</v>
      </c>
      <c r="X1596" s="7" t="str">
        <f>TEXT(Table1[[#This Row],[Order Date]],"yyyy")</f>
        <v>2015</v>
      </c>
      <c r="Y1596" s="12">
        <v>42083</v>
      </c>
      <c r="Z1596" s="11">
        <v>21.095999999999997</v>
      </c>
      <c r="AA1596" s="11">
        <v>16</v>
      </c>
      <c r="AB1596" s="11">
        <v>360.03</v>
      </c>
      <c r="AC1596" s="11">
        <v>87884</v>
      </c>
      <c r="AD1596" s="6" t="str">
        <f>IF(COUNTIF(Returns!$A$2:$A$1635,Orders!AC1596)&gt;0,"Returned","Not Returned")</f>
        <v>Not Returned</v>
      </c>
    </row>
    <row r="1597" spans="1:30" ht="12.75" customHeight="1" thickTop="1" thickBot="1" x14ac:dyDescent="0.25">
      <c r="A1597" s="8">
        <v>18419</v>
      </c>
      <c r="B1597" s="1" t="s">
        <v>56</v>
      </c>
      <c r="C1597" s="1">
        <v>0.05</v>
      </c>
      <c r="D1597" s="1">
        <v>15.68</v>
      </c>
      <c r="E1597" s="1">
        <v>3.73</v>
      </c>
      <c r="F1597" s="1">
        <v>2840</v>
      </c>
      <c r="G1597" s="6" t="str">
        <f>IF(COUNTIF(Table1[Customer ID],Table1[[#This Row],[Customer ID]])&gt;1,"Repeat Customer","One-Time Customer")</f>
        <v>Repeat Customer</v>
      </c>
      <c r="H1597" s="1" t="s">
        <v>2596</v>
      </c>
      <c r="I1597" s="1" t="s">
        <v>49</v>
      </c>
      <c r="J1597" s="1" t="s">
        <v>28</v>
      </c>
      <c r="K1597" s="1" t="s">
        <v>41</v>
      </c>
      <c r="L1597" s="1" t="s">
        <v>50</v>
      </c>
      <c r="M1597" s="1" t="s">
        <v>51</v>
      </c>
      <c r="N1597" s="1" t="s">
        <v>2380</v>
      </c>
      <c r="O1597" s="1">
        <v>0.46</v>
      </c>
      <c r="P1597" s="6">
        <f>Table1[[#This Row],[Profit]]/Table1[[#This Row],[Sales]]</f>
        <v>4.4868581977616255</v>
      </c>
      <c r="Q1597" s="1" t="s">
        <v>33</v>
      </c>
      <c r="R1597" s="1" t="s">
        <v>136</v>
      </c>
      <c r="S1597" s="1" t="s">
        <v>362</v>
      </c>
      <c r="T1597" s="1" t="s">
        <v>2597</v>
      </c>
      <c r="U1597" s="1">
        <v>33161</v>
      </c>
      <c r="V1597" s="9">
        <v>42166</v>
      </c>
      <c r="W1597" s="13" t="str">
        <f>TEXT(Table1[[#This Row],[Order Date]],"mmmm")</f>
        <v>June</v>
      </c>
      <c r="X1597" s="7" t="str">
        <f>TEXT(Table1[[#This Row],[Order Date]],"yyyy")</f>
        <v>2015</v>
      </c>
      <c r="Y1597" s="9">
        <v>42168</v>
      </c>
      <c r="Z1597" s="1">
        <v>1166.6280000000002</v>
      </c>
      <c r="AA1597" s="1">
        <v>17</v>
      </c>
      <c r="AB1597" s="1">
        <v>260.01</v>
      </c>
      <c r="AC1597" s="1">
        <v>87885</v>
      </c>
      <c r="AD1597" s="6" t="str">
        <f>IF(COUNTIF(Returns!$A$2:$A$1635,Orders!AC1597)&gt;0,"Returned","Not Returned")</f>
        <v>Not Returned</v>
      </c>
    </row>
    <row r="1598" spans="1:30" ht="12.75" customHeight="1" thickTop="1" thickBot="1" x14ac:dyDescent="0.25">
      <c r="A1598" s="10">
        <v>18420</v>
      </c>
      <c r="B1598" s="11" t="s">
        <v>56</v>
      </c>
      <c r="C1598" s="11">
        <v>0</v>
      </c>
      <c r="D1598" s="11">
        <v>14.98</v>
      </c>
      <c r="E1598" s="11">
        <v>8.99</v>
      </c>
      <c r="F1598" s="11">
        <v>2840</v>
      </c>
      <c r="G1598" s="6" t="str">
        <f>IF(COUNTIF(Table1[Customer ID],Table1[[#This Row],[Customer ID]])&gt;1,"Repeat Customer","One-Time Customer")</f>
        <v>Repeat Customer</v>
      </c>
      <c r="H1598" s="11" t="s">
        <v>2596</v>
      </c>
      <c r="I1598" s="11" t="s">
        <v>49</v>
      </c>
      <c r="J1598" s="11" t="s">
        <v>28</v>
      </c>
      <c r="K1598" s="11" t="s">
        <v>41</v>
      </c>
      <c r="L1598" s="11" t="s">
        <v>50</v>
      </c>
      <c r="M1598" s="11" t="s">
        <v>51</v>
      </c>
      <c r="N1598" s="11" t="s">
        <v>2598</v>
      </c>
      <c r="O1598" s="11">
        <v>0.39</v>
      </c>
      <c r="P1598" s="6">
        <f>Table1[[#This Row],[Profit]]/Table1[[#This Row],[Sales]]</f>
        <v>-0.14830417473245916</v>
      </c>
      <c r="Q1598" s="11" t="s">
        <v>33</v>
      </c>
      <c r="R1598" s="11" t="s">
        <v>136</v>
      </c>
      <c r="S1598" s="11" t="s">
        <v>362</v>
      </c>
      <c r="T1598" s="11" t="s">
        <v>2597</v>
      </c>
      <c r="U1598" s="11">
        <v>33161</v>
      </c>
      <c r="V1598" s="12">
        <v>42166</v>
      </c>
      <c r="W1598" s="13" t="str">
        <f>TEXT(Table1[[#This Row],[Order Date]],"mmmm")</f>
        <v>June</v>
      </c>
      <c r="X1598" s="7" t="str">
        <f>TEXT(Table1[[#This Row],[Order Date]],"yyyy")</f>
        <v>2015</v>
      </c>
      <c r="Y1598" s="12">
        <v>42167</v>
      </c>
      <c r="Z1598" s="11">
        <v>-40.604199999999999</v>
      </c>
      <c r="AA1598" s="11">
        <v>18</v>
      </c>
      <c r="AB1598" s="11">
        <v>273.79000000000002</v>
      </c>
      <c r="AC1598" s="11">
        <v>87885</v>
      </c>
      <c r="AD1598" s="6" t="str">
        <f>IF(COUNTIF(Returns!$A$2:$A$1635,Orders!AC1598)&gt;0,"Returned","Not Returned")</f>
        <v>Not Returned</v>
      </c>
    </row>
    <row r="1599" spans="1:30" ht="12.75" customHeight="1" thickTop="1" thickBot="1" x14ac:dyDescent="0.25">
      <c r="A1599" s="8">
        <v>18421</v>
      </c>
      <c r="B1599" s="1" t="s">
        <v>56</v>
      </c>
      <c r="C1599" s="1">
        <v>0.02</v>
      </c>
      <c r="D1599" s="1">
        <v>38.76</v>
      </c>
      <c r="E1599" s="1">
        <v>13.26</v>
      </c>
      <c r="F1599" s="1">
        <v>2840</v>
      </c>
      <c r="G1599" s="6" t="str">
        <f>IF(COUNTIF(Table1[Customer ID],Table1[[#This Row],[Customer ID]])&gt;1,"Repeat Customer","One-Time Customer")</f>
        <v>Repeat Customer</v>
      </c>
      <c r="H1599" s="1" t="s">
        <v>2596</v>
      </c>
      <c r="I1599" s="1" t="s">
        <v>49</v>
      </c>
      <c r="J1599" s="1" t="s">
        <v>28</v>
      </c>
      <c r="K1599" s="1" t="s">
        <v>29</v>
      </c>
      <c r="L1599" s="1" t="s">
        <v>93</v>
      </c>
      <c r="M1599" s="1" t="s">
        <v>59</v>
      </c>
      <c r="N1599" s="1" t="s">
        <v>2599</v>
      </c>
      <c r="O1599" s="1">
        <v>0.36</v>
      </c>
      <c r="P1599" s="6">
        <f>Table1[[#This Row],[Profit]]/Table1[[#This Row],[Sales]]</f>
        <v>-6.5908561183325869</v>
      </c>
      <c r="Q1599" s="1" t="s">
        <v>33</v>
      </c>
      <c r="R1599" s="1" t="s">
        <v>136</v>
      </c>
      <c r="S1599" s="1" t="s">
        <v>362</v>
      </c>
      <c r="T1599" s="1" t="s">
        <v>2597</v>
      </c>
      <c r="U1599" s="1">
        <v>33161</v>
      </c>
      <c r="V1599" s="9">
        <v>42166</v>
      </c>
      <c r="W1599" s="13" t="str">
        <f>TEXT(Table1[[#This Row],[Order Date]],"mmmm")</f>
        <v>June</v>
      </c>
      <c r="X1599" s="7" t="str">
        <f>TEXT(Table1[[#This Row],[Order Date]],"yyyy")</f>
        <v>2015</v>
      </c>
      <c r="Y1599" s="9">
        <v>42167</v>
      </c>
      <c r="Z1599" s="1">
        <v>-294.084</v>
      </c>
      <c r="AA1599" s="1">
        <v>1</v>
      </c>
      <c r="AB1599" s="1">
        <v>44.62</v>
      </c>
      <c r="AC1599" s="1">
        <v>87885</v>
      </c>
      <c r="AD1599" s="6" t="str">
        <f>IF(COUNTIF(Returns!$A$2:$A$1635,Orders!AC1599)&gt;0,"Returned","Not Returned")</f>
        <v>Not Returned</v>
      </c>
    </row>
    <row r="1600" spans="1:30" ht="12.75" customHeight="1" thickTop="1" thickBot="1" x14ac:dyDescent="0.25">
      <c r="A1600" s="10">
        <v>21855</v>
      </c>
      <c r="B1600" s="11" t="s">
        <v>37</v>
      </c>
      <c r="C1600" s="11">
        <v>0.04</v>
      </c>
      <c r="D1600" s="11">
        <v>90.48</v>
      </c>
      <c r="E1600" s="11">
        <v>19.989999999999998</v>
      </c>
      <c r="F1600" s="11">
        <v>2847</v>
      </c>
      <c r="G1600" s="6" t="str">
        <f>IF(COUNTIF(Table1[Customer ID],Table1[[#This Row],[Customer ID]])&gt;1,"Repeat Customer","One-Time Customer")</f>
        <v>Repeat Customer</v>
      </c>
      <c r="H1600" s="11" t="s">
        <v>2600</v>
      </c>
      <c r="I1600" s="11" t="s">
        <v>49</v>
      </c>
      <c r="J1600" s="11" t="s">
        <v>28</v>
      </c>
      <c r="K1600" s="11" t="s">
        <v>29</v>
      </c>
      <c r="L1600" s="11" t="s">
        <v>69</v>
      </c>
      <c r="M1600" s="11" t="s">
        <v>59</v>
      </c>
      <c r="N1600" s="11" t="s">
        <v>1840</v>
      </c>
      <c r="O1600" s="11">
        <v>0.4</v>
      </c>
      <c r="P1600" s="6">
        <f>Table1[[#This Row],[Profit]]/Table1[[#This Row],[Sales]]</f>
        <v>0.20680166765932104</v>
      </c>
      <c r="Q1600" s="11" t="s">
        <v>33</v>
      </c>
      <c r="R1600" s="11" t="s">
        <v>136</v>
      </c>
      <c r="S1600" s="11" t="s">
        <v>244</v>
      </c>
      <c r="T1600" s="11" t="s">
        <v>2601</v>
      </c>
      <c r="U1600" s="11">
        <v>38017</v>
      </c>
      <c r="V1600" s="12">
        <v>42103</v>
      </c>
      <c r="W1600" s="13" t="str">
        <f>TEXT(Table1[[#This Row],[Order Date]],"mmmm")</f>
        <v>April</v>
      </c>
      <c r="X1600" s="7" t="str">
        <f>TEXT(Table1[[#This Row],[Order Date]],"yyyy")</f>
        <v>2015</v>
      </c>
      <c r="Y1600" s="12">
        <v>42105</v>
      </c>
      <c r="Z1600" s="11">
        <v>55.555199999999999</v>
      </c>
      <c r="AA1600" s="11">
        <v>3</v>
      </c>
      <c r="AB1600" s="11">
        <v>268.64</v>
      </c>
      <c r="AC1600" s="11">
        <v>85928</v>
      </c>
      <c r="AD1600" s="6" t="str">
        <f>IF(COUNTIF(Returns!$A$2:$A$1635,Orders!AC1600)&gt;0,"Returned","Not Returned")</f>
        <v>Not Returned</v>
      </c>
    </row>
    <row r="1601" spans="1:30" ht="12.75" customHeight="1" thickTop="1" thickBot="1" x14ac:dyDescent="0.25">
      <c r="A1601" s="8">
        <v>21856</v>
      </c>
      <c r="B1601" s="1" t="s">
        <v>37</v>
      </c>
      <c r="C1601" s="1">
        <v>0.02</v>
      </c>
      <c r="D1601" s="1">
        <v>9.77</v>
      </c>
      <c r="E1601" s="1">
        <v>6.02</v>
      </c>
      <c r="F1601" s="1">
        <v>2847</v>
      </c>
      <c r="G1601" s="6" t="str">
        <f>IF(COUNTIF(Table1[Customer ID],Table1[[#This Row],[Customer ID]])&gt;1,"Repeat Customer","One-Time Customer")</f>
        <v>Repeat Customer</v>
      </c>
      <c r="H1601" s="1" t="s">
        <v>2600</v>
      </c>
      <c r="I1601" s="1" t="s">
        <v>49</v>
      </c>
      <c r="J1601" s="1" t="s">
        <v>28</v>
      </c>
      <c r="K1601" s="1" t="s">
        <v>41</v>
      </c>
      <c r="L1601" s="1" t="s">
        <v>50</v>
      </c>
      <c r="M1601" s="1" t="s">
        <v>86</v>
      </c>
      <c r="N1601" s="1" t="s">
        <v>1602</v>
      </c>
      <c r="O1601" s="1">
        <v>0.48</v>
      </c>
      <c r="P1601" s="6">
        <f>Table1[[#This Row],[Profit]]/Table1[[#This Row],[Sales]]</f>
        <v>-6.1055200729927002</v>
      </c>
      <c r="Q1601" s="1" t="s">
        <v>33</v>
      </c>
      <c r="R1601" s="1" t="s">
        <v>136</v>
      </c>
      <c r="S1601" s="1" t="s">
        <v>244</v>
      </c>
      <c r="T1601" s="1" t="s">
        <v>2601</v>
      </c>
      <c r="U1601" s="1">
        <v>38017</v>
      </c>
      <c r="V1601" s="9">
        <v>42103</v>
      </c>
      <c r="W1601" s="13" t="str">
        <f>TEXT(Table1[[#This Row],[Order Date]],"mmmm")</f>
        <v>April</v>
      </c>
      <c r="X1601" s="7" t="str">
        <f>TEXT(Table1[[#This Row],[Order Date]],"yyyy")</f>
        <v>2015</v>
      </c>
      <c r="Y1601" s="9">
        <v>42104</v>
      </c>
      <c r="Z1601" s="1">
        <v>-535.33199999999999</v>
      </c>
      <c r="AA1601" s="1">
        <v>9</v>
      </c>
      <c r="AB1601" s="1">
        <v>87.68</v>
      </c>
      <c r="AC1601" s="1">
        <v>85928</v>
      </c>
      <c r="AD1601" s="6" t="str">
        <f>IF(COUNTIF(Returns!$A$2:$A$1635,Orders!AC1601)&gt;0,"Returned","Not Returned")</f>
        <v>Not Returned</v>
      </c>
    </row>
    <row r="1602" spans="1:30" ht="12.75" customHeight="1" thickTop="1" thickBot="1" x14ac:dyDescent="0.25">
      <c r="A1602" s="10">
        <v>21857</v>
      </c>
      <c r="B1602" s="11" t="s">
        <v>37</v>
      </c>
      <c r="C1602" s="11">
        <v>0.09</v>
      </c>
      <c r="D1602" s="11">
        <v>34.99</v>
      </c>
      <c r="E1602" s="11">
        <v>7.73</v>
      </c>
      <c r="F1602" s="11">
        <v>2847</v>
      </c>
      <c r="G1602" s="6" t="str">
        <f>IF(COUNTIF(Table1[Customer ID],Table1[[#This Row],[Customer ID]])&gt;1,"Repeat Customer","One-Time Customer")</f>
        <v>Repeat Customer</v>
      </c>
      <c r="H1602" s="11" t="s">
        <v>2600</v>
      </c>
      <c r="I1602" s="11" t="s">
        <v>49</v>
      </c>
      <c r="J1602" s="11" t="s">
        <v>28</v>
      </c>
      <c r="K1602" s="11" t="s">
        <v>29</v>
      </c>
      <c r="L1602" s="11" t="s">
        <v>30</v>
      </c>
      <c r="M1602" s="11" t="s">
        <v>59</v>
      </c>
      <c r="N1602" s="11" t="s">
        <v>101</v>
      </c>
      <c r="O1602" s="11">
        <v>0.59</v>
      </c>
      <c r="P1602" s="6">
        <f>Table1[[#This Row],[Profit]]/Table1[[#This Row],[Sales]]</f>
        <v>-5.5481233386496545</v>
      </c>
      <c r="Q1602" s="11" t="s">
        <v>33</v>
      </c>
      <c r="R1602" s="11" t="s">
        <v>136</v>
      </c>
      <c r="S1602" s="11" t="s">
        <v>244</v>
      </c>
      <c r="T1602" s="11" t="s">
        <v>2601</v>
      </c>
      <c r="U1602" s="11">
        <v>38017</v>
      </c>
      <c r="V1602" s="12">
        <v>42103</v>
      </c>
      <c r="W1602" s="13" t="str">
        <f>TEXT(Table1[[#This Row],[Order Date]],"mmmm")</f>
        <v>April</v>
      </c>
      <c r="X1602" s="7" t="str">
        <f>TEXT(Table1[[#This Row],[Order Date]],"yyyy")</f>
        <v>2015</v>
      </c>
      <c r="Y1602" s="12">
        <v>42105</v>
      </c>
      <c r="Z1602" s="11">
        <v>-208.72039999999998</v>
      </c>
      <c r="AA1602" s="11">
        <v>1</v>
      </c>
      <c r="AB1602" s="11">
        <v>37.619999999999997</v>
      </c>
      <c r="AC1602" s="11">
        <v>85928</v>
      </c>
      <c r="AD1602" s="6" t="str">
        <f>IF(COUNTIF(Returns!$A$2:$A$1635,Orders!AC1602)&gt;0,"Returned","Not Returned")</f>
        <v>Not Returned</v>
      </c>
    </row>
    <row r="1603" spans="1:30" ht="12.75" customHeight="1" thickTop="1" thickBot="1" x14ac:dyDescent="0.25">
      <c r="A1603" s="8">
        <v>24455</v>
      </c>
      <c r="B1603" s="1" t="s">
        <v>56</v>
      </c>
      <c r="C1603" s="1">
        <v>0</v>
      </c>
      <c r="D1603" s="1">
        <v>49.99</v>
      </c>
      <c r="E1603" s="1">
        <v>19.989999999999998</v>
      </c>
      <c r="F1603" s="1">
        <v>2848</v>
      </c>
      <c r="G1603" s="6" t="str">
        <f>IF(COUNTIF(Table1[Customer ID],Table1[[#This Row],[Customer ID]])&gt;1,"Repeat Customer","One-Time Customer")</f>
        <v>One-Time Customer</v>
      </c>
      <c r="H1603" s="1" t="s">
        <v>2602</v>
      </c>
      <c r="I1603" s="1" t="s">
        <v>49</v>
      </c>
      <c r="J1603" s="1" t="s">
        <v>28</v>
      </c>
      <c r="K1603" s="1" t="s">
        <v>77</v>
      </c>
      <c r="L1603" s="1" t="s">
        <v>180</v>
      </c>
      <c r="M1603" s="1" t="s">
        <v>59</v>
      </c>
      <c r="N1603" s="1" t="s">
        <v>275</v>
      </c>
      <c r="O1603" s="1">
        <v>0.41</v>
      </c>
      <c r="P1603" s="6">
        <f>Table1[[#This Row],[Profit]]/Table1[[#This Row],[Sales]]</f>
        <v>4.668355402955688E-2</v>
      </c>
      <c r="Q1603" s="1" t="s">
        <v>33</v>
      </c>
      <c r="R1603" s="1" t="s">
        <v>136</v>
      </c>
      <c r="S1603" s="1" t="s">
        <v>244</v>
      </c>
      <c r="T1603" s="1" t="s">
        <v>2603</v>
      </c>
      <c r="U1603" s="1">
        <v>38401</v>
      </c>
      <c r="V1603" s="9">
        <v>42161</v>
      </c>
      <c r="W1603" s="13" t="str">
        <f>TEXT(Table1[[#This Row],[Order Date]],"mmmm")</f>
        <v>June</v>
      </c>
      <c r="X1603" s="7" t="str">
        <f>TEXT(Table1[[#This Row],[Order Date]],"yyyy")</f>
        <v>2015</v>
      </c>
      <c r="Y1603" s="9">
        <v>42163</v>
      </c>
      <c r="Z1603" s="1">
        <v>38.885999999999996</v>
      </c>
      <c r="AA1603" s="1">
        <v>16</v>
      </c>
      <c r="AB1603" s="1">
        <v>832.97</v>
      </c>
      <c r="AC1603" s="1">
        <v>85929</v>
      </c>
      <c r="AD1603" s="6" t="str">
        <f>IF(COUNTIF(Returns!$A$2:$A$1635,Orders!AC1603)&gt;0,"Returned","Not Returned")</f>
        <v>Not Returned</v>
      </c>
    </row>
    <row r="1604" spans="1:30" ht="12.75" customHeight="1" thickTop="1" thickBot="1" x14ac:dyDescent="0.25">
      <c r="A1604" s="10">
        <v>23622</v>
      </c>
      <c r="B1604" s="11" t="s">
        <v>106</v>
      </c>
      <c r="C1604" s="11">
        <v>0.05</v>
      </c>
      <c r="D1604" s="11">
        <v>115.99</v>
      </c>
      <c r="E1604" s="11">
        <v>8.99</v>
      </c>
      <c r="F1604" s="11">
        <v>2851</v>
      </c>
      <c r="G1604" s="6" t="str">
        <f>IF(COUNTIF(Table1[Customer ID],Table1[[#This Row],[Customer ID]])&gt;1,"Repeat Customer","One-Time Customer")</f>
        <v>One-Time Customer</v>
      </c>
      <c r="H1604" s="11" t="s">
        <v>2604</v>
      </c>
      <c r="I1604" s="11" t="s">
        <v>49</v>
      </c>
      <c r="J1604" s="11" t="s">
        <v>114</v>
      </c>
      <c r="K1604" s="11" t="s">
        <v>77</v>
      </c>
      <c r="L1604" s="11" t="s">
        <v>78</v>
      </c>
      <c r="M1604" s="11" t="s">
        <v>59</v>
      </c>
      <c r="N1604" s="11" t="s">
        <v>185</v>
      </c>
      <c r="O1604" s="11">
        <v>0.57999999999999996</v>
      </c>
      <c r="P1604" s="6">
        <f>Table1[[#This Row],[Profit]]/Table1[[#This Row],[Sales]]</f>
        <v>0.69</v>
      </c>
      <c r="Q1604" s="11" t="s">
        <v>33</v>
      </c>
      <c r="R1604" s="11" t="s">
        <v>61</v>
      </c>
      <c r="S1604" s="11" t="s">
        <v>130</v>
      </c>
      <c r="T1604" s="11" t="s">
        <v>2605</v>
      </c>
      <c r="U1604" s="11">
        <v>79762</v>
      </c>
      <c r="V1604" s="12">
        <v>42103</v>
      </c>
      <c r="W1604" s="13" t="str">
        <f>TEXT(Table1[[#This Row],[Order Date]],"mmmm")</f>
        <v>April</v>
      </c>
      <c r="X1604" s="7" t="str">
        <f>TEXT(Table1[[#This Row],[Order Date]],"yyyy")</f>
        <v>2015</v>
      </c>
      <c r="Y1604" s="12">
        <v>42107</v>
      </c>
      <c r="Z1604" s="11">
        <v>719.35259999999994</v>
      </c>
      <c r="AA1604" s="11">
        <v>11</v>
      </c>
      <c r="AB1604" s="11">
        <v>1042.54</v>
      </c>
      <c r="AC1604" s="11">
        <v>86454</v>
      </c>
      <c r="AD1604" s="6" t="str">
        <f>IF(COUNTIF(Returns!$A$2:$A$1635,Orders!AC1604)&gt;0,"Returned","Not Returned")</f>
        <v>Not Returned</v>
      </c>
    </row>
    <row r="1605" spans="1:30" ht="12.75" customHeight="1" thickTop="1" thickBot="1" x14ac:dyDescent="0.25">
      <c r="A1605" s="8">
        <v>23042</v>
      </c>
      <c r="B1605" s="1" t="s">
        <v>56</v>
      </c>
      <c r="C1605" s="1">
        <v>0.08</v>
      </c>
      <c r="D1605" s="1">
        <v>7.84</v>
      </c>
      <c r="E1605" s="1">
        <v>4.71</v>
      </c>
      <c r="F1605" s="1">
        <v>2855</v>
      </c>
      <c r="G1605" s="6" t="str">
        <f>IF(COUNTIF(Table1[Customer ID],Table1[[#This Row],[Customer ID]])&gt;1,"Repeat Customer","One-Time Customer")</f>
        <v>Repeat Customer</v>
      </c>
      <c r="H1605" s="1" t="s">
        <v>2606</v>
      </c>
      <c r="I1605" s="1" t="s">
        <v>49</v>
      </c>
      <c r="J1605" s="1" t="s">
        <v>28</v>
      </c>
      <c r="K1605" s="1" t="s">
        <v>29</v>
      </c>
      <c r="L1605" s="1" t="s">
        <v>109</v>
      </c>
      <c r="M1605" s="1" t="s">
        <v>59</v>
      </c>
      <c r="N1605" s="1" t="s">
        <v>2269</v>
      </c>
      <c r="O1605" s="1">
        <v>0.35</v>
      </c>
      <c r="P1605" s="6">
        <f>Table1[[#This Row],[Profit]]/Table1[[#This Row],[Sales]]</f>
        <v>-0.1690753676470588</v>
      </c>
      <c r="Q1605" s="1" t="s">
        <v>33</v>
      </c>
      <c r="R1605" s="1" t="s">
        <v>34</v>
      </c>
      <c r="S1605" s="1" t="s">
        <v>35</v>
      </c>
      <c r="T1605" s="1" t="s">
        <v>2607</v>
      </c>
      <c r="U1605" s="1">
        <v>98198</v>
      </c>
      <c r="V1605" s="9">
        <v>42025</v>
      </c>
      <c r="W1605" s="13" t="str">
        <f>TEXT(Table1[[#This Row],[Order Date]],"mmmm")</f>
        <v>January</v>
      </c>
      <c r="X1605" s="7" t="str">
        <f>TEXT(Table1[[#This Row],[Order Date]],"yyyy")</f>
        <v>2015</v>
      </c>
      <c r="Y1605" s="9">
        <v>42026</v>
      </c>
      <c r="Z1605" s="1">
        <v>-12.876779999999998</v>
      </c>
      <c r="AA1605" s="1">
        <v>10</v>
      </c>
      <c r="AB1605" s="1">
        <v>76.16</v>
      </c>
      <c r="AC1605" s="1">
        <v>87316</v>
      </c>
      <c r="AD1605" s="6" t="str">
        <f>IF(COUNTIF(Returns!$A$2:$A$1635,Orders!AC1605)&gt;0,"Returned","Not Returned")</f>
        <v>Not Returned</v>
      </c>
    </row>
    <row r="1606" spans="1:30" ht="12.75" customHeight="1" thickTop="1" thickBot="1" x14ac:dyDescent="0.25">
      <c r="A1606" s="10">
        <v>23043</v>
      </c>
      <c r="B1606" s="11" t="s">
        <v>56</v>
      </c>
      <c r="C1606" s="11">
        <v>0.03</v>
      </c>
      <c r="D1606" s="11">
        <v>105.34</v>
      </c>
      <c r="E1606" s="11">
        <v>24.49</v>
      </c>
      <c r="F1606" s="11">
        <v>2855</v>
      </c>
      <c r="G1606" s="6" t="str">
        <f>IF(COUNTIF(Table1[Customer ID],Table1[[#This Row],[Customer ID]])&gt;1,"Repeat Customer","One-Time Customer")</f>
        <v>Repeat Customer</v>
      </c>
      <c r="H1606" s="11" t="s">
        <v>2606</v>
      </c>
      <c r="I1606" s="11" t="s">
        <v>49</v>
      </c>
      <c r="J1606" s="11" t="s">
        <v>28</v>
      </c>
      <c r="K1606" s="11" t="s">
        <v>41</v>
      </c>
      <c r="L1606" s="11" t="s">
        <v>50</v>
      </c>
      <c r="M1606" s="11" t="s">
        <v>236</v>
      </c>
      <c r="N1606" s="11" t="s">
        <v>2608</v>
      </c>
      <c r="O1606" s="11">
        <v>0.61</v>
      </c>
      <c r="P1606" s="6">
        <f>Table1[[#This Row],[Profit]]/Table1[[#This Row],[Sales]]</f>
        <v>0.59542142678251486</v>
      </c>
      <c r="Q1606" s="11" t="s">
        <v>33</v>
      </c>
      <c r="R1606" s="11" t="s">
        <v>34</v>
      </c>
      <c r="S1606" s="11" t="s">
        <v>35</v>
      </c>
      <c r="T1606" s="11" t="s">
        <v>2607</v>
      </c>
      <c r="U1606" s="11">
        <v>98198</v>
      </c>
      <c r="V1606" s="12">
        <v>42025</v>
      </c>
      <c r="W1606" s="13" t="str">
        <f>TEXT(Table1[[#This Row],[Order Date]],"mmmm")</f>
        <v>January</v>
      </c>
      <c r="X1606" s="7" t="str">
        <f>TEXT(Table1[[#This Row],[Order Date]],"yyyy")</f>
        <v>2015</v>
      </c>
      <c r="Y1606" s="12">
        <v>42026</v>
      </c>
      <c r="Z1606" s="11">
        <v>618.13080000000002</v>
      </c>
      <c r="AA1606" s="11">
        <v>10</v>
      </c>
      <c r="AB1606" s="11">
        <v>1038.1400000000001</v>
      </c>
      <c r="AC1606" s="11">
        <v>87316</v>
      </c>
      <c r="AD1606" s="6" t="str">
        <f>IF(COUNTIF(Returns!$A$2:$A$1635,Orders!AC1606)&gt;0,"Returned","Not Returned")</f>
        <v>Not Returned</v>
      </c>
    </row>
    <row r="1607" spans="1:30" ht="12.75" customHeight="1" thickTop="1" thickBot="1" x14ac:dyDescent="0.25">
      <c r="A1607" s="8">
        <v>23213</v>
      </c>
      <c r="B1607" s="1" t="s">
        <v>106</v>
      </c>
      <c r="C1607" s="1">
        <v>0.09</v>
      </c>
      <c r="D1607" s="1">
        <v>6783.02</v>
      </c>
      <c r="E1607" s="1">
        <v>24.49</v>
      </c>
      <c r="F1607" s="1">
        <v>2855</v>
      </c>
      <c r="G1607" s="6" t="str">
        <f>IF(COUNTIF(Table1[Customer ID],Table1[[#This Row],[Customer ID]])&gt;1,"Repeat Customer","One-Time Customer")</f>
        <v>Repeat Customer</v>
      </c>
      <c r="H1607" s="1" t="s">
        <v>2606</v>
      </c>
      <c r="I1607" s="1" t="s">
        <v>49</v>
      </c>
      <c r="J1607" s="1" t="s">
        <v>114</v>
      </c>
      <c r="K1607" s="1" t="s">
        <v>77</v>
      </c>
      <c r="L1607" s="1" t="s">
        <v>85</v>
      </c>
      <c r="M1607" s="1" t="s">
        <v>236</v>
      </c>
      <c r="N1607" s="1" t="s">
        <v>1277</v>
      </c>
      <c r="O1607" s="1">
        <v>0.39</v>
      </c>
      <c r="P1607" s="6">
        <f>Table1[[#This Row],[Profit]]/Table1[[#This Row],[Sales]]</f>
        <v>-2.245981829733164</v>
      </c>
      <c r="Q1607" s="1" t="s">
        <v>33</v>
      </c>
      <c r="R1607" s="1" t="s">
        <v>34</v>
      </c>
      <c r="S1607" s="1" t="s">
        <v>35</v>
      </c>
      <c r="T1607" s="1" t="s">
        <v>2607</v>
      </c>
      <c r="U1607" s="1">
        <v>98198</v>
      </c>
      <c r="V1607" s="9">
        <v>42073</v>
      </c>
      <c r="W1607" s="13" t="str">
        <f>TEXT(Table1[[#This Row],[Order Date]],"mmmm")</f>
        <v>March</v>
      </c>
      <c r="X1607" s="7" t="str">
        <f>TEXT(Table1[[#This Row],[Order Date]],"yyyy")</f>
        <v>2015</v>
      </c>
      <c r="Y1607" s="9">
        <v>42077</v>
      </c>
      <c r="Z1607" s="1">
        <v>-14140.7016</v>
      </c>
      <c r="AA1607" s="1">
        <v>1</v>
      </c>
      <c r="AB1607" s="1">
        <v>6296</v>
      </c>
      <c r="AC1607" s="1">
        <v>87317</v>
      </c>
      <c r="AD1607" s="6" t="str">
        <f>IF(COUNTIF(Returns!$A$2:$A$1635,Orders!AC1607)&gt;0,"Returned","Not Returned")</f>
        <v>Not Returned</v>
      </c>
    </row>
    <row r="1608" spans="1:30" ht="12.75" customHeight="1" thickTop="1" thickBot="1" x14ac:dyDescent="0.25">
      <c r="A1608" s="10">
        <v>18516</v>
      </c>
      <c r="B1608" s="11" t="s">
        <v>56</v>
      </c>
      <c r="C1608" s="11">
        <v>0.06</v>
      </c>
      <c r="D1608" s="11">
        <v>2.94</v>
      </c>
      <c r="E1608" s="11">
        <v>0.96</v>
      </c>
      <c r="F1608" s="11">
        <v>2858</v>
      </c>
      <c r="G1608" s="6" t="str">
        <f>IF(COUNTIF(Table1[Customer ID],Table1[[#This Row],[Customer ID]])&gt;1,"Repeat Customer","One-Time Customer")</f>
        <v>Repeat Customer</v>
      </c>
      <c r="H1608" s="11" t="s">
        <v>2609</v>
      </c>
      <c r="I1608" s="11" t="s">
        <v>49</v>
      </c>
      <c r="J1608" s="11" t="s">
        <v>28</v>
      </c>
      <c r="K1608" s="11" t="s">
        <v>29</v>
      </c>
      <c r="L1608" s="11" t="s">
        <v>30</v>
      </c>
      <c r="M1608" s="11" t="s">
        <v>31</v>
      </c>
      <c r="N1608" s="11" t="s">
        <v>599</v>
      </c>
      <c r="O1608" s="11">
        <v>0.57999999999999996</v>
      </c>
      <c r="P1608" s="6">
        <f>Table1[[#This Row],[Profit]]/Table1[[#This Row],[Sales]]</f>
        <v>-1.0097838452787258</v>
      </c>
      <c r="Q1608" s="11" t="s">
        <v>33</v>
      </c>
      <c r="R1608" s="11" t="s">
        <v>136</v>
      </c>
      <c r="S1608" s="11" t="s">
        <v>362</v>
      </c>
      <c r="T1608" s="11" t="s">
        <v>2233</v>
      </c>
      <c r="U1608" s="11">
        <v>32259</v>
      </c>
      <c r="V1608" s="12">
        <v>42141</v>
      </c>
      <c r="W1608" s="13" t="str">
        <f>TEXT(Table1[[#This Row],[Order Date]],"mmmm")</f>
        <v>May</v>
      </c>
      <c r="X1608" s="7" t="str">
        <f>TEXT(Table1[[#This Row],[Order Date]],"yyyy")</f>
        <v>2015</v>
      </c>
      <c r="Y1608" s="12">
        <v>42142</v>
      </c>
      <c r="Z1608" s="11">
        <v>-8.8759999999999994</v>
      </c>
      <c r="AA1608" s="11">
        <v>3</v>
      </c>
      <c r="AB1608" s="11">
        <v>8.7899999999999991</v>
      </c>
      <c r="AC1608" s="11">
        <v>88279</v>
      </c>
      <c r="AD1608" s="6" t="str">
        <f>IF(COUNTIF(Returns!$A$2:$A$1635,Orders!AC1608)&gt;0,"Returned","Not Returned")</f>
        <v>Not Returned</v>
      </c>
    </row>
    <row r="1609" spans="1:30" ht="12.75" customHeight="1" thickTop="1" thickBot="1" x14ac:dyDescent="0.25">
      <c r="A1609" s="8">
        <v>18506</v>
      </c>
      <c r="B1609" s="1" t="s">
        <v>106</v>
      </c>
      <c r="C1609" s="1">
        <v>0.04</v>
      </c>
      <c r="D1609" s="1">
        <v>67.28</v>
      </c>
      <c r="E1609" s="1">
        <v>19.989999999999998</v>
      </c>
      <c r="F1609" s="1">
        <v>2858</v>
      </c>
      <c r="G1609" s="6" t="str">
        <f>IF(COUNTIF(Table1[Customer ID],Table1[[#This Row],[Customer ID]])&gt;1,"Repeat Customer","One-Time Customer")</f>
        <v>Repeat Customer</v>
      </c>
      <c r="H1609" s="1" t="s">
        <v>2609</v>
      </c>
      <c r="I1609" s="1" t="s">
        <v>49</v>
      </c>
      <c r="J1609" s="1" t="s">
        <v>28</v>
      </c>
      <c r="K1609" s="1" t="s">
        <v>29</v>
      </c>
      <c r="L1609" s="1" t="s">
        <v>109</v>
      </c>
      <c r="M1609" s="1" t="s">
        <v>59</v>
      </c>
      <c r="N1609" s="1" t="s">
        <v>673</v>
      </c>
      <c r="O1609" s="1">
        <v>0.4</v>
      </c>
      <c r="P1609" s="6">
        <f>Table1[[#This Row],[Profit]]/Table1[[#This Row],[Sales]]</f>
        <v>7.1911799110972478E-3</v>
      </c>
      <c r="Q1609" s="1" t="s">
        <v>33</v>
      </c>
      <c r="R1609" s="1" t="s">
        <v>136</v>
      </c>
      <c r="S1609" s="1" t="s">
        <v>362</v>
      </c>
      <c r="T1609" s="1" t="s">
        <v>2233</v>
      </c>
      <c r="U1609" s="1">
        <v>32259</v>
      </c>
      <c r="V1609" s="9">
        <v>42147</v>
      </c>
      <c r="W1609" s="13" t="str">
        <f>TEXT(Table1[[#This Row],[Order Date]],"mmmm")</f>
        <v>May</v>
      </c>
      <c r="X1609" s="7" t="str">
        <f>TEXT(Table1[[#This Row],[Order Date]],"yyyy")</f>
        <v>2015</v>
      </c>
      <c r="Y1609" s="9">
        <v>42152</v>
      </c>
      <c r="Z1609" s="1">
        <v>14.754</v>
      </c>
      <c r="AA1609" s="1">
        <v>30</v>
      </c>
      <c r="AB1609" s="1">
        <v>2051.6799999999998</v>
      </c>
      <c r="AC1609" s="1">
        <v>88282</v>
      </c>
      <c r="AD1609" s="6" t="str">
        <f>IF(COUNTIF(Returns!$A$2:$A$1635,Orders!AC1609)&gt;0,"Returned","Not Returned")</f>
        <v>Not Returned</v>
      </c>
    </row>
    <row r="1610" spans="1:30" ht="12.75" customHeight="1" thickTop="1" thickBot="1" x14ac:dyDescent="0.25">
      <c r="A1610" s="10">
        <v>18507</v>
      </c>
      <c r="B1610" s="11" t="s">
        <v>106</v>
      </c>
      <c r="C1610" s="11">
        <v>0.1</v>
      </c>
      <c r="D1610" s="11">
        <v>130.97999999999999</v>
      </c>
      <c r="E1610" s="11">
        <v>54.74</v>
      </c>
      <c r="F1610" s="11">
        <v>2858</v>
      </c>
      <c r="G1610" s="6" t="str">
        <f>IF(COUNTIF(Table1[Customer ID],Table1[[#This Row],[Customer ID]])&gt;1,"Repeat Customer","One-Time Customer")</f>
        <v>Repeat Customer</v>
      </c>
      <c r="H1610" s="11" t="s">
        <v>2609</v>
      </c>
      <c r="I1610" s="11" t="s">
        <v>39</v>
      </c>
      <c r="J1610" s="11" t="s">
        <v>28</v>
      </c>
      <c r="K1610" s="11" t="s">
        <v>41</v>
      </c>
      <c r="L1610" s="11" t="s">
        <v>191</v>
      </c>
      <c r="M1610" s="11" t="s">
        <v>121</v>
      </c>
      <c r="N1610" s="11" t="s">
        <v>405</v>
      </c>
      <c r="O1610" s="11">
        <v>0.69</v>
      </c>
      <c r="P1610" s="6">
        <f>Table1[[#This Row],[Profit]]/Table1[[#This Row],[Sales]]</f>
        <v>0.12646047331176594</v>
      </c>
      <c r="Q1610" s="11" t="s">
        <v>33</v>
      </c>
      <c r="R1610" s="11" t="s">
        <v>136</v>
      </c>
      <c r="S1610" s="11" t="s">
        <v>362</v>
      </c>
      <c r="T1610" s="11" t="s">
        <v>2233</v>
      </c>
      <c r="U1610" s="11">
        <v>32259</v>
      </c>
      <c r="V1610" s="12">
        <v>42147</v>
      </c>
      <c r="W1610" s="13" t="str">
        <f>TEXT(Table1[[#This Row],[Order Date]],"mmmm")</f>
        <v>May</v>
      </c>
      <c r="X1610" s="7" t="str">
        <f>TEXT(Table1[[#This Row],[Order Date]],"yyyy")</f>
        <v>2015</v>
      </c>
      <c r="Y1610" s="12">
        <v>42147</v>
      </c>
      <c r="Z1610" s="11">
        <v>669.61199999999997</v>
      </c>
      <c r="AA1610" s="11">
        <v>42</v>
      </c>
      <c r="AB1610" s="11">
        <v>5295.03</v>
      </c>
      <c r="AC1610" s="11">
        <v>88282</v>
      </c>
      <c r="AD1610" s="6" t="str">
        <f>IF(COUNTIF(Returns!$A$2:$A$1635,Orders!AC1610)&gt;0,"Returned","Not Returned")</f>
        <v>Not Returned</v>
      </c>
    </row>
    <row r="1611" spans="1:30" ht="12.75" customHeight="1" thickTop="1" thickBot="1" x14ac:dyDescent="0.25">
      <c r="A1611" s="8">
        <v>18508</v>
      </c>
      <c r="B1611" s="1" t="s">
        <v>106</v>
      </c>
      <c r="C1611" s="1">
        <v>0.04</v>
      </c>
      <c r="D1611" s="1">
        <v>2.78</v>
      </c>
      <c r="E1611" s="1">
        <v>1.25</v>
      </c>
      <c r="F1611" s="1">
        <v>2858</v>
      </c>
      <c r="G1611" s="6" t="str">
        <f>IF(COUNTIF(Table1[Customer ID],Table1[[#This Row],[Customer ID]])&gt;1,"Repeat Customer","One-Time Customer")</f>
        <v>Repeat Customer</v>
      </c>
      <c r="H1611" s="1" t="s">
        <v>2609</v>
      </c>
      <c r="I1611" s="1" t="s">
        <v>49</v>
      </c>
      <c r="J1611" s="1" t="s">
        <v>28</v>
      </c>
      <c r="K1611" s="1" t="s">
        <v>29</v>
      </c>
      <c r="L1611" s="1" t="s">
        <v>30</v>
      </c>
      <c r="M1611" s="1" t="s">
        <v>31</v>
      </c>
      <c r="N1611" s="1" t="s">
        <v>2206</v>
      </c>
      <c r="O1611" s="1">
        <v>0.59</v>
      </c>
      <c r="P1611" s="6">
        <f>Table1[[#This Row],[Profit]]/Table1[[#This Row],[Sales]]</f>
        <v>2.6535442880279061</v>
      </c>
      <c r="Q1611" s="1" t="s">
        <v>33</v>
      </c>
      <c r="R1611" s="1" t="s">
        <v>136</v>
      </c>
      <c r="S1611" s="1" t="s">
        <v>362</v>
      </c>
      <c r="T1611" s="1" t="s">
        <v>2233</v>
      </c>
      <c r="U1611" s="1">
        <v>32259</v>
      </c>
      <c r="V1611" s="9">
        <v>42147</v>
      </c>
      <c r="W1611" s="13" t="str">
        <f>TEXT(Table1[[#This Row],[Order Date]],"mmmm")</f>
        <v>May</v>
      </c>
      <c r="X1611" s="7" t="str">
        <f>TEXT(Table1[[#This Row],[Order Date]],"yyyy")</f>
        <v>2015</v>
      </c>
      <c r="Y1611" s="9">
        <v>42147</v>
      </c>
      <c r="Z1611" s="1">
        <v>213</v>
      </c>
      <c r="AA1611" s="1">
        <v>28</v>
      </c>
      <c r="AB1611" s="1">
        <v>80.27</v>
      </c>
      <c r="AC1611" s="1">
        <v>88282</v>
      </c>
      <c r="AD1611" s="6" t="str">
        <f>IF(COUNTIF(Returns!$A$2:$A$1635,Orders!AC1611)&gt;0,"Returned","Not Returned")</f>
        <v>Not Returned</v>
      </c>
    </row>
    <row r="1612" spans="1:30" ht="12.75" customHeight="1" thickTop="1" thickBot="1" x14ac:dyDescent="0.25">
      <c r="A1612" s="10">
        <v>20270</v>
      </c>
      <c r="B1612" s="11" t="s">
        <v>37</v>
      </c>
      <c r="C1612" s="11">
        <v>0.03</v>
      </c>
      <c r="D1612" s="11">
        <v>142.86000000000001</v>
      </c>
      <c r="E1612" s="11">
        <v>19.989999999999998</v>
      </c>
      <c r="F1612" s="11">
        <v>2859</v>
      </c>
      <c r="G1612" s="6" t="str">
        <f>IF(COUNTIF(Table1[Customer ID],Table1[[#This Row],[Customer ID]])&gt;1,"Repeat Customer","One-Time Customer")</f>
        <v>One-Time Customer</v>
      </c>
      <c r="H1612" s="11" t="s">
        <v>2610</v>
      </c>
      <c r="I1612" s="11" t="s">
        <v>49</v>
      </c>
      <c r="J1612" s="11" t="s">
        <v>28</v>
      </c>
      <c r="K1612" s="11" t="s">
        <v>29</v>
      </c>
      <c r="L1612" s="11" t="s">
        <v>141</v>
      </c>
      <c r="M1612" s="11" t="s">
        <v>59</v>
      </c>
      <c r="N1612" s="11" t="s">
        <v>1673</v>
      </c>
      <c r="O1612" s="11">
        <v>0.56000000000000005</v>
      </c>
      <c r="P1612" s="6">
        <f>Table1[[#This Row],[Profit]]/Table1[[#This Row],[Sales]]</f>
        <v>-2.5480100363910307E-3</v>
      </c>
      <c r="Q1612" s="11" t="s">
        <v>33</v>
      </c>
      <c r="R1612" s="11" t="s">
        <v>136</v>
      </c>
      <c r="S1612" s="11" t="s">
        <v>362</v>
      </c>
      <c r="T1612" s="11" t="s">
        <v>281</v>
      </c>
      <c r="U1612" s="11">
        <v>32601</v>
      </c>
      <c r="V1612" s="12">
        <v>42095</v>
      </c>
      <c r="W1612" s="13" t="str">
        <f>TEXT(Table1[[#This Row],[Order Date]],"mmmm")</f>
        <v>April</v>
      </c>
      <c r="X1612" s="7" t="str">
        <f>TEXT(Table1[[#This Row],[Order Date]],"yyyy")</f>
        <v>2015</v>
      </c>
      <c r="Y1612" s="12">
        <v>42097</v>
      </c>
      <c r="Z1612" s="11">
        <v>-8.3881000000000014</v>
      </c>
      <c r="AA1612" s="11">
        <v>23</v>
      </c>
      <c r="AB1612" s="11">
        <v>3292.02</v>
      </c>
      <c r="AC1612" s="11">
        <v>88281</v>
      </c>
      <c r="AD1612" s="6" t="str">
        <f>IF(COUNTIF(Returns!$A$2:$A$1635,Orders!AC1612)&gt;0,"Returned","Not Returned")</f>
        <v>Not Returned</v>
      </c>
    </row>
    <row r="1613" spans="1:30" ht="12.75" customHeight="1" thickTop="1" thickBot="1" x14ac:dyDescent="0.25">
      <c r="A1613" s="8">
        <v>23238</v>
      </c>
      <c r="B1613" s="1" t="s">
        <v>56</v>
      </c>
      <c r="C1613" s="1">
        <v>0.05</v>
      </c>
      <c r="D1613" s="1">
        <v>20.99</v>
      </c>
      <c r="E1613" s="1">
        <v>4.8099999999999996</v>
      </c>
      <c r="F1613" s="1">
        <v>2861</v>
      </c>
      <c r="G1613" s="6" t="str">
        <f>IF(COUNTIF(Table1[Customer ID],Table1[[#This Row],[Customer ID]])&gt;1,"Repeat Customer","One-Time Customer")</f>
        <v>One-Time Customer</v>
      </c>
      <c r="H1613" s="1" t="s">
        <v>2611</v>
      </c>
      <c r="I1613" s="1" t="s">
        <v>49</v>
      </c>
      <c r="J1613" s="1" t="s">
        <v>28</v>
      </c>
      <c r="K1613" s="1" t="s">
        <v>77</v>
      </c>
      <c r="L1613" s="1" t="s">
        <v>78</v>
      </c>
      <c r="M1613" s="1" t="s">
        <v>86</v>
      </c>
      <c r="N1613" s="1" t="s">
        <v>475</v>
      </c>
      <c r="O1613" s="1">
        <v>0.57999999999999996</v>
      </c>
      <c r="P1613" s="6">
        <f>Table1[[#This Row],[Profit]]/Table1[[#This Row],[Sales]]</f>
        <v>2.4578849721706864E-2</v>
      </c>
      <c r="Q1613" s="1" t="s">
        <v>33</v>
      </c>
      <c r="R1613" s="1" t="s">
        <v>61</v>
      </c>
      <c r="S1613" s="1" t="s">
        <v>183</v>
      </c>
      <c r="T1613" s="1" t="s">
        <v>2612</v>
      </c>
      <c r="U1613" s="1">
        <v>67601</v>
      </c>
      <c r="V1613" s="9">
        <v>42063</v>
      </c>
      <c r="W1613" s="13" t="str">
        <f>TEXT(Table1[[#This Row],[Order Date]],"mmmm")</f>
        <v>February</v>
      </c>
      <c r="X1613" s="7" t="str">
        <f>TEXT(Table1[[#This Row],[Order Date]],"yyyy")</f>
        <v>2015</v>
      </c>
      <c r="Y1613" s="9">
        <v>42063</v>
      </c>
      <c r="Z1613" s="1">
        <v>4.9017600000000003</v>
      </c>
      <c r="AA1613" s="1">
        <v>11</v>
      </c>
      <c r="AB1613" s="1">
        <v>199.43</v>
      </c>
      <c r="AC1613" s="1">
        <v>88280</v>
      </c>
      <c r="AD1613" s="6" t="str">
        <f>IF(COUNTIF(Returns!$A$2:$A$1635,Orders!AC1613)&gt;0,"Returned","Not Returned")</f>
        <v>Not Returned</v>
      </c>
    </row>
    <row r="1614" spans="1:30" ht="12.75" customHeight="1" thickTop="1" thickBot="1" x14ac:dyDescent="0.25">
      <c r="A1614" s="10">
        <v>25932</v>
      </c>
      <c r="B1614" s="11" t="s">
        <v>25</v>
      </c>
      <c r="C1614" s="11">
        <v>0</v>
      </c>
      <c r="D1614" s="11">
        <v>12.22</v>
      </c>
      <c r="E1614" s="11">
        <v>2.85</v>
      </c>
      <c r="F1614" s="11">
        <v>2862</v>
      </c>
      <c r="G1614" s="6" t="str">
        <f>IF(COUNTIF(Table1[Customer ID],Table1[[#This Row],[Customer ID]])&gt;1,"Repeat Customer","One-Time Customer")</f>
        <v>One-Time Customer</v>
      </c>
      <c r="H1614" s="11" t="s">
        <v>2613</v>
      </c>
      <c r="I1614" s="11" t="s">
        <v>49</v>
      </c>
      <c r="J1614" s="11" t="s">
        <v>28</v>
      </c>
      <c r="K1614" s="11" t="s">
        <v>41</v>
      </c>
      <c r="L1614" s="11" t="s">
        <v>50</v>
      </c>
      <c r="M1614" s="11" t="s">
        <v>51</v>
      </c>
      <c r="N1614" s="11" t="s">
        <v>2398</v>
      </c>
      <c r="O1614" s="11">
        <v>0.55000000000000004</v>
      </c>
      <c r="P1614" s="6">
        <f>Table1[[#This Row],[Profit]]/Table1[[#This Row],[Sales]]</f>
        <v>0.68999999999999984</v>
      </c>
      <c r="Q1614" s="11" t="s">
        <v>33</v>
      </c>
      <c r="R1614" s="11" t="s">
        <v>61</v>
      </c>
      <c r="S1614" s="11" t="s">
        <v>496</v>
      </c>
      <c r="T1614" s="11" t="s">
        <v>2614</v>
      </c>
      <c r="U1614" s="11">
        <v>68128</v>
      </c>
      <c r="V1614" s="12">
        <v>42105</v>
      </c>
      <c r="W1614" s="13" t="str">
        <f>TEXT(Table1[[#This Row],[Order Date]],"mmmm")</f>
        <v>April</v>
      </c>
      <c r="X1614" s="7" t="str">
        <f>TEXT(Table1[[#This Row],[Order Date]],"yyyy")</f>
        <v>2015</v>
      </c>
      <c r="Y1614" s="12">
        <v>42106</v>
      </c>
      <c r="Z1614" s="11">
        <v>76.389899999999983</v>
      </c>
      <c r="AA1614" s="11">
        <v>9</v>
      </c>
      <c r="AB1614" s="11">
        <v>110.71</v>
      </c>
      <c r="AC1614" s="11">
        <v>88278</v>
      </c>
      <c r="AD1614" s="6" t="str">
        <f>IF(COUNTIF(Returns!$A$2:$A$1635,Orders!AC1614)&gt;0,"Returned","Not Returned")</f>
        <v>Not Returned</v>
      </c>
    </row>
    <row r="1615" spans="1:30" ht="12.75" customHeight="1" thickTop="1" thickBot="1" x14ac:dyDescent="0.25">
      <c r="A1615" s="8">
        <v>23136</v>
      </c>
      <c r="B1615" s="1" t="s">
        <v>47</v>
      </c>
      <c r="C1615" s="1">
        <v>0.01</v>
      </c>
      <c r="D1615" s="1">
        <v>13.79</v>
      </c>
      <c r="E1615" s="1">
        <v>8.7799999999999994</v>
      </c>
      <c r="F1615" s="1">
        <v>2865</v>
      </c>
      <c r="G1615" s="6" t="str">
        <f>IF(COUNTIF(Table1[Customer ID],Table1[[#This Row],[Customer ID]])&gt;1,"Repeat Customer","One-Time Customer")</f>
        <v>Repeat Customer</v>
      </c>
      <c r="H1615" s="1" t="s">
        <v>2615</v>
      </c>
      <c r="I1615" s="1" t="s">
        <v>49</v>
      </c>
      <c r="J1615" s="1" t="s">
        <v>28</v>
      </c>
      <c r="K1615" s="1" t="s">
        <v>41</v>
      </c>
      <c r="L1615" s="1" t="s">
        <v>50</v>
      </c>
      <c r="M1615" s="1" t="s">
        <v>59</v>
      </c>
      <c r="N1615" s="1" t="s">
        <v>702</v>
      </c>
      <c r="O1615" s="1">
        <v>0.43</v>
      </c>
      <c r="P1615" s="6">
        <f>Table1[[#This Row],[Profit]]/Table1[[#This Row],[Sales]]</f>
        <v>-0.64872971065631624</v>
      </c>
      <c r="Q1615" s="1" t="s">
        <v>33</v>
      </c>
      <c r="R1615" s="1" t="s">
        <v>61</v>
      </c>
      <c r="S1615" s="1" t="s">
        <v>130</v>
      </c>
      <c r="T1615" s="1" t="s">
        <v>2616</v>
      </c>
      <c r="U1615" s="1">
        <v>75460</v>
      </c>
      <c r="V1615" s="9">
        <v>42058</v>
      </c>
      <c r="W1615" s="13" t="str">
        <f>TEXT(Table1[[#This Row],[Order Date]],"mmmm")</f>
        <v>February</v>
      </c>
      <c r="X1615" s="7" t="str">
        <f>TEXT(Table1[[#This Row],[Order Date]],"yyyy")</f>
        <v>2015</v>
      </c>
      <c r="Y1615" s="9">
        <v>42060</v>
      </c>
      <c r="Z1615" s="1">
        <v>-36.770000000000003</v>
      </c>
      <c r="AA1615" s="1">
        <v>4</v>
      </c>
      <c r="AB1615" s="1">
        <v>56.68</v>
      </c>
      <c r="AC1615" s="1">
        <v>90871</v>
      </c>
      <c r="AD1615" s="6" t="str">
        <f>IF(COUNTIF(Returns!$A$2:$A$1635,Orders!AC1615)&gt;0,"Returned","Not Returned")</f>
        <v>Not Returned</v>
      </c>
    </row>
    <row r="1616" spans="1:30" ht="12.75" customHeight="1" thickTop="1" thickBot="1" x14ac:dyDescent="0.25">
      <c r="A1616" s="10">
        <v>23137</v>
      </c>
      <c r="B1616" s="11" t="s">
        <v>47</v>
      </c>
      <c r="C1616" s="11">
        <v>0.04</v>
      </c>
      <c r="D1616" s="11">
        <v>33.29</v>
      </c>
      <c r="E1616" s="11">
        <v>8.74</v>
      </c>
      <c r="F1616" s="11">
        <v>2865</v>
      </c>
      <c r="G1616" s="6" t="str">
        <f>IF(COUNTIF(Table1[Customer ID],Table1[[#This Row],[Customer ID]])&gt;1,"Repeat Customer","One-Time Customer")</f>
        <v>Repeat Customer</v>
      </c>
      <c r="H1616" s="11" t="s">
        <v>2615</v>
      </c>
      <c r="I1616" s="11" t="s">
        <v>49</v>
      </c>
      <c r="J1616" s="11" t="s">
        <v>28</v>
      </c>
      <c r="K1616" s="11" t="s">
        <v>29</v>
      </c>
      <c r="L1616" s="11" t="s">
        <v>141</v>
      </c>
      <c r="M1616" s="11" t="s">
        <v>59</v>
      </c>
      <c r="N1616" s="11" t="s">
        <v>2617</v>
      </c>
      <c r="O1616" s="11">
        <v>0.61</v>
      </c>
      <c r="P1616" s="6">
        <f>Table1[[#This Row],[Profit]]/Table1[[#This Row],[Sales]]</f>
        <v>0.31839467330065124</v>
      </c>
      <c r="Q1616" s="11" t="s">
        <v>33</v>
      </c>
      <c r="R1616" s="11" t="s">
        <v>61</v>
      </c>
      <c r="S1616" s="11" t="s">
        <v>130</v>
      </c>
      <c r="T1616" s="11" t="s">
        <v>2616</v>
      </c>
      <c r="U1616" s="11">
        <v>75460</v>
      </c>
      <c r="V1616" s="12">
        <v>42058</v>
      </c>
      <c r="W1616" s="13" t="str">
        <f>TEXT(Table1[[#This Row],[Order Date]],"mmmm")</f>
        <v>February</v>
      </c>
      <c r="X1616" s="7" t="str">
        <f>TEXT(Table1[[#This Row],[Order Date]],"yyyy")</f>
        <v>2015</v>
      </c>
      <c r="Y1616" s="12">
        <v>42059</v>
      </c>
      <c r="Z1616" s="11">
        <v>87.03</v>
      </c>
      <c r="AA1616" s="11">
        <v>8</v>
      </c>
      <c r="AB1616" s="11">
        <v>273.33999999999997</v>
      </c>
      <c r="AC1616" s="11">
        <v>90871</v>
      </c>
      <c r="AD1616" s="6" t="str">
        <f>IF(COUNTIF(Returns!$A$2:$A$1635,Orders!AC1616)&gt;0,"Returned","Not Returned")</f>
        <v>Not Returned</v>
      </c>
    </row>
    <row r="1617" spans="1:30" ht="12.75" customHeight="1" thickTop="1" thickBot="1" x14ac:dyDescent="0.25">
      <c r="A1617" s="8">
        <v>1529</v>
      </c>
      <c r="B1617" s="1" t="s">
        <v>25</v>
      </c>
      <c r="C1617" s="1">
        <v>0.01</v>
      </c>
      <c r="D1617" s="1">
        <v>125.99</v>
      </c>
      <c r="E1617" s="1">
        <v>8.99</v>
      </c>
      <c r="F1617" s="1">
        <v>2867</v>
      </c>
      <c r="G1617" s="6" t="str">
        <f>IF(COUNTIF(Table1[Customer ID],Table1[[#This Row],[Customer ID]])&gt;1,"Repeat Customer","One-Time Customer")</f>
        <v>One-Time Customer</v>
      </c>
      <c r="H1617" s="1" t="s">
        <v>2618</v>
      </c>
      <c r="I1617" s="1" t="s">
        <v>49</v>
      </c>
      <c r="J1617" s="1" t="s">
        <v>28</v>
      </c>
      <c r="K1617" s="1" t="s">
        <v>77</v>
      </c>
      <c r="L1617" s="1" t="s">
        <v>78</v>
      </c>
      <c r="M1617" s="1" t="s">
        <v>59</v>
      </c>
      <c r="N1617" s="1" t="s">
        <v>465</v>
      </c>
      <c r="O1617" s="1">
        <v>0.59</v>
      </c>
      <c r="P1617" s="6">
        <f>Table1[[#This Row],[Profit]]/Table1[[#This Row],[Sales]]</f>
        <v>-2.5680888575458387</v>
      </c>
      <c r="Q1617" s="1" t="s">
        <v>33</v>
      </c>
      <c r="R1617" s="1" t="s">
        <v>53</v>
      </c>
      <c r="S1617" s="1" t="s">
        <v>1008</v>
      </c>
      <c r="T1617" s="1" t="s">
        <v>35</v>
      </c>
      <c r="U1617" s="1">
        <v>20016</v>
      </c>
      <c r="V1617" s="9">
        <v>42111</v>
      </c>
      <c r="W1617" s="13" t="str">
        <f>TEXT(Table1[[#This Row],[Order Date]],"mmmm")</f>
        <v>April</v>
      </c>
      <c r="X1617" s="7" t="str">
        <f>TEXT(Table1[[#This Row],[Order Date]],"yyyy")</f>
        <v>2015</v>
      </c>
      <c r="Y1617" s="9">
        <v>42112</v>
      </c>
      <c r="Z1617" s="1">
        <v>-582.64799999999991</v>
      </c>
      <c r="AA1617" s="1">
        <v>2</v>
      </c>
      <c r="AB1617" s="1">
        <v>226.88</v>
      </c>
      <c r="AC1617" s="1">
        <v>11013</v>
      </c>
      <c r="AD1617" s="6" t="str">
        <f>IF(COUNTIF(Returns!$A$2:$A$1635,Orders!AC1617)&gt;0,"Returned","Not Returned")</f>
        <v>Not Returned</v>
      </c>
    </row>
    <row r="1618" spans="1:30" ht="12.75" customHeight="1" thickTop="1" thickBot="1" x14ac:dyDescent="0.25">
      <c r="A1618" s="10">
        <v>18998</v>
      </c>
      <c r="B1618" s="11" t="s">
        <v>25</v>
      </c>
      <c r="C1618" s="11">
        <v>0.03</v>
      </c>
      <c r="D1618" s="11">
        <v>896.99</v>
      </c>
      <c r="E1618" s="11">
        <v>19.989999999999998</v>
      </c>
      <c r="F1618" s="11">
        <v>2868</v>
      </c>
      <c r="G1618" s="6" t="str">
        <f>IF(COUNTIF(Table1[Customer ID],Table1[[#This Row],[Customer ID]])&gt;1,"Repeat Customer","One-Time Customer")</f>
        <v>Repeat Customer</v>
      </c>
      <c r="H1618" s="11" t="s">
        <v>2619</v>
      </c>
      <c r="I1618" s="11" t="s">
        <v>49</v>
      </c>
      <c r="J1618" s="11" t="s">
        <v>28</v>
      </c>
      <c r="K1618" s="11" t="s">
        <v>29</v>
      </c>
      <c r="L1618" s="11" t="s">
        <v>109</v>
      </c>
      <c r="M1618" s="11" t="s">
        <v>59</v>
      </c>
      <c r="N1618" s="11" t="s">
        <v>159</v>
      </c>
      <c r="O1618" s="11">
        <v>0.38</v>
      </c>
      <c r="P1618" s="6">
        <f>Table1[[#This Row],[Profit]]/Table1[[#This Row],[Sales]]</f>
        <v>0.69</v>
      </c>
      <c r="Q1618" s="11" t="s">
        <v>33</v>
      </c>
      <c r="R1618" s="11" t="s">
        <v>34</v>
      </c>
      <c r="S1618" s="11" t="s">
        <v>35</v>
      </c>
      <c r="T1618" s="11" t="s">
        <v>2620</v>
      </c>
      <c r="U1618" s="11">
        <v>98026</v>
      </c>
      <c r="V1618" s="12">
        <v>42012</v>
      </c>
      <c r="W1618" s="13" t="str">
        <f>TEXT(Table1[[#This Row],[Order Date]],"mmmm")</f>
        <v>January</v>
      </c>
      <c r="X1618" s="7" t="str">
        <f>TEXT(Table1[[#This Row],[Order Date]],"yyyy")</f>
        <v>2015</v>
      </c>
      <c r="Y1618" s="12">
        <v>42014</v>
      </c>
      <c r="Z1618" s="11">
        <v>3602.1311999999994</v>
      </c>
      <c r="AA1618" s="11">
        <v>6</v>
      </c>
      <c r="AB1618" s="11">
        <v>5220.4799999999996</v>
      </c>
      <c r="AC1618" s="11">
        <v>85826</v>
      </c>
      <c r="AD1618" s="6" t="str">
        <f>IF(COUNTIF(Returns!$A$2:$A$1635,Orders!AC1618)&gt;0,"Returned","Not Returned")</f>
        <v>Not Returned</v>
      </c>
    </row>
    <row r="1619" spans="1:30" ht="12.75" customHeight="1" thickTop="1" thickBot="1" x14ac:dyDescent="0.25">
      <c r="A1619" s="8">
        <v>19529</v>
      </c>
      <c r="B1619" s="1" t="s">
        <v>25</v>
      </c>
      <c r="C1619" s="1">
        <v>0.01</v>
      </c>
      <c r="D1619" s="1">
        <v>125.99</v>
      </c>
      <c r="E1619" s="1">
        <v>8.99</v>
      </c>
      <c r="F1619" s="1">
        <v>2868</v>
      </c>
      <c r="G1619" s="6" t="str">
        <f>IF(COUNTIF(Table1[Customer ID],Table1[[#This Row],[Customer ID]])&gt;1,"Repeat Customer","One-Time Customer")</f>
        <v>Repeat Customer</v>
      </c>
      <c r="H1619" s="1" t="s">
        <v>2619</v>
      </c>
      <c r="I1619" s="1" t="s">
        <v>49</v>
      </c>
      <c r="J1619" s="1" t="s">
        <v>28</v>
      </c>
      <c r="K1619" s="1" t="s">
        <v>77</v>
      </c>
      <c r="L1619" s="1" t="s">
        <v>78</v>
      </c>
      <c r="M1619" s="1" t="s">
        <v>59</v>
      </c>
      <c r="N1619" s="1" t="s">
        <v>465</v>
      </c>
      <c r="O1619" s="1">
        <v>0.59</v>
      </c>
      <c r="P1619" s="6">
        <f>Table1[[#This Row],[Profit]]/Table1[[#This Row],[Sales]]</f>
        <v>-5.1361777150916774</v>
      </c>
      <c r="Q1619" s="1" t="s">
        <v>33</v>
      </c>
      <c r="R1619" s="1" t="s">
        <v>34</v>
      </c>
      <c r="S1619" s="1" t="s">
        <v>35</v>
      </c>
      <c r="T1619" s="1" t="s">
        <v>2620</v>
      </c>
      <c r="U1619" s="1">
        <v>98026</v>
      </c>
      <c r="V1619" s="9">
        <v>42111</v>
      </c>
      <c r="W1619" s="13" t="str">
        <f>TEXT(Table1[[#This Row],[Order Date]],"mmmm")</f>
        <v>April</v>
      </c>
      <c r="X1619" s="7" t="str">
        <f>TEXT(Table1[[#This Row],[Order Date]],"yyyy")</f>
        <v>2015</v>
      </c>
      <c r="Y1619" s="9">
        <v>42112</v>
      </c>
      <c r="Z1619" s="1">
        <v>-582.64799999999991</v>
      </c>
      <c r="AA1619" s="1">
        <v>1</v>
      </c>
      <c r="AB1619" s="1">
        <v>113.44</v>
      </c>
      <c r="AC1619" s="1">
        <v>85827</v>
      </c>
      <c r="AD1619" s="6" t="str">
        <f>IF(COUNTIF(Returns!$A$2:$A$1635,Orders!AC1619)&gt;0,"Returned","Not Returned")</f>
        <v>Not Returned</v>
      </c>
    </row>
    <row r="1620" spans="1:30" ht="12.75" customHeight="1" thickTop="1" thickBot="1" x14ac:dyDescent="0.25">
      <c r="A1620" s="10">
        <v>19293</v>
      </c>
      <c r="B1620" s="11" t="s">
        <v>37</v>
      </c>
      <c r="C1620" s="11">
        <v>0.08</v>
      </c>
      <c r="D1620" s="11">
        <v>15.99</v>
      </c>
      <c r="E1620" s="11">
        <v>13.18</v>
      </c>
      <c r="F1620" s="11">
        <v>2868</v>
      </c>
      <c r="G1620" s="6" t="str">
        <f>IF(COUNTIF(Table1[Customer ID],Table1[[#This Row],[Customer ID]])&gt;1,"Repeat Customer","One-Time Customer")</f>
        <v>Repeat Customer</v>
      </c>
      <c r="H1620" s="11" t="s">
        <v>2619</v>
      </c>
      <c r="I1620" s="11" t="s">
        <v>27</v>
      </c>
      <c r="J1620" s="11" t="s">
        <v>28</v>
      </c>
      <c r="K1620" s="11" t="s">
        <v>29</v>
      </c>
      <c r="L1620" s="11" t="s">
        <v>109</v>
      </c>
      <c r="M1620" s="11" t="s">
        <v>59</v>
      </c>
      <c r="N1620" s="11" t="s">
        <v>638</v>
      </c>
      <c r="O1620" s="11">
        <v>0.37</v>
      </c>
      <c r="P1620" s="6">
        <f>Table1[[#This Row],[Profit]]/Table1[[#This Row],[Sales]]</f>
        <v>-1.0085580127234171</v>
      </c>
      <c r="Q1620" s="11" t="s">
        <v>33</v>
      </c>
      <c r="R1620" s="11" t="s">
        <v>34</v>
      </c>
      <c r="S1620" s="11" t="s">
        <v>35</v>
      </c>
      <c r="T1620" s="11" t="s">
        <v>2620</v>
      </c>
      <c r="U1620" s="11">
        <v>98026</v>
      </c>
      <c r="V1620" s="12">
        <v>42149</v>
      </c>
      <c r="W1620" s="13" t="str">
        <f>TEXT(Table1[[#This Row],[Order Date]],"mmmm")</f>
        <v>May</v>
      </c>
      <c r="X1620" s="7" t="str">
        <f>TEXT(Table1[[#This Row],[Order Date]],"yyyy")</f>
        <v>2015</v>
      </c>
      <c r="Y1620" s="12">
        <v>42151</v>
      </c>
      <c r="Z1620" s="11">
        <v>-66.584999999999994</v>
      </c>
      <c r="AA1620" s="11">
        <v>4</v>
      </c>
      <c r="AB1620" s="11">
        <v>66.02</v>
      </c>
      <c r="AC1620" s="11">
        <v>85828</v>
      </c>
      <c r="AD1620" s="6" t="str">
        <f>IF(COUNTIF(Returns!$A$2:$A$1635,Orders!AC1620)&gt;0,"Returned","Not Returned")</f>
        <v>Not Returned</v>
      </c>
    </row>
    <row r="1621" spans="1:30" ht="12.75" customHeight="1" thickTop="1" thickBot="1" x14ac:dyDescent="0.25">
      <c r="A1621" s="8">
        <v>25724</v>
      </c>
      <c r="B1621" s="1" t="s">
        <v>56</v>
      </c>
      <c r="C1621" s="1">
        <v>7.0000000000000007E-2</v>
      </c>
      <c r="D1621" s="1">
        <v>2.89</v>
      </c>
      <c r="E1621" s="1">
        <v>0.5</v>
      </c>
      <c r="F1621" s="1">
        <v>2873</v>
      </c>
      <c r="G1621" s="6" t="str">
        <f>IF(COUNTIF(Table1[Customer ID],Table1[[#This Row],[Customer ID]])&gt;1,"Repeat Customer","One-Time Customer")</f>
        <v>Repeat Customer</v>
      </c>
      <c r="H1621" s="1" t="s">
        <v>2621</v>
      </c>
      <c r="I1621" s="1" t="s">
        <v>49</v>
      </c>
      <c r="J1621" s="1" t="s">
        <v>58</v>
      </c>
      <c r="K1621" s="1" t="s">
        <v>29</v>
      </c>
      <c r="L1621" s="1" t="s">
        <v>134</v>
      </c>
      <c r="M1621" s="1" t="s">
        <v>59</v>
      </c>
      <c r="N1621" s="1" t="s">
        <v>789</v>
      </c>
      <c r="O1621" s="1">
        <v>0.38</v>
      </c>
      <c r="P1621" s="6">
        <f>Table1[[#This Row],[Profit]]/Table1[[#This Row],[Sales]]</f>
        <v>13.37353119321623</v>
      </c>
      <c r="Q1621" s="1" t="s">
        <v>33</v>
      </c>
      <c r="R1621" s="1" t="s">
        <v>136</v>
      </c>
      <c r="S1621" s="1" t="s">
        <v>362</v>
      </c>
      <c r="T1621" s="1" t="s">
        <v>2622</v>
      </c>
      <c r="U1621" s="1">
        <v>33012</v>
      </c>
      <c r="V1621" s="9">
        <v>42026</v>
      </c>
      <c r="W1621" s="13" t="str">
        <f>TEXT(Table1[[#This Row],[Order Date]],"mmmm")</f>
        <v>January</v>
      </c>
      <c r="X1621" s="7" t="str">
        <f>TEXT(Table1[[#This Row],[Order Date]],"yyyy")</f>
        <v>2015</v>
      </c>
      <c r="Y1621" s="9">
        <v>42028</v>
      </c>
      <c r="Z1621" s="1">
        <v>441.59399999999999</v>
      </c>
      <c r="AA1621" s="1">
        <v>12</v>
      </c>
      <c r="AB1621" s="1">
        <v>33.020000000000003</v>
      </c>
      <c r="AC1621" s="1">
        <v>89872</v>
      </c>
      <c r="AD1621" s="6" t="str">
        <f>IF(COUNTIF(Returns!$A$2:$A$1635,Orders!AC1621)&gt;0,"Returned","Not Returned")</f>
        <v>Not Returned</v>
      </c>
    </row>
    <row r="1622" spans="1:30" ht="12.75" customHeight="1" thickTop="1" thickBot="1" x14ac:dyDescent="0.25">
      <c r="A1622" s="10">
        <v>25725</v>
      </c>
      <c r="B1622" s="11" t="s">
        <v>56</v>
      </c>
      <c r="C1622" s="11">
        <v>0</v>
      </c>
      <c r="D1622" s="11">
        <v>217.85</v>
      </c>
      <c r="E1622" s="11">
        <v>29.1</v>
      </c>
      <c r="F1622" s="11">
        <v>2873</v>
      </c>
      <c r="G1622" s="6" t="str">
        <f>IF(COUNTIF(Table1[Customer ID],Table1[[#This Row],[Customer ID]])&gt;1,"Repeat Customer","One-Time Customer")</f>
        <v>Repeat Customer</v>
      </c>
      <c r="H1622" s="11" t="s">
        <v>2621</v>
      </c>
      <c r="I1622" s="11" t="s">
        <v>39</v>
      </c>
      <c r="J1622" s="11" t="s">
        <v>58</v>
      </c>
      <c r="K1622" s="11" t="s">
        <v>41</v>
      </c>
      <c r="L1622" s="11" t="s">
        <v>152</v>
      </c>
      <c r="M1622" s="11" t="s">
        <v>121</v>
      </c>
      <c r="N1622" s="11" t="s">
        <v>2623</v>
      </c>
      <c r="O1622" s="11">
        <v>0.68</v>
      </c>
      <c r="P1622" s="6">
        <f>Table1[[#This Row],[Profit]]/Table1[[#This Row],[Sales]]</f>
        <v>0.17340636135673751</v>
      </c>
      <c r="Q1622" s="11" t="s">
        <v>33</v>
      </c>
      <c r="R1622" s="11" t="s">
        <v>136</v>
      </c>
      <c r="S1622" s="11" t="s">
        <v>362</v>
      </c>
      <c r="T1622" s="11" t="s">
        <v>2622</v>
      </c>
      <c r="U1622" s="11">
        <v>33012</v>
      </c>
      <c r="V1622" s="12">
        <v>42026</v>
      </c>
      <c r="W1622" s="13" t="str">
        <f>TEXT(Table1[[#This Row],[Order Date]],"mmmm")</f>
        <v>January</v>
      </c>
      <c r="X1622" s="7" t="str">
        <f>TEXT(Table1[[#This Row],[Order Date]],"yyyy")</f>
        <v>2015</v>
      </c>
      <c r="Y1622" s="12">
        <v>42027</v>
      </c>
      <c r="Z1622" s="11">
        <v>394.17</v>
      </c>
      <c r="AA1622" s="11">
        <v>10</v>
      </c>
      <c r="AB1622" s="11">
        <v>2273.1</v>
      </c>
      <c r="AC1622" s="11">
        <v>89872</v>
      </c>
      <c r="AD1622" s="6" t="str">
        <f>IF(COUNTIF(Returns!$A$2:$A$1635,Orders!AC1622)&gt;0,"Returned","Not Returned")</f>
        <v>Not Returned</v>
      </c>
    </row>
    <row r="1623" spans="1:30" ht="12.75" customHeight="1" thickTop="1" thickBot="1" x14ac:dyDescent="0.25">
      <c r="A1623" s="8">
        <v>21768</v>
      </c>
      <c r="B1623" s="1" t="s">
        <v>106</v>
      </c>
      <c r="C1623" s="1">
        <v>0.05</v>
      </c>
      <c r="D1623" s="1">
        <v>4.84</v>
      </c>
      <c r="E1623" s="1">
        <v>0.71</v>
      </c>
      <c r="F1623" s="1">
        <v>2874</v>
      </c>
      <c r="G1623" s="6" t="str">
        <f>IF(COUNTIF(Table1[Customer ID],Table1[[#This Row],[Customer ID]])&gt;1,"Repeat Customer","One-Time Customer")</f>
        <v>Repeat Customer</v>
      </c>
      <c r="H1623" s="1" t="s">
        <v>2624</v>
      </c>
      <c r="I1623" s="1" t="s">
        <v>49</v>
      </c>
      <c r="J1623" s="1" t="s">
        <v>40</v>
      </c>
      <c r="K1623" s="1" t="s">
        <v>29</v>
      </c>
      <c r="L1623" s="1" t="s">
        <v>30</v>
      </c>
      <c r="M1623" s="1" t="s">
        <v>31</v>
      </c>
      <c r="N1623" s="1" t="s">
        <v>1476</v>
      </c>
      <c r="O1623" s="1">
        <v>0.52</v>
      </c>
      <c r="P1623" s="6">
        <f>Table1[[#This Row],[Profit]]/Table1[[#This Row],[Sales]]</f>
        <v>0.69</v>
      </c>
      <c r="Q1623" s="1" t="s">
        <v>33</v>
      </c>
      <c r="R1623" s="1" t="s">
        <v>61</v>
      </c>
      <c r="S1623" s="1" t="s">
        <v>496</v>
      </c>
      <c r="T1623" s="1" t="s">
        <v>2614</v>
      </c>
      <c r="U1623" s="1">
        <v>68128</v>
      </c>
      <c r="V1623" s="9">
        <v>42100</v>
      </c>
      <c r="W1623" s="13" t="str">
        <f>TEXT(Table1[[#This Row],[Order Date]],"mmmm")</f>
        <v>April</v>
      </c>
      <c r="X1623" s="7" t="str">
        <f>TEXT(Table1[[#This Row],[Order Date]],"yyyy")</f>
        <v>2015</v>
      </c>
      <c r="Y1623" s="9">
        <v>42109</v>
      </c>
      <c r="Z1623" s="1">
        <v>13.448099999999998</v>
      </c>
      <c r="AA1623" s="1">
        <v>4</v>
      </c>
      <c r="AB1623" s="1">
        <v>19.489999999999998</v>
      </c>
      <c r="AC1623" s="1">
        <v>89873</v>
      </c>
      <c r="AD1623" s="6" t="str">
        <f>IF(COUNTIF(Returns!$A$2:$A$1635,Orders!AC1623)&gt;0,"Returned","Not Returned")</f>
        <v>Not Returned</v>
      </c>
    </row>
    <row r="1624" spans="1:30" ht="12.75" customHeight="1" thickTop="1" thickBot="1" x14ac:dyDescent="0.25">
      <c r="A1624" s="10">
        <v>19246</v>
      </c>
      <c r="B1624" s="11" t="s">
        <v>47</v>
      </c>
      <c r="C1624" s="11">
        <v>0.03</v>
      </c>
      <c r="D1624" s="11">
        <v>304.99</v>
      </c>
      <c r="E1624" s="11">
        <v>19.989999999999998</v>
      </c>
      <c r="F1624" s="11">
        <v>2874</v>
      </c>
      <c r="G1624" s="6" t="str">
        <f>IF(COUNTIF(Table1[Customer ID],Table1[[#This Row],[Customer ID]])&gt;1,"Repeat Customer","One-Time Customer")</f>
        <v>Repeat Customer</v>
      </c>
      <c r="H1624" s="11" t="s">
        <v>2624</v>
      </c>
      <c r="I1624" s="11" t="s">
        <v>49</v>
      </c>
      <c r="J1624" s="11" t="s">
        <v>40</v>
      </c>
      <c r="K1624" s="11" t="s">
        <v>29</v>
      </c>
      <c r="L1624" s="11" t="s">
        <v>109</v>
      </c>
      <c r="M1624" s="11" t="s">
        <v>59</v>
      </c>
      <c r="N1624" s="11" t="s">
        <v>2625</v>
      </c>
      <c r="O1624" s="11">
        <v>0.4</v>
      </c>
      <c r="P1624" s="6">
        <f>Table1[[#This Row],[Profit]]/Table1[[#This Row],[Sales]]</f>
        <v>0.69</v>
      </c>
      <c r="Q1624" s="11" t="s">
        <v>33</v>
      </c>
      <c r="R1624" s="11" t="s">
        <v>61</v>
      </c>
      <c r="S1624" s="11" t="s">
        <v>496</v>
      </c>
      <c r="T1624" s="11" t="s">
        <v>2614</v>
      </c>
      <c r="U1624" s="11">
        <v>68128</v>
      </c>
      <c r="V1624" s="12">
        <v>42177</v>
      </c>
      <c r="W1624" s="13" t="str">
        <f>TEXT(Table1[[#This Row],[Order Date]],"mmmm")</f>
        <v>June</v>
      </c>
      <c r="X1624" s="7" t="str">
        <f>TEXT(Table1[[#This Row],[Order Date]],"yyyy")</f>
        <v>2015</v>
      </c>
      <c r="Y1624" s="12">
        <v>42179</v>
      </c>
      <c r="Z1624" s="11">
        <v>4033.6089000000002</v>
      </c>
      <c r="AA1624" s="11">
        <v>19</v>
      </c>
      <c r="AB1624" s="11">
        <v>5845.81</v>
      </c>
      <c r="AC1624" s="11">
        <v>89874</v>
      </c>
      <c r="AD1624" s="6" t="str">
        <f>IF(COUNTIF(Returns!$A$2:$A$1635,Orders!AC1624)&gt;0,"Returned","Not Returned")</f>
        <v>Not Returned</v>
      </c>
    </row>
    <row r="1625" spans="1:30" ht="12.75" customHeight="1" thickTop="1" thickBot="1" x14ac:dyDescent="0.25">
      <c r="A1625" s="8">
        <v>19247</v>
      </c>
      <c r="B1625" s="1" t="s">
        <v>47</v>
      </c>
      <c r="C1625" s="1">
        <v>0.09</v>
      </c>
      <c r="D1625" s="1">
        <v>65.989999999999995</v>
      </c>
      <c r="E1625" s="1">
        <v>8.99</v>
      </c>
      <c r="F1625" s="1">
        <v>2874</v>
      </c>
      <c r="G1625" s="6" t="str">
        <f>IF(COUNTIF(Table1[Customer ID],Table1[[#This Row],[Customer ID]])&gt;1,"Repeat Customer","One-Time Customer")</f>
        <v>Repeat Customer</v>
      </c>
      <c r="H1625" s="1" t="s">
        <v>2624</v>
      </c>
      <c r="I1625" s="1" t="s">
        <v>49</v>
      </c>
      <c r="J1625" s="1" t="s">
        <v>40</v>
      </c>
      <c r="K1625" s="1" t="s">
        <v>77</v>
      </c>
      <c r="L1625" s="1" t="s">
        <v>78</v>
      </c>
      <c r="M1625" s="1" t="s">
        <v>59</v>
      </c>
      <c r="N1625" s="1" t="s">
        <v>2626</v>
      </c>
      <c r="O1625" s="1">
        <v>0.57999999999999996</v>
      </c>
      <c r="P1625" s="6">
        <f>Table1[[#This Row],[Profit]]/Table1[[#This Row],[Sales]]</f>
        <v>0.22368446793405378</v>
      </c>
      <c r="Q1625" s="1" t="s">
        <v>33</v>
      </c>
      <c r="R1625" s="1" t="s">
        <v>61</v>
      </c>
      <c r="S1625" s="1" t="s">
        <v>496</v>
      </c>
      <c r="T1625" s="1" t="s">
        <v>2614</v>
      </c>
      <c r="U1625" s="1">
        <v>68128</v>
      </c>
      <c r="V1625" s="9">
        <v>42177</v>
      </c>
      <c r="W1625" s="13" t="str">
        <f>TEXT(Table1[[#This Row],[Order Date]],"mmmm")</f>
        <v>June</v>
      </c>
      <c r="X1625" s="7" t="str">
        <f>TEXT(Table1[[#This Row],[Order Date]],"yyyy")</f>
        <v>2015</v>
      </c>
      <c r="Y1625" s="9">
        <v>42179</v>
      </c>
      <c r="Z1625" s="1">
        <v>141.7824</v>
      </c>
      <c r="AA1625" s="1">
        <v>12</v>
      </c>
      <c r="AB1625" s="1">
        <v>633.85</v>
      </c>
      <c r="AC1625" s="1">
        <v>89874</v>
      </c>
      <c r="AD1625" s="6" t="str">
        <f>IF(COUNTIF(Returns!$A$2:$A$1635,Orders!AC1625)&gt;0,"Returned","Not Returned")</f>
        <v>Not Returned</v>
      </c>
    </row>
    <row r="1626" spans="1:30" ht="12.75" customHeight="1" thickTop="1" thickBot="1" x14ac:dyDescent="0.25">
      <c r="A1626" s="10">
        <v>25599</v>
      </c>
      <c r="B1626" s="11" t="s">
        <v>37</v>
      </c>
      <c r="C1626" s="11">
        <v>0</v>
      </c>
      <c r="D1626" s="11">
        <v>8.33</v>
      </c>
      <c r="E1626" s="11">
        <v>1.99</v>
      </c>
      <c r="F1626" s="11">
        <v>2877</v>
      </c>
      <c r="G1626" s="6" t="str">
        <f>IF(COUNTIF(Table1[Customer ID],Table1[[#This Row],[Customer ID]])&gt;1,"Repeat Customer","One-Time Customer")</f>
        <v>One-Time Customer</v>
      </c>
      <c r="H1626" s="11" t="s">
        <v>2627</v>
      </c>
      <c r="I1626" s="11" t="s">
        <v>27</v>
      </c>
      <c r="J1626" s="11" t="s">
        <v>114</v>
      </c>
      <c r="K1626" s="11" t="s">
        <v>77</v>
      </c>
      <c r="L1626" s="11" t="s">
        <v>180</v>
      </c>
      <c r="M1626" s="11" t="s">
        <v>51</v>
      </c>
      <c r="N1626" s="11" t="s">
        <v>414</v>
      </c>
      <c r="O1626" s="11">
        <v>0.52</v>
      </c>
      <c r="P1626" s="6">
        <f>Table1[[#This Row],[Profit]]/Table1[[#This Row],[Sales]]</f>
        <v>0.69</v>
      </c>
      <c r="Q1626" s="11" t="s">
        <v>33</v>
      </c>
      <c r="R1626" s="11" t="s">
        <v>53</v>
      </c>
      <c r="S1626" s="11" t="s">
        <v>154</v>
      </c>
      <c r="T1626" s="11" t="s">
        <v>2628</v>
      </c>
      <c r="U1626" s="11">
        <v>44070</v>
      </c>
      <c r="V1626" s="12">
        <v>42065</v>
      </c>
      <c r="W1626" s="13" t="str">
        <f>TEXT(Table1[[#This Row],[Order Date]],"mmmm")</f>
        <v>March</v>
      </c>
      <c r="X1626" s="7" t="str">
        <f>TEXT(Table1[[#This Row],[Order Date]],"yyyy")</f>
        <v>2015</v>
      </c>
      <c r="Y1626" s="12">
        <v>42067</v>
      </c>
      <c r="Z1626" s="11">
        <v>74.181899999999999</v>
      </c>
      <c r="AA1626" s="11">
        <v>12</v>
      </c>
      <c r="AB1626" s="11">
        <v>107.51</v>
      </c>
      <c r="AC1626" s="11">
        <v>91492</v>
      </c>
      <c r="AD1626" s="6" t="str">
        <f>IF(COUNTIF(Returns!$A$2:$A$1635,Orders!AC1626)&gt;0,"Returned","Not Returned")</f>
        <v>Not Returned</v>
      </c>
    </row>
    <row r="1627" spans="1:30" ht="12.75" customHeight="1" thickTop="1" thickBot="1" x14ac:dyDescent="0.25">
      <c r="A1627" s="8">
        <v>7599</v>
      </c>
      <c r="B1627" s="1" t="s">
        <v>37</v>
      </c>
      <c r="C1627" s="1">
        <v>0</v>
      </c>
      <c r="D1627" s="1">
        <v>8.33</v>
      </c>
      <c r="E1627" s="1">
        <v>1.99</v>
      </c>
      <c r="F1627" s="1">
        <v>2878</v>
      </c>
      <c r="G1627" s="6" t="str">
        <f>IF(COUNTIF(Table1[Customer ID],Table1[[#This Row],[Customer ID]])&gt;1,"Repeat Customer","One-Time Customer")</f>
        <v>One-Time Customer</v>
      </c>
      <c r="H1627" s="1" t="s">
        <v>2629</v>
      </c>
      <c r="I1627" s="1" t="s">
        <v>27</v>
      </c>
      <c r="J1627" s="1" t="s">
        <v>114</v>
      </c>
      <c r="K1627" s="1" t="s">
        <v>77</v>
      </c>
      <c r="L1627" s="1" t="s">
        <v>180</v>
      </c>
      <c r="M1627" s="1" t="s">
        <v>51</v>
      </c>
      <c r="N1627" s="1" t="s">
        <v>414</v>
      </c>
      <c r="O1627" s="1">
        <v>0.52</v>
      </c>
      <c r="P1627" s="6">
        <f>Table1[[#This Row],[Profit]]/Table1[[#This Row],[Sales]]</f>
        <v>0.19547354421962573</v>
      </c>
      <c r="Q1627" s="1" t="s">
        <v>33</v>
      </c>
      <c r="R1627" s="1" t="s">
        <v>34</v>
      </c>
      <c r="S1627" s="1" t="s">
        <v>35</v>
      </c>
      <c r="T1627" s="1" t="s">
        <v>209</v>
      </c>
      <c r="U1627" s="1">
        <v>98107</v>
      </c>
      <c r="V1627" s="9">
        <v>42065</v>
      </c>
      <c r="W1627" s="13" t="str">
        <f>TEXT(Table1[[#This Row],[Order Date]],"mmmm")</f>
        <v>March</v>
      </c>
      <c r="X1627" s="7" t="str">
        <f>TEXT(Table1[[#This Row],[Order Date]],"yyyy")</f>
        <v>2015</v>
      </c>
      <c r="Y1627" s="9">
        <v>42067</v>
      </c>
      <c r="Z1627" s="1">
        <v>82.31</v>
      </c>
      <c r="AA1627" s="1">
        <v>47</v>
      </c>
      <c r="AB1627" s="1">
        <v>421.08</v>
      </c>
      <c r="AC1627" s="1">
        <v>54369</v>
      </c>
      <c r="AD1627" s="6" t="str">
        <f>IF(COUNTIF(Returns!$A$2:$A$1635,Orders!AC1627)&gt;0,"Returned","Not Returned")</f>
        <v>Not Returned</v>
      </c>
    </row>
    <row r="1628" spans="1:30" ht="12.75" customHeight="1" thickTop="1" thickBot="1" x14ac:dyDescent="0.25">
      <c r="A1628" s="10">
        <v>18642</v>
      </c>
      <c r="B1628" s="11" t="s">
        <v>56</v>
      </c>
      <c r="C1628" s="11">
        <v>0.05</v>
      </c>
      <c r="D1628" s="11">
        <v>6.68</v>
      </c>
      <c r="E1628" s="11">
        <v>6.93</v>
      </c>
      <c r="F1628" s="11">
        <v>2880</v>
      </c>
      <c r="G1628" s="6" t="str">
        <f>IF(COUNTIF(Table1[Customer ID],Table1[[#This Row],[Customer ID]])&gt;1,"Repeat Customer","One-Time Customer")</f>
        <v>Repeat Customer</v>
      </c>
      <c r="H1628" s="11" t="s">
        <v>2630</v>
      </c>
      <c r="I1628" s="11" t="s">
        <v>49</v>
      </c>
      <c r="J1628" s="11" t="s">
        <v>58</v>
      </c>
      <c r="K1628" s="11" t="s">
        <v>29</v>
      </c>
      <c r="L1628" s="11" t="s">
        <v>93</v>
      </c>
      <c r="M1628" s="11" t="s">
        <v>59</v>
      </c>
      <c r="N1628" s="11" t="s">
        <v>2135</v>
      </c>
      <c r="O1628" s="11">
        <v>0.37</v>
      </c>
      <c r="P1628" s="6">
        <f>Table1[[#This Row],[Profit]]/Table1[[#This Row],[Sales]]</f>
        <v>-3.0466321243523439E-2</v>
      </c>
      <c r="Q1628" s="11" t="s">
        <v>33</v>
      </c>
      <c r="R1628" s="11" t="s">
        <v>136</v>
      </c>
      <c r="S1628" s="11" t="s">
        <v>362</v>
      </c>
      <c r="T1628" s="11" t="s">
        <v>2631</v>
      </c>
      <c r="U1628" s="11">
        <v>33160</v>
      </c>
      <c r="V1628" s="12">
        <v>42091</v>
      </c>
      <c r="W1628" s="13" t="str">
        <f>TEXT(Table1[[#This Row],[Order Date]],"mmmm")</f>
        <v>March</v>
      </c>
      <c r="X1628" s="7" t="str">
        <f>TEXT(Table1[[#This Row],[Order Date]],"yyyy")</f>
        <v>2015</v>
      </c>
      <c r="Y1628" s="12">
        <v>42092</v>
      </c>
      <c r="Z1628" s="11">
        <v>-2.3520000000000096</v>
      </c>
      <c r="AA1628" s="11">
        <v>11</v>
      </c>
      <c r="AB1628" s="11">
        <v>77.2</v>
      </c>
      <c r="AC1628" s="11">
        <v>88626</v>
      </c>
      <c r="AD1628" s="6" t="str">
        <f>IF(COUNTIF(Returns!$A$2:$A$1635,Orders!AC1628)&gt;0,"Returned","Not Returned")</f>
        <v>Not Returned</v>
      </c>
    </row>
    <row r="1629" spans="1:30" ht="12.75" customHeight="1" thickTop="1" thickBot="1" x14ac:dyDescent="0.25">
      <c r="A1629" s="8">
        <v>20315</v>
      </c>
      <c r="B1629" s="1" t="s">
        <v>106</v>
      </c>
      <c r="C1629" s="1">
        <v>0.09</v>
      </c>
      <c r="D1629" s="1">
        <v>243.98</v>
      </c>
      <c r="E1629" s="1">
        <v>43.32</v>
      </c>
      <c r="F1629" s="1">
        <v>2880</v>
      </c>
      <c r="G1629" s="6" t="str">
        <f>IF(COUNTIF(Table1[Customer ID],Table1[[#This Row],[Customer ID]])&gt;1,"Repeat Customer","One-Time Customer")</f>
        <v>Repeat Customer</v>
      </c>
      <c r="H1629" s="1" t="s">
        <v>2630</v>
      </c>
      <c r="I1629" s="1" t="s">
        <v>39</v>
      </c>
      <c r="J1629" s="1" t="s">
        <v>58</v>
      </c>
      <c r="K1629" s="1" t="s">
        <v>41</v>
      </c>
      <c r="L1629" s="1" t="s">
        <v>42</v>
      </c>
      <c r="M1629" s="1" t="s">
        <v>43</v>
      </c>
      <c r="N1629" s="1" t="s">
        <v>2059</v>
      </c>
      <c r="O1629" s="1">
        <v>0.55000000000000004</v>
      </c>
      <c r="P1629" s="6">
        <f>Table1[[#This Row],[Profit]]/Table1[[#This Row],[Sales]]</f>
        <v>0.18956851333866628</v>
      </c>
      <c r="Q1629" s="1" t="s">
        <v>33</v>
      </c>
      <c r="R1629" s="1" t="s">
        <v>136</v>
      </c>
      <c r="S1629" s="1" t="s">
        <v>362</v>
      </c>
      <c r="T1629" s="1" t="s">
        <v>2631</v>
      </c>
      <c r="U1629" s="1">
        <v>33160</v>
      </c>
      <c r="V1629" s="9">
        <v>42132</v>
      </c>
      <c r="W1629" s="13" t="str">
        <f>TEXT(Table1[[#This Row],[Order Date]],"mmmm")</f>
        <v>May</v>
      </c>
      <c r="X1629" s="7" t="str">
        <f>TEXT(Table1[[#This Row],[Order Date]],"yyyy")</f>
        <v>2015</v>
      </c>
      <c r="Y1629" s="9">
        <v>42137</v>
      </c>
      <c r="Z1629" s="1">
        <v>1059.288</v>
      </c>
      <c r="AA1629" s="1">
        <v>25</v>
      </c>
      <c r="AB1629" s="1">
        <v>5587.89</v>
      </c>
      <c r="AC1629" s="1">
        <v>88627</v>
      </c>
      <c r="AD1629" s="6" t="str">
        <f>IF(COUNTIF(Returns!$A$2:$A$1635,Orders!AC1629)&gt;0,"Returned","Not Returned")</f>
        <v>Not Returned</v>
      </c>
    </row>
    <row r="1630" spans="1:30" ht="12.75" customHeight="1" thickTop="1" thickBot="1" x14ac:dyDescent="0.25">
      <c r="A1630" s="10">
        <v>7718</v>
      </c>
      <c r="B1630" s="11" t="s">
        <v>25</v>
      </c>
      <c r="C1630" s="11">
        <v>0.03</v>
      </c>
      <c r="D1630" s="11">
        <v>4.0599999999999996</v>
      </c>
      <c r="E1630" s="11">
        <v>6.89</v>
      </c>
      <c r="F1630" s="11">
        <v>2882</v>
      </c>
      <c r="G1630" s="6" t="str">
        <f>IF(COUNTIF(Table1[Customer ID],Table1[[#This Row],[Customer ID]])&gt;1,"Repeat Customer","One-Time Customer")</f>
        <v>Repeat Customer</v>
      </c>
      <c r="H1630" s="11" t="s">
        <v>2632</v>
      </c>
      <c r="I1630" s="11" t="s">
        <v>49</v>
      </c>
      <c r="J1630" s="11" t="s">
        <v>114</v>
      </c>
      <c r="K1630" s="11" t="s">
        <v>29</v>
      </c>
      <c r="L1630" s="11" t="s">
        <v>257</v>
      </c>
      <c r="M1630" s="11" t="s">
        <v>59</v>
      </c>
      <c r="N1630" s="11" t="s">
        <v>910</v>
      </c>
      <c r="O1630" s="11">
        <v>0.6</v>
      </c>
      <c r="P1630" s="6">
        <f>Table1[[#This Row],[Profit]]/Table1[[#This Row],[Sales]]</f>
        <v>-1.5402845706423167</v>
      </c>
      <c r="Q1630" s="11" t="s">
        <v>33</v>
      </c>
      <c r="R1630" s="11" t="s">
        <v>136</v>
      </c>
      <c r="S1630" s="11" t="s">
        <v>322</v>
      </c>
      <c r="T1630" s="11" t="s">
        <v>390</v>
      </c>
      <c r="U1630" s="11">
        <v>28206</v>
      </c>
      <c r="V1630" s="12">
        <v>42055</v>
      </c>
      <c r="W1630" s="13" t="str">
        <f>TEXT(Table1[[#This Row],[Order Date]],"mmmm")</f>
        <v>February</v>
      </c>
      <c r="X1630" s="7" t="str">
        <f>TEXT(Table1[[#This Row],[Order Date]],"yyyy")</f>
        <v>2015</v>
      </c>
      <c r="Y1630" s="12">
        <v>42057</v>
      </c>
      <c r="Z1630" s="11">
        <v>-246.27609999999999</v>
      </c>
      <c r="AA1630" s="11">
        <v>37</v>
      </c>
      <c r="AB1630" s="11">
        <v>159.88999999999999</v>
      </c>
      <c r="AC1630" s="11">
        <v>55300</v>
      </c>
      <c r="AD1630" s="6" t="str">
        <f>IF(COUNTIF(Returns!$A$2:$A$1635,Orders!AC1630)&gt;0,"Returned","Not Returned")</f>
        <v>Not Returned</v>
      </c>
    </row>
    <row r="1631" spans="1:30" ht="12.75" customHeight="1" thickTop="1" thickBot="1" x14ac:dyDescent="0.25">
      <c r="A1631" s="8">
        <v>7719</v>
      </c>
      <c r="B1631" s="1" t="s">
        <v>25</v>
      </c>
      <c r="C1631" s="1">
        <v>0.01</v>
      </c>
      <c r="D1631" s="1">
        <v>3.75</v>
      </c>
      <c r="E1631" s="1">
        <v>0.5</v>
      </c>
      <c r="F1631" s="1">
        <v>2882</v>
      </c>
      <c r="G1631" s="6" t="str">
        <f>IF(COUNTIF(Table1[Customer ID],Table1[[#This Row],[Customer ID]])&gt;1,"Repeat Customer","One-Time Customer")</f>
        <v>Repeat Customer</v>
      </c>
      <c r="H1631" s="1" t="s">
        <v>2632</v>
      </c>
      <c r="I1631" s="1" t="s">
        <v>49</v>
      </c>
      <c r="J1631" s="1" t="s">
        <v>114</v>
      </c>
      <c r="K1631" s="1" t="s">
        <v>29</v>
      </c>
      <c r="L1631" s="1" t="s">
        <v>134</v>
      </c>
      <c r="M1631" s="1" t="s">
        <v>59</v>
      </c>
      <c r="N1631" s="1" t="s">
        <v>2633</v>
      </c>
      <c r="O1631" s="1">
        <v>0.37</v>
      </c>
      <c r="P1631" s="6">
        <f>Table1[[#This Row],[Profit]]/Table1[[#This Row],[Sales]]</f>
        <v>0.30582114361702128</v>
      </c>
      <c r="Q1631" s="1" t="s">
        <v>33</v>
      </c>
      <c r="R1631" s="1" t="s">
        <v>136</v>
      </c>
      <c r="S1631" s="1" t="s">
        <v>322</v>
      </c>
      <c r="T1631" s="1" t="s">
        <v>390</v>
      </c>
      <c r="U1631" s="1">
        <v>28206</v>
      </c>
      <c r="V1631" s="9">
        <v>42055</v>
      </c>
      <c r="W1631" s="13" t="str">
        <f>TEXT(Table1[[#This Row],[Order Date]],"mmmm")</f>
        <v>February</v>
      </c>
      <c r="X1631" s="7" t="str">
        <f>TEXT(Table1[[#This Row],[Order Date]],"yyyy")</f>
        <v>2015</v>
      </c>
      <c r="Y1631" s="9">
        <v>42056</v>
      </c>
      <c r="Z1631" s="1">
        <v>55.194599999999994</v>
      </c>
      <c r="AA1631" s="1">
        <v>48</v>
      </c>
      <c r="AB1631" s="1">
        <v>180.48</v>
      </c>
      <c r="AC1631" s="1">
        <v>55300</v>
      </c>
      <c r="AD1631" s="6" t="str">
        <f>IF(COUNTIF(Returns!$A$2:$A$1635,Orders!AC1631)&gt;0,"Returned","Not Returned")</f>
        <v>Not Returned</v>
      </c>
    </row>
    <row r="1632" spans="1:30" ht="12.75" customHeight="1" thickTop="1" thickBot="1" x14ac:dyDescent="0.25">
      <c r="A1632" s="10">
        <v>7720</v>
      </c>
      <c r="B1632" s="11" t="s">
        <v>25</v>
      </c>
      <c r="C1632" s="11">
        <v>0.02</v>
      </c>
      <c r="D1632" s="11">
        <v>10.68</v>
      </c>
      <c r="E1632" s="11">
        <v>13.04</v>
      </c>
      <c r="F1632" s="11">
        <v>2882</v>
      </c>
      <c r="G1632" s="6" t="str">
        <f>IF(COUNTIF(Table1[Customer ID],Table1[[#This Row],[Customer ID]])&gt;1,"Repeat Customer","One-Time Customer")</f>
        <v>Repeat Customer</v>
      </c>
      <c r="H1632" s="11" t="s">
        <v>2632</v>
      </c>
      <c r="I1632" s="11" t="s">
        <v>49</v>
      </c>
      <c r="J1632" s="11" t="s">
        <v>114</v>
      </c>
      <c r="K1632" s="11" t="s">
        <v>41</v>
      </c>
      <c r="L1632" s="11" t="s">
        <v>50</v>
      </c>
      <c r="M1632" s="11" t="s">
        <v>236</v>
      </c>
      <c r="N1632" s="11" t="s">
        <v>2634</v>
      </c>
      <c r="O1632" s="11">
        <v>0.6</v>
      </c>
      <c r="P1632" s="6">
        <f>Table1[[#This Row],[Profit]]/Table1[[#This Row],[Sales]]</f>
        <v>-0.87678754850490759</v>
      </c>
      <c r="Q1632" s="11" t="s">
        <v>33</v>
      </c>
      <c r="R1632" s="11" t="s">
        <v>136</v>
      </c>
      <c r="S1632" s="11" t="s">
        <v>322</v>
      </c>
      <c r="T1632" s="11" t="s">
        <v>390</v>
      </c>
      <c r="U1632" s="11">
        <v>28206</v>
      </c>
      <c r="V1632" s="12">
        <v>42055</v>
      </c>
      <c r="W1632" s="13" t="str">
        <f>TEXT(Table1[[#This Row],[Order Date]],"mmmm")</f>
        <v>February</v>
      </c>
      <c r="X1632" s="7" t="str">
        <f>TEXT(Table1[[#This Row],[Order Date]],"yyyy")</f>
        <v>2015</v>
      </c>
      <c r="Y1632" s="12">
        <v>42057</v>
      </c>
      <c r="Z1632" s="11">
        <v>-307.29650000000004</v>
      </c>
      <c r="AA1632" s="11">
        <v>31</v>
      </c>
      <c r="AB1632" s="11">
        <v>350.48</v>
      </c>
      <c r="AC1632" s="11">
        <v>55300</v>
      </c>
      <c r="AD1632" s="6" t="str">
        <f>IF(COUNTIF(Returns!$A$2:$A$1635,Orders!AC1632)&gt;0,"Returned","Not Returned")</f>
        <v>Not Returned</v>
      </c>
    </row>
    <row r="1633" spans="1:30" ht="12.75" customHeight="1" thickTop="1" thickBot="1" x14ac:dyDescent="0.25">
      <c r="A1633" s="8">
        <v>2314</v>
      </c>
      <c r="B1633" s="1" t="s">
        <v>25</v>
      </c>
      <c r="C1633" s="1">
        <v>7.0000000000000007E-2</v>
      </c>
      <c r="D1633" s="1">
        <v>28.99</v>
      </c>
      <c r="E1633" s="1">
        <v>8.59</v>
      </c>
      <c r="F1633" s="1">
        <v>2882</v>
      </c>
      <c r="G1633" s="6" t="str">
        <f>IF(COUNTIF(Table1[Customer ID],Table1[[#This Row],[Customer ID]])&gt;1,"Repeat Customer","One-Time Customer")</f>
        <v>Repeat Customer</v>
      </c>
      <c r="H1633" s="1" t="s">
        <v>2632</v>
      </c>
      <c r="I1633" s="1" t="s">
        <v>49</v>
      </c>
      <c r="J1633" s="1" t="s">
        <v>114</v>
      </c>
      <c r="K1633" s="1" t="s">
        <v>77</v>
      </c>
      <c r="L1633" s="1" t="s">
        <v>78</v>
      </c>
      <c r="M1633" s="1" t="s">
        <v>86</v>
      </c>
      <c r="N1633" s="1" t="s">
        <v>2045</v>
      </c>
      <c r="O1633" s="1">
        <v>0.56000000000000005</v>
      </c>
      <c r="P1633" s="6">
        <f>Table1[[#This Row],[Profit]]/Table1[[#This Row],[Sales]]</f>
        <v>-1.7147459436379166E-2</v>
      </c>
      <c r="Q1633" s="1" t="s">
        <v>33</v>
      </c>
      <c r="R1633" s="1" t="s">
        <v>136</v>
      </c>
      <c r="S1633" s="1" t="s">
        <v>322</v>
      </c>
      <c r="T1633" s="1" t="s">
        <v>390</v>
      </c>
      <c r="U1633" s="1">
        <v>28206</v>
      </c>
      <c r="V1633" s="9">
        <v>42082</v>
      </c>
      <c r="W1633" s="13" t="str">
        <f>TEXT(Table1[[#This Row],[Order Date]],"mmmm")</f>
        <v>March</v>
      </c>
      <c r="X1633" s="7" t="str">
        <f>TEXT(Table1[[#This Row],[Order Date]],"yyyy")</f>
        <v>2015</v>
      </c>
      <c r="Y1633" s="9">
        <v>42082</v>
      </c>
      <c r="Z1633" s="1">
        <v>-16.063740000000003</v>
      </c>
      <c r="AA1633" s="1">
        <v>39</v>
      </c>
      <c r="AB1633" s="1">
        <v>936.8</v>
      </c>
      <c r="AC1633" s="1">
        <v>16676</v>
      </c>
      <c r="AD1633" s="6" t="str">
        <f>IF(COUNTIF(Returns!$A$2:$A$1635,Orders!AC1633)&gt;0,"Returned","Not Returned")</f>
        <v>Not Returned</v>
      </c>
    </row>
    <row r="1634" spans="1:30" ht="12.75" customHeight="1" thickTop="1" thickBot="1" x14ac:dyDescent="0.25">
      <c r="A1634" s="10">
        <v>694</v>
      </c>
      <c r="B1634" s="11" t="s">
        <v>47</v>
      </c>
      <c r="C1634" s="11">
        <v>0.05</v>
      </c>
      <c r="D1634" s="11">
        <v>6.48</v>
      </c>
      <c r="E1634" s="11">
        <v>8.73</v>
      </c>
      <c r="F1634" s="11">
        <v>2882</v>
      </c>
      <c r="G1634" s="6" t="str">
        <f>IF(COUNTIF(Table1[Customer ID],Table1[[#This Row],[Customer ID]])&gt;1,"Repeat Customer","One-Time Customer")</f>
        <v>Repeat Customer</v>
      </c>
      <c r="H1634" s="11" t="s">
        <v>2632</v>
      </c>
      <c r="I1634" s="11" t="s">
        <v>49</v>
      </c>
      <c r="J1634" s="11" t="s">
        <v>114</v>
      </c>
      <c r="K1634" s="11" t="s">
        <v>29</v>
      </c>
      <c r="L1634" s="11" t="s">
        <v>93</v>
      </c>
      <c r="M1634" s="11" t="s">
        <v>59</v>
      </c>
      <c r="N1634" s="11" t="s">
        <v>2312</v>
      </c>
      <c r="O1634" s="11">
        <v>0.37</v>
      </c>
      <c r="P1634" s="6">
        <f>Table1[[#This Row],[Profit]]/Table1[[#This Row],[Sales]]</f>
        <v>-0.6898266666666667</v>
      </c>
      <c r="Q1634" s="11" t="s">
        <v>33</v>
      </c>
      <c r="R1634" s="11" t="s">
        <v>136</v>
      </c>
      <c r="S1634" s="11" t="s">
        <v>322</v>
      </c>
      <c r="T1634" s="11" t="s">
        <v>390</v>
      </c>
      <c r="U1634" s="11">
        <v>28206</v>
      </c>
      <c r="V1634" s="12">
        <v>42133</v>
      </c>
      <c r="W1634" s="13" t="str">
        <f>TEXT(Table1[[#This Row],[Order Date]],"mmmm")</f>
        <v>May</v>
      </c>
      <c r="X1634" s="7" t="str">
        <f>TEXT(Table1[[#This Row],[Order Date]],"yyyy")</f>
        <v>2015</v>
      </c>
      <c r="Y1634" s="12">
        <v>42133</v>
      </c>
      <c r="Z1634" s="11">
        <v>-160.38470000000001</v>
      </c>
      <c r="AA1634" s="11">
        <v>35</v>
      </c>
      <c r="AB1634" s="11">
        <v>232.5</v>
      </c>
      <c r="AC1634" s="11">
        <v>4839</v>
      </c>
      <c r="AD1634" s="6" t="str">
        <f>IF(COUNTIF(Returns!$A$2:$A$1635,Orders!AC1634)&gt;0,"Returned","Not Returned")</f>
        <v>Not Returned</v>
      </c>
    </row>
    <row r="1635" spans="1:30" ht="12.75" customHeight="1" thickTop="1" thickBot="1" x14ac:dyDescent="0.25">
      <c r="A1635" s="8">
        <v>3065</v>
      </c>
      <c r="B1635" s="1" t="s">
        <v>25</v>
      </c>
      <c r="C1635" s="1">
        <v>0.09</v>
      </c>
      <c r="D1635" s="1">
        <v>363.25</v>
      </c>
      <c r="E1635" s="1">
        <v>19.989999999999998</v>
      </c>
      <c r="F1635" s="1">
        <v>2882</v>
      </c>
      <c r="G1635" s="6" t="str">
        <f>IF(COUNTIF(Table1[Customer ID],Table1[[#This Row],[Customer ID]])&gt;1,"Repeat Customer","One-Time Customer")</f>
        <v>Repeat Customer</v>
      </c>
      <c r="H1635" s="1" t="s">
        <v>2632</v>
      </c>
      <c r="I1635" s="1" t="s">
        <v>49</v>
      </c>
      <c r="J1635" s="1" t="s">
        <v>114</v>
      </c>
      <c r="K1635" s="1" t="s">
        <v>29</v>
      </c>
      <c r="L1635" s="1" t="s">
        <v>257</v>
      </c>
      <c r="M1635" s="1" t="s">
        <v>59</v>
      </c>
      <c r="N1635" s="1" t="s">
        <v>1253</v>
      </c>
      <c r="O1635" s="1">
        <v>0.56999999999999995</v>
      </c>
      <c r="P1635" s="6">
        <f>Table1[[#This Row],[Profit]]/Table1[[#This Row],[Sales]]</f>
        <v>9.7674391927491486E-2</v>
      </c>
      <c r="Q1635" s="1" t="s">
        <v>33</v>
      </c>
      <c r="R1635" s="1" t="s">
        <v>136</v>
      </c>
      <c r="S1635" s="1" t="s">
        <v>322</v>
      </c>
      <c r="T1635" s="1" t="s">
        <v>390</v>
      </c>
      <c r="U1635" s="1">
        <v>28206</v>
      </c>
      <c r="V1635" s="9">
        <v>42160</v>
      </c>
      <c r="W1635" s="13" t="str">
        <f>TEXT(Table1[[#This Row],[Order Date]],"mmmm")</f>
        <v>June</v>
      </c>
      <c r="X1635" s="7" t="str">
        <f>TEXT(Table1[[#This Row],[Order Date]],"yyyy")</f>
        <v>2015</v>
      </c>
      <c r="Y1635" s="9">
        <v>42161</v>
      </c>
      <c r="Z1635" s="1">
        <v>732.26980000000003</v>
      </c>
      <c r="AA1635" s="1">
        <v>21</v>
      </c>
      <c r="AB1635" s="1">
        <v>7497.05</v>
      </c>
      <c r="AC1635" s="1">
        <v>21958</v>
      </c>
      <c r="AD1635" s="6" t="str">
        <f>IF(COUNTIF(Returns!$A$2:$A$1635,Orders!AC1635)&gt;0,"Returned","Not Returned")</f>
        <v>Not Returned</v>
      </c>
    </row>
    <row r="1636" spans="1:30" ht="12.75" customHeight="1" thickTop="1" thickBot="1" x14ac:dyDescent="0.25">
      <c r="A1636" s="10">
        <v>5689</v>
      </c>
      <c r="B1636" s="11" t="s">
        <v>106</v>
      </c>
      <c r="C1636" s="11">
        <v>0.05</v>
      </c>
      <c r="D1636" s="11">
        <v>63.94</v>
      </c>
      <c r="E1636" s="11">
        <v>14.48</v>
      </c>
      <c r="F1636" s="11">
        <v>2882</v>
      </c>
      <c r="G1636" s="6" t="str">
        <f>IF(COUNTIF(Table1[Customer ID],Table1[[#This Row],[Customer ID]])&gt;1,"Repeat Customer","One-Time Customer")</f>
        <v>Repeat Customer</v>
      </c>
      <c r="H1636" s="11" t="s">
        <v>2632</v>
      </c>
      <c r="I1636" s="11" t="s">
        <v>27</v>
      </c>
      <c r="J1636" s="11" t="s">
        <v>114</v>
      </c>
      <c r="K1636" s="11" t="s">
        <v>41</v>
      </c>
      <c r="L1636" s="11" t="s">
        <v>50</v>
      </c>
      <c r="M1636" s="11" t="s">
        <v>59</v>
      </c>
      <c r="N1636" s="11" t="s">
        <v>519</v>
      </c>
      <c r="O1636" s="11">
        <v>0.46</v>
      </c>
      <c r="P1636" s="6">
        <f>Table1[[#This Row],[Profit]]/Table1[[#This Row],[Sales]]</f>
        <v>0.20269712275975607</v>
      </c>
      <c r="Q1636" s="11" t="s">
        <v>33</v>
      </c>
      <c r="R1636" s="11" t="s">
        <v>136</v>
      </c>
      <c r="S1636" s="11" t="s">
        <v>322</v>
      </c>
      <c r="T1636" s="11" t="s">
        <v>390</v>
      </c>
      <c r="U1636" s="11">
        <v>28206</v>
      </c>
      <c r="V1636" s="12">
        <v>42185</v>
      </c>
      <c r="W1636" s="13" t="str">
        <f>TEXT(Table1[[#This Row],[Order Date]],"mmmm")</f>
        <v>June</v>
      </c>
      <c r="X1636" s="7" t="str">
        <f>TEXT(Table1[[#This Row],[Order Date]],"yyyy")</f>
        <v>2015</v>
      </c>
      <c r="Y1636" s="12">
        <v>42192</v>
      </c>
      <c r="Z1636" s="11">
        <v>270.87430000000001</v>
      </c>
      <c r="AA1636" s="11">
        <v>21</v>
      </c>
      <c r="AB1636" s="11">
        <v>1336.35</v>
      </c>
      <c r="AC1636" s="11">
        <v>40224</v>
      </c>
      <c r="AD1636" s="6" t="str">
        <f>IF(COUNTIF(Returns!$A$2:$A$1635,Orders!AC1636)&gt;0,"Returned","Not Returned")</f>
        <v>Not Returned</v>
      </c>
    </row>
    <row r="1637" spans="1:30" ht="12.75" customHeight="1" thickTop="1" thickBot="1" x14ac:dyDescent="0.25">
      <c r="A1637" s="8">
        <v>7137</v>
      </c>
      <c r="B1637" s="1" t="s">
        <v>106</v>
      </c>
      <c r="C1637" s="1">
        <v>0.02</v>
      </c>
      <c r="D1637" s="1">
        <v>43.98</v>
      </c>
      <c r="E1637" s="1">
        <v>1.99</v>
      </c>
      <c r="F1637" s="1">
        <v>2882</v>
      </c>
      <c r="G1637" s="6" t="str">
        <f>IF(COUNTIF(Table1[Customer ID],Table1[[#This Row],[Customer ID]])&gt;1,"Repeat Customer","One-Time Customer")</f>
        <v>Repeat Customer</v>
      </c>
      <c r="H1637" s="1" t="s">
        <v>2632</v>
      </c>
      <c r="I1637" s="1" t="s">
        <v>49</v>
      </c>
      <c r="J1637" s="1" t="s">
        <v>114</v>
      </c>
      <c r="K1637" s="1" t="s">
        <v>77</v>
      </c>
      <c r="L1637" s="1" t="s">
        <v>180</v>
      </c>
      <c r="M1637" s="1" t="s">
        <v>51</v>
      </c>
      <c r="N1637" s="1" t="s">
        <v>2635</v>
      </c>
      <c r="O1637" s="1">
        <v>0.44</v>
      </c>
      <c r="P1637" s="6">
        <f>Table1[[#This Row],[Profit]]/Table1[[#This Row],[Sales]]</f>
        <v>0.19359545478274487</v>
      </c>
      <c r="Q1637" s="1" t="s">
        <v>33</v>
      </c>
      <c r="R1637" s="1" t="s">
        <v>136</v>
      </c>
      <c r="S1637" s="1" t="s">
        <v>322</v>
      </c>
      <c r="T1637" s="1" t="s">
        <v>390</v>
      </c>
      <c r="U1637" s="1">
        <v>28206</v>
      </c>
      <c r="V1637" s="9">
        <v>42025</v>
      </c>
      <c r="W1637" s="13" t="str">
        <f>TEXT(Table1[[#This Row],[Order Date]],"mmmm")</f>
        <v>January</v>
      </c>
      <c r="X1637" s="7" t="str">
        <f>TEXT(Table1[[#This Row],[Order Date]],"yyyy")</f>
        <v>2015</v>
      </c>
      <c r="Y1637" s="9">
        <v>42029</v>
      </c>
      <c r="Z1637" s="1">
        <v>333.76049999999998</v>
      </c>
      <c r="AA1637" s="1">
        <v>40</v>
      </c>
      <c r="AB1637" s="1">
        <v>1724.01</v>
      </c>
      <c r="AC1637" s="1">
        <v>50917</v>
      </c>
      <c r="AD1637" s="6" t="str">
        <f>IF(COUNTIF(Returns!$A$2:$A$1635,Orders!AC1637)&gt;0,"Returned","Not Returned")</f>
        <v>Not Returned</v>
      </c>
    </row>
    <row r="1638" spans="1:30" ht="12.75" customHeight="1" thickTop="1" thickBot="1" x14ac:dyDescent="0.25">
      <c r="A1638" s="10">
        <v>18694</v>
      </c>
      <c r="B1638" s="11" t="s">
        <v>47</v>
      </c>
      <c r="C1638" s="11">
        <v>0.05</v>
      </c>
      <c r="D1638" s="11">
        <v>6.48</v>
      </c>
      <c r="E1638" s="11">
        <v>8.73</v>
      </c>
      <c r="F1638" s="11">
        <v>2883</v>
      </c>
      <c r="G1638" s="6" t="str">
        <f>IF(COUNTIF(Table1[Customer ID],Table1[[#This Row],[Customer ID]])&gt;1,"Repeat Customer","One-Time Customer")</f>
        <v>One-Time Customer</v>
      </c>
      <c r="H1638" s="11" t="s">
        <v>2636</v>
      </c>
      <c r="I1638" s="11" t="s">
        <v>49</v>
      </c>
      <c r="J1638" s="11" t="s">
        <v>114</v>
      </c>
      <c r="K1638" s="11" t="s">
        <v>29</v>
      </c>
      <c r="L1638" s="11" t="s">
        <v>93</v>
      </c>
      <c r="M1638" s="11" t="s">
        <v>59</v>
      </c>
      <c r="N1638" s="11" t="s">
        <v>2312</v>
      </c>
      <c r="O1638" s="11">
        <v>0.37</v>
      </c>
      <c r="P1638" s="6">
        <f>Table1[[#This Row],[Profit]]/Table1[[#This Row],[Sales]]</f>
        <v>-2.0168924569325974</v>
      </c>
      <c r="Q1638" s="11" t="s">
        <v>33</v>
      </c>
      <c r="R1638" s="11" t="s">
        <v>53</v>
      </c>
      <c r="S1638" s="11" t="s">
        <v>154</v>
      </c>
      <c r="T1638" s="11" t="s">
        <v>2628</v>
      </c>
      <c r="U1638" s="11">
        <v>44070</v>
      </c>
      <c r="V1638" s="12">
        <v>42133</v>
      </c>
      <c r="W1638" s="13" t="str">
        <f>TEXT(Table1[[#This Row],[Order Date]],"mmmm")</f>
        <v>May</v>
      </c>
      <c r="X1638" s="7" t="str">
        <f>TEXT(Table1[[#This Row],[Order Date]],"yyyy")</f>
        <v>2015</v>
      </c>
      <c r="Y1638" s="12">
        <v>42133</v>
      </c>
      <c r="Z1638" s="11">
        <v>-120.59</v>
      </c>
      <c r="AA1638" s="11">
        <v>9</v>
      </c>
      <c r="AB1638" s="11">
        <v>59.79</v>
      </c>
      <c r="AC1638" s="11">
        <v>87632</v>
      </c>
      <c r="AD1638" s="6" t="str">
        <f>IF(COUNTIF(Returns!$A$2:$A$1635,Orders!AC1638)&gt;0,"Returned","Not Returned")</f>
        <v>Not Returned</v>
      </c>
    </row>
    <row r="1639" spans="1:30" ht="12.75" customHeight="1" thickTop="1" thickBot="1" x14ac:dyDescent="0.25">
      <c r="A1639" s="8">
        <v>20314</v>
      </c>
      <c r="B1639" s="1" t="s">
        <v>25</v>
      </c>
      <c r="C1639" s="1">
        <v>7.0000000000000007E-2</v>
      </c>
      <c r="D1639" s="1">
        <v>28.99</v>
      </c>
      <c r="E1639" s="1">
        <v>8.59</v>
      </c>
      <c r="F1639" s="1">
        <v>2884</v>
      </c>
      <c r="G1639" s="6" t="str">
        <f>IF(COUNTIF(Table1[Customer ID],Table1[[#This Row],[Customer ID]])&gt;1,"Repeat Customer","One-Time Customer")</f>
        <v>Repeat Customer</v>
      </c>
      <c r="H1639" s="1" t="s">
        <v>2637</v>
      </c>
      <c r="I1639" s="1" t="s">
        <v>49</v>
      </c>
      <c r="J1639" s="1" t="s">
        <v>114</v>
      </c>
      <c r="K1639" s="1" t="s">
        <v>77</v>
      </c>
      <c r="L1639" s="1" t="s">
        <v>78</v>
      </c>
      <c r="M1639" s="1" t="s">
        <v>86</v>
      </c>
      <c r="N1639" s="1" t="s">
        <v>2045</v>
      </c>
      <c r="O1639" s="1">
        <v>0.56000000000000005</v>
      </c>
      <c r="P1639" s="6">
        <f>Table1[[#This Row],[Profit]]/Table1[[#This Row],[Sales]]</f>
        <v>-5.0281004121393781E-2</v>
      </c>
      <c r="Q1639" s="1" t="s">
        <v>33</v>
      </c>
      <c r="R1639" s="1" t="s">
        <v>53</v>
      </c>
      <c r="S1639" s="1" t="s">
        <v>154</v>
      </c>
      <c r="T1639" s="1" t="s">
        <v>2638</v>
      </c>
      <c r="U1639" s="1">
        <v>44039</v>
      </c>
      <c r="V1639" s="9">
        <v>42082</v>
      </c>
      <c r="W1639" s="13" t="str">
        <f>TEXT(Table1[[#This Row],[Order Date]],"mmmm")</f>
        <v>March</v>
      </c>
      <c r="X1639" s="7" t="str">
        <f>TEXT(Table1[[#This Row],[Order Date]],"yyyy")</f>
        <v>2015</v>
      </c>
      <c r="Y1639" s="9">
        <v>42082</v>
      </c>
      <c r="Z1639" s="1">
        <v>-12.078000000000001</v>
      </c>
      <c r="AA1639" s="1">
        <v>10</v>
      </c>
      <c r="AB1639" s="1">
        <v>240.21</v>
      </c>
      <c r="AC1639" s="1">
        <v>87631</v>
      </c>
      <c r="AD1639" s="6" t="str">
        <f>IF(COUNTIF(Returns!$A$2:$A$1635,Orders!AC1639)&gt;0,"Returned","Not Returned")</f>
        <v>Not Returned</v>
      </c>
    </row>
    <row r="1640" spans="1:30" ht="12.75" customHeight="1" thickTop="1" thickBot="1" x14ac:dyDescent="0.25">
      <c r="A1640" s="10">
        <v>21065</v>
      </c>
      <c r="B1640" s="11" t="s">
        <v>25</v>
      </c>
      <c r="C1640" s="11">
        <v>0.09</v>
      </c>
      <c r="D1640" s="11">
        <v>363.25</v>
      </c>
      <c r="E1640" s="11">
        <v>19.989999999999998</v>
      </c>
      <c r="F1640" s="11">
        <v>2884</v>
      </c>
      <c r="G1640" s="6" t="str">
        <f>IF(COUNTIF(Table1[Customer ID],Table1[[#This Row],[Customer ID]])&gt;1,"Repeat Customer","One-Time Customer")</f>
        <v>Repeat Customer</v>
      </c>
      <c r="H1640" s="11" t="s">
        <v>2637</v>
      </c>
      <c r="I1640" s="11" t="s">
        <v>49</v>
      </c>
      <c r="J1640" s="11" t="s">
        <v>114</v>
      </c>
      <c r="K1640" s="11" t="s">
        <v>29</v>
      </c>
      <c r="L1640" s="11" t="s">
        <v>257</v>
      </c>
      <c r="M1640" s="11" t="s">
        <v>59</v>
      </c>
      <c r="N1640" s="11" t="s">
        <v>1253</v>
      </c>
      <c r="O1640" s="11">
        <v>0.56999999999999995</v>
      </c>
      <c r="P1640" s="6">
        <f>Table1[[#This Row],[Profit]]/Table1[[#This Row],[Sales]]</f>
        <v>0.69</v>
      </c>
      <c r="Q1640" s="11" t="s">
        <v>33</v>
      </c>
      <c r="R1640" s="11" t="s">
        <v>53</v>
      </c>
      <c r="S1640" s="11" t="s">
        <v>154</v>
      </c>
      <c r="T1640" s="11" t="s">
        <v>2638</v>
      </c>
      <c r="U1640" s="11">
        <v>44039</v>
      </c>
      <c r="V1640" s="12">
        <v>42160</v>
      </c>
      <c r="W1640" s="13" t="str">
        <f>TEXT(Table1[[#This Row],[Order Date]],"mmmm")</f>
        <v>June</v>
      </c>
      <c r="X1640" s="7" t="str">
        <f>TEXT(Table1[[#This Row],[Order Date]],"yyyy")</f>
        <v>2015</v>
      </c>
      <c r="Y1640" s="12">
        <v>42161</v>
      </c>
      <c r="Z1640" s="11">
        <v>1231.6569</v>
      </c>
      <c r="AA1640" s="11">
        <v>5</v>
      </c>
      <c r="AB1640" s="11">
        <v>1785.01</v>
      </c>
      <c r="AC1640" s="11">
        <v>87633</v>
      </c>
      <c r="AD1640" s="6" t="str">
        <f>IF(COUNTIF(Returns!$A$2:$A$1635,Orders!AC1640)&gt;0,"Returned","Not Returned")</f>
        <v>Not Returned</v>
      </c>
    </row>
    <row r="1641" spans="1:30" ht="12.75" customHeight="1" thickTop="1" thickBot="1" x14ac:dyDescent="0.25">
      <c r="A1641" s="8">
        <v>23689</v>
      </c>
      <c r="B1641" s="1" t="s">
        <v>106</v>
      </c>
      <c r="C1641" s="1">
        <v>0.05</v>
      </c>
      <c r="D1641" s="1">
        <v>63.94</v>
      </c>
      <c r="E1641" s="1">
        <v>14.48</v>
      </c>
      <c r="F1641" s="1">
        <v>2885</v>
      </c>
      <c r="G1641" s="6" t="str">
        <f>IF(COUNTIF(Table1[Customer ID],Table1[[#This Row],[Customer ID]])&gt;1,"Repeat Customer","One-Time Customer")</f>
        <v>One-Time Customer</v>
      </c>
      <c r="H1641" s="1" t="s">
        <v>2639</v>
      </c>
      <c r="I1641" s="1" t="s">
        <v>27</v>
      </c>
      <c r="J1641" s="1" t="s">
        <v>114</v>
      </c>
      <c r="K1641" s="1" t="s">
        <v>41</v>
      </c>
      <c r="L1641" s="1" t="s">
        <v>50</v>
      </c>
      <c r="M1641" s="1" t="s">
        <v>59</v>
      </c>
      <c r="N1641" s="1" t="s">
        <v>519</v>
      </c>
      <c r="O1641" s="1">
        <v>0.46</v>
      </c>
      <c r="P1641" s="6">
        <f>Table1[[#This Row],[Profit]]/Table1[[#This Row],[Sales]]</f>
        <v>0.69</v>
      </c>
      <c r="Q1641" s="1" t="s">
        <v>33</v>
      </c>
      <c r="R1641" s="1" t="s">
        <v>53</v>
      </c>
      <c r="S1641" s="1" t="s">
        <v>154</v>
      </c>
      <c r="T1641" s="1" t="s">
        <v>2640</v>
      </c>
      <c r="U1641" s="1">
        <v>44133</v>
      </c>
      <c r="V1641" s="9">
        <v>42185</v>
      </c>
      <c r="W1641" s="13" t="str">
        <f>TEXT(Table1[[#This Row],[Order Date]],"mmmm")</f>
        <v>June</v>
      </c>
      <c r="X1641" s="7" t="str">
        <f>TEXT(Table1[[#This Row],[Order Date]],"yyyy")</f>
        <v>2015</v>
      </c>
      <c r="Y1641" s="9">
        <v>42192</v>
      </c>
      <c r="Z1641" s="1">
        <v>219.54419999999999</v>
      </c>
      <c r="AA1641" s="1">
        <v>5</v>
      </c>
      <c r="AB1641" s="1">
        <v>318.18</v>
      </c>
      <c r="AC1641" s="1">
        <v>87634</v>
      </c>
      <c r="AD1641" s="6" t="str">
        <f>IF(COUNTIF(Returns!$A$2:$A$1635,Orders!AC1641)&gt;0,"Returned","Not Returned")</f>
        <v>Not Returned</v>
      </c>
    </row>
    <row r="1642" spans="1:30" ht="12.75" customHeight="1" thickTop="1" thickBot="1" x14ac:dyDescent="0.25">
      <c r="A1642" s="10">
        <v>25718</v>
      </c>
      <c r="B1642" s="11" t="s">
        <v>25</v>
      </c>
      <c r="C1642" s="11">
        <v>0.03</v>
      </c>
      <c r="D1642" s="11">
        <v>4.0599999999999996</v>
      </c>
      <c r="E1642" s="11">
        <v>6.89</v>
      </c>
      <c r="F1642" s="11">
        <v>2886</v>
      </c>
      <c r="G1642" s="6" t="str">
        <f>IF(COUNTIF(Table1[Customer ID],Table1[[#This Row],[Customer ID]])&gt;1,"Repeat Customer","One-Time Customer")</f>
        <v>Repeat Customer</v>
      </c>
      <c r="H1642" s="11" t="s">
        <v>2641</v>
      </c>
      <c r="I1642" s="11" t="s">
        <v>49</v>
      </c>
      <c r="J1642" s="11" t="s">
        <v>114</v>
      </c>
      <c r="K1642" s="11" t="s">
        <v>29</v>
      </c>
      <c r="L1642" s="11" t="s">
        <v>257</v>
      </c>
      <c r="M1642" s="11" t="s">
        <v>59</v>
      </c>
      <c r="N1642" s="11" t="s">
        <v>910</v>
      </c>
      <c r="O1642" s="11">
        <v>0.6</v>
      </c>
      <c r="P1642" s="6">
        <f>Table1[[#This Row],[Profit]]/Table1[[#This Row],[Sales]]</f>
        <v>-4.761378246335819</v>
      </c>
      <c r="Q1642" s="11" t="s">
        <v>33</v>
      </c>
      <c r="R1642" s="11" t="s">
        <v>53</v>
      </c>
      <c r="S1642" s="11" t="s">
        <v>154</v>
      </c>
      <c r="T1642" s="11" t="s">
        <v>2642</v>
      </c>
      <c r="U1642" s="11">
        <v>44134</v>
      </c>
      <c r="V1642" s="12">
        <v>42055</v>
      </c>
      <c r="W1642" s="13" t="str">
        <f>TEXT(Table1[[#This Row],[Order Date]],"mmmm")</f>
        <v>February</v>
      </c>
      <c r="X1642" s="7" t="str">
        <f>TEXT(Table1[[#This Row],[Order Date]],"yyyy")</f>
        <v>2015</v>
      </c>
      <c r="Y1642" s="12">
        <v>42057</v>
      </c>
      <c r="Z1642" s="11">
        <v>-185.17</v>
      </c>
      <c r="AA1642" s="11">
        <v>9</v>
      </c>
      <c r="AB1642" s="11">
        <v>38.89</v>
      </c>
      <c r="AC1642" s="11">
        <v>87630</v>
      </c>
      <c r="AD1642" s="6" t="str">
        <f>IF(COUNTIF(Returns!$A$2:$A$1635,Orders!AC1642)&gt;0,"Returned","Not Returned")</f>
        <v>Not Returned</v>
      </c>
    </row>
    <row r="1643" spans="1:30" ht="12.75" customHeight="1" thickTop="1" thickBot="1" x14ac:dyDescent="0.25">
      <c r="A1643" s="8">
        <v>25719</v>
      </c>
      <c r="B1643" s="1" t="s">
        <v>25</v>
      </c>
      <c r="C1643" s="1">
        <v>0.01</v>
      </c>
      <c r="D1643" s="1">
        <v>3.75</v>
      </c>
      <c r="E1643" s="1">
        <v>0.5</v>
      </c>
      <c r="F1643" s="1">
        <v>2886</v>
      </c>
      <c r="G1643" s="6" t="str">
        <f>IF(COUNTIF(Table1[Customer ID],Table1[[#This Row],[Customer ID]])&gt;1,"Repeat Customer","One-Time Customer")</f>
        <v>Repeat Customer</v>
      </c>
      <c r="H1643" s="1" t="s">
        <v>2641</v>
      </c>
      <c r="I1643" s="1" t="s">
        <v>49</v>
      </c>
      <c r="J1643" s="1" t="s">
        <v>114</v>
      </c>
      <c r="K1643" s="1" t="s">
        <v>29</v>
      </c>
      <c r="L1643" s="1" t="s">
        <v>134</v>
      </c>
      <c r="M1643" s="1" t="s">
        <v>59</v>
      </c>
      <c r="N1643" s="1" t="s">
        <v>2633</v>
      </c>
      <c r="O1643" s="1">
        <v>0.37</v>
      </c>
      <c r="P1643" s="6">
        <f>Table1[[#This Row],[Profit]]/Table1[[#This Row],[Sales]]</f>
        <v>0.69</v>
      </c>
      <c r="Q1643" s="1" t="s">
        <v>33</v>
      </c>
      <c r="R1643" s="1" t="s">
        <v>53</v>
      </c>
      <c r="S1643" s="1" t="s">
        <v>154</v>
      </c>
      <c r="T1643" s="1" t="s">
        <v>2642</v>
      </c>
      <c r="U1643" s="1">
        <v>44134</v>
      </c>
      <c r="V1643" s="9">
        <v>42055</v>
      </c>
      <c r="W1643" s="13" t="str">
        <f>TEXT(Table1[[#This Row],[Order Date]],"mmmm")</f>
        <v>February</v>
      </c>
      <c r="X1643" s="7" t="str">
        <f>TEXT(Table1[[#This Row],[Order Date]],"yyyy")</f>
        <v>2015</v>
      </c>
      <c r="Y1643" s="9">
        <v>42056</v>
      </c>
      <c r="Z1643" s="1">
        <v>31.132799999999996</v>
      </c>
      <c r="AA1643" s="1">
        <v>12</v>
      </c>
      <c r="AB1643" s="1">
        <v>45.12</v>
      </c>
      <c r="AC1643" s="1">
        <v>87630</v>
      </c>
      <c r="AD1643" s="6" t="str">
        <f>IF(COUNTIF(Returns!$A$2:$A$1635,Orders!AC1643)&gt;0,"Returned","Not Returned")</f>
        <v>Not Returned</v>
      </c>
    </row>
    <row r="1644" spans="1:30" ht="12.75" customHeight="1" thickTop="1" thickBot="1" x14ac:dyDescent="0.25">
      <c r="A1644" s="10">
        <v>25720</v>
      </c>
      <c r="B1644" s="11" t="s">
        <v>25</v>
      </c>
      <c r="C1644" s="11">
        <v>0.02</v>
      </c>
      <c r="D1644" s="11">
        <v>10.68</v>
      </c>
      <c r="E1644" s="11">
        <v>13.04</v>
      </c>
      <c r="F1644" s="11">
        <v>2886</v>
      </c>
      <c r="G1644" s="6" t="str">
        <f>IF(COUNTIF(Table1[Customer ID],Table1[[#This Row],[Customer ID]])&gt;1,"Repeat Customer","One-Time Customer")</f>
        <v>Repeat Customer</v>
      </c>
      <c r="H1644" s="11" t="s">
        <v>2641</v>
      </c>
      <c r="I1644" s="11" t="s">
        <v>49</v>
      </c>
      <c r="J1644" s="11" t="s">
        <v>114</v>
      </c>
      <c r="K1644" s="11" t="s">
        <v>41</v>
      </c>
      <c r="L1644" s="11" t="s">
        <v>50</v>
      </c>
      <c r="M1644" s="11" t="s">
        <v>236</v>
      </c>
      <c r="N1644" s="11" t="s">
        <v>2634</v>
      </c>
      <c r="O1644" s="11">
        <v>0.6</v>
      </c>
      <c r="P1644" s="6">
        <f>Table1[[#This Row],[Profit]]/Table1[[#This Row],[Sales]]</f>
        <v>-2.5544499723604202</v>
      </c>
      <c r="Q1644" s="11" t="s">
        <v>33</v>
      </c>
      <c r="R1644" s="11" t="s">
        <v>53</v>
      </c>
      <c r="S1644" s="11" t="s">
        <v>154</v>
      </c>
      <c r="T1644" s="11" t="s">
        <v>2642</v>
      </c>
      <c r="U1644" s="11">
        <v>44134</v>
      </c>
      <c r="V1644" s="12">
        <v>42055</v>
      </c>
      <c r="W1644" s="13" t="str">
        <f>TEXT(Table1[[#This Row],[Order Date]],"mmmm")</f>
        <v>February</v>
      </c>
      <c r="X1644" s="7" t="str">
        <f>TEXT(Table1[[#This Row],[Order Date]],"yyyy")</f>
        <v>2015</v>
      </c>
      <c r="Y1644" s="12">
        <v>42057</v>
      </c>
      <c r="Z1644" s="11">
        <v>-231.05</v>
      </c>
      <c r="AA1644" s="11">
        <v>8</v>
      </c>
      <c r="AB1644" s="11">
        <v>90.45</v>
      </c>
      <c r="AC1644" s="11">
        <v>87630</v>
      </c>
      <c r="AD1644" s="6" t="str">
        <f>IF(COUNTIF(Returns!$A$2:$A$1635,Orders!AC1644)&gt;0,"Returned","Not Returned")</f>
        <v>Not Returned</v>
      </c>
    </row>
    <row r="1645" spans="1:30" ht="12.75" customHeight="1" thickTop="1" thickBot="1" x14ac:dyDescent="0.25">
      <c r="A1645" s="8">
        <v>21514</v>
      </c>
      <c r="B1645" s="1" t="s">
        <v>25</v>
      </c>
      <c r="C1645" s="1">
        <v>0.1</v>
      </c>
      <c r="D1645" s="1">
        <v>209.37</v>
      </c>
      <c r="E1645" s="1">
        <v>69</v>
      </c>
      <c r="F1645" s="1">
        <v>2892</v>
      </c>
      <c r="G1645" s="6" t="str">
        <f>IF(COUNTIF(Table1[Customer ID],Table1[[#This Row],[Customer ID]])&gt;1,"Repeat Customer","One-Time Customer")</f>
        <v>One-Time Customer</v>
      </c>
      <c r="H1645" s="1" t="s">
        <v>2643</v>
      </c>
      <c r="I1645" s="1" t="s">
        <v>49</v>
      </c>
      <c r="J1645" s="1" t="s">
        <v>114</v>
      </c>
      <c r="K1645" s="1" t="s">
        <v>41</v>
      </c>
      <c r="L1645" s="1" t="s">
        <v>152</v>
      </c>
      <c r="M1645" s="1" t="s">
        <v>236</v>
      </c>
      <c r="N1645" s="1" t="s">
        <v>1633</v>
      </c>
      <c r="O1645" s="1">
        <v>0.79</v>
      </c>
      <c r="P1645" s="6">
        <f>Table1[[#This Row],[Profit]]/Table1[[#This Row],[Sales]]</f>
        <v>-7.7922621028459593E-2</v>
      </c>
      <c r="Q1645" s="1" t="s">
        <v>33</v>
      </c>
      <c r="R1645" s="1" t="s">
        <v>61</v>
      </c>
      <c r="S1645" s="1" t="s">
        <v>300</v>
      </c>
      <c r="T1645" s="1" t="s">
        <v>2644</v>
      </c>
      <c r="U1645" s="1">
        <v>48154</v>
      </c>
      <c r="V1645" s="9">
        <v>42058</v>
      </c>
      <c r="W1645" s="13" t="str">
        <f>TEXT(Table1[[#This Row],[Order Date]],"mmmm")</f>
        <v>February</v>
      </c>
      <c r="X1645" s="7" t="str">
        <f>TEXT(Table1[[#This Row],[Order Date]],"yyyy")</f>
        <v>2015</v>
      </c>
      <c r="Y1645" s="9">
        <v>42060</v>
      </c>
      <c r="Z1645" s="1">
        <v>-165.59492040000003</v>
      </c>
      <c r="AA1645" s="1">
        <v>11</v>
      </c>
      <c r="AB1645" s="1">
        <v>2125.12</v>
      </c>
      <c r="AC1645" s="1">
        <v>90011</v>
      </c>
      <c r="AD1645" s="6" t="str">
        <f>IF(COUNTIF(Returns!$A$2:$A$1635,Orders!AC1645)&gt;0,"Returned","Not Returned")</f>
        <v>Not Returned</v>
      </c>
    </row>
    <row r="1646" spans="1:30" ht="12.75" customHeight="1" thickTop="1" thickBot="1" x14ac:dyDescent="0.25">
      <c r="A1646" s="10">
        <v>21515</v>
      </c>
      <c r="B1646" s="11" t="s">
        <v>25</v>
      </c>
      <c r="C1646" s="11">
        <v>7.0000000000000007E-2</v>
      </c>
      <c r="D1646" s="11">
        <v>4.9800000000000004</v>
      </c>
      <c r="E1646" s="11">
        <v>4.7</v>
      </c>
      <c r="F1646" s="11">
        <v>2893</v>
      </c>
      <c r="G1646" s="6" t="str">
        <f>IF(COUNTIF(Table1[Customer ID],Table1[[#This Row],[Customer ID]])&gt;1,"Repeat Customer","One-Time Customer")</f>
        <v>One-Time Customer</v>
      </c>
      <c r="H1646" s="11" t="s">
        <v>2645</v>
      </c>
      <c r="I1646" s="11" t="s">
        <v>49</v>
      </c>
      <c r="J1646" s="11" t="s">
        <v>114</v>
      </c>
      <c r="K1646" s="11" t="s">
        <v>29</v>
      </c>
      <c r="L1646" s="11" t="s">
        <v>93</v>
      </c>
      <c r="M1646" s="11" t="s">
        <v>59</v>
      </c>
      <c r="N1646" s="11" t="s">
        <v>1686</v>
      </c>
      <c r="O1646" s="11">
        <v>0.38</v>
      </c>
      <c r="P1646" s="6">
        <f>Table1[[#This Row],[Profit]]/Table1[[#This Row],[Sales]]</f>
        <v>-0.48133185349611546</v>
      </c>
      <c r="Q1646" s="11" t="s">
        <v>33</v>
      </c>
      <c r="R1646" s="11" t="s">
        <v>61</v>
      </c>
      <c r="S1646" s="11" t="s">
        <v>300</v>
      </c>
      <c r="T1646" s="11" t="s">
        <v>2561</v>
      </c>
      <c r="U1646" s="11">
        <v>48071</v>
      </c>
      <c r="V1646" s="12">
        <v>42058</v>
      </c>
      <c r="W1646" s="13" t="str">
        <f>TEXT(Table1[[#This Row],[Order Date]],"mmmm")</f>
        <v>February</v>
      </c>
      <c r="X1646" s="7" t="str">
        <f>TEXT(Table1[[#This Row],[Order Date]],"yyyy")</f>
        <v>2015</v>
      </c>
      <c r="Y1646" s="12">
        <v>42059</v>
      </c>
      <c r="Z1646" s="11">
        <v>-21.684000000000001</v>
      </c>
      <c r="AA1646" s="11">
        <v>9</v>
      </c>
      <c r="AB1646" s="11">
        <v>45.05</v>
      </c>
      <c r="AC1646" s="11">
        <v>90011</v>
      </c>
      <c r="AD1646" s="6" t="str">
        <f>IF(COUNTIF(Returns!$A$2:$A$1635,Orders!AC1646)&gt;0,"Returned","Not Returned")</f>
        <v>Not Returned</v>
      </c>
    </row>
    <row r="1647" spans="1:30" ht="12.75" customHeight="1" thickTop="1" thickBot="1" x14ac:dyDescent="0.25">
      <c r="A1647" s="8">
        <v>19909</v>
      </c>
      <c r="B1647" s="1" t="s">
        <v>106</v>
      </c>
      <c r="C1647" s="1">
        <v>0.02</v>
      </c>
      <c r="D1647" s="1">
        <v>880.98</v>
      </c>
      <c r="E1647" s="1">
        <v>44.55</v>
      </c>
      <c r="F1647" s="1">
        <v>2896</v>
      </c>
      <c r="G1647" s="6" t="str">
        <f>IF(COUNTIF(Table1[Customer ID],Table1[[#This Row],[Customer ID]])&gt;1,"Repeat Customer","One-Time Customer")</f>
        <v>Repeat Customer</v>
      </c>
      <c r="H1647" s="1" t="s">
        <v>2646</v>
      </c>
      <c r="I1647" s="1" t="s">
        <v>39</v>
      </c>
      <c r="J1647" s="1" t="s">
        <v>40</v>
      </c>
      <c r="K1647" s="1" t="s">
        <v>41</v>
      </c>
      <c r="L1647" s="1" t="s">
        <v>191</v>
      </c>
      <c r="M1647" s="1" t="s">
        <v>121</v>
      </c>
      <c r="N1647" s="1" t="s">
        <v>769</v>
      </c>
      <c r="O1647" s="1">
        <v>0.62</v>
      </c>
      <c r="P1647" s="6">
        <f>Table1[[#This Row],[Profit]]/Table1[[#This Row],[Sales]]</f>
        <v>0.69</v>
      </c>
      <c r="Q1647" s="1" t="s">
        <v>33</v>
      </c>
      <c r="R1647" s="1" t="s">
        <v>61</v>
      </c>
      <c r="S1647" s="1" t="s">
        <v>62</v>
      </c>
      <c r="T1647" s="1" t="s">
        <v>2647</v>
      </c>
      <c r="U1647" s="1">
        <v>56001</v>
      </c>
      <c r="V1647" s="9">
        <v>42026</v>
      </c>
      <c r="W1647" s="13" t="str">
        <f>TEXT(Table1[[#This Row],[Order Date]],"mmmm")</f>
        <v>January</v>
      </c>
      <c r="X1647" s="7" t="str">
        <f>TEXT(Table1[[#This Row],[Order Date]],"yyyy")</f>
        <v>2015</v>
      </c>
      <c r="Y1647" s="9">
        <v>42030</v>
      </c>
      <c r="Z1647" s="1">
        <v>4861.0637999999999</v>
      </c>
      <c r="AA1647" s="1">
        <v>8</v>
      </c>
      <c r="AB1647" s="1">
        <v>7045.02</v>
      </c>
      <c r="AC1647" s="1">
        <v>86925</v>
      </c>
      <c r="AD1647" s="6" t="str">
        <f>IF(COUNTIF(Returns!$A$2:$A$1635,Orders!AC1647)&gt;0,"Returned","Not Returned")</f>
        <v>Not Returned</v>
      </c>
    </row>
    <row r="1648" spans="1:30" ht="12.75" customHeight="1" thickTop="1" thickBot="1" x14ac:dyDescent="0.25">
      <c r="A1648" s="10">
        <v>18198</v>
      </c>
      <c r="B1648" s="11" t="s">
        <v>47</v>
      </c>
      <c r="C1648" s="11">
        <v>0</v>
      </c>
      <c r="D1648" s="11">
        <v>22.84</v>
      </c>
      <c r="E1648" s="11">
        <v>16.920000000000002</v>
      </c>
      <c r="F1648" s="11">
        <v>2896</v>
      </c>
      <c r="G1648" s="6" t="str">
        <f>IF(COUNTIF(Table1[Customer ID],Table1[[#This Row],[Customer ID]])&gt;1,"Repeat Customer","One-Time Customer")</f>
        <v>Repeat Customer</v>
      </c>
      <c r="H1648" s="11" t="s">
        <v>2646</v>
      </c>
      <c r="I1648" s="11" t="s">
        <v>49</v>
      </c>
      <c r="J1648" s="11" t="s">
        <v>40</v>
      </c>
      <c r="K1648" s="11" t="s">
        <v>29</v>
      </c>
      <c r="L1648" s="11" t="s">
        <v>93</v>
      </c>
      <c r="M1648" s="11" t="s">
        <v>59</v>
      </c>
      <c r="N1648" s="11" t="s">
        <v>2648</v>
      </c>
      <c r="O1648" s="11">
        <v>0.39</v>
      </c>
      <c r="P1648" s="6">
        <f>Table1[[#This Row],[Profit]]/Table1[[#This Row],[Sales]]</f>
        <v>-0.22597269440397172</v>
      </c>
      <c r="Q1648" s="11" t="s">
        <v>33</v>
      </c>
      <c r="R1648" s="11" t="s">
        <v>61</v>
      </c>
      <c r="S1648" s="11" t="s">
        <v>62</v>
      </c>
      <c r="T1648" s="11" t="s">
        <v>2647</v>
      </c>
      <c r="U1648" s="11">
        <v>56001</v>
      </c>
      <c r="V1648" s="12">
        <v>42075</v>
      </c>
      <c r="W1648" s="13" t="str">
        <f>TEXT(Table1[[#This Row],[Order Date]],"mmmm")</f>
        <v>March</v>
      </c>
      <c r="X1648" s="7" t="str">
        <f>TEXT(Table1[[#This Row],[Order Date]],"yyyy")</f>
        <v>2015</v>
      </c>
      <c r="Y1648" s="12">
        <v>42077</v>
      </c>
      <c r="Z1648" s="11">
        <v>-83.75</v>
      </c>
      <c r="AA1648" s="11">
        <v>15</v>
      </c>
      <c r="AB1648" s="11">
        <v>370.62</v>
      </c>
      <c r="AC1648" s="11">
        <v>86927</v>
      </c>
      <c r="AD1648" s="6" t="str">
        <f>IF(COUNTIF(Returns!$A$2:$A$1635,Orders!AC1648)&gt;0,"Returned","Not Returned")</f>
        <v>Not Returned</v>
      </c>
    </row>
    <row r="1649" spans="1:30" ht="12.75" customHeight="1" thickTop="1" thickBot="1" x14ac:dyDescent="0.25">
      <c r="A1649" s="8">
        <v>20304</v>
      </c>
      <c r="B1649" s="1" t="s">
        <v>25</v>
      </c>
      <c r="C1649" s="1">
        <v>0.05</v>
      </c>
      <c r="D1649" s="1">
        <v>80.97</v>
      </c>
      <c r="E1649" s="1">
        <v>30.06</v>
      </c>
      <c r="F1649" s="1">
        <v>2897</v>
      </c>
      <c r="G1649" s="6" t="str">
        <f>IF(COUNTIF(Table1[Customer ID],Table1[[#This Row],[Customer ID]])&gt;1,"Repeat Customer","One-Time Customer")</f>
        <v>Repeat Customer</v>
      </c>
      <c r="H1649" s="1" t="s">
        <v>2649</v>
      </c>
      <c r="I1649" s="1" t="s">
        <v>39</v>
      </c>
      <c r="J1649" s="1" t="s">
        <v>40</v>
      </c>
      <c r="K1649" s="1" t="s">
        <v>77</v>
      </c>
      <c r="L1649" s="1" t="s">
        <v>85</v>
      </c>
      <c r="M1649" s="1" t="s">
        <v>121</v>
      </c>
      <c r="N1649" s="1" t="s">
        <v>386</v>
      </c>
      <c r="O1649" s="1">
        <v>0.4</v>
      </c>
      <c r="P1649" s="6">
        <f>Table1[[#This Row],[Profit]]/Table1[[#This Row],[Sales]]</f>
        <v>0.62502626486038149</v>
      </c>
      <c r="Q1649" s="1" t="s">
        <v>33</v>
      </c>
      <c r="R1649" s="1" t="s">
        <v>61</v>
      </c>
      <c r="S1649" s="1" t="s">
        <v>62</v>
      </c>
      <c r="T1649" s="1" t="s">
        <v>2650</v>
      </c>
      <c r="U1649" s="1">
        <v>55369</v>
      </c>
      <c r="V1649" s="9">
        <v>42048</v>
      </c>
      <c r="W1649" s="13" t="str">
        <f>TEXT(Table1[[#This Row],[Order Date]],"mmmm")</f>
        <v>February</v>
      </c>
      <c r="X1649" s="7" t="str">
        <f>TEXT(Table1[[#This Row],[Order Date]],"yyyy")</f>
        <v>2015</v>
      </c>
      <c r="Y1649" s="9">
        <v>42049</v>
      </c>
      <c r="Z1649" s="1">
        <v>565.17999999999995</v>
      </c>
      <c r="AA1649" s="1">
        <v>11</v>
      </c>
      <c r="AB1649" s="1">
        <v>904.25</v>
      </c>
      <c r="AC1649" s="1">
        <v>86926</v>
      </c>
      <c r="AD1649" s="6" t="str">
        <f>IF(COUNTIF(Returns!$A$2:$A$1635,Orders!AC1649)&gt;0,"Returned","Not Returned")</f>
        <v>Not Returned</v>
      </c>
    </row>
    <row r="1650" spans="1:30" ht="12.75" customHeight="1" thickTop="1" thickBot="1" x14ac:dyDescent="0.25">
      <c r="A1650" s="10">
        <v>20305</v>
      </c>
      <c r="B1650" s="11" t="s">
        <v>25</v>
      </c>
      <c r="C1650" s="11">
        <v>0</v>
      </c>
      <c r="D1650" s="11">
        <v>6.48</v>
      </c>
      <c r="E1650" s="11">
        <v>10.050000000000001</v>
      </c>
      <c r="F1650" s="11">
        <v>2897</v>
      </c>
      <c r="G1650" s="6" t="str">
        <f>IF(COUNTIF(Table1[Customer ID],Table1[[#This Row],[Customer ID]])&gt;1,"Repeat Customer","One-Time Customer")</f>
        <v>Repeat Customer</v>
      </c>
      <c r="H1650" s="11" t="s">
        <v>2649</v>
      </c>
      <c r="I1650" s="11" t="s">
        <v>49</v>
      </c>
      <c r="J1650" s="11" t="s">
        <v>40</v>
      </c>
      <c r="K1650" s="11" t="s">
        <v>29</v>
      </c>
      <c r="L1650" s="11" t="s">
        <v>93</v>
      </c>
      <c r="M1650" s="11" t="s">
        <v>59</v>
      </c>
      <c r="N1650" s="11" t="s">
        <v>2651</v>
      </c>
      <c r="O1650" s="11">
        <v>0.37</v>
      </c>
      <c r="P1650" s="6">
        <f>Table1[[#This Row],[Profit]]/Table1[[#This Row],[Sales]]</f>
        <v>-2.374003678724709</v>
      </c>
      <c r="Q1650" s="11" t="s">
        <v>33</v>
      </c>
      <c r="R1650" s="11" t="s">
        <v>61</v>
      </c>
      <c r="S1650" s="11" t="s">
        <v>62</v>
      </c>
      <c r="T1650" s="11" t="s">
        <v>2650</v>
      </c>
      <c r="U1650" s="11">
        <v>55369</v>
      </c>
      <c r="V1650" s="12">
        <v>42048</v>
      </c>
      <c r="W1650" s="13" t="str">
        <f>TEXT(Table1[[#This Row],[Order Date]],"mmmm")</f>
        <v>February</v>
      </c>
      <c r="X1650" s="7" t="str">
        <f>TEXT(Table1[[#This Row],[Order Date]],"yyyy")</f>
        <v>2015</v>
      </c>
      <c r="Y1650" s="12">
        <v>42050</v>
      </c>
      <c r="Z1650" s="11">
        <v>-38.72</v>
      </c>
      <c r="AA1650" s="11">
        <v>2</v>
      </c>
      <c r="AB1650" s="11">
        <v>16.309999999999999</v>
      </c>
      <c r="AC1650" s="11">
        <v>86926</v>
      </c>
      <c r="AD1650" s="6" t="str">
        <f>IF(COUNTIF(Returns!$A$2:$A$1635,Orders!AC1650)&gt;0,"Returned","Not Returned")</f>
        <v>Not Returned</v>
      </c>
    </row>
    <row r="1651" spans="1:30" ht="12.75" customHeight="1" thickTop="1" thickBot="1" x14ac:dyDescent="0.25">
      <c r="A1651" s="8">
        <v>23151</v>
      </c>
      <c r="B1651" s="1" t="s">
        <v>37</v>
      </c>
      <c r="C1651" s="1">
        <v>0.06</v>
      </c>
      <c r="D1651" s="1">
        <v>70.89</v>
      </c>
      <c r="E1651" s="1">
        <v>89.3</v>
      </c>
      <c r="F1651" s="1">
        <v>2903</v>
      </c>
      <c r="G1651" s="6" t="str">
        <f>IF(COUNTIF(Table1[Customer ID],Table1[[#This Row],[Customer ID]])&gt;1,"Repeat Customer","One-Time Customer")</f>
        <v>One-Time Customer</v>
      </c>
      <c r="H1651" s="1" t="s">
        <v>2652</v>
      </c>
      <c r="I1651" s="1" t="s">
        <v>39</v>
      </c>
      <c r="J1651" s="1" t="s">
        <v>58</v>
      </c>
      <c r="K1651" s="1" t="s">
        <v>41</v>
      </c>
      <c r="L1651" s="1" t="s">
        <v>152</v>
      </c>
      <c r="M1651" s="1" t="s">
        <v>121</v>
      </c>
      <c r="N1651" s="1" t="s">
        <v>2653</v>
      </c>
      <c r="O1651" s="1">
        <v>0.72</v>
      </c>
      <c r="P1651" s="6">
        <f>Table1[[#This Row],[Profit]]/Table1[[#This Row],[Sales]]</f>
        <v>0.17865541097018614</v>
      </c>
      <c r="Q1651" s="1" t="s">
        <v>33</v>
      </c>
      <c r="R1651" s="1" t="s">
        <v>53</v>
      </c>
      <c r="S1651" s="1" t="s">
        <v>154</v>
      </c>
      <c r="T1651" s="1" t="s">
        <v>2654</v>
      </c>
      <c r="U1651" s="1">
        <v>43068</v>
      </c>
      <c r="V1651" s="9">
        <v>42180</v>
      </c>
      <c r="W1651" s="13" t="str">
        <f>TEXT(Table1[[#This Row],[Order Date]],"mmmm")</f>
        <v>June</v>
      </c>
      <c r="X1651" s="7" t="str">
        <f>TEXT(Table1[[#This Row],[Order Date]],"yyyy")</f>
        <v>2015</v>
      </c>
      <c r="Y1651" s="9">
        <v>42180</v>
      </c>
      <c r="Z1651" s="1">
        <v>65.077020000000005</v>
      </c>
      <c r="AA1651" s="1">
        <v>6</v>
      </c>
      <c r="AB1651" s="1">
        <v>364.26</v>
      </c>
      <c r="AC1651" s="1">
        <v>87374</v>
      </c>
      <c r="AD1651" s="6" t="str">
        <f>IF(COUNTIF(Returns!$A$2:$A$1635,Orders!AC1651)&gt;0,"Returned","Not Returned")</f>
        <v>Not Returned</v>
      </c>
    </row>
    <row r="1652" spans="1:30" ht="12.75" customHeight="1" thickTop="1" thickBot="1" x14ac:dyDescent="0.25">
      <c r="A1652" s="10">
        <v>18611</v>
      </c>
      <c r="B1652" s="11" t="s">
        <v>25</v>
      </c>
      <c r="C1652" s="11">
        <v>7.0000000000000007E-2</v>
      </c>
      <c r="D1652" s="11">
        <v>4.13</v>
      </c>
      <c r="E1652" s="11">
        <v>0.99</v>
      </c>
      <c r="F1652" s="11">
        <v>2908</v>
      </c>
      <c r="G1652" s="6" t="str">
        <f>IF(COUNTIF(Table1[Customer ID],Table1[[#This Row],[Customer ID]])&gt;1,"Repeat Customer","One-Time Customer")</f>
        <v>Repeat Customer</v>
      </c>
      <c r="H1652" s="11" t="s">
        <v>2655</v>
      </c>
      <c r="I1652" s="11" t="s">
        <v>49</v>
      </c>
      <c r="J1652" s="11" t="s">
        <v>40</v>
      </c>
      <c r="K1652" s="11" t="s">
        <v>29</v>
      </c>
      <c r="L1652" s="11" t="s">
        <v>134</v>
      </c>
      <c r="M1652" s="11" t="s">
        <v>59</v>
      </c>
      <c r="N1652" s="11" t="s">
        <v>1420</v>
      </c>
      <c r="O1652" s="11">
        <v>0.39</v>
      </c>
      <c r="P1652" s="6">
        <f>Table1[[#This Row],[Profit]]/Table1[[#This Row],[Sales]]</f>
        <v>0.68196639701306772</v>
      </c>
      <c r="Q1652" s="11" t="s">
        <v>33</v>
      </c>
      <c r="R1652" s="11" t="s">
        <v>53</v>
      </c>
      <c r="S1652" s="11" t="s">
        <v>154</v>
      </c>
      <c r="T1652" s="11" t="s">
        <v>2656</v>
      </c>
      <c r="U1652" s="11">
        <v>44125</v>
      </c>
      <c r="V1652" s="12">
        <v>42012</v>
      </c>
      <c r="W1652" s="13" t="str">
        <f>TEXT(Table1[[#This Row],[Order Date]],"mmmm")</f>
        <v>January</v>
      </c>
      <c r="X1652" s="7" t="str">
        <f>TEXT(Table1[[#This Row],[Order Date]],"yyyy")</f>
        <v>2015</v>
      </c>
      <c r="Y1652" s="12">
        <v>42012</v>
      </c>
      <c r="Z1652" s="11">
        <v>10.959199999999999</v>
      </c>
      <c r="AA1652" s="11">
        <v>4</v>
      </c>
      <c r="AB1652" s="11">
        <v>16.07</v>
      </c>
      <c r="AC1652" s="11">
        <v>88156</v>
      </c>
      <c r="AD1652" s="6" t="str">
        <f>IF(COUNTIF(Returns!$A$2:$A$1635,Orders!AC1652)&gt;0,"Returned","Not Returned")</f>
        <v>Not Returned</v>
      </c>
    </row>
    <row r="1653" spans="1:30" ht="12.75" customHeight="1" thickTop="1" thickBot="1" x14ac:dyDescent="0.25">
      <c r="A1653" s="8">
        <v>18612</v>
      </c>
      <c r="B1653" s="1" t="s">
        <v>25</v>
      </c>
      <c r="C1653" s="1">
        <v>0.03</v>
      </c>
      <c r="D1653" s="1">
        <v>22.72</v>
      </c>
      <c r="E1653" s="1">
        <v>8.99</v>
      </c>
      <c r="F1653" s="1">
        <v>2908</v>
      </c>
      <c r="G1653" s="6" t="str">
        <f>IF(COUNTIF(Table1[Customer ID],Table1[[#This Row],[Customer ID]])&gt;1,"Repeat Customer","One-Time Customer")</f>
        <v>Repeat Customer</v>
      </c>
      <c r="H1653" s="1" t="s">
        <v>2655</v>
      </c>
      <c r="I1653" s="1" t="s">
        <v>49</v>
      </c>
      <c r="J1653" s="1" t="s">
        <v>40</v>
      </c>
      <c r="K1653" s="1" t="s">
        <v>41</v>
      </c>
      <c r="L1653" s="1" t="s">
        <v>50</v>
      </c>
      <c r="M1653" s="1" t="s">
        <v>51</v>
      </c>
      <c r="N1653" s="1" t="s">
        <v>782</v>
      </c>
      <c r="O1653" s="1">
        <v>0.44</v>
      </c>
      <c r="P1653" s="6">
        <f>Table1[[#This Row],[Profit]]/Table1[[#This Row],[Sales]]</f>
        <v>0.69</v>
      </c>
      <c r="Q1653" s="1" t="s">
        <v>33</v>
      </c>
      <c r="R1653" s="1" t="s">
        <v>53</v>
      </c>
      <c r="S1653" s="1" t="s">
        <v>154</v>
      </c>
      <c r="T1653" s="1" t="s">
        <v>2656</v>
      </c>
      <c r="U1653" s="1">
        <v>44125</v>
      </c>
      <c r="V1653" s="9">
        <v>42012</v>
      </c>
      <c r="W1653" s="13" t="str">
        <f>TEXT(Table1[[#This Row],[Order Date]],"mmmm")</f>
        <v>January</v>
      </c>
      <c r="X1653" s="7" t="str">
        <f>TEXT(Table1[[#This Row],[Order Date]],"yyyy")</f>
        <v>2015</v>
      </c>
      <c r="Y1653" s="9">
        <v>42012</v>
      </c>
      <c r="Z1653" s="1">
        <v>17.429400000000001</v>
      </c>
      <c r="AA1653" s="1">
        <v>1</v>
      </c>
      <c r="AB1653" s="1">
        <v>25.26</v>
      </c>
      <c r="AC1653" s="1">
        <v>88156</v>
      </c>
      <c r="AD1653" s="6" t="str">
        <f>IF(COUNTIF(Returns!$A$2:$A$1635,Orders!AC1653)&gt;0,"Returned","Not Returned")</f>
        <v>Not Returned</v>
      </c>
    </row>
    <row r="1654" spans="1:30" ht="12.75" customHeight="1" thickTop="1" thickBot="1" x14ac:dyDescent="0.25">
      <c r="A1654" s="10">
        <v>20827</v>
      </c>
      <c r="B1654" s="11" t="s">
        <v>37</v>
      </c>
      <c r="C1654" s="11">
        <v>0.05</v>
      </c>
      <c r="D1654" s="11">
        <v>34.979999999999997</v>
      </c>
      <c r="E1654" s="11">
        <v>7.53</v>
      </c>
      <c r="F1654" s="11">
        <v>2908</v>
      </c>
      <c r="G1654" s="6" t="str">
        <f>IF(COUNTIF(Table1[Customer ID],Table1[[#This Row],[Customer ID]])&gt;1,"Repeat Customer","One-Time Customer")</f>
        <v>Repeat Customer</v>
      </c>
      <c r="H1654" s="11" t="s">
        <v>2655</v>
      </c>
      <c r="I1654" s="11" t="s">
        <v>27</v>
      </c>
      <c r="J1654" s="11" t="s">
        <v>40</v>
      </c>
      <c r="K1654" s="11" t="s">
        <v>77</v>
      </c>
      <c r="L1654" s="11" t="s">
        <v>180</v>
      </c>
      <c r="M1654" s="11" t="s">
        <v>59</v>
      </c>
      <c r="N1654" s="11" t="s">
        <v>505</v>
      </c>
      <c r="O1654" s="11">
        <v>0.76</v>
      </c>
      <c r="P1654" s="6">
        <f>Table1[[#This Row],[Profit]]/Table1[[#This Row],[Sales]]</f>
        <v>-5.6216699938046399E-2</v>
      </c>
      <c r="Q1654" s="11" t="s">
        <v>33</v>
      </c>
      <c r="R1654" s="11" t="s">
        <v>53</v>
      </c>
      <c r="S1654" s="11" t="s">
        <v>154</v>
      </c>
      <c r="T1654" s="11" t="s">
        <v>2656</v>
      </c>
      <c r="U1654" s="11">
        <v>44125</v>
      </c>
      <c r="V1654" s="12">
        <v>42063</v>
      </c>
      <c r="W1654" s="13" t="str">
        <f>TEXT(Table1[[#This Row],[Order Date]],"mmmm")</f>
        <v>February</v>
      </c>
      <c r="X1654" s="7" t="str">
        <f>TEXT(Table1[[#This Row],[Order Date]],"yyyy")</f>
        <v>2015</v>
      </c>
      <c r="Y1654" s="12">
        <v>42066</v>
      </c>
      <c r="Z1654" s="11">
        <v>-32.666400000000003</v>
      </c>
      <c r="AA1654" s="11">
        <v>16</v>
      </c>
      <c r="AB1654" s="11">
        <v>581.08000000000004</v>
      </c>
      <c r="AC1654" s="11">
        <v>88157</v>
      </c>
      <c r="AD1654" s="6" t="str">
        <f>IF(COUNTIF(Returns!$A$2:$A$1635,Orders!AC1654)&gt;0,"Returned","Not Returned")</f>
        <v>Not Returned</v>
      </c>
    </row>
    <row r="1655" spans="1:30" ht="12.75" customHeight="1" thickTop="1" thickBot="1" x14ac:dyDescent="0.25">
      <c r="A1655" s="8">
        <v>20828</v>
      </c>
      <c r="B1655" s="1" t="s">
        <v>37</v>
      </c>
      <c r="C1655" s="1">
        <v>0</v>
      </c>
      <c r="D1655" s="1">
        <v>3.14</v>
      </c>
      <c r="E1655" s="1">
        <v>1.92</v>
      </c>
      <c r="F1655" s="1">
        <v>2908</v>
      </c>
      <c r="G1655" s="6" t="str">
        <f>IF(COUNTIF(Table1[Customer ID],Table1[[#This Row],[Customer ID]])&gt;1,"Repeat Customer","One-Time Customer")</f>
        <v>Repeat Customer</v>
      </c>
      <c r="H1655" s="1" t="s">
        <v>2655</v>
      </c>
      <c r="I1655" s="1" t="s">
        <v>49</v>
      </c>
      <c r="J1655" s="1" t="s">
        <v>40</v>
      </c>
      <c r="K1655" s="1" t="s">
        <v>29</v>
      </c>
      <c r="L1655" s="1" t="s">
        <v>174</v>
      </c>
      <c r="M1655" s="1" t="s">
        <v>31</v>
      </c>
      <c r="N1655" s="1" t="s">
        <v>2657</v>
      </c>
      <c r="O1655" s="1">
        <v>0.84</v>
      </c>
      <c r="P1655" s="6">
        <f>Table1[[#This Row],[Profit]]/Table1[[#This Row],[Sales]]</f>
        <v>-0.47712313839447879</v>
      </c>
      <c r="Q1655" s="1" t="s">
        <v>33</v>
      </c>
      <c r="R1655" s="1" t="s">
        <v>53</v>
      </c>
      <c r="S1655" s="1" t="s">
        <v>154</v>
      </c>
      <c r="T1655" s="1" t="s">
        <v>2656</v>
      </c>
      <c r="U1655" s="1">
        <v>44125</v>
      </c>
      <c r="V1655" s="9">
        <v>42063</v>
      </c>
      <c r="W1655" s="13" t="str">
        <f>TEXT(Table1[[#This Row],[Order Date]],"mmmm")</f>
        <v>February</v>
      </c>
      <c r="X1655" s="7" t="str">
        <f>TEXT(Table1[[#This Row],[Order Date]],"yyyy")</f>
        <v>2015</v>
      </c>
      <c r="Y1655" s="9">
        <v>42065</v>
      </c>
      <c r="Z1655" s="1">
        <v>-13.135200000000001</v>
      </c>
      <c r="AA1655" s="1">
        <v>8</v>
      </c>
      <c r="AB1655" s="1">
        <v>27.53</v>
      </c>
      <c r="AC1655" s="1">
        <v>88157</v>
      </c>
      <c r="AD1655" s="6" t="str">
        <f>IF(COUNTIF(Returns!$A$2:$A$1635,Orders!AC1655)&gt;0,"Returned","Not Returned")</f>
        <v>Not Returned</v>
      </c>
    </row>
    <row r="1656" spans="1:30" ht="12.75" customHeight="1" thickTop="1" thickBot="1" x14ac:dyDescent="0.25">
      <c r="A1656" s="10">
        <v>21290</v>
      </c>
      <c r="B1656" s="11" t="s">
        <v>25</v>
      </c>
      <c r="C1656" s="11">
        <v>0.04</v>
      </c>
      <c r="D1656" s="11">
        <v>4.13</v>
      </c>
      <c r="E1656" s="11">
        <v>0.99</v>
      </c>
      <c r="F1656" s="11">
        <v>2912</v>
      </c>
      <c r="G1656" s="6" t="str">
        <f>IF(COUNTIF(Table1[Customer ID],Table1[[#This Row],[Customer ID]])&gt;1,"Repeat Customer","One-Time Customer")</f>
        <v>Repeat Customer</v>
      </c>
      <c r="H1656" s="11" t="s">
        <v>2658</v>
      </c>
      <c r="I1656" s="11" t="s">
        <v>27</v>
      </c>
      <c r="J1656" s="11" t="s">
        <v>40</v>
      </c>
      <c r="K1656" s="11" t="s">
        <v>29</v>
      </c>
      <c r="L1656" s="11" t="s">
        <v>134</v>
      </c>
      <c r="M1656" s="11" t="s">
        <v>59</v>
      </c>
      <c r="N1656" s="11" t="s">
        <v>1420</v>
      </c>
      <c r="O1656" s="11">
        <v>0.39</v>
      </c>
      <c r="P1656" s="6">
        <f>Table1[[#This Row],[Profit]]/Table1[[#This Row],[Sales]]</f>
        <v>0.69</v>
      </c>
      <c r="Q1656" s="11" t="s">
        <v>33</v>
      </c>
      <c r="R1656" s="11" t="s">
        <v>61</v>
      </c>
      <c r="S1656" s="11" t="s">
        <v>2659</v>
      </c>
      <c r="T1656" s="11" t="s">
        <v>2660</v>
      </c>
      <c r="U1656" s="11">
        <v>58201</v>
      </c>
      <c r="V1656" s="12">
        <v>42122</v>
      </c>
      <c r="W1656" s="13" t="str">
        <f>TEXT(Table1[[#This Row],[Order Date]],"mmmm")</f>
        <v>April</v>
      </c>
      <c r="X1656" s="7" t="str">
        <f>TEXT(Table1[[#This Row],[Order Date]],"yyyy")</f>
        <v>2015</v>
      </c>
      <c r="Y1656" s="12">
        <v>42124</v>
      </c>
      <c r="Z1656" s="11">
        <v>22.307699999999997</v>
      </c>
      <c r="AA1656" s="11">
        <v>7</v>
      </c>
      <c r="AB1656" s="11">
        <v>32.33</v>
      </c>
      <c r="AC1656" s="11">
        <v>87396</v>
      </c>
      <c r="AD1656" s="6" t="str">
        <f>IF(COUNTIF(Returns!$A$2:$A$1635,Orders!AC1656)&gt;0,"Returned","Not Returned")</f>
        <v>Not Returned</v>
      </c>
    </row>
    <row r="1657" spans="1:30" ht="12.75" customHeight="1" thickTop="1" thickBot="1" x14ac:dyDescent="0.25">
      <c r="A1657" s="8">
        <v>21291</v>
      </c>
      <c r="B1657" s="1" t="s">
        <v>25</v>
      </c>
      <c r="C1657" s="1">
        <v>0.06</v>
      </c>
      <c r="D1657" s="1">
        <v>55.48</v>
      </c>
      <c r="E1657" s="1">
        <v>14.3</v>
      </c>
      <c r="F1657" s="1">
        <v>2912</v>
      </c>
      <c r="G1657" s="6" t="str">
        <f>IF(COUNTIF(Table1[Customer ID],Table1[[#This Row],[Customer ID]])&gt;1,"Repeat Customer","One-Time Customer")</f>
        <v>Repeat Customer</v>
      </c>
      <c r="H1657" s="1" t="s">
        <v>2658</v>
      </c>
      <c r="I1657" s="1" t="s">
        <v>49</v>
      </c>
      <c r="J1657" s="1" t="s">
        <v>40</v>
      </c>
      <c r="K1657" s="1" t="s">
        <v>29</v>
      </c>
      <c r="L1657" s="1" t="s">
        <v>93</v>
      </c>
      <c r="M1657" s="1" t="s">
        <v>59</v>
      </c>
      <c r="N1657" s="1" t="s">
        <v>94</v>
      </c>
      <c r="O1657" s="1">
        <v>0.37</v>
      </c>
      <c r="P1657" s="6">
        <f>Table1[[#This Row],[Profit]]/Table1[[#This Row],[Sales]]</f>
        <v>0.69</v>
      </c>
      <c r="Q1657" s="1" t="s">
        <v>33</v>
      </c>
      <c r="R1657" s="1" t="s">
        <v>61</v>
      </c>
      <c r="S1657" s="1" t="s">
        <v>2659</v>
      </c>
      <c r="T1657" s="1" t="s">
        <v>2660</v>
      </c>
      <c r="U1657" s="1">
        <v>58201</v>
      </c>
      <c r="V1657" s="9">
        <v>42122</v>
      </c>
      <c r="W1657" s="13" t="str">
        <f>TEXT(Table1[[#This Row],[Order Date]],"mmmm")</f>
        <v>April</v>
      </c>
      <c r="X1657" s="7" t="str">
        <f>TEXT(Table1[[#This Row],[Order Date]],"yyyy")</f>
        <v>2015</v>
      </c>
      <c r="Y1657" s="9">
        <v>42124</v>
      </c>
      <c r="Z1657" s="1">
        <v>443.02139999999991</v>
      </c>
      <c r="AA1657" s="1">
        <v>12</v>
      </c>
      <c r="AB1657" s="1">
        <v>642.05999999999995</v>
      </c>
      <c r="AC1657" s="1">
        <v>87396</v>
      </c>
      <c r="AD1657" s="6" t="str">
        <f>IF(COUNTIF(Returns!$A$2:$A$1635,Orders!AC1657)&gt;0,"Returned","Not Returned")</f>
        <v>Not Returned</v>
      </c>
    </row>
    <row r="1658" spans="1:30" ht="12.75" customHeight="1" thickTop="1" thickBot="1" x14ac:dyDescent="0.25">
      <c r="A1658" s="10">
        <v>8310</v>
      </c>
      <c r="B1658" s="11" t="s">
        <v>56</v>
      </c>
      <c r="C1658" s="11">
        <v>0.05</v>
      </c>
      <c r="D1658" s="11">
        <v>535.64</v>
      </c>
      <c r="E1658" s="11">
        <v>14.7</v>
      </c>
      <c r="F1658" s="11">
        <v>2920</v>
      </c>
      <c r="G1658" s="6" t="str">
        <f>IF(COUNTIF(Table1[Customer ID],Table1[[#This Row],[Customer ID]])&gt;1,"Repeat Customer","One-Time Customer")</f>
        <v>One-Time Customer</v>
      </c>
      <c r="H1658" s="11" t="s">
        <v>2661</v>
      </c>
      <c r="I1658" s="11" t="s">
        <v>39</v>
      </c>
      <c r="J1658" s="11" t="s">
        <v>40</v>
      </c>
      <c r="K1658" s="11" t="s">
        <v>77</v>
      </c>
      <c r="L1658" s="11" t="s">
        <v>85</v>
      </c>
      <c r="M1658" s="11" t="s">
        <v>43</v>
      </c>
      <c r="N1658" s="11" t="s">
        <v>1848</v>
      </c>
      <c r="O1658" s="11">
        <v>0.59</v>
      </c>
      <c r="P1658" s="6">
        <f>Table1[[#This Row],[Profit]]/Table1[[#This Row],[Sales]]</f>
        <v>-1.142536496350365</v>
      </c>
      <c r="Q1658" s="11" t="s">
        <v>33</v>
      </c>
      <c r="R1658" s="11" t="s">
        <v>61</v>
      </c>
      <c r="S1658" s="11" t="s">
        <v>178</v>
      </c>
      <c r="T1658" s="11" t="s">
        <v>179</v>
      </c>
      <c r="U1658" s="11">
        <v>60603</v>
      </c>
      <c r="V1658" s="12">
        <v>42162</v>
      </c>
      <c r="W1658" s="13" t="str">
        <f>TEXT(Table1[[#This Row],[Order Date]],"mmmm")</f>
        <v>June</v>
      </c>
      <c r="X1658" s="7" t="str">
        <f>TEXT(Table1[[#This Row],[Order Date]],"yyyy")</f>
        <v>2015</v>
      </c>
      <c r="Y1658" s="12">
        <v>42164</v>
      </c>
      <c r="Z1658" s="11">
        <v>-1220.9144999999999</v>
      </c>
      <c r="AA1658" s="11">
        <v>2</v>
      </c>
      <c r="AB1658" s="11">
        <v>1068.5999999999999</v>
      </c>
      <c r="AC1658" s="11">
        <v>59365</v>
      </c>
      <c r="AD1658" s="6" t="str">
        <f>IF(COUNTIF(Returns!$A$2:$A$1635,Orders!AC1658)&gt;0,"Returned","Not Returned")</f>
        <v>Not Returned</v>
      </c>
    </row>
    <row r="1659" spans="1:30" ht="12.75" customHeight="1" thickTop="1" thickBot="1" x14ac:dyDescent="0.25">
      <c r="A1659" s="8">
        <v>18166</v>
      </c>
      <c r="B1659" s="1" t="s">
        <v>56</v>
      </c>
      <c r="C1659" s="1">
        <v>0</v>
      </c>
      <c r="D1659" s="1">
        <v>6.37</v>
      </c>
      <c r="E1659" s="1">
        <v>5.19</v>
      </c>
      <c r="F1659" s="1">
        <v>2923</v>
      </c>
      <c r="G1659" s="6" t="str">
        <f>IF(COUNTIF(Table1[Customer ID],Table1[[#This Row],[Customer ID]])&gt;1,"Repeat Customer","One-Time Customer")</f>
        <v>One-Time Customer</v>
      </c>
      <c r="H1659" s="1" t="s">
        <v>2662</v>
      </c>
      <c r="I1659" s="1" t="s">
        <v>49</v>
      </c>
      <c r="J1659" s="1" t="s">
        <v>114</v>
      </c>
      <c r="K1659" s="1" t="s">
        <v>29</v>
      </c>
      <c r="L1659" s="1" t="s">
        <v>109</v>
      </c>
      <c r="M1659" s="1" t="s">
        <v>59</v>
      </c>
      <c r="N1659" s="1" t="s">
        <v>623</v>
      </c>
      <c r="O1659" s="1">
        <v>0.38</v>
      </c>
      <c r="P1659" s="6">
        <f>Table1[[#This Row],[Profit]]/Table1[[#This Row],[Sales]]</f>
        <v>-0.27217243107769423</v>
      </c>
      <c r="Q1659" s="1" t="s">
        <v>33</v>
      </c>
      <c r="R1659" s="1" t="s">
        <v>53</v>
      </c>
      <c r="S1659" s="1" t="s">
        <v>415</v>
      </c>
      <c r="T1659" s="1" t="s">
        <v>2663</v>
      </c>
      <c r="U1659" s="1">
        <v>21740</v>
      </c>
      <c r="V1659" s="9">
        <v>42063</v>
      </c>
      <c r="W1659" s="13" t="str">
        <f>TEXT(Table1[[#This Row],[Order Date]],"mmmm")</f>
        <v>February</v>
      </c>
      <c r="X1659" s="7" t="str">
        <f>TEXT(Table1[[#This Row],[Order Date]],"yyyy")</f>
        <v>2015</v>
      </c>
      <c r="Y1659" s="9">
        <v>42065</v>
      </c>
      <c r="Z1659" s="1">
        <v>-27.1492</v>
      </c>
      <c r="AA1659" s="1">
        <v>15</v>
      </c>
      <c r="AB1659" s="1">
        <v>99.75</v>
      </c>
      <c r="AC1659" s="1">
        <v>86592</v>
      </c>
      <c r="AD1659" s="6" t="str">
        <f>IF(COUNTIF(Returns!$A$2:$A$1635,Orders!AC1659)&gt;0,"Returned","Not Returned")</f>
        <v>Not Returned</v>
      </c>
    </row>
    <row r="1660" spans="1:30" ht="12.75" customHeight="1" thickTop="1" thickBot="1" x14ac:dyDescent="0.25">
      <c r="A1660" s="10">
        <v>18345</v>
      </c>
      <c r="B1660" s="11" t="s">
        <v>47</v>
      </c>
      <c r="C1660" s="11">
        <v>0.02</v>
      </c>
      <c r="D1660" s="11">
        <v>110.98</v>
      </c>
      <c r="E1660" s="11">
        <v>13.99</v>
      </c>
      <c r="F1660" s="11">
        <v>2924</v>
      </c>
      <c r="G1660" s="6" t="str">
        <f>IF(COUNTIF(Table1[Customer ID],Table1[[#This Row],[Customer ID]])&gt;1,"Repeat Customer","One-Time Customer")</f>
        <v>Repeat Customer</v>
      </c>
      <c r="H1660" s="11" t="s">
        <v>2664</v>
      </c>
      <c r="I1660" s="11" t="s">
        <v>49</v>
      </c>
      <c r="J1660" s="11" t="s">
        <v>114</v>
      </c>
      <c r="K1660" s="11" t="s">
        <v>41</v>
      </c>
      <c r="L1660" s="11" t="s">
        <v>50</v>
      </c>
      <c r="M1660" s="11" t="s">
        <v>86</v>
      </c>
      <c r="N1660" s="11" t="s">
        <v>1891</v>
      </c>
      <c r="O1660" s="11">
        <v>0.69</v>
      </c>
      <c r="P1660" s="6">
        <f>Table1[[#This Row],[Profit]]/Table1[[#This Row],[Sales]]</f>
        <v>-0.46944069218205092</v>
      </c>
      <c r="Q1660" s="11" t="s">
        <v>33</v>
      </c>
      <c r="R1660" s="11" t="s">
        <v>53</v>
      </c>
      <c r="S1660" s="11" t="s">
        <v>415</v>
      </c>
      <c r="T1660" s="11" t="s">
        <v>2665</v>
      </c>
      <c r="U1660" s="11">
        <v>20707</v>
      </c>
      <c r="V1660" s="12">
        <v>42020</v>
      </c>
      <c r="W1660" s="13" t="str">
        <f>TEXT(Table1[[#This Row],[Order Date]],"mmmm")</f>
        <v>January</v>
      </c>
      <c r="X1660" s="7" t="str">
        <f>TEXT(Table1[[#This Row],[Order Date]],"yyyy")</f>
        <v>2015</v>
      </c>
      <c r="Y1660" s="12">
        <v>42022</v>
      </c>
      <c r="Z1660" s="11">
        <v>-106.3424</v>
      </c>
      <c r="AA1660" s="11">
        <v>2</v>
      </c>
      <c r="AB1660" s="11">
        <v>226.53</v>
      </c>
      <c r="AC1660" s="11">
        <v>86591</v>
      </c>
      <c r="AD1660" s="6" t="str">
        <f>IF(COUNTIF(Returns!$A$2:$A$1635,Orders!AC1660)&gt;0,"Returned","Not Returned")</f>
        <v>Not Returned</v>
      </c>
    </row>
    <row r="1661" spans="1:30" ht="12.75" customHeight="1" thickTop="1" thickBot="1" x14ac:dyDescent="0.25">
      <c r="A1661" s="8">
        <v>18346</v>
      </c>
      <c r="B1661" s="1" t="s">
        <v>47</v>
      </c>
      <c r="C1661" s="1">
        <v>0.01</v>
      </c>
      <c r="D1661" s="1">
        <v>8.01</v>
      </c>
      <c r="E1661" s="1">
        <v>2.87</v>
      </c>
      <c r="F1661" s="1">
        <v>2924</v>
      </c>
      <c r="G1661" s="6" t="str">
        <f>IF(COUNTIF(Table1[Customer ID],Table1[[#This Row],[Customer ID]])&gt;1,"Repeat Customer","One-Time Customer")</f>
        <v>Repeat Customer</v>
      </c>
      <c r="H1661" s="1" t="s">
        <v>2664</v>
      </c>
      <c r="I1661" s="1" t="s">
        <v>49</v>
      </c>
      <c r="J1661" s="1" t="s">
        <v>114</v>
      </c>
      <c r="K1661" s="1" t="s">
        <v>29</v>
      </c>
      <c r="L1661" s="1" t="s">
        <v>93</v>
      </c>
      <c r="M1661" s="1" t="s">
        <v>31</v>
      </c>
      <c r="N1661" s="1" t="s">
        <v>2666</v>
      </c>
      <c r="O1661" s="1">
        <v>0.4</v>
      </c>
      <c r="P1661" s="6">
        <f>Table1[[#This Row],[Profit]]/Table1[[#This Row],[Sales]]</f>
        <v>0.65516096139839752</v>
      </c>
      <c r="Q1661" s="1" t="s">
        <v>33</v>
      </c>
      <c r="R1661" s="1" t="s">
        <v>53</v>
      </c>
      <c r="S1661" s="1" t="s">
        <v>415</v>
      </c>
      <c r="T1661" s="1" t="s">
        <v>2665</v>
      </c>
      <c r="U1661" s="1">
        <v>20707</v>
      </c>
      <c r="V1661" s="9">
        <v>42020</v>
      </c>
      <c r="W1661" s="13" t="str">
        <f>TEXT(Table1[[#This Row],[Order Date]],"mmmm")</f>
        <v>January</v>
      </c>
      <c r="X1661" s="7" t="str">
        <f>TEXT(Table1[[#This Row],[Order Date]],"yyyy")</f>
        <v>2015</v>
      </c>
      <c r="Y1661" s="9">
        <v>42022</v>
      </c>
      <c r="Z1661" s="1">
        <v>44.976799999999997</v>
      </c>
      <c r="AA1661" s="1">
        <v>8</v>
      </c>
      <c r="AB1661" s="1">
        <v>68.650000000000006</v>
      </c>
      <c r="AC1661" s="1">
        <v>86591</v>
      </c>
      <c r="AD1661" s="6" t="str">
        <f>IF(COUNTIF(Returns!$A$2:$A$1635,Orders!AC1661)&gt;0,"Returned","Not Returned")</f>
        <v>Not Returned</v>
      </c>
    </row>
    <row r="1662" spans="1:30" ht="12.75" customHeight="1" thickTop="1" thickBot="1" x14ac:dyDescent="0.25">
      <c r="A1662" s="10">
        <v>25817</v>
      </c>
      <c r="B1662" s="11" t="s">
        <v>47</v>
      </c>
      <c r="C1662" s="11">
        <v>0.02</v>
      </c>
      <c r="D1662" s="11">
        <v>5.58</v>
      </c>
      <c r="E1662" s="11">
        <v>2.99</v>
      </c>
      <c r="F1662" s="11">
        <v>2928</v>
      </c>
      <c r="G1662" s="6" t="str">
        <f>IF(COUNTIF(Table1[Customer ID],Table1[[#This Row],[Customer ID]])&gt;1,"Repeat Customer","One-Time Customer")</f>
        <v>Repeat Customer</v>
      </c>
      <c r="H1662" s="11" t="s">
        <v>2667</v>
      </c>
      <c r="I1662" s="11" t="s">
        <v>49</v>
      </c>
      <c r="J1662" s="11" t="s">
        <v>114</v>
      </c>
      <c r="K1662" s="11" t="s">
        <v>29</v>
      </c>
      <c r="L1662" s="11" t="s">
        <v>109</v>
      </c>
      <c r="M1662" s="11" t="s">
        <v>59</v>
      </c>
      <c r="N1662" s="11" t="s">
        <v>2668</v>
      </c>
      <c r="O1662" s="11">
        <v>0.37</v>
      </c>
      <c r="P1662" s="6">
        <f>Table1[[#This Row],[Profit]]/Table1[[#This Row],[Sales]]</f>
        <v>2.9106447662880544</v>
      </c>
      <c r="Q1662" s="11" t="s">
        <v>33</v>
      </c>
      <c r="R1662" s="11" t="s">
        <v>136</v>
      </c>
      <c r="S1662" s="11" t="s">
        <v>932</v>
      </c>
      <c r="T1662" s="11" t="s">
        <v>2669</v>
      </c>
      <c r="U1662" s="11">
        <v>29418</v>
      </c>
      <c r="V1662" s="12">
        <v>42150</v>
      </c>
      <c r="W1662" s="13" t="str">
        <f>TEXT(Table1[[#This Row],[Order Date]],"mmmm")</f>
        <v>May</v>
      </c>
      <c r="X1662" s="7" t="str">
        <f>TEXT(Table1[[#This Row],[Order Date]],"yyyy")</f>
        <v>2015</v>
      </c>
      <c r="Y1662" s="12">
        <v>42152</v>
      </c>
      <c r="Z1662" s="11">
        <v>689.32799999999997</v>
      </c>
      <c r="AA1662" s="11">
        <v>42</v>
      </c>
      <c r="AB1662" s="11">
        <v>236.83</v>
      </c>
      <c r="AC1662" s="11">
        <v>90218</v>
      </c>
      <c r="AD1662" s="6" t="str">
        <f>IF(COUNTIF(Returns!$A$2:$A$1635,Orders!AC1662)&gt;0,"Returned","Not Returned")</f>
        <v>Not Returned</v>
      </c>
    </row>
    <row r="1663" spans="1:30" ht="12.75" customHeight="1" thickTop="1" thickBot="1" x14ac:dyDescent="0.25">
      <c r="A1663" s="8">
        <v>25819</v>
      </c>
      <c r="B1663" s="1" t="s">
        <v>47</v>
      </c>
      <c r="C1663" s="1">
        <v>0.02</v>
      </c>
      <c r="D1663" s="1">
        <v>54.1</v>
      </c>
      <c r="E1663" s="1">
        <v>19.989999999999998</v>
      </c>
      <c r="F1663" s="1">
        <v>2928</v>
      </c>
      <c r="G1663" s="6" t="str">
        <f>IF(COUNTIF(Table1[Customer ID],Table1[[#This Row],[Customer ID]])&gt;1,"Repeat Customer","One-Time Customer")</f>
        <v>Repeat Customer</v>
      </c>
      <c r="H1663" s="1" t="s">
        <v>2667</v>
      </c>
      <c r="I1663" s="1" t="s">
        <v>49</v>
      </c>
      <c r="J1663" s="1" t="s">
        <v>114</v>
      </c>
      <c r="K1663" s="1" t="s">
        <v>29</v>
      </c>
      <c r="L1663" s="1" t="s">
        <v>141</v>
      </c>
      <c r="M1663" s="1" t="s">
        <v>59</v>
      </c>
      <c r="N1663" s="1" t="s">
        <v>2181</v>
      </c>
      <c r="O1663" s="1">
        <v>0.59</v>
      </c>
      <c r="P1663" s="6">
        <f>Table1[[#This Row],[Profit]]/Table1[[#This Row],[Sales]]</f>
        <v>-1.7269020551502156E-2</v>
      </c>
      <c r="Q1663" s="1" t="s">
        <v>33</v>
      </c>
      <c r="R1663" s="1" t="s">
        <v>136</v>
      </c>
      <c r="S1663" s="1" t="s">
        <v>932</v>
      </c>
      <c r="T1663" s="1" t="s">
        <v>2669</v>
      </c>
      <c r="U1663" s="1">
        <v>29418</v>
      </c>
      <c r="V1663" s="9">
        <v>42150</v>
      </c>
      <c r="W1663" s="13" t="str">
        <f>TEXT(Table1[[#This Row],[Order Date]],"mmmm")</f>
        <v>May</v>
      </c>
      <c r="X1663" s="7" t="str">
        <f>TEXT(Table1[[#This Row],[Order Date]],"yyyy")</f>
        <v>2015</v>
      </c>
      <c r="Y1663" s="9">
        <v>42151</v>
      </c>
      <c r="Z1663" s="1">
        <v>-33.585999999999999</v>
      </c>
      <c r="AA1663" s="1">
        <v>36</v>
      </c>
      <c r="AB1663" s="1">
        <v>1944.87</v>
      </c>
      <c r="AC1663" s="1">
        <v>90218</v>
      </c>
      <c r="AD1663" s="6" t="str">
        <f>IF(COUNTIF(Returns!$A$2:$A$1635,Orders!AC1663)&gt;0,"Returned","Not Returned")</f>
        <v>Not Returned</v>
      </c>
    </row>
    <row r="1664" spans="1:30" ht="12.75" customHeight="1" thickTop="1" thickBot="1" x14ac:dyDescent="0.25">
      <c r="A1664" s="10">
        <v>21313</v>
      </c>
      <c r="B1664" s="11" t="s">
        <v>37</v>
      </c>
      <c r="C1664" s="11">
        <v>0.1</v>
      </c>
      <c r="D1664" s="11">
        <v>11.55</v>
      </c>
      <c r="E1664" s="11">
        <v>2.36</v>
      </c>
      <c r="F1664" s="11">
        <v>2931</v>
      </c>
      <c r="G1664" s="6" t="str">
        <f>IF(COUNTIF(Table1[Customer ID],Table1[[#This Row],[Customer ID]])&gt;1,"Repeat Customer","One-Time Customer")</f>
        <v>One-Time Customer</v>
      </c>
      <c r="H1664" s="11" t="s">
        <v>2670</v>
      </c>
      <c r="I1664" s="11" t="s">
        <v>49</v>
      </c>
      <c r="J1664" s="11" t="s">
        <v>58</v>
      </c>
      <c r="K1664" s="11" t="s">
        <v>29</v>
      </c>
      <c r="L1664" s="11" t="s">
        <v>30</v>
      </c>
      <c r="M1664" s="11" t="s">
        <v>31</v>
      </c>
      <c r="N1664" s="11" t="s">
        <v>312</v>
      </c>
      <c r="O1664" s="11">
        <v>0.55000000000000004</v>
      </c>
      <c r="P1664" s="6">
        <f>Table1[[#This Row],[Profit]]/Table1[[#This Row],[Sales]]</f>
        <v>0.51386315091699197</v>
      </c>
      <c r="Q1664" s="11" t="s">
        <v>33</v>
      </c>
      <c r="R1664" s="11" t="s">
        <v>34</v>
      </c>
      <c r="S1664" s="11" t="s">
        <v>45</v>
      </c>
      <c r="T1664" s="11" t="s">
        <v>2671</v>
      </c>
      <c r="U1664" s="11">
        <v>95630</v>
      </c>
      <c r="V1664" s="12">
        <v>42063</v>
      </c>
      <c r="W1664" s="13" t="str">
        <f>TEXT(Table1[[#This Row],[Order Date]],"mmmm")</f>
        <v>February</v>
      </c>
      <c r="X1664" s="7" t="str">
        <f>TEXT(Table1[[#This Row],[Order Date]],"yyyy")</f>
        <v>2015</v>
      </c>
      <c r="Y1664" s="12">
        <v>42063</v>
      </c>
      <c r="Z1664" s="11">
        <v>69.767200000000003</v>
      </c>
      <c r="AA1664" s="11">
        <v>12</v>
      </c>
      <c r="AB1664" s="11">
        <v>135.77000000000001</v>
      </c>
      <c r="AC1664" s="11">
        <v>87619</v>
      </c>
      <c r="AD1664" s="6" t="str">
        <f>IF(COUNTIF(Returns!$A$2:$A$1635,Orders!AC1664)&gt;0,"Returned","Not Returned")</f>
        <v>Not Returned</v>
      </c>
    </row>
    <row r="1665" spans="1:30" ht="12.75" customHeight="1" thickTop="1" thickBot="1" x14ac:dyDescent="0.25">
      <c r="A1665" s="8">
        <v>24866</v>
      </c>
      <c r="B1665" s="1" t="s">
        <v>25</v>
      </c>
      <c r="C1665" s="1">
        <v>0.01</v>
      </c>
      <c r="D1665" s="1">
        <v>35.44</v>
      </c>
      <c r="E1665" s="1">
        <v>19.989999999999998</v>
      </c>
      <c r="F1665" s="1">
        <v>2932</v>
      </c>
      <c r="G1665" s="6" t="str">
        <f>IF(COUNTIF(Table1[Customer ID],Table1[[#This Row],[Customer ID]])&gt;1,"Repeat Customer","One-Time Customer")</f>
        <v>One-Time Customer</v>
      </c>
      <c r="H1665" s="1" t="s">
        <v>2672</v>
      </c>
      <c r="I1665" s="1" t="s">
        <v>49</v>
      </c>
      <c r="J1665" s="1" t="s">
        <v>58</v>
      </c>
      <c r="K1665" s="1" t="s">
        <v>29</v>
      </c>
      <c r="L1665" s="1" t="s">
        <v>93</v>
      </c>
      <c r="M1665" s="1" t="s">
        <v>59</v>
      </c>
      <c r="N1665" s="1" t="s">
        <v>1754</v>
      </c>
      <c r="O1665" s="1">
        <v>0.38</v>
      </c>
      <c r="P1665" s="6">
        <f>Table1[[#This Row],[Profit]]/Table1[[#This Row],[Sales]]</f>
        <v>-0.95296409886343125</v>
      </c>
      <c r="Q1665" s="1" t="s">
        <v>33</v>
      </c>
      <c r="R1665" s="1" t="s">
        <v>53</v>
      </c>
      <c r="S1665" s="1" t="s">
        <v>228</v>
      </c>
      <c r="T1665" s="1" t="s">
        <v>857</v>
      </c>
      <c r="U1665" s="1">
        <v>6614</v>
      </c>
      <c r="V1665" s="9">
        <v>42116</v>
      </c>
      <c r="W1665" s="13" t="str">
        <f>TEXT(Table1[[#This Row],[Order Date]],"mmmm")</f>
        <v>April</v>
      </c>
      <c r="X1665" s="7" t="str">
        <f>TEXT(Table1[[#This Row],[Order Date]],"yyyy")</f>
        <v>2015</v>
      </c>
      <c r="Y1665" s="9">
        <v>42117</v>
      </c>
      <c r="Z1665" s="1">
        <v>-52.822799999999994</v>
      </c>
      <c r="AA1665" s="1">
        <v>1</v>
      </c>
      <c r="AB1665" s="1">
        <v>55.43</v>
      </c>
      <c r="AC1665" s="1">
        <v>87620</v>
      </c>
      <c r="AD1665" s="6" t="str">
        <f>IF(COUNTIF(Returns!$A$2:$A$1635,Orders!AC1665)&gt;0,"Returned","Not Returned")</f>
        <v>Not Returned</v>
      </c>
    </row>
    <row r="1666" spans="1:30" ht="12.75" customHeight="1" thickTop="1" thickBot="1" x14ac:dyDescent="0.25">
      <c r="A1666" s="10">
        <v>24995</v>
      </c>
      <c r="B1666" s="11" t="s">
        <v>106</v>
      </c>
      <c r="C1666" s="11">
        <v>0.02</v>
      </c>
      <c r="D1666" s="11">
        <v>3.8</v>
      </c>
      <c r="E1666" s="11">
        <v>1.49</v>
      </c>
      <c r="F1666" s="11">
        <v>2935</v>
      </c>
      <c r="G1666" s="6" t="str">
        <f>IF(COUNTIF(Table1[Customer ID],Table1[[#This Row],[Customer ID]])&gt;1,"Repeat Customer","One-Time Customer")</f>
        <v>One-Time Customer</v>
      </c>
      <c r="H1666" s="11" t="s">
        <v>2673</v>
      </c>
      <c r="I1666" s="11" t="s">
        <v>49</v>
      </c>
      <c r="J1666" s="11" t="s">
        <v>58</v>
      </c>
      <c r="K1666" s="11" t="s">
        <v>29</v>
      </c>
      <c r="L1666" s="11" t="s">
        <v>109</v>
      </c>
      <c r="M1666" s="11" t="s">
        <v>59</v>
      </c>
      <c r="N1666" s="11" t="s">
        <v>125</v>
      </c>
      <c r="O1666" s="11">
        <v>0.38</v>
      </c>
      <c r="P1666" s="6">
        <f>Table1[[#This Row],[Profit]]/Table1[[#This Row],[Sales]]</f>
        <v>0.35728250244379273</v>
      </c>
      <c r="Q1666" s="11" t="s">
        <v>33</v>
      </c>
      <c r="R1666" s="11" t="s">
        <v>53</v>
      </c>
      <c r="S1666" s="11" t="s">
        <v>193</v>
      </c>
      <c r="T1666" s="11" t="s">
        <v>194</v>
      </c>
      <c r="U1666" s="11">
        <v>2215</v>
      </c>
      <c r="V1666" s="12">
        <v>42135</v>
      </c>
      <c r="W1666" s="13" t="str">
        <f>TEXT(Table1[[#This Row],[Order Date]],"mmmm")</f>
        <v>May</v>
      </c>
      <c r="X1666" s="7" t="str">
        <f>TEXT(Table1[[#This Row],[Order Date]],"yyyy")</f>
        <v>2015</v>
      </c>
      <c r="Y1666" s="12">
        <v>42139</v>
      </c>
      <c r="Z1666" s="11">
        <v>7.31</v>
      </c>
      <c r="AA1666" s="11">
        <v>5</v>
      </c>
      <c r="AB1666" s="11">
        <v>20.46</v>
      </c>
      <c r="AC1666" s="11">
        <v>87617</v>
      </c>
      <c r="AD1666" s="6" t="str">
        <f>IF(COUNTIF(Returns!$A$2:$A$1635,Orders!AC1666)&gt;0,"Returned","Not Returned")</f>
        <v>Not Returned</v>
      </c>
    </row>
    <row r="1667" spans="1:30" ht="12.75" customHeight="1" thickTop="1" thickBot="1" x14ac:dyDescent="0.25">
      <c r="A1667" s="8">
        <v>24865</v>
      </c>
      <c r="B1667" s="1" t="s">
        <v>25</v>
      </c>
      <c r="C1667" s="1">
        <v>0.03</v>
      </c>
      <c r="D1667" s="1">
        <v>47.9</v>
      </c>
      <c r="E1667" s="1">
        <v>5.86</v>
      </c>
      <c r="F1667" s="1">
        <v>2938</v>
      </c>
      <c r="G1667" s="6" t="str">
        <f>IF(COUNTIF(Table1[Customer ID],Table1[[#This Row],[Customer ID]])&gt;1,"Repeat Customer","One-Time Customer")</f>
        <v>One-Time Customer</v>
      </c>
      <c r="H1667" s="1" t="s">
        <v>2674</v>
      </c>
      <c r="I1667" s="1" t="s">
        <v>49</v>
      </c>
      <c r="J1667" s="1" t="s">
        <v>58</v>
      </c>
      <c r="K1667" s="1" t="s">
        <v>29</v>
      </c>
      <c r="L1667" s="1" t="s">
        <v>93</v>
      </c>
      <c r="M1667" s="1" t="s">
        <v>59</v>
      </c>
      <c r="N1667" s="1" t="s">
        <v>1937</v>
      </c>
      <c r="O1667" s="1">
        <v>0.37</v>
      </c>
      <c r="P1667" s="6">
        <f>Table1[[#This Row],[Profit]]/Table1[[#This Row],[Sales]]</f>
        <v>0.69</v>
      </c>
      <c r="Q1667" s="1" t="s">
        <v>33</v>
      </c>
      <c r="R1667" s="1" t="s">
        <v>53</v>
      </c>
      <c r="S1667" s="1" t="s">
        <v>193</v>
      </c>
      <c r="T1667" s="1" t="s">
        <v>2675</v>
      </c>
      <c r="U1667" s="1">
        <v>2180</v>
      </c>
      <c r="V1667" s="9">
        <v>42116</v>
      </c>
      <c r="W1667" s="13" t="str">
        <f>TEXT(Table1[[#This Row],[Order Date]],"mmmm")</f>
        <v>April</v>
      </c>
      <c r="X1667" s="7" t="str">
        <f>TEXT(Table1[[#This Row],[Order Date]],"yyyy")</f>
        <v>2015</v>
      </c>
      <c r="Y1667" s="9">
        <v>42119</v>
      </c>
      <c r="Z1667" s="1">
        <v>642.99029999999993</v>
      </c>
      <c r="AA1667" s="1">
        <v>20</v>
      </c>
      <c r="AB1667" s="1">
        <v>931.87</v>
      </c>
      <c r="AC1667" s="1">
        <v>87620</v>
      </c>
      <c r="AD1667" s="6" t="str">
        <f>IF(COUNTIF(Returns!$A$2:$A$1635,Orders!AC1667)&gt;0,"Returned","Not Returned")</f>
        <v>Not Returned</v>
      </c>
    </row>
    <row r="1668" spans="1:30" ht="12.75" customHeight="1" thickTop="1" thickBot="1" x14ac:dyDescent="0.25">
      <c r="A1668" s="10">
        <v>23567</v>
      </c>
      <c r="B1668" s="11" t="s">
        <v>47</v>
      </c>
      <c r="C1668" s="11">
        <v>0.05</v>
      </c>
      <c r="D1668" s="11">
        <v>2.62</v>
      </c>
      <c r="E1668" s="11">
        <v>0.8</v>
      </c>
      <c r="F1668" s="11">
        <v>2941</v>
      </c>
      <c r="G1668" s="6" t="str">
        <f>IF(COUNTIF(Table1[Customer ID],Table1[[#This Row],[Customer ID]])&gt;1,"Repeat Customer","One-Time Customer")</f>
        <v>One-Time Customer</v>
      </c>
      <c r="H1668" s="11" t="s">
        <v>2676</v>
      </c>
      <c r="I1668" s="11" t="s">
        <v>49</v>
      </c>
      <c r="J1668" s="11" t="s">
        <v>58</v>
      </c>
      <c r="K1668" s="11" t="s">
        <v>29</v>
      </c>
      <c r="L1668" s="11" t="s">
        <v>66</v>
      </c>
      <c r="M1668" s="11" t="s">
        <v>31</v>
      </c>
      <c r="N1668" s="11" t="s">
        <v>1409</v>
      </c>
      <c r="O1668" s="11">
        <v>0.39</v>
      </c>
      <c r="P1668" s="6">
        <f>Table1[[#This Row],[Profit]]/Table1[[#This Row],[Sales]]</f>
        <v>0.593647828117702</v>
      </c>
      <c r="Q1668" s="11" t="s">
        <v>33</v>
      </c>
      <c r="R1668" s="11" t="s">
        <v>53</v>
      </c>
      <c r="S1668" s="11" t="s">
        <v>54</v>
      </c>
      <c r="T1668" s="11" t="s">
        <v>484</v>
      </c>
      <c r="U1668" s="11">
        <v>7960</v>
      </c>
      <c r="V1668" s="12">
        <v>42150</v>
      </c>
      <c r="W1668" s="13" t="str">
        <f>TEXT(Table1[[#This Row],[Order Date]],"mmmm")</f>
        <v>May</v>
      </c>
      <c r="X1668" s="7" t="str">
        <f>TEXT(Table1[[#This Row],[Order Date]],"yyyy")</f>
        <v>2015</v>
      </c>
      <c r="Y1668" s="12">
        <v>42151</v>
      </c>
      <c r="Z1668" s="11">
        <v>12.71</v>
      </c>
      <c r="AA1668" s="11">
        <v>8</v>
      </c>
      <c r="AB1668" s="11">
        <v>21.41</v>
      </c>
      <c r="AC1668" s="11">
        <v>87618</v>
      </c>
      <c r="AD1668" s="6" t="str">
        <f>IF(COUNTIF(Returns!$A$2:$A$1635,Orders!AC1668)&gt;0,"Returned","Not Returned")</f>
        <v>Not Returned</v>
      </c>
    </row>
    <row r="1669" spans="1:30" ht="12.75" customHeight="1" thickTop="1" thickBot="1" x14ac:dyDescent="0.25">
      <c r="A1669" s="8">
        <v>19575</v>
      </c>
      <c r="B1669" s="1" t="s">
        <v>106</v>
      </c>
      <c r="C1669" s="1">
        <v>0.04</v>
      </c>
      <c r="D1669" s="1">
        <v>4.55</v>
      </c>
      <c r="E1669" s="1">
        <v>1.49</v>
      </c>
      <c r="F1669" s="1">
        <v>2944</v>
      </c>
      <c r="G1669" s="6" t="str">
        <f>IF(COUNTIF(Table1[Customer ID],Table1[[#This Row],[Customer ID]])&gt;1,"Repeat Customer","One-Time Customer")</f>
        <v>One-Time Customer</v>
      </c>
      <c r="H1669" s="1" t="s">
        <v>2677</v>
      </c>
      <c r="I1669" s="1" t="s">
        <v>49</v>
      </c>
      <c r="J1669" s="1" t="s">
        <v>28</v>
      </c>
      <c r="K1669" s="1" t="s">
        <v>29</v>
      </c>
      <c r="L1669" s="1" t="s">
        <v>109</v>
      </c>
      <c r="M1669" s="1" t="s">
        <v>59</v>
      </c>
      <c r="N1669" s="1" t="s">
        <v>1441</v>
      </c>
      <c r="O1669" s="1">
        <v>0.35</v>
      </c>
      <c r="P1669" s="6">
        <f>Table1[[#This Row],[Profit]]/Table1[[#This Row],[Sales]]</f>
        <v>0.47343933054393306</v>
      </c>
      <c r="Q1669" s="1" t="s">
        <v>33</v>
      </c>
      <c r="R1669" s="1" t="s">
        <v>61</v>
      </c>
      <c r="S1669" s="1" t="s">
        <v>300</v>
      </c>
      <c r="T1669" s="1" t="s">
        <v>1929</v>
      </c>
      <c r="U1669" s="1">
        <v>48640</v>
      </c>
      <c r="V1669" s="9">
        <v>42068</v>
      </c>
      <c r="W1669" s="13" t="str">
        <f>TEXT(Table1[[#This Row],[Order Date]],"mmmm")</f>
        <v>March</v>
      </c>
      <c r="X1669" s="7" t="str">
        <f>TEXT(Table1[[#This Row],[Order Date]],"yyyy")</f>
        <v>2015</v>
      </c>
      <c r="Y1669" s="9">
        <v>42070</v>
      </c>
      <c r="Z1669" s="1">
        <v>28.288</v>
      </c>
      <c r="AA1669" s="1">
        <v>13</v>
      </c>
      <c r="AB1669" s="1">
        <v>59.75</v>
      </c>
      <c r="AC1669" s="1">
        <v>90309</v>
      </c>
      <c r="AD1669" s="6" t="str">
        <f>IF(COUNTIF(Returns!$A$2:$A$1635,Orders!AC1669)&gt;0,"Returned","Not Returned")</f>
        <v>Not Returned</v>
      </c>
    </row>
    <row r="1670" spans="1:30" ht="12.75" customHeight="1" thickTop="1" thickBot="1" x14ac:dyDescent="0.25">
      <c r="A1670" s="10">
        <v>26054</v>
      </c>
      <c r="B1670" s="11" t="s">
        <v>37</v>
      </c>
      <c r="C1670" s="11">
        <v>0.01</v>
      </c>
      <c r="D1670" s="11">
        <v>7.64</v>
      </c>
      <c r="E1670" s="11">
        <v>1.39</v>
      </c>
      <c r="F1670" s="11">
        <v>2947</v>
      </c>
      <c r="G1670" s="6" t="str">
        <f>IF(COUNTIF(Table1[Customer ID],Table1[[#This Row],[Customer ID]])&gt;1,"Repeat Customer","One-Time Customer")</f>
        <v>One-Time Customer</v>
      </c>
      <c r="H1670" s="11" t="s">
        <v>2678</v>
      </c>
      <c r="I1670" s="11" t="s">
        <v>49</v>
      </c>
      <c r="J1670" s="11" t="s">
        <v>114</v>
      </c>
      <c r="K1670" s="11" t="s">
        <v>29</v>
      </c>
      <c r="L1670" s="11" t="s">
        <v>69</v>
      </c>
      <c r="M1670" s="11" t="s">
        <v>59</v>
      </c>
      <c r="N1670" s="11" t="s">
        <v>2438</v>
      </c>
      <c r="O1670" s="11">
        <v>0.36</v>
      </c>
      <c r="P1670" s="6">
        <f>Table1[[#This Row],[Profit]]/Table1[[#This Row],[Sales]]</f>
        <v>0.69</v>
      </c>
      <c r="Q1670" s="11" t="s">
        <v>33</v>
      </c>
      <c r="R1670" s="11" t="s">
        <v>53</v>
      </c>
      <c r="S1670" s="11" t="s">
        <v>71</v>
      </c>
      <c r="T1670" s="11" t="s">
        <v>2679</v>
      </c>
      <c r="U1670" s="11">
        <v>14043</v>
      </c>
      <c r="V1670" s="12">
        <v>42039</v>
      </c>
      <c r="W1670" s="13" t="str">
        <f>TEXT(Table1[[#This Row],[Order Date]],"mmmm")</f>
        <v>February</v>
      </c>
      <c r="X1670" s="7" t="str">
        <f>TEXT(Table1[[#This Row],[Order Date]],"yyyy")</f>
        <v>2015</v>
      </c>
      <c r="Y1670" s="12">
        <v>42042</v>
      </c>
      <c r="Z1670" s="11">
        <v>112.1181</v>
      </c>
      <c r="AA1670" s="11">
        <v>20</v>
      </c>
      <c r="AB1670" s="11">
        <v>162.49</v>
      </c>
      <c r="AC1670" s="11">
        <v>87511</v>
      </c>
      <c r="AD1670" s="6" t="str">
        <f>IF(COUNTIF(Returns!$A$2:$A$1635,Orders!AC1670)&gt;0,"Returned","Not Returned")</f>
        <v>Not Returned</v>
      </c>
    </row>
    <row r="1671" spans="1:30" ht="12.75" customHeight="1" thickTop="1" thickBot="1" x14ac:dyDescent="0.25">
      <c r="A1671" s="8">
        <v>25051</v>
      </c>
      <c r="B1671" s="1" t="s">
        <v>56</v>
      </c>
      <c r="C1671" s="1">
        <v>7.0000000000000007E-2</v>
      </c>
      <c r="D1671" s="1">
        <v>42.98</v>
      </c>
      <c r="E1671" s="1">
        <v>4.62</v>
      </c>
      <c r="F1671" s="1">
        <v>2951</v>
      </c>
      <c r="G1671" s="6" t="str">
        <f>IF(COUNTIF(Table1[Customer ID],Table1[[#This Row],[Customer ID]])&gt;1,"Repeat Customer","One-Time Customer")</f>
        <v>Repeat Customer</v>
      </c>
      <c r="H1671" s="1" t="s">
        <v>2680</v>
      </c>
      <c r="I1671" s="1" t="s">
        <v>27</v>
      </c>
      <c r="J1671" s="1" t="s">
        <v>28</v>
      </c>
      <c r="K1671" s="1" t="s">
        <v>29</v>
      </c>
      <c r="L1671" s="1" t="s">
        <v>257</v>
      </c>
      <c r="M1671" s="1" t="s">
        <v>59</v>
      </c>
      <c r="N1671" s="1" t="s">
        <v>1888</v>
      </c>
      <c r="O1671" s="1">
        <v>0.56000000000000005</v>
      </c>
      <c r="P1671" s="6">
        <f>Table1[[#This Row],[Profit]]/Table1[[#This Row],[Sales]]</f>
        <v>0.69</v>
      </c>
      <c r="Q1671" s="1" t="s">
        <v>33</v>
      </c>
      <c r="R1671" s="1" t="s">
        <v>61</v>
      </c>
      <c r="S1671" s="1" t="s">
        <v>183</v>
      </c>
      <c r="T1671" s="1" t="s">
        <v>2612</v>
      </c>
      <c r="U1671" s="1">
        <v>67601</v>
      </c>
      <c r="V1671" s="9">
        <v>42050</v>
      </c>
      <c r="W1671" s="13" t="str">
        <f>TEXT(Table1[[#This Row],[Order Date]],"mmmm")</f>
        <v>February</v>
      </c>
      <c r="X1671" s="7" t="str">
        <f>TEXT(Table1[[#This Row],[Order Date]],"yyyy")</f>
        <v>2015</v>
      </c>
      <c r="Y1671" s="9">
        <v>42052</v>
      </c>
      <c r="Z1671" s="1">
        <v>565.38599999999997</v>
      </c>
      <c r="AA1671" s="1">
        <v>19</v>
      </c>
      <c r="AB1671" s="1">
        <v>819.4</v>
      </c>
      <c r="AC1671" s="1">
        <v>91397</v>
      </c>
      <c r="AD1671" s="6" t="str">
        <f>IF(COUNTIF(Returns!$A$2:$A$1635,Orders!AC1671)&gt;0,"Returned","Not Returned")</f>
        <v>Not Returned</v>
      </c>
    </row>
    <row r="1672" spans="1:30" ht="12.75" customHeight="1" thickTop="1" thickBot="1" x14ac:dyDescent="0.25">
      <c r="A1672" s="10">
        <v>25052</v>
      </c>
      <c r="B1672" s="11" t="s">
        <v>56</v>
      </c>
      <c r="C1672" s="11">
        <v>0.03</v>
      </c>
      <c r="D1672" s="11">
        <v>89.99</v>
      </c>
      <c r="E1672" s="11">
        <v>42</v>
      </c>
      <c r="F1672" s="11">
        <v>2951</v>
      </c>
      <c r="G1672" s="6" t="str">
        <f>IF(COUNTIF(Table1[Customer ID],Table1[[#This Row],[Customer ID]])&gt;1,"Repeat Customer","One-Time Customer")</f>
        <v>Repeat Customer</v>
      </c>
      <c r="H1672" s="11" t="s">
        <v>2680</v>
      </c>
      <c r="I1672" s="11" t="s">
        <v>39</v>
      </c>
      <c r="J1672" s="11" t="s">
        <v>28</v>
      </c>
      <c r="K1672" s="11" t="s">
        <v>41</v>
      </c>
      <c r="L1672" s="11" t="s">
        <v>42</v>
      </c>
      <c r="M1672" s="11" t="s">
        <v>43</v>
      </c>
      <c r="N1672" s="11" t="s">
        <v>2466</v>
      </c>
      <c r="O1672" s="11">
        <v>0.66</v>
      </c>
      <c r="P1672" s="6">
        <f>Table1[[#This Row],[Profit]]/Table1[[#This Row],[Sales]]</f>
        <v>-0.12761585854399779</v>
      </c>
      <c r="Q1672" s="11" t="s">
        <v>33</v>
      </c>
      <c r="R1672" s="11" t="s">
        <v>61</v>
      </c>
      <c r="S1672" s="11" t="s">
        <v>183</v>
      </c>
      <c r="T1672" s="11" t="s">
        <v>2612</v>
      </c>
      <c r="U1672" s="11">
        <v>67601</v>
      </c>
      <c r="V1672" s="12">
        <v>42050</v>
      </c>
      <c r="W1672" s="13" t="str">
        <f>TEXT(Table1[[#This Row],[Order Date]],"mmmm")</f>
        <v>February</v>
      </c>
      <c r="X1672" s="7" t="str">
        <f>TEXT(Table1[[#This Row],[Order Date]],"yyyy")</f>
        <v>2015</v>
      </c>
      <c r="Y1672" s="12">
        <v>42053</v>
      </c>
      <c r="Z1672" s="11">
        <v>-230.9528</v>
      </c>
      <c r="AA1672" s="11">
        <v>19</v>
      </c>
      <c r="AB1672" s="11">
        <v>1809.75</v>
      </c>
      <c r="AC1672" s="11">
        <v>91397</v>
      </c>
      <c r="AD1672" s="6" t="str">
        <f>IF(COUNTIF(Returns!$A$2:$A$1635,Orders!AC1672)&gt;0,"Returned","Not Returned")</f>
        <v>Not Returned</v>
      </c>
    </row>
    <row r="1673" spans="1:30" ht="12.75" customHeight="1" thickTop="1" thickBot="1" x14ac:dyDescent="0.25">
      <c r="A1673" s="8">
        <v>25970</v>
      </c>
      <c r="B1673" s="1" t="s">
        <v>56</v>
      </c>
      <c r="C1673" s="1">
        <v>0.08</v>
      </c>
      <c r="D1673" s="1">
        <v>5.74</v>
      </c>
      <c r="E1673" s="1">
        <v>5.01</v>
      </c>
      <c r="F1673" s="1">
        <v>2952</v>
      </c>
      <c r="G1673" s="6" t="str">
        <f>IF(COUNTIF(Table1[Customer ID],Table1[[#This Row],[Customer ID]])&gt;1,"Repeat Customer","One-Time Customer")</f>
        <v>One-Time Customer</v>
      </c>
      <c r="H1673" s="1" t="s">
        <v>2681</v>
      </c>
      <c r="I1673" s="1" t="s">
        <v>27</v>
      </c>
      <c r="J1673" s="1" t="s">
        <v>28</v>
      </c>
      <c r="K1673" s="1" t="s">
        <v>29</v>
      </c>
      <c r="L1673" s="1" t="s">
        <v>109</v>
      </c>
      <c r="M1673" s="1" t="s">
        <v>59</v>
      </c>
      <c r="N1673" s="1" t="s">
        <v>2061</v>
      </c>
      <c r="O1673" s="1">
        <v>0.39</v>
      </c>
      <c r="P1673" s="6">
        <f>Table1[[#This Row],[Profit]]/Table1[[#This Row],[Sales]]</f>
        <v>-0.88002341853491362</v>
      </c>
      <c r="Q1673" s="1" t="s">
        <v>33</v>
      </c>
      <c r="R1673" s="1" t="s">
        <v>53</v>
      </c>
      <c r="S1673" s="1" t="s">
        <v>154</v>
      </c>
      <c r="T1673" s="1" t="s">
        <v>2682</v>
      </c>
      <c r="U1673" s="1">
        <v>43123</v>
      </c>
      <c r="V1673" s="9">
        <v>42109</v>
      </c>
      <c r="W1673" s="13" t="str">
        <f>TEXT(Table1[[#This Row],[Order Date]],"mmmm")</f>
        <v>April</v>
      </c>
      <c r="X1673" s="7" t="str">
        <f>TEXT(Table1[[#This Row],[Order Date]],"yyyy")</f>
        <v>2015</v>
      </c>
      <c r="Y1673" s="9">
        <v>42111</v>
      </c>
      <c r="Z1673" s="1">
        <v>-61.628039999999999</v>
      </c>
      <c r="AA1673" s="1">
        <v>12</v>
      </c>
      <c r="AB1673" s="1">
        <v>70.03</v>
      </c>
      <c r="AC1673" s="1">
        <v>91398</v>
      </c>
      <c r="AD1673" s="6" t="str">
        <f>IF(COUNTIF(Returns!$A$2:$A$1635,Orders!AC1673)&gt;0,"Returned","Not Returned")</f>
        <v>Not Returned</v>
      </c>
    </row>
    <row r="1674" spans="1:30" ht="12.75" customHeight="1" thickTop="1" thickBot="1" x14ac:dyDescent="0.25">
      <c r="A1674" s="10">
        <v>21200</v>
      </c>
      <c r="B1674" s="11" t="s">
        <v>106</v>
      </c>
      <c r="C1674" s="11">
        <v>0.09</v>
      </c>
      <c r="D1674" s="11">
        <v>12.22</v>
      </c>
      <c r="E1674" s="11">
        <v>2.85</v>
      </c>
      <c r="F1674" s="11">
        <v>2954</v>
      </c>
      <c r="G1674" s="6" t="str">
        <f>IF(COUNTIF(Table1[Customer ID],Table1[[#This Row],[Customer ID]])&gt;1,"Repeat Customer","One-Time Customer")</f>
        <v>One-Time Customer</v>
      </c>
      <c r="H1674" s="11" t="s">
        <v>2683</v>
      </c>
      <c r="I1674" s="11" t="s">
        <v>49</v>
      </c>
      <c r="J1674" s="11" t="s">
        <v>114</v>
      </c>
      <c r="K1674" s="11" t="s">
        <v>41</v>
      </c>
      <c r="L1674" s="11" t="s">
        <v>50</v>
      </c>
      <c r="M1674" s="11" t="s">
        <v>51</v>
      </c>
      <c r="N1674" s="11" t="s">
        <v>2398</v>
      </c>
      <c r="O1674" s="11">
        <v>0.55000000000000004</v>
      </c>
      <c r="P1674" s="6">
        <f>Table1[[#This Row],[Profit]]/Table1[[#This Row],[Sales]]</f>
        <v>0.69</v>
      </c>
      <c r="Q1674" s="11" t="s">
        <v>33</v>
      </c>
      <c r="R1674" s="11" t="s">
        <v>61</v>
      </c>
      <c r="S1674" s="11" t="s">
        <v>62</v>
      </c>
      <c r="T1674" s="11" t="s">
        <v>2684</v>
      </c>
      <c r="U1674" s="11">
        <v>55119</v>
      </c>
      <c r="V1674" s="12">
        <v>42173</v>
      </c>
      <c r="W1674" s="13" t="str">
        <f>TEXT(Table1[[#This Row],[Order Date]],"mmmm")</f>
        <v>June</v>
      </c>
      <c r="X1674" s="7" t="str">
        <f>TEXT(Table1[[#This Row],[Order Date]],"yyyy")</f>
        <v>2015</v>
      </c>
      <c r="Y1674" s="12">
        <v>42180</v>
      </c>
      <c r="Z1674" s="11">
        <v>70.676699999999997</v>
      </c>
      <c r="AA1674" s="11">
        <v>9</v>
      </c>
      <c r="AB1674" s="11">
        <v>102.43</v>
      </c>
      <c r="AC1674" s="11">
        <v>86427</v>
      </c>
      <c r="AD1674" s="6" t="str">
        <f>IF(COUNTIF(Returns!$A$2:$A$1635,Orders!AC1674)&gt;0,"Returned","Not Returned")</f>
        <v>Not Returned</v>
      </c>
    </row>
    <row r="1675" spans="1:30" ht="12.75" customHeight="1" thickTop="1" thickBot="1" x14ac:dyDescent="0.25">
      <c r="A1675" s="8">
        <v>24817</v>
      </c>
      <c r="B1675" s="1" t="s">
        <v>56</v>
      </c>
      <c r="C1675" s="1">
        <v>0.1</v>
      </c>
      <c r="D1675" s="1">
        <v>37.94</v>
      </c>
      <c r="E1675" s="1">
        <v>5.08</v>
      </c>
      <c r="F1675" s="1">
        <v>2957</v>
      </c>
      <c r="G1675" s="6" t="str">
        <f>IF(COUNTIF(Table1[Customer ID],Table1[[#This Row],[Customer ID]])&gt;1,"Repeat Customer","One-Time Customer")</f>
        <v>One-Time Customer</v>
      </c>
      <c r="H1675" s="1" t="s">
        <v>2685</v>
      </c>
      <c r="I1675" s="1" t="s">
        <v>27</v>
      </c>
      <c r="J1675" s="1" t="s">
        <v>28</v>
      </c>
      <c r="K1675" s="1" t="s">
        <v>29</v>
      </c>
      <c r="L1675" s="1" t="s">
        <v>93</v>
      </c>
      <c r="M1675" s="1" t="s">
        <v>31</v>
      </c>
      <c r="N1675" s="1" t="s">
        <v>892</v>
      </c>
      <c r="O1675" s="1">
        <v>0.38</v>
      </c>
      <c r="P1675" s="6">
        <f>Table1[[#This Row],[Profit]]/Table1[[#This Row],[Sales]]</f>
        <v>0.69</v>
      </c>
      <c r="Q1675" s="1" t="s">
        <v>33</v>
      </c>
      <c r="R1675" s="1" t="s">
        <v>61</v>
      </c>
      <c r="S1675" s="1" t="s">
        <v>1858</v>
      </c>
      <c r="T1675" s="1" t="s">
        <v>2686</v>
      </c>
      <c r="U1675" s="1">
        <v>53209</v>
      </c>
      <c r="V1675" s="9">
        <v>42096</v>
      </c>
      <c r="W1675" s="13" t="str">
        <f>TEXT(Table1[[#This Row],[Order Date]],"mmmm")</f>
        <v>April</v>
      </c>
      <c r="X1675" s="7" t="str">
        <f>TEXT(Table1[[#This Row],[Order Date]],"yyyy")</f>
        <v>2015</v>
      </c>
      <c r="Y1675" s="9">
        <v>42098</v>
      </c>
      <c r="Z1675" s="1">
        <v>95.054399999999987</v>
      </c>
      <c r="AA1675" s="1">
        <v>4</v>
      </c>
      <c r="AB1675" s="1">
        <v>137.76</v>
      </c>
      <c r="AC1675" s="1">
        <v>90264</v>
      </c>
      <c r="AD1675" s="6" t="str">
        <f>IF(COUNTIF(Returns!$A$2:$A$1635,Orders!AC1675)&gt;0,"Returned","Not Returned")</f>
        <v>Not Returned</v>
      </c>
    </row>
    <row r="1676" spans="1:30" ht="12.75" customHeight="1" thickTop="1" thickBot="1" x14ac:dyDescent="0.25">
      <c r="A1676" s="10">
        <v>25709</v>
      </c>
      <c r="B1676" s="11" t="s">
        <v>106</v>
      </c>
      <c r="C1676" s="11">
        <v>0.06</v>
      </c>
      <c r="D1676" s="11">
        <v>20.99</v>
      </c>
      <c r="E1676" s="11">
        <v>0.99</v>
      </c>
      <c r="F1676" s="11">
        <v>2958</v>
      </c>
      <c r="G1676" s="6" t="str">
        <f>IF(COUNTIF(Table1[Customer ID],Table1[[#This Row],[Customer ID]])&gt;1,"Repeat Customer","One-Time Customer")</f>
        <v>One-Time Customer</v>
      </c>
      <c r="H1676" s="11" t="s">
        <v>2687</v>
      </c>
      <c r="I1676" s="11" t="s">
        <v>49</v>
      </c>
      <c r="J1676" s="11" t="s">
        <v>28</v>
      </c>
      <c r="K1676" s="11" t="s">
        <v>77</v>
      </c>
      <c r="L1676" s="11" t="s">
        <v>78</v>
      </c>
      <c r="M1676" s="11" t="s">
        <v>31</v>
      </c>
      <c r="N1676" s="11" t="s">
        <v>2688</v>
      </c>
      <c r="O1676" s="11">
        <v>0.37</v>
      </c>
      <c r="P1676" s="6">
        <f>Table1[[#This Row],[Profit]]/Table1[[#This Row],[Sales]]</f>
        <v>0.69</v>
      </c>
      <c r="Q1676" s="11" t="s">
        <v>33</v>
      </c>
      <c r="R1676" s="11" t="s">
        <v>61</v>
      </c>
      <c r="S1676" s="11" t="s">
        <v>1858</v>
      </c>
      <c r="T1676" s="11" t="s">
        <v>2689</v>
      </c>
      <c r="U1676" s="11">
        <v>54956</v>
      </c>
      <c r="V1676" s="12">
        <v>42086</v>
      </c>
      <c r="W1676" s="13" t="str">
        <f>TEXT(Table1[[#This Row],[Order Date]],"mmmm")</f>
        <v>March</v>
      </c>
      <c r="X1676" s="7" t="str">
        <f>TEXT(Table1[[#This Row],[Order Date]],"yyyy")</f>
        <v>2015</v>
      </c>
      <c r="Y1676" s="12">
        <v>42091</v>
      </c>
      <c r="Z1676" s="11">
        <v>224.96069999999997</v>
      </c>
      <c r="AA1676" s="11">
        <v>18</v>
      </c>
      <c r="AB1676" s="11">
        <v>326.02999999999997</v>
      </c>
      <c r="AC1676" s="11">
        <v>90265</v>
      </c>
      <c r="AD1676" s="6" t="str">
        <f>IF(COUNTIF(Returns!$A$2:$A$1635,Orders!AC1676)&gt;0,"Returned","Not Returned")</f>
        <v>Not Returned</v>
      </c>
    </row>
    <row r="1677" spans="1:30" ht="12.75" customHeight="1" thickTop="1" thickBot="1" x14ac:dyDescent="0.25">
      <c r="A1677" s="8">
        <v>19923</v>
      </c>
      <c r="B1677" s="1" t="s">
        <v>37</v>
      </c>
      <c r="C1677" s="1">
        <v>0.1</v>
      </c>
      <c r="D1677" s="1">
        <v>36.549999999999997</v>
      </c>
      <c r="E1677" s="1">
        <v>13.89</v>
      </c>
      <c r="F1677" s="1">
        <v>2960</v>
      </c>
      <c r="G1677" s="6" t="str">
        <f>IF(COUNTIF(Table1[Customer ID],Table1[[#This Row],[Customer ID]])&gt;1,"Repeat Customer","One-Time Customer")</f>
        <v>One-Time Customer</v>
      </c>
      <c r="H1677" s="1" t="s">
        <v>2690</v>
      </c>
      <c r="I1677" s="1" t="s">
        <v>49</v>
      </c>
      <c r="J1677" s="1" t="s">
        <v>28</v>
      </c>
      <c r="K1677" s="1" t="s">
        <v>29</v>
      </c>
      <c r="L1677" s="1" t="s">
        <v>30</v>
      </c>
      <c r="M1677" s="1" t="s">
        <v>31</v>
      </c>
      <c r="N1677" s="1" t="s">
        <v>1290</v>
      </c>
      <c r="O1677" s="1">
        <v>0.41</v>
      </c>
      <c r="P1677" s="6">
        <f>Table1[[#This Row],[Profit]]/Table1[[#This Row],[Sales]]</f>
        <v>-0.23588960286526914</v>
      </c>
      <c r="Q1677" s="1" t="s">
        <v>33</v>
      </c>
      <c r="R1677" s="1" t="s">
        <v>136</v>
      </c>
      <c r="S1677" s="1" t="s">
        <v>958</v>
      </c>
      <c r="T1677" s="1" t="s">
        <v>2691</v>
      </c>
      <c r="U1677" s="1">
        <v>72956</v>
      </c>
      <c r="V1677" s="9">
        <v>42099</v>
      </c>
      <c r="W1677" s="13" t="str">
        <f>TEXT(Table1[[#This Row],[Order Date]],"mmmm")</f>
        <v>April</v>
      </c>
      <c r="X1677" s="7" t="str">
        <f>TEXT(Table1[[#This Row],[Order Date]],"yyyy")</f>
        <v>2015</v>
      </c>
      <c r="Y1677" s="9">
        <v>42101</v>
      </c>
      <c r="Z1677" s="1">
        <v>-89.572000000000003</v>
      </c>
      <c r="AA1677" s="1">
        <v>11</v>
      </c>
      <c r="AB1677" s="1">
        <v>379.72</v>
      </c>
      <c r="AC1677" s="1">
        <v>90646</v>
      </c>
      <c r="AD1677" s="6" t="str">
        <f>IF(COUNTIF(Returns!$A$2:$A$1635,Orders!AC1677)&gt;0,"Returned","Not Returned")</f>
        <v>Not Returned</v>
      </c>
    </row>
    <row r="1678" spans="1:30" ht="12.75" customHeight="1" thickTop="1" thickBot="1" x14ac:dyDescent="0.25">
      <c r="A1678" s="10">
        <v>20390</v>
      </c>
      <c r="B1678" s="11" t="s">
        <v>25</v>
      </c>
      <c r="C1678" s="11">
        <v>7.0000000000000007E-2</v>
      </c>
      <c r="D1678" s="11">
        <v>4.76</v>
      </c>
      <c r="E1678" s="11">
        <v>0.88</v>
      </c>
      <c r="F1678" s="11">
        <v>2962</v>
      </c>
      <c r="G1678" s="6" t="str">
        <f>IF(COUNTIF(Table1[Customer ID],Table1[[#This Row],[Customer ID]])&gt;1,"Repeat Customer","One-Time Customer")</f>
        <v>One-Time Customer</v>
      </c>
      <c r="H1678" s="11" t="s">
        <v>2692</v>
      </c>
      <c r="I1678" s="11" t="s">
        <v>27</v>
      </c>
      <c r="J1678" s="11" t="s">
        <v>114</v>
      </c>
      <c r="K1678" s="11" t="s">
        <v>29</v>
      </c>
      <c r="L1678" s="11" t="s">
        <v>93</v>
      </c>
      <c r="M1678" s="11" t="s">
        <v>31</v>
      </c>
      <c r="N1678" s="11" t="s">
        <v>2564</v>
      </c>
      <c r="O1678" s="11">
        <v>0.39</v>
      </c>
      <c r="P1678" s="6">
        <f>Table1[[#This Row],[Profit]]/Table1[[#This Row],[Sales]]</f>
        <v>0.69</v>
      </c>
      <c r="Q1678" s="11" t="s">
        <v>33</v>
      </c>
      <c r="R1678" s="11" t="s">
        <v>34</v>
      </c>
      <c r="S1678" s="11" t="s">
        <v>255</v>
      </c>
      <c r="T1678" s="11" t="s">
        <v>337</v>
      </c>
      <c r="U1678" s="11">
        <v>80027</v>
      </c>
      <c r="V1678" s="12">
        <v>42131</v>
      </c>
      <c r="W1678" s="13" t="str">
        <f>TEXT(Table1[[#This Row],[Order Date]],"mmmm")</f>
        <v>May</v>
      </c>
      <c r="X1678" s="7" t="str">
        <f>TEXT(Table1[[#This Row],[Order Date]],"yyyy")</f>
        <v>2015</v>
      </c>
      <c r="Y1678" s="12">
        <v>42133</v>
      </c>
      <c r="Z1678" s="11">
        <v>33.347699999999996</v>
      </c>
      <c r="AA1678" s="11">
        <v>10</v>
      </c>
      <c r="AB1678" s="11">
        <v>48.33</v>
      </c>
      <c r="AC1678" s="11">
        <v>88611</v>
      </c>
      <c r="AD1678" s="6" t="str">
        <f>IF(COUNTIF(Returns!$A$2:$A$1635,Orders!AC1678)&gt;0,"Returned","Not Returned")</f>
        <v>Not Returned</v>
      </c>
    </row>
    <row r="1679" spans="1:30" ht="12.75" customHeight="1" thickTop="1" thickBot="1" x14ac:dyDescent="0.25">
      <c r="A1679" s="8">
        <v>22175</v>
      </c>
      <c r="B1679" s="1" t="s">
        <v>47</v>
      </c>
      <c r="C1679" s="1">
        <v>0.01</v>
      </c>
      <c r="D1679" s="1">
        <v>7.98</v>
      </c>
      <c r="E1679" s="1">
        <v>6.5</v>
      </c>
      <c r="F1679" s="1">
        <v>2963</v>
      </c>
      <c r="G1679" s="6" t="str">
        <f>IF(COUNTIF(Table1[Customer ID],Table1[[#This Row],[Customer ID]])&gt;1,"Repeat Customer","One-Time Customer")</f>
        <v>One-Time Customer</v>
      </c>
      <c r="H1679" s="1" t="s">
        <v>2693</v>
      </c>
      <c r="I1679" s="1" t="s">
        <v>49</v>
      </c>
      <c r="J1679" s="1" t="s">
        <v>114</v>
      </c>
      <c r="K1679" s="1" t="s">
        <v>29</v>
      </c>
      <c r="L1679" s="1" t="s">
        <v>141</v>
      </c>
      <c r="M1679" s="1" t="s">
        <v>86</v>
      </c>
      <c r="N1679" s="1" t="s">
        <v>2694</v>
      </c>
      <c r="O1679" s="1">
        <v>0.59</v>
      </c>
      <c r="P1679" s="6">
        <f>Table1[[#This Row],[Profit]]/Table1[[#This Row],[Sales]]</f>
        <v>-0.99089086221712985</v>
      </c>
      <c r="Q1679" s="1" t="s">
        <v>33</v>
      </c>
      <c r="R1679" s="1" t="s">
        <v>53</v>
      </c>
      <c r="S1679" s="1" t="s">
        <v>415</v>
      </c>
      <c r="T1679" s="1" t="s">
        <v>2695</v>
      </c>
      <c r="U1679" s="1">
        <v>21220</v>
      </c>
      <c r="V1679" s="9">
        <v>42177</v>
      </c>
      <c r="W1679" s="13" t="str">
        <f>TEXT(Table1[[#This Row],[Order Date]],"mmmm")</f>
        <v>June</v>
      </c>
      <c r="X1679" s="7" t="str">
        <f>TEXT(Table1[[#This Row],[Order Date]],"yyyy")</f>
        <v>2015</v>
      </c>
      <c r="Y1679" s="9">
        <v>42178</v>
      </c>
      <c r="Z1679" s="1">
        <v>-34.591999999999999</v>
      </c>
      <c r="AA1679" s="1">
        <v>4</v>
      </c>
      <c r="AB1679" s="1">
        <v>34.909999999999997</v>
      </c>
      <c r="AC1679" s="1">
        <v>88612</v>
      </c>
      <c r="AD1679" s="6" t="str">
        <f>IF(COUNTIF(Returns!$A$2:$A$1635,Orders!AC1679)&gt;0,"Returned","Not Returned")</f>
        <v>Not Returned</v>
      </c>
    </row>
    <row r="1680" spans="1:30" ht="12.75" customHeight="1" thickTop="1" thickBot="1" x14ac:dyDescent="0.25">
      <c r="A1680" s="10">
        <v>25953</v>
      </c>
      <c r="B1680" s="11" t="s">
        <v>25</v>
      </c>
      <c r="C1680" s="11">
        <v>0.06</v>
      </c>
      <c r="D1680" s="11">
        <v>42.98</v>
      </c>
      <c r="E1680" s="11">
        <v>4.62</v>
      </c>
      <c r="F1680" s="11">
        <v>2964</v>
      </c>
      <c r="G1680" s="6" t="str">
        <f>IF(COUNTIF(Table1[Customer ID],Table1[[#This Row],[Customer ID]])&gt;1,"Repeat Customer","One-Time Customer")</f>
        <v>One-Time Customer</v>
      </c>
      <c r="H1680" s="11" t="s">
        <v>2696</v>
      </c>
      <c r="I1680" s="11" t="s">
        <v>49</v>
      </c>
      <c r="J1680" s="11" t="s">
        <v>114</v>
      </c>
      <c r="K1680" s="11" t="s">
        <v>29</v>
      </c>
      <c r="L1680" s="11" t="s">
        <v>257</v>
      </c>
      <c r="M1680" s="11" t="s">
        <v>59</v>
      </c>
      <c r="N1680" s="11" t="s">
        <v>1888</v>
      </c>
      <c r="O1680" s="11">
        <v>0.56000000000000005</v>
      </c>
      <c r="P1680" s="6">
        <f>Table1[[#This Row],[Profit]]/Table1[[#This Row],[Sales]]</f>
        <v>-0.52359693877551017</v>
      </c>
      <c r="Q1680" s="11" t="s">
        <v>33</v>
      </c>
      <c r="R1680" s="11" t="s">
        <v>53</v>
      </c>
      <c r="S1680" s="11" t="s">
        <v>154</v>
      </c>
      <c r="T1680" s="11" t="s">
        <v>1961</v>
      </c>
      <c r="U1680" s="11">
        <v>43050</v>
      </c>
      <c r="V1680" s="12">
        <v>42115</v>
      </c>
      <c r="W1680" s="13" t="str">
        <f>TEXT(Table1[[#This Row],[Order Date]],"mmmm")</f>
        <v>April</v>
      </c>
      <c r="X1680" s="7" t="str">
        <f>TEXT(Table1[[#This Row],[Order Date]],"yyyy")</f>
        <v>2015</v>
      </c>
      <c r="Y1680" s="12">
        <v>42117</v>
      </c>
      <c r="Z1680" s="11">
        <v>-24.63</v>
      </c>
      <c r="AA1680" s="11">
        <v>1</v>
      </c>
      <c r="AB1680" s="11">
        <v>47.04</v>
      </c>
      <c r="AC1680" s="11">
        <v>88610</v>
      </c>
      <c r="AD1680" s="6" t="str">
        <f>IF(COUNTIF(Returns!$A$2:$A$1635,Orders!AC1680)&gt;0,"Returned","Not Returned")</f>
        <v>Not Returned</v>
      </c>
    </row>
    <row r="1681" spans="1:30" ht="12.75" customHeight="1" thickTop="1" thickBot="1" x14ac:dyDescent="0.25">
      <c r="A1681" s="8">
        <v>21390</v>
      </c>
      <c r="B1681" s="1" t="s">
        <v>37</v>
      </c>
      <c r="C1681" s="1">
        <v>0.08</v>
      </c>
      <c r="D1681" s="1">
        <v>9.68</v>
      </c>
      <c r="E1681" s="1">
        <v>2.0299999999999998</v>
      </c>
      <c r="F1681" s="1">
        <v>2968</v>
      </c>
      <c r="G1681" s="6" t="str">
        <f>IF(COUNTIF(Table1[Customer ID],Table1[[#This Row],[Customer ID]])&gt;1,"Repeat Customer","One-Time Customer")</f>
        <v>Repeat Customer</v>
      </c>
      <c r="H1681" s="1" t="s">
        <v>2697</v>
      </c>
      <c r="I1681" s="1" t="s">
        <v>49</v>
      </c>
      <c r="J1681" s="1" t="s">
        <v>58</v>
      </c>
      <c r="K1681" s="1" t="s">
        <v>29</v>
      </c>
      <c r="L1681" s="1" t="s">
        <v>93</v>
      </c>
      <c r="M1681" s="1" t="s">
        <v>31</v>
      </c>
      <c r="N1681" s="1" t="s">
        <v>2698</v>
      </c>
      <c r="O1681" s="1">
        <v>0.37</v>
      </c>
      <c r="P1681" s="6">
        <f>Table1[[#This Row],[Profit]]/Table1[[#This Row],[Sales]]</f>
        <v>-49.016636197440583</v>
      </c>
      <c r="Q1681" s="1" t="s">
        <v>33</v>
      </c>
      <c r="R1681" s="1" t="s">
        <v>136</v>
      </c>
      <c r="S1681" s="1" t="s">
        <v>362</v>
      </c>
      <c r="T1681" s="1" t="s">
        <v>2699</v>
      </c>
      <c r="U1681" s="1">
        <v>33021</v>
      </c>
      <c r="V1681" s="9">
        <v>42057</v>
      </c>
      <c r="W1681" s="13" t="str">
        <f>TEXT(Table1[[#This Row],[Order Date]],"mmmm")</f>
        <v>February</v>
      </c>
      <c r="X1681" s="7" t="str">
        <f>TEXT(Table1[[#This Row],[Order Date]],"yyyy")</f>
        <v>2015</v>
      </c>
      <c r="Y1681" s="9">
        <v>42059</v>
      </c>
      <c r="Z1681" s="1">
        <v>-536.24199999999996</v>
      </c>
      <c r="AA1681" s="1">
        <v>1</v>
      </c>
      <c r="AB1681" s="1">
        <v>10.94</v>
      </c>
      <c r="AC1681" s="1">
        <v>86085</v>
      </c>
      <c r="AD1681" s="6" t="str">
        <f>IF(COUNTIF(Returns!$A$2:$A$1635,Orders!AC1681)&gt;0,"Returned","Not Returned")</f>
        <v>Not Returned</v>
      </c>
    </row>
    <row r="1682" spans="1:30" ht="12.75" customHeight="1" thickTop="1" thickBot="1" x14ac:dyDescent="0.25">
      <c r="A1682" s="10">
        <v>21391</v>
      </c>
      <c r="B1682" s="11" t="s">
        <v>37</v>
      </c>
      <c r="C1682" s="11">
        <v>0.04</v>
      </c>
      <c r="D1682" s="11">
        <v>150.97999999999999</v>
      </c>
      <c r="E1682" s="11">
        <v>16.010000000000002</v>
      </c>
      <c r="F1682" s="11">
        <v>2968</v>
      </c>
      <c r="G1682" s="6" t="str">
        <f>IF(COUNTIF(Table1[Customer ID],Table1[[#This Row],[Customer ID]])&gt;1,"Repeat Customer","One-Time Customer")</f>
        <v>Repeat Customer</v>
      </c>
      <c r="H1682" s="11" t="s">
        <v>2697</v>
      </c>
      <c r="I1682" s="11" t="s">
        <v>39</v>
      </c>
      <c r="J1682" s="11" t="s">
        <v>58</v>
      </c>
      <c r="K1682" s="11" t="s">
        <v>41</v>
      </c>
      <c r="L1682" s="11" t="s">
        <v>152</v>
      </c>
      <c r="M1682" s="11" t="s">
        <v>121</v>
      </c>
      <c r="N1682" s="11" t="s">
        <v>2700</v>
      </c>
      <c r="O1682" s="11">
        <v>0.7</v>
      </c>
      <c r="P1682" s="6">
        <f>Table1[[#This Row],[Profit]]/Table1[[#This Row],[Sales]]</f>
        <v>-0.17208564631245046</v>
      </c>
      <c r="Q1682" s="11" t="s">
        <v>33</v>
      </c>
      <c r="R1682" s="11" t="s">
        <v>136</v>
      </c>
      <c r="S1682" s="11" t="s">
        <v>362</v>
      </c>
      <c r="T1682" s="11" t="s">
        <v>2699</v>
      </c>
      <c r="U1682" s="11">
        <v>33021</v>
      </c>
      <c r="V1682" s="12">
        <v>42057</v>
      </c>
      <c r="W1682" s="13" t="str">
        <f>TEXT(Table1[[#This Row],[Order Date]],"mmmm")</f>
        <v>February</v>
      </c>
      <c r="X1682" s="7" t="str">
        <f>TEXT(Table1[[#This Row],[Order Date]],"yyyy")</f>
        <v>2015</v>
      </c>
      <c r="Y1682" s="12">
        <v>42058</v>
      </c>
      <c r="Z1682" s="11">
        <v>-125.86000000000001</v>
      </c>
      <c r="AA1682" s="11">
        <v>5</v>
      </c>
      <c r="AB1682" s="11">
        <v>731.38</v>
      </c>
      <c r="AC1682" s="11">
        <v>86085</v>
      </c>
      <c r="AD1682" s="6" t="str">
        <f>IF(COUNTIF(Returns!$A$2:$A$1635,Orders!AC1682)&gt;0,"Returned","Not Returned")</f>
        <v>Not Returned</v>
      </c>
    </row>
    <row r="1683" spans="1:30" ht="12.75" customHeight="1" thickTop="1" thickBot="1" x14ac:dyDescent="0.25">
      <c r="A1683" s="8">
        <v>18041</v>
      </c>
      <c r="B1683" s="1" t="s">
        <v>25</v>
      </c>
      <c r="C1683" s="1">
        <v>0.06</v>
      </c>
      <c r="D1683" s="1">
        <v>363.25</v>
      </c>
      <c r="E1683" s="1">
        <v>19.989999999999998</v>
      </c>
      <c r="F1683" s="1">
        <v>2968</v>
      </c>
      <c r="G1683" s="6" t="str">
        <f>IF(COUNTIF(Table1[Customer ID],Table1[[#This Row],[Customer ID]])&gt;1,"Repeat Customer","One-Time Customer")</f>
        <v>Repeat Customer</v>
      </c>
      <c r="H1683" s="1" t="s">
        <v>2697</v>
      </c>
      <c r="I1683" s="1" t="s">
        <v>49</v>
      </c>
      <c r="J1683" s="1" t="s">
        <v>58</v>
      </c>
      <c r="K1683" s="1" t="s">
        <v>29</v>
      </c>
      <c r="L1683" s="1" t="s">
        <v>257</v>
      </c>
      <c r="M1683" s="1" t="s">
        <v>59</v>
      </c>
      <c r="N1683" s="1" t="s">
        <v>1253</v>
      </c>
      <c r="O1683" s="1">
        <v>0.56999999999999995</v>
      </c>
      <c r="P1683" s="6">
        <f>Table1[[#This Row],[Profit]]/Table1[[#This Row],[Sales]]</f>
        <v>0.10486299185200219</v>
      </c>
      <c r="Q1683" s="1" t="s">
        <v>33</v>
      </c>
      <c r="R1683" s="1" t="s">
        <v>136</v>
      </c>
      <c r="S1683" s="1" t="s">
        <v>362</v>
      </c>
      <c r="T1683" s="1" t="s">
        <v>2699</v>
      </c>
      <c r="U1683" s="1">
        <v>33021</v>
      </c>
      <c r="V1683" s="9">
        <v>42091</v>
      </c>
      <c r="W1683" s="13" t="str">
        <f>TEXT(Table1[[#This Row],[Order Date]],"mmmm")</f>
        <v>March</v>
      </c>
      <c r="X1683" s="7" t="str">
        <f>TEXT(Table1[[#This Row],[Order Date]],"yyyy")</f>
        <v>2015</v>
      </c>
      <c r="Y1683" s="9">
        <v>42093</v>
      </c>
      <c r="Z1683" s="1">
        <v>36.164099999999998</v>
      </c>
      <c r="AA1683" s="1">
        <v>1</v>
      </c>
      <c r="AB1683" s="1">
        <v>344.87</v>
      </c>
      <c r="AC1683" s="1">
        <v>86086</v>
      </c>
      <c r="AD1683" s="6" t="str">
        <f>IF(COUNTIF(Returns!$A$2:$A$1635,Orders!AC1683)&gt;0,"Returned","Not Returned")</f>
        <v>Not Returned</v>
      </c>
    </row>
    <row r="1684" spans="1:30" ht="12.75" customHeight="1" thickTop="1" thickBot="1" x14ac:dyDescent="0.25">
      <c r="A1684" s="10">
        <v>21096</v>
      </c>
      <c r="B1684" s="11" t="s">
        <v>25</v>
      </c>
      <c r="C1684" s="11">
        <v>0.01</v>
      </c>
      <c r="D1684" s="11">
        <v>30.97</v>
      </c>
      <c r="E1684" s="11">
        <v>4</v>
      </c>
      <c r="F1684" s="11">
        <v>2973</v>
      </c>
      <c r="G1684" s="6" t="str">
        <f>IF(COUNTIF(Table1[Customer ID],Table1[[#This Row],[Customer ID]])&gt;1,"Repeat Customer","One-Time Customer")</f>
        <v>Repeat Customer</v>
      </c>
      <c r="H1684" s="11" t="s">
        <v>2701</v>
      </c>
      <c r="I1684" s="11" t="s">
        <v>49</v>
      </c>
      <c r="J1684" s="11" t="s">
        <v>40</v>
      </c>
      <c r="K1684" s="11" t="s">
        <v>77</v>
      </c>
      <c r="L1684" s="11" t="s">
        <v>180</v>
      </c>
      <c r="M1684" s="11" t="s">
        <v>59</v>
      </c>
      <c r="N1684" s="11" t="s">
        <v>2702</v>
      </c>
      <c r="O1684" s="11">
        <v>0.74</v>
      </c>
      <c r="P1684" s="6">
        <f>Table1[[#This Row],[Profit]]/Table1[[#This Row],[Sales]]</f>
        <v>3.2697587274882423E-2</v>
      </c>
      <c r="Q1684" s="11" t="s">
        <v>33</v>
      </c>
      <c r="R1684" s="11" t="s">
        <v>61</v>
      </c>
      <c r="S1684" s="11" t="s">
        <v>1858</v>
      </c>
      <c r="T1684" s="11" t="s">
        <v>2703</v>
      </c>
      <c r="U1684" s="11">
        <v>53151</v>
      </c>
      <c r="V1684" s="12">
        <v>42107</v>
      </c>
      <c r="W1684" s="13" t="str">
        <f>TEXT(Table1[[#This Row],[Order Date]],"mmmm")</f>
        <v>April</v>
      </c>
      <c r="X1684" s="7" t="str">
        <f>TEXT(Table1[[#This Row],[Order Date]],"yyyy")</f>
        <v>2015</v>
      </c>
      <c r="Y1684" s="12">
        <v>42109</v>
      </c>
      <c r="Z1684" s="11">
        <v>17.102799999999998</v>
      </c>
      <c r="AA1684" s="11">
        <v>17</v>
      </c>
      <c r="AB1684" s="11">
        <v>523.05999999999995</v>
      </c>
      <c r="AC1684" s="11">
        <v>87186</v>
      </c>
      <c r="AD1684" s="6" t="str">
        <f>IF(COUNTIF(Returns!$A$2:$A$1635,Orders!AC1684)&gt;0,"Returned","Not Returned")</f>
        <v>Not Returned</v>
      </c>
    </row>
    <row r="1685" spans="1:30" ht="12.75" customHeight="1" thickTop="1" thickBot="1" x14ac:dyDescent="0.25">
      <c r="A1685" s="8">
        <v>21097</v>
      </c>
      <c r="B1685" s="1" t="s">
        <v>25</v>
      </c>
      <c r="C1685" s="1">
        <v>0.08</v>
      </c>
      <c r="D1685" s="1">
        <v>125.99</v>
      </c>
      <c r="E1685" s="1">
        <v>7.69</v>
      </c>
      <c r="F1685" s="1">
        <v>2973</v>
      </c>
      <c r="G1685" s="6" t="str">
        <f>IF(COUNTIF(Table1[Customer ID],Table1[[#This Row],[Customer ID]])&gt;1,"Repeat Customer","One-Time Customer")</f>
        <v>Repeat Customer</v>
      </c>
      <c r="H1685" s="1" t="s">
        <v>2701</v>
      </c>
      <c r="I1685" s="1" t="s">
        <v>49</v>
      </c>
      <c r="J1685" s="1" t="s">
        <v>40</v>
      </c>
      <c r="K1685" s="1" t="s">
        <v>77</v>
      </c>
      <c r="L1685" s="1" t="s">
        <v>78</v>
      </c>
      <c r="M1685" s="1" t="s">
        <v>59</v>
      </c>
      <c r="N1685" s="1" t="s">
        <v>1225</v>
      </c>
      <c r="O1685" s="1">
        <v>0.57999999999999996</v>
      </c>
      <c r="P1685" s="6">
        <f>Table1[[#This Row],[Profit]]/Table1[[#This Row],[Sales]]</f>
        <v>0.52352556213603441</v>
      </c>
      <c r="Q1685" s="1" t="s">
        <v>33</v>
      </c>
      <c r="R1685" s="1" t="s">
        <v>61</v>
      </c>
      <c r="S1685" s="1" t="s">
        <v>1858</v>
      </c>
      <c r="T1685" s="1" t="s">
        <v>2703</v>
      </c>
      <c r="U1685" s="1">
        <v>53151</v>
      </c>
      <c r="V1685" s="9">
        <v>42107</v>
      </c>
      <c r="W1685" s="13" t="str">
        <f>TEXT(Table1[[#This Row],[Order Date]],"mmmm")</f>
        <v>April</v>
      </c>
      <c r="X1685" s="7" t="str">
        <f>TEXT(Table1[[#This Row],[Order Date]],"yyyy")</f>
        <v>2015</v>
      </c>
      <c r="Y1685" s="9">
        <v>42109</v>
      </c>
      <c r="Z1685" s="1">
        <v>1269.3819599999999</v>
      </c>
      <c r="AA1685" s="1">
        <v>23</v>
      </c>
      <c r="AB1685" s="1">
        <v>2424.6799999999998</v>
      </c>
      <c r="AC1685" s="1">
        <v>87186</v>
      </c>
      <c r="AD1685" s="6" t="str">
        <f>IF(COUNTIF(Returns!$A$2:$A$1635,Orders!AC1685)&gt;0,"Returned","Not Returned")</f>
        <v>Not Returned</v>
      </c>
    </row>
    <row r="1686" spans="1:30" ht="12.75" customHeight="1" thickTop="1" thickBot="1" x14ac:dyDescent="0.25">
      <c r="A1686" s="10">
        <v>24770</v>
      </c>
      <c r="B1686" s="11" t="s">
        <v>47</v>
      </c>
      <c r="C1686" s="11">
        <v>0.1</v>
      </c>
      <c r="D1686" s="11">
        <v>442.14</v>
      </c>
      <c r="E1686" s="11">
        <v>14.7</v>
      </c>
      <c r="F1686" s="11">
        <v>2973</v>
      </c>
      <c r="G1686" s="6" t="str">
        <f>IF(COUNTIF(Table1[Customer ID],Table1[[#This Row],[Customer ID]])&gt;1,"Repeat Customer","One-Time Customer")</f>
        <v>Repeat Customer</v>
      </c>
      <c r="H1686" s="11" t="s">
        <v>2701</v>
      </c>
      <c r="I1686" s="11" t="s">
        <v>39</v>
      </c>
      <c r="J1686" s="11" t="s">
        <v>40</v>
      </c>
      <c r="K1686" s="11" t="s">
        <v>77</v>
      </c>
      <c r="L1686" s="11" t="s">
        <v>85</v>
      </c>
      <c r="M1686" s="11" t="s">
        <v>43</v>
      </c>
      <c r="N1686" s="11" t="s">
        <v>336</v>
      </c>
      <c r="O1686" s="11">
        <v>0.56000000000000005</v>
      </c>
      <c r="P1686" s="6">
        <f>Table1[[#This Row],[Profit]]/Table1[[#This Row],[Sales]]</f>
        <v>5.7098045558029942E-2</v>
      </c>
      <c r="Q1686" s="11" t="s">
        <v>33</v>
      </c>
      <c r="R1686" s="11" t="s">
        <v>61</v>
      </c>
      <c r="S1686" s="11" t="s">
        <v>1858</v>
      </c>
      <c r="T1686" s="11" t="s">
        <v>2703</v>
      </c>
      <c r="U1686" s="11">
        <v>53151</v>
      </c>
      <c r="V1686" s="12">
        <v>42144</v>
      </c>
      <c r="W1686" s="13" t="str">
        <f>TEXT(Table1[[#This Row],[Order Date]],"mmmm")</f>
        <v>May</v>
      </c>
      <c r="X1686" s="7" t="str">
        <f>TEXT(Table1[[#This Row],[Order Date]],"yyyy")</f>
        <v>2015</v>
      </c>
      <c r="Y1686" s="12">
        <v>42145</v>
      </c>
      <c r="Z1686" s="11">
        <v>137.68794000000014</v>
      </c>
      <c r="AA1686" s="11">
        <v>6</v>
      </c>
      <c r="AB1686" s="11">
        <v>2411.4299999999998</v>
      </c>
      <c r="AC1686" s="11">
        <v>87187</v>
      </c>
      <c r="AD1686" s="6" t="str">
        <f>IF(COUNTIF(Returns!$A$2:$A$1635,Orders!AC1686)&gt;0,"Returned","Not Returned")</f>
        <v>Not Returned</v>
      </c>
    </row>
    <row r="1687" spans="1:30" ht="12.75" customHeight="1" thickTop="1" thickBot="1" x14ac:dyDescent="0.25">
      <c r="A1687" s="8">
        <v>19599</v>
      </c>
      <c r="B1687" s="1" t="s">
        <v>56</v>
      </c>
      <c r="C1687" s="1">
        <v>0.01</v>
      </c>
      <c r="D1687" s="1">
        <v>35.99</v>
      </c>
      <c r="E1687" s="1">
        <v>0.99</v>
      </c>
      <c r="F1687" s="1">
        <v>2976</v>
      </c>
      <c r="G1687" s="6" t="str">
        <f>IF(COUNTIF(Table1[Customer ID],Table1[[#This Row],[Customer ID]])&gt;1,"Repeat Customer","One-Time Customer")</f>
        <v>One-Time Customer</v>
      </c>
      <c r="H1687" s="1" t="s">
        <v>2704</v>
      </c>
      <c r="I1687" s="1" t="s">
        <v>49</v>
      </c>
      <c r="J1687" s="1" t="s">
        <v>58</v>
      </c>
      <c r="K1687" s="1" t="s">
        <v>77</v>
      </c>
      <c r="L1687" s="1" t="s">
        <v>78</v>
      </c>
      <c r="M1687" s="1" t="s">
        <v>51</v>
      </c>
      <c r="N1687" s="1" t="s">
        <v>2385</v>
      </c>
      <c r="O1687" s="1">
        <v>0.35</v>
      </c>
      <c r="P1687" s="6">
        <f>Table1[[#This Row],[Profit]]/Table1[[#This Row],[Sales]]</f>
        <v>0.69</v>
      </c>
      <c r="Q1687" s="1" t="s">
        <v>33</v>
      </c>
      <c r="R1687" s="1" t="s">
        <v>61</v>
      </c>
      <c r="S1687" s="1" t="s">
        <v>1858</v>
      </c>
      <c r="T1687" s="1" t="s">
        <v>2705</v>
      </c>
      <c r="U1687" s="1">
        <v>53154</v>
      </c>
      <c r="V1687" s="9">
        <v>42146</v>
      </c>
      <c r="W1687" s="13" t="str">
        <f>TEXT(Table1[[#This Row],[Order Date]],"mmmm")</f>
        <v>May</v>
      </c>
      <c r="X1687" s="7" t="str">
        <f>TEXT(Table1[[#This Row],[Order Date]],"yyyy")</f>
        <v>2015</v>
      </c>
      <c r="Y1687" s="9">
        <v>42147</v>
      </c>
      <c r="Z1687" s="1">
        <v>882.48239999999998</v>
      </c>
      <c r="AA1687" s="1">
        <v>41</v>
      </c>
      <c r="AB1687" s="1">
        <v>1278.96</v>
      </c>
      <c r="AC1687" s="1">
        <v>89047</v>
      </c>
      <c r="AD1687" s="6" t="str">
        <f>IF(COUNTIF(Returns!$A$2:$A$1635,Orders!AC1687)&gt;0,"Returned","Not Returned")</f>
        <v>Not Returned</v>
      </c>
    </row>
    <row r="1688" spans="1:30" ht="12.75" customHeight="1" thickTop="1" thickBot="1" x14ac:dyDescent="0.25">
      <c r="A1688" s="10">
        <v>20182</v>
      </c>
      <c r="B1688" s="11" t="s">
        <v>47</v>
      </c>
      <c r="C1688" s="11">
        <v>0.09</v>
      </c>
      <c r="D1688" s="11">
        <v>2.94</v>
      </c>
      <c r="E1688" s="11">
        <v>0.7</v>
      </c>
      <c r="F1688" s="11">
        <v>2979</v>
      </c>
      <c r="G1688" s="6" t="str">
        <f>IF(COUNTIF(Table1[Customer ID],Table1[[#This Row],[Customer ID]])&gt;1,"Repeat Customer","One-Time Customer")</f>
        <v>Repeat Customer</v>
      </c>
      <c r="H1688" s="11" t="s">
        <v>2706</v>
      </c>
      <c r="I1688" s="11" t="s">
        <v>49</v>
      </c>
      <c r="J1688" s="11" t="s">
        <v>28</v>
      </c>
      <c r="K1688" s="11" t="s">
        <v>29</v>
      </c>
      <c r="L1688" s="11" t="s">
        <v>30</v>
      </c>
      <c r="M1688" s="11" t="s">
        <v>31</v>
      </c>
      <c r="N1688" s="11" t="s">
        <v>112</v>
      </c>
      <c r="O1688" s="11">
        <v>0.57999999999999996</v>
      </c>
      <c r="P1688" s="6">
        <f>Table1[[#This Row],[Profit]]/Table1[[#This Row],[Sales]]</f>
        <v>0.25313243457573359</v>
      </c>
      <c r="Q1688" s="11" t="s">
        <v>33</v>
      </c>
      <c r="R1688" s="11" t="s">
        <v>61</v>
      </c>
      <c r="S1688" s="11" t="s">
        <v>2659</v>
      </c>
      <c r="T1688" s="11" t="s">
        <v>2707</v>
      </c>
      <c r="U1688" s="11">
        <v>58601</v>
      </c>
      <c r="V1688" s="12">
        <v>42031</v>
      </c>
      <c r="W1688" s="13" t="str">
        <f>TEXT(Table1[[#This Row],[Order Date]],"mmmm")</f>
        <v>January</v>
      </c>
      <c r="X1688" s="7" t="str">
        <f>TEXT(Table1[[#This Row],[Order Date]],"yyyy")</f>
        <v>2015</v>
      </c>
      <c r="Y1688" s="12">
        <v>42032</v>
      </c>
      <c r="Z1688" s="11">
        <v>6.3840000000000003</v>
      </c>
      <c r="AA1688" s="11">
        <v>9</v>
      </c>
      <c r="AB1688" s="11">
        <v>25.22</v>
      </c>
      <c r="AC1688" s="11">
        <v>86544</v>
      </c>
      <c r="AD1688" s="6" t="str">
        <f>IF(COUNTIF(Returns!$A$2:$A$1635,Orders!AC1688)&gt;0,"Returned","Not Returned")</f>
        <v>Not Returned</v>
      </c>
    </row>
    <row r="1689" spans="1:30" ht="12.75" customHeight="1" thickTop="1" thickBot="1" x14ac:dyDescent="0.25">
      <c r="A1689" s="8">
        <v>18169</v>
      </c>
      <c r="B1689" s="1" t="s">
        <v>47</v>
      </c>
      <c r="C1689" s="1">
        <v>0.02</v>
      </c>
      <c r="D1689" s="1">
        <v>5.34</v>
      </c>
      <c r="E1689" s="1">
        <v>2.99</v>
      </c>
      <c r="F1689" s="1">
        <v>2979</v>
      </c>
      <c r="G1689" s="6" t="str">
        <f>IF(COUNTIF(Table1[Customer ID],Table1[[#This Row],[Customer ID]])&gt;1,"Repeat Customer","One-Time Customer")</f>
        <v>Repeat Customer</v>
      </c>
      <c r="H1689" s="1" t="s">
        <v>2706</v>
      </c>
      <c r="I1689" s="1" t="s">
        <v>49</v>
      </c>
      <c r="J1689" s="1" t="s">
        <v>28</v>
      </c>
      <c r="K1689" s="1" t="s">
        <v>29</v>
      </c>
      <c r="L1689" s="1" t="s">
        <v>109</v>
      </c>
      <c r="M1689" s="1" t="s">
        <v>59</v>
      </c>
      <c r="N1689" s="1" t="s">
        <v>822</v>
      </c>
      <c r="O1689" s="1">
        <v>0.38</v>
      </c>
      <c r="P1689" s="6">
        <f>Table1[[#This Row],[Profit]]/Table1[[#This Row],[Sales]]</f>
        <v>0.15247624532104812</v>
      </c>
      <c r="Q1689" s="1" t="s">
        <v>33</v>
      </c>
      <c r="R1689" s="1" t="s">
        <v>61</v>
      </c>
      <c r="S1689" s="1" t="s">
        <v>2659</v>
      </c>
      <c r="T1689" s="1" t="s">
        <v>2707</v>
      </c>
      <c r="U1689" s="1">
        <v>58601</v>
      </c>
      <c r="V1689" s="9">
        <v>42061</v>
      </c>
      <c r="W1689" s="13" t="str">
        <f>TEXT(Table1[[#This Row],[Order Date]],"mmmm")</f>
        <v>February</v>
      </c>
      <c r="X1689" s="7" t="str">
        <f>TEXT(Table1[[#This Row],[Order Date]],"yyyy")</f>
        <v>2015</v>
      </c>
      <c r="Y1689" s="9">
        <v>42063</v>
      </c>
      <c r="Z1689" s="1">
        <v>5.2955000000000005</v>
      </c>
      <c r="AA1689" s="1">
        <v>6</v>
      </c>
      <c r="AB1689" s="1">
        <v>34.729999999999997</v>
      </c>
      <c r="AC1689" s="1">
        <v>86545</v>
      </c>
      <c r="AD1689" s="6" t="str">
        <f>IF(COUNTIF(Returns!$A$2:$A$1635,Orders!AC1689)&gt;0,"Returned","Not Returned")</f>
        <v>Not Returned</v>
      </c>
    </row>
    <row r="1690" spans="1:30" ht="12.75" customHeight="1" thickTop="1" thickBot="1" x14ac:dyDescent="0.25">
      <c r="A1690" s="10">
        <v>18170</v>
      </c>
      <c r="B1690" s="11" t="s">
        <v>47</v>
      </c>
      <c r="C1690" s="11">
        <v>0.03</v>
      </c>
      <c r="D1690" s="11">
        <v>40.98</v>
      </c>
      <c r="E1690" s="11">
        <v>7.47</v>
      </c>
      <c r="F1690" s="11">
        <v>2979</v>
      </c>
      <c r="G1690" s="6" t="str">
        <f>IF(COUNTIF(Table1[Customer ID],Table1[[#This Row],[Customer ID]])&gt;1,"Repeat Customer","One-Time Customer")</f>
        <v>Repeat Customer</v>
      </c>
      <c r="H1690" s="11" t="s">
        <v>2706</v>
      </c>
      <c r="I1690" s="11" t="s">
        <v>49</v>
      </c>
      <c r="J1690" s="11" t="s">
        <v>28</v>
      </c>
      <c r="K1690" s="11" t="s">
        <v>29</v>
      </c>
      <c r="L1690" s="11" t="s">
        <v>109</v>
      </c>
      <c r="M1690" s="11" t="s">
        <v>59</v>
      </c>
      <c r="N1690" s="11" t="s">
        <v>1373</v>
      </c>
      <c r="O1690" s="11">
        <v>0.37</v>
      </c>
      <c r="P1690" s="6">
        <f>Table1[[#This Row],[Profit]]/Table1[[#This Row],[Sales]]</f>
        <v>0.69</v>
      </c>
      <c r="Q1690" s="11" t="s">
        <v>33</v>
      </c>
      <c r="R1690" s="11" t="s">
        <v>61</v>
      </c>
      <c r="S1690" s="11" t="s">
        <v>2659</v>
      </c>
      <c r="T1690" s="11" t="s">
        <v>2707</v>
      </c>
      <c r="U1690" s="11">
        <v>58601</v>
      </c>
      <c r="V1690" s="12">
        <v>42061</v>
      </c>
      <c r="W1690" s="13" t="str">
        <f>TEXT(Table1[[#This Row],[Order Date]],"mmmm")</f>
        <v>February</v>
      </c>
      <c r="X1690" s="7" t="str">
        <f>TEXT(Table1[[#This Row],[Order Date]],"yyyy")</f>
        <v>2015</v>
      </c>
      <c r="Y1690" s="12">
        <v>42062</v>
      </c>
      <c r="Z1690" s="11">
        <v>170.79569999999998</v>
      </c>
      <c r="AA1690" s="11">
        <v>6</v>
      </c>
      <c r="AB1690" s="11">
        <v>247.53</v>
      </c>
      <c r="AC1690" s="11">
        <v>86545</v>
      </c>
      <c r="AD1690" s="6" t="str">
        <f>IF(COUNTIF(Returns!$A$2:$A$1635,Orders!AC1690)&gt;0,"Returned","Not Returned")</f>
        <v>Not Returned</v>
      </c>
    </row>
    <row r="1691" spans="1:30" ht="12.75" customHeight="1" thickTop="1" thickBot="1" x14ac:dyDescent="0.25">
      <c r="A1691" s="8">
        <v>18133</v>
      </c>
      <c r="B1691" s="1" t="s">
        <v>37</v>
      </c>
      <c r="C1691" s="1">
        <v>0.01</v>
      </c>
      <c r="D1691" s="1">
        <v>5.84</v>
      </c>
      <c r="E1691" s="1">
        <v>0.83</v>
      </c>
      <c r="F1691" s="1">
        <v>2979</v>
      </c>
      <c r="G1691" s="6" t="str">
        <f>IF(COUNTIF(Table1[Customer ID],Table1[[#This Row],[Customer ID]])&gt;1,"Repeat Customer","One-Time Customer")</f>
        <v>Repeat Customer</v>
      </c>
      <c r="H1691" s="1" t="s">
        <v>2706</v>
      </c>
      <c r="I1691" s="1" t="s">
        <v>49</v>
      </c>
      <c r="J1691" s="1" t="s">
        <v>28</v>
      </c>
      <c r="K1691" s="1" t="s">
        <v>29</v>
      </c>
      <c r="L1691" s="1" t="s">
        <v>30</v>
      </c>
      <c r="M1691" s="1" t="s">
        <v>31</v>
      </c>
      <c r="N1691" s="1" t="s">
        <v>944</v>
      </c>
      <c r="O1691" s="1">
        <v>0.49</v>
      </c>
      <c r="P1691" s="6">
        <f>Table1[[#This Row],[Profit]]/Table1[[#This Row],[Sales]]</f>
        <v>0.67358727501046456</v>
      </c>
      <c r="Q1691" s="1" t="s">
        <v>33</v>
      </c>
      <c r="R1691" s="1" t="s">
        <v>61</v>
      </c>
      <c r="S1691" s="1" t="s">
        <v>2659</v>
      </c>
      <c r="T1691" s="1" t="s">
        <v>2707</v>
      </c>
      <c r="U1691" s="1">
        <v>58601</v>
      </c>
      <c r="V1691" s="9">
        <v>42169</v>
      </c>
      <c r="W1691" s="13" t="str">
        <f>TEXT(Table1[[#This Row],[Order Date]],"mmmm")</f>
        <v>June</v>
      </c>
      <c r="X1691" s="7" t="str">
        <f>TEXT(Table1[[#This Row],[Order Date]],"yyyy")</f>
        <v>2015</v>
      </c>
      <c r="Y1691" s="9">
        <v>42171</v>
      </c>
      <c r="Z1691" s="1">
        <v>16.091999999999999</v>
      </c>
      <c r="AA1691" s="1">
        <v>4</v>
      </c>
      <c r="AB1691" s="1">
        <v>23.89</v>
      </c>
      <c r="AC1691" s="1">
        <v>86546</v>
      </c>
      <c r="AD1691" s="6" t="str">
        <f>IF(COUNTIF(Returns!$A$2:$A$1635,Orders!AC1691)&gt;0,"Returned","Not Returned")</f>
        <v>Not Returned</v>
      </c>
    </row>
    <row r="1692" spans="1:30" ht="12.75" customHeight="1" thickTop="1" thickBot="1" x14ac:dyDescent="0.25">
      <c r="A1692" s="10">
        <v>20183</v>
      </c>
      <c r="B1692" s="11" t="s">
        <v>47</v>
      </c>
      <c r="C1692" s="11">
        <v>0.03</v>
      </c>
      <c r="D1692" s="11">
        <v>43.98</v>
      </c>
      <c r="E1692" s="11">
        <v>8.99</v>
      </c>
      <c r="F1692" s="11">
        <v>2980</v>
      </c>
      <c r="G1692" s="6" t="str">
        <f>IF(COUNTIF(Table1[Customer ID],Table1[[#This Row],[Customer ID]])&gt;1,"Repeat Customer","One-Time Customer")</f>
        <v>Repeat Customer</v>
      </c>
      <c r="H1692" s="11" t="s">
        <v>2708</v>
      </c>
      <c r="I1692" s="11" t="s">
        <v>49</v>
      </c>
      <c r="J1692" s="11" t="s">
        <v>28</v>
      </c>
      <c r="K1692" s="11" t="s">
        <v>29</v>
      </c>
      <c r="L1692" s="11" t="s">
        <v>30</v>
      </c>
      <c r="M1692" s="11" t="s">
        <v>51</v>
      </c>
      <c r="N1692" s="11" t="s">
        <v>1118</v>
      </c>
      <c r="O1692" s="11">
        <v>0.57999999999999996</v>
      </c>
      <c r="P1692" s="6">
        <f>Table1[[#This Row],[Profit]]/Table1[[#This Row],[Sales]]</f>
        <v>0.60316637323943667</v>
      </c>
      <c r="Q1692" s="11" t="s">
        <v>33</v>
      </c>
      <c r="R1692" s="11" t="s">
        <v>53</v>
      </c>
      <c r="S1692" s="11" t="s">
        <v>154</v>
      </c>
      <c r="T1692" s="11" t="s">
        <v>2709</v>
      </c>
      <c r="U1692" s="11">
        <v>44870</v>
      </c>
      <c r="V1692" s="12">
        <v>42031</v>
      </c>
      <c r="W1692" s="13" t="str">
        <f>TEXT(Table1[[#This Row],[Order Date]],"mmmm")</f>
        <v>January</v>
      </c>
      <c r="X1692" s="7" t="str">
        <f>TEXT(Table1[[#This Row],[Order Date]],"yyyy")</f>
        <v>2015</v>
      </c>
      <c r="Y1692" s="12">
        <v>42033</v>
      </c>
      <c r="Z1692" s="11">
        <v>274.0788</v>
      </c>
      <c r="AA1692" s="11">
        <v>10</v>
      </c>
      <c r="AB1692" s="11">
        <v>454.4</v>
      </c>
      <c r="AC1692" s="11">
        <v>86544</v>
      </c>
      <c r="AD1692" s="6" t="str">
        <f>IF(COUNTIF(Returns!$A$2:$A$1635,Orders!AC1692)&gt;0,"Returned","Not Returned")</f>
        <v>Not Returned</v>
      </c>
    </row>
    <row r="1693" spans="1:30" ht="12.75" customHeight="1" thickTop="1" thickBot="1" x14ac:dyDescent="0.25">
      <c r="A1693" s="8">
        <v>20184</v>
      </c>
      <c r="B1693" s="1" t="s">
        <v>47</v>
      </c>
      <c r="C1693" s="1">
        <v>0.06</v>
      </c>
      <c r="D1693" s="1">
        <v>1.1399999999999999</v>
      </c>
      <c r="E1693" s="1">
        <v>0.7</v>
      </c>
      <c r="F1693" s="1">
        <v>2980</v>
      </c>
      <c r="G1693" s="6" t="str">
        <f>IF(COUNTIF(Table1[Customer ID],Table1[[#This Row],[Customer ID]])&gt;1,"Repeat Customer","One-Time Customer")</f>
        <v>Repeat Customer</v>
      </c>
      <c r="H1693" s="1" t="s">
        <v>2708</v>
      </c>
      <c r="I1693" s="1" t="s">
        <v>49</v>
      </c>
      <c r="J1693" s="1" t="s">
        <v>28</v>
      </c>
      <c r="K1693" s="1" t="s">
        <v>29</v>
      </c>
      <c r="L1693" s="1" t="s">
        <v>66</v>
      </c>
      <c r="M1693" s="1" t="s">
        <v>31</v>
      </c>
      <c r="N1693" s="1" t="s">
        <v>1010</v>
      </c>
      <c r="O1693" s="1">
        <v>0.38</v>
      </c>
      <c r="P1693" s="6">
        <f>Table1[[#This Row],[Profit]]/Table1[[#This Row],[Sales]]</f>
        <v>-0.26028905712319339</v>
      </c>
      <c r="Q1693" s="1" t="s">
        <v>33</v>
      </c>
      <c r="R1693" s="1" t="s">
        <v>53</v>
      </c>
      <c r="S1693" s="1" t="s">
        <v>154</v>
      </c>
      <c r="T1693" s="1" t="s">
        <v>2709</v>
      </c>
      <c r="U1693" s="1">
        <v>44870</v>
      </c>
      <c r="V1693" s="9">
        <v>42031</v>
      </c>
      <c r="W1693" s="13" t="str">
        <f>TEXT(Table1[[#This Row],[Order Date]],"mmmm")</f>
        <v>January</v>
      </c>
      <c r="X1693" s="7" t="str">
        <f>TEXT(Table1[[#This Row],[Order Date]],"yyyy")</f>
        <v>2015</v>
      </c>
      <c r="Y1693" s="9">
        <v>42034</v>
      </c>
      <c r="Z1693" s="1">
        <v>-3.782</v>
      </c>
      <c r="AA1693" s="1">
        <v>13</v>
      </c>
      <c r="AB1693" s="1">
        <v>14.53</v>
      </c>
      <c r="AC1693" s="1">
        <v>86544</v>
      </c>
      <c r="AD1693" s="6" t="str">
        <f>IF(COUNTIF(Returns!$A$2:$A$1635,Orders!AC1693)&gt;0,"Returned","Not Returned")</f>
        <v>Not Returned</v>
      </c>
    </row>
    <row r="1694" spans="1:30" ht="12.75" customHeight="1" thickTop="1" thickBot="1" x14ac:dyDescent="0.25">
      <c r="A1694" s="10">
        <v>20435</v>
      </c>
      <c r="B1694" s="11" t="s">
        <v>56</v>
      </c>
      <c r="C1694" s="11">
        <v>7.0000000000000007E-2</v>
      </c>
      <c r="D1694" s="11">
        <v>2.61</v>
      </c>
      <c r="E1694" s="11">
        <v>0.5</v>
      </c>
      <c r="F1694" s="11">
        <v>2980</v>
      </c>
      <c r="G1694" s="6" t="str">
        <f>IF(COUNTIF(Table1[Customer ID],Table1[[#This Row],[Customer ID]])&gt;1,"Repeat Customer","One-Time Customer")</f>
        <v>Repeat Customer</v>
      </c>
      <c r="H1694" s="11" t="s">
        <v>2708</v>
      </c>
      <c r="I1694" s="11" t="s">
        <v>49</v>
      </c>
      <c r="J1694" s="11" t="s">
        <v>28</v>
      </c>
      <c r="K1694" s="11" t="s">
        <v>29</v>
      </c>
      <c r="L1694" s="11" t="s">
        <v>134</v>
      </c>
      <c r="M1694" s="11" t="s">
        <v>59</v>
      </c>
      <c r="N1694" s="11" t="s">
        <v>1138</v>
      </c>
      <c r="O1694" s="11">
        <v>0.39</v>
      </c>
      <c r="P1694" s="6">
        <f>Table1[[#This Row],[Profit]]/Table1[[#This Row],[Sales]]</f>
        <v>0.69</v>
      </c>
      <c r="Q1694" s="11" t="s">
        <v>33</v>
      </c>
      <c r="R1694" s="11" t="s">
        <v>53</v>
      </c>
      <c r="S1694" s="11" t="s">
        <v>154</v>
      </c>
      <c r="T1694" s="11" t="s">
        <v>2709</v>
      </c>
      <c r="U1694" s="11">
        <v>44870</v>
      </c>
      <c r="V1694" s="12">
        <v>42060</v>
      </c>
      <c r="W1694" s="13" t="str">
        <f>TEXT(Table1[[#This Row],[Order Date]],"mmmm")</f>
        <v>February</v>
      </c>
      <c r="X1694" s="7" t="str">
        <f>TEXT(Table1[[#This Row],[Order Date]],"yyyy")</f>
        <v>2015</v>
      </c>
      <c r="Y1694" s="12">
        <v>42062</v>
      </c>
      <c r="Z1694" s="11">
        <v>10.798499999999999</v>
      </c>
      <c r="AA1694" s="11">
        <v>6</v>
      </c>
      <c r="AB1694" s="11">
        <v>15.65</v>
      </c>
      <c r="AC1694" s="11">
        <v>86547</v>
      </c>
      <c r="AD1694" s="6" t="str">
        <f>IF(COUNTIF(Returns!$A$2:$A$1635,Orders!AC1694)&gt;0,"Returned","Not Returned")</f>
        <v>Not Returned</v>
      </c>
    </row>
    <row r="1695" spans="1:30" ht="12.75" customHeight="1" thickTop="1" thickBot="1" x14ac:dyDescent="0.25">
      <c r="A1695" s="8">
        <v>23110</v>
      </c>
      <c r="B1695" s="1" t="s">
        <v>106</v>
      </c>
      <c r="C1695" s="1">
        <v>0.04</v>
      </c>
      <c r="D1695" s="1">
        <v>2.88</v>
      </c>
      <c r="E1695" s="1">
        <v>1.01</v>
      </c>
      <c r="F1695" s="1">
        <v>2980</v>
      </c>
      <c r="G1695" s="6" t="str">
        <f>IF(COUNTIF(Table1[Customer ID],Table1[[#This Row],[Customer ID]])&gt;1,"Repeat Customer","One-Time Customer")</f>
        <v>Repeat Customer</v>
      </c>
      <c r="H1695" s="1" t="s">
        <v>2708</v>
      </c>
      <c r="I1695" s="1" t="s">
        <v>49</v>
      </c>
      <c r="J1695" s="1" t="s">
        <v>28</v>
      </c>
      <c r="K1695" s="1" t="s">
        <v>29</v>
      </c>
      <c r="L1695" s="1" t="s">
        <v>30</v>
      </c>
      <c r="M1695" s="1" t="s">
        <v>31</v>
      </c>
      <c r="N1695" s="1" t="s">
        <v>794</v>
      </c>
      <c r="O1695" s="1">
        <v>0.55000000000000004</v>
      </c>
      <c r="P1695" s="6">
        <f>Table1[[#This Row],[Profit]]/Table1[[#This Row],[Sales]]</f>
        <v>0.13622230164403146</v>
      </c>
      <c r="Q1695" s="1" t="s">
        <v>33</v>
      </c>
      <c r="R1695" s="1" t="s">
        <v>53</v>
      </c>
      <c r="S1695" s="1" t="s">
        <v>154</v>
      </c>
      <c r="T1695" s="1" t="s">
        <v>2709</v>
      </c>
      <c r="U1695" s="1">
        <v>44870</v>
      </c>
      <c r="V1695" s="9">
        <v>42154</v>
      </c>
      <c r="W1695" s="13" t="str">
        <f>TEXT(Table1[[#This Row],[Order Date]],"mmmm")</f>
        <v>May</v>
      </c>
      <c r="X1695" s="7" t="str">
        <f>TEXT(Table1[[#This Row],[Order Date]],"yyyy")</f>
        <v>2015</v>
      </c>
      <c r="Y1695" s="9">
        <v>42159</v>
      </c>
      <c r="Z1695" s="1">
        <v>15.246</v>
      </c>
      <c r="AA1695" s="1">
        <v>39</v>
      </c>
      <c r="AB1695" s="1">
        <v>111.92</v>
      </c>
      <c r="AC1695" s="1">
        <v>86548</v>
      </c>
      <c r="AD1695" s="6" t="str">
        <f>IF(COUNTIF(Returns!$A$2:$A$1635,Orders!AC1695)&gt;0,"Returned","Not Returned")</f>
        <v>Not Returned</v>
      </c>
    </row>
    <row r="1696" spans="1:30" ht="12.75" customHeight="1" thickTop="1" thickBot="1" x14ac:dyDescent="0.25">
      <c r="A1696" s="10">
        <v>20816</v>
      </c>
      <c r="B1696" s="11" t="s">
        <v>47</v>
      </c>
      <c r="C1696" s="11">
        <v>0.09</v>
      </c>
      <c r="D1696" s="11">
        <v>100.98</v>
      </c>
      <c r="E1696" s="11">
        <v>35.840000000000003</v>
      </c>
      <c r="F1696" s="11">
        <v>2987</v>
      </c>
      <c r="G1696" s="6" t="str">
        <f>IF(COUNTIF(Table1[Customer ID],Table1[[#This Row],[Customer ID]])&gt;1,"Repeat Customer","One-Time Customer")</f>
        <v>Repeat Customer</v>
      </c>
      <c r="H1696" s="11" t="s">
        <v>2710</v>
      </c>
      <c r="I1696" s="11" t="s">
        <v>39</v>
      </c>
      <c r="J1696" s="11" t="s">
        <v>40</v>
      </c>
      <c r="K1696" s="11" t="s">
        <v>41</v>
      </c>
      <c r="L1696" s="11" t="s">
        <v>191</v>
      </c>
      <c r="M1696" s="11" t="s">
        <v>121</v>
      </c>
      <c r="N1696" s="11" t="s">
        <v>260</v>
      </c>
      <c r="O1696" s="11">
        <v>0.62</v>
      </c>
      <c r="P1696" s="6">
        <f>Table1[[#This Row],[Profit]]/Table1[[#This Row],[Sales]]</f>
        <v>-6.0941671861583877E-2</v>
      </c>
      <c r="Q1696" s="11" t="s">
        <v>33</v>
      </c>
      <c r="R1696" s="11" t="s">
        <v>61</v>
      </c>
      <c r="S1696" s="11" t="s">
        <v>330</v>
      </c>
      <c r="T1696" s="11" t="s">
        <v>2711</v>
      </c>
      <c r="U1696" s="11">
        <v>50265</v>
      </c>
      <c r="V1696" s="12">
        <v>42183</v>
      </c>
      <c r="W1696" s="13" t="str">
        <f>TEXT(Table1[[#This Row],[Order Date]],"mmmm")</f>
        <v>June</v>
      </c>
      <c r="X1696" s="7" t="str">
        <f>TEXT(Table1[[#This Row],[Order Date]],"yyyy")</f>
        <v>2015</v>
      </c>
      <c r="Y1696" s="12">
        <v>42183</v>
      </c>
      <c r="Z1696" s="11">
        <v>-103.624</v>
      </c>
      <c r="AA1696" s="11">
        <v>17</v>
      </c>
      <c r="AB1696" s="11">
        <v>1700.38</v>
      </c>
      <c r="AC1696" s="11">
        <v>91180</v>
      </c>
      <c r="AD1696" s="6" t="str">
        <f>IF(COUNTIF(Returns!$A$2:$A$1635,Orders!AC1696)&gt;0,"Returned","Not Returned")</f>
        <v>Not Returned</v>
      </c>
    </row>
    <row r="1697" spans="1:30" ht="12.75" customHeight="1" thickTop="1" thickBot="1" x14ac:dyDescent="0.25">
      <c r="A1697" s="8">
        <v>20817</v>
      </c>
      <c r="B1697" s="1" t="s">
        <v>47</v>
      </c>
      <c r="C1697" s="1">
        <v>0.1</v>
      </c>
      <c r="D1697" s="1">
        <v>5.78</v>
      </c>
      <c r="E1697" s="1">
        <v>7.96</v>
      </c>
      <c r="F1697" s="1">
        <v>2987</v>
      </c>
      <c r="G1697" s="6" t="str">
        <f>IF(COUNTIF(Table1[Customer ID],Table1[[#This Row],[Customer ID]])&gt;1,"Repeat Customer","One-Time Customer")</f>
        <v>Repeat Customer</v>
      </c>
      <c r="H1697" s="1" t="s">
        <v>2710</v>
      </c>
      <c r="I1697" s="1" t="s">
        <v>49</v>
      </c>
      <c r="J1697" s="1" t="s">
        <v>40</v>
      </c>
      <c r="K1697" s="1" t="s">
        <v>29</v>
      </c>
      <c r="L1697" s="1" t="s">
        <v>93</v>
      </c>
      <c r="M1697" s="1" t="s">
        <v>59</v>
      </c>
      <c r="N1697" s="1" t="s">
        <v>2712</v>
      </c>
      <c r="O1697" s="1">
        <v>0.36</v>
      </c>
      <c r="P1697" s="6">
        <f>Table1[[#This Row],[Profit]]/Table1[[#This Row],[Sales]]</f>
        <v>-1.6080088987764181</v>
      </c>
      <c r="Q1697" s="1" t="s">
        <v>33</v>
      </c>
      <c r="R1697" s="1" t="s">
        <v>61</v>
      </c>
      <c r="S1697" s="1" t="s">
        <v>330</v>
      </c>
      <c r="T1697" s="1" t="s">
        <v>2711</v>
      </c>
      <c r="U1697" s="1">
        <v>50265</v>
      </c>
      <c r="V1697" s="9">
        <v>42183</v>
      </c>
      <c r="W1697" s="13" t="str">
        <f>TEXT(Table1[[#This Row],[Order Date]],"mmmm")</f>
        <v>June</v>
      </c>
      <c r="X1697" s="7" t="str">
        <f>TEXT(Table1[[#This Row],[Order Date]],"yyyy")</f>
        <v>2015</v>
      </c>
      <c r="Y1697" s="9">
        <v>42183</v>
      </c>
      <c r="Z1697" s="1">
        <v>-57.823999999999998</v>
      </c>
      <c r="AA1697" s="1">
        <v>6</v>
      </c>
      <c r="AB1697" s="1">
        <v>35.96</v>
      </c>
      <c r="AC1697" s="1">
        <v>91180</v>
      </c>
      <c r="AD1697" s="6" t="str">
        <f>IF(COUNTIF(Returns!$A$2:$A$1635,Orders!AC1697)&gt;0,"Returned","Not Returned")</f>
        <v>Not Returned</v>
      </c>
    </row>
    <row r="1698" spans="1:30" ht="12.75" customHeight="1" thickTop="1" thickBot="1" x14ac:dyDescent="0.25">
      <c r="A1698" s="10">
        <v>22473</v>
      </c>
      <c r="B1698" s="11" t="s">
        <v>106</v>
      </c>
      <c r="C1698" s="11">
        <v>0.05</v>
      </c>
      <c r="D1698" s="11">
        <v>70.97</v>
      </c>
      <c r="E1698" s="11">
        <v>3.5</v>
      </c>
      <c r="F1698" s="11">
        <v>2991</v>
      </c>
      <c r="G1698" s="6" t="str">
        <f>IF(COUNTIF(Table1[Customer ID],Table1[[#This Row],[Customer ID]])&gt;1,"Repeat Customer","One-Time Customer")</f>
        <v>One-Time Customer</v>
      </c>
      <c r="H1698" s="11" t="s">
        <v>2713</v>
      </c>
      <c r="I1698" s="11" t="s">
        <v>49</v>
      </c>
      <c r="J1698" s="11" t="s">
        <v>40</v>
      </c>
      <c r="K1698" s="11" t="s">
        <v>29</v>
      </c>
      <c r="L1698" s="11" t="s">
        <v>257</v>
      </c>
      <c r="M1698" s="11" t="s">
        <v>59</v>
      </c>
      <c r="N1698" s="11" t="s">
        <v>672</v>
      </c>
      <c r="O1698" s="11">
        <v>0.59</v>
      </c>
      <c r="P1698" s="6">
        <f>Table1[[#This Row],[Profit]]/Table1[[#This Row],[Sales]]</f>
        <v>0.1286672787626246</v>
      </c>
      <c r="Q1698" s="11" t="s">
        <v>33</v>
      </c>
      <c r="R1698" s="11" t="s">
        <v>61</v>
      </c>
      <c r="S1698" s="11" t="s">
        <v>1858</v>
      </c>
      <c r="T1698" s="11" t="s">
        <v>2714</v>
      </c>
      <c r="U1698" s="11">
        <v>53402</v>
      </c>
      <c r="V1698" s="12">
        <v>42132</v>
      </c>
      <c r="W1698" s="13" t="str">
        <f>TEXT(Table1[[#This Row],[Order Date]],"mmmm")</f>
        <v>May</v>
      </c>
      <c r="X1698" s="7" t="str">
        <f>TEXT(Table1[[#This Row],[Order Date]],"yyyy")</f>
        <v>2015</v>
      </c>
      <c r="Y1698" s="12">
        <v>42137</v>
      </c>
      <c r="Z1698" s="11">
        <v>18.218000000000018</v>
      </c>
      <c r="AA1698" s="11">
        <v>2</v>
      </c>
      <c r="AB1698" s="11">
        <v>141.59</v>
      </c>
      <c r="AC1698" s="11">
        <v>91466</v>
      </c>
      <c r="AD1698" s="6" t="str">
        <f>IF(COUNTIF(Returns!$A$2:$A$1635,Orders!AC1698)&gt;0,"Returned","Not Returned")</f>
        <v>Not Returned</v>
      </c>
    </row>
    <row r="1699" spans="1:30" ht="12.75" customHeight="1" thickTop="1" thickBot="1" x14ac:dyDescent="0.25">
      <c r="A1699" s="8">
        <v>22476</v>
      </c>
      <c r="B1699" s="1" t="s">
        <v>106</v>
      </c>
      <c r="C1699" s="1">
        <v>0</v>
      </c>
      <c r="D1699" s="1">
        <v>5.28</v>
      </c>
      <c r="E1699" s="1">
        <v>6.26</v>
      </c>
      <c r="F1699" s="1">
        <v>2992</v>
      </c>
      <c r="G1699" s="6" t="str">
        <f>IF(COUNTIF(Table1[Customer ID],Table1[[#This Row],[Customer ID]])&gt;1,"Repeat Customer","One-Time Customer")</f>
        <v>One-Time Customer</v>
      </c>
      <c r="H1699" s="1" t="s">
        <v>2715</v>
      </c>
      <c r="I1699" s="1" t="s">
        <v>49</v>
      </c>
      <c r="J1699" s="1" t="s">
        <v>40</v>
      </c>
      <c r="K1699" s="1" t="s">
        <v>29</v>
      </c>
      <c r="L1699" s="1" t="s">
        <v>93</v>
      </c>
      <c r="M1699" s="1" t="s">
        <v>59</v>
      </c>
      <c r="N1699" s="1" t="s">
        <v>1363</v>
      </c>
      <c r="O1699" s="1">
        <v>0.4</v>
      </c>
      <c r="P1699" s="6">
        <f>Table1[[#This Row],[Profit]]/Table1[[#This Row],[Sales]]</f>
        <v>0.1234080275794141</v>
      </c>
      <c r="Q1699" s="1" t="s">
        <v>33</v>
      </c>
      <c r="R1699" s="1" t="s">
        <v>61</v>
      </c>
      <c r="S1699" s="1" t="s">
        <v>1858</v>
      </c>
      <c r="T1699" s="1" t="s">
        <v>2716</v>
      </c>
      <c r="U1699" s="1">
        <v>53081</v>
      </c>
      <c r="V1699" s="9">
        <v>42132</v>
      </c>
      <c r="W1699" s="13" t="str">
        <f>TEXT(Table1[[#This Row],[Order Date]],"mmmm")</f>
        <v>May</v>
      </c>
      <c r="X1699" s="7" t="str">
        <f>TEXT(Table1[[#This Row],[Order Date]],"yyyy")</f>
        <v>2015</v>
      </c>
      <c r="Y1699" s="9">
        <v>42139</v>
      </c>
      <c r="Z1699" s="1">
        <v>25.058000000000035</v>
      </c>
      <c r="AA1699" s="1">
        <v>36</v>
      </c>
      <c r="AB1699" s="1">
        <v>203.05</v>
      </c>
      <c r="AC1699" s="1">
        <v>91466</v>
      </c>
      <c r="AD1699" s="6" t="str">
        <f>IF(COUNTIF(Returns!$A$2:$A$1635,Orders!AC1699)&gt;0,"Returned","Not Returned")</f>
        <v>Not Returned</v>
      </c>
    </row>
    <row r="1700" spans="1:30" ht="12.75" customHeight="1" thickTop="1" thickBot="1" x14ac:dyDescent="0.25">
      <c r="A1700" s="10">
        <v>20891</v>
      </c>
      <c r="B1700" s="11" t="s">
        <v>37</v>
      </c>
      <c r="C1700" s="11">
        <v>0.03</v>
      </c>
      <c r="D1700" s="11">
        <v>10.98</v>
      </c>
      <c r="E1700" s="11">
        <v>3.37</v>
      </c>
      <c r="F1700" s="11">
        <v>2999</v>
      </c>
      <c r="G1700" s="6" t="str">
        <f>IF(COUNTIF(Table1[Customer ID],Table1[[#This Row],[Customer ID]])&gt;1,"Repeat Customer","One-Time Customer")</f>
        <v>One-Time Customer</v>
      </c>
      <c r="H1700" s="11" t="s">
        <v>2717</v>
      </c>
      <c r="I1700" s="11" t="s">
        <v>49</v>
      </c>
      <c r="J1700" s="11" t="s">
        <v>114</v>
      </c>
      <c r="K1700" s="11" t="s">
        <v>29</v>
      </c>
      <c r="L1700" s="11" t="s">
        <v>174</v>
      </c>
      <c r="M1700" s="11" t="s">
        <v>51</v>
      </c>
      <c r="N1700" s="11" t="s">
        <v>225</v>
      </c>
      <c r="O1700" s="11">
        <v>0.56999999999999995</v>
      </c>
      <c r="P1700" s="6">
        <f>Table1[[#This Row],[Profit]]/Table1[[#This Row],[Sales]]</f>
        <v>0.21035771489588898</v>
      </c>
      <c r="Q1700" s="11" t="s">
        <v>33</v>
      </c>
      <c r="R1700" s="11" t="s">
        <v>61</v>
      </c>
      <c r="S1700" s="11" t="s">
        <v>300</v>
      </c>
      <c r="T1700" s="11" t="s">
        <v>2718</v>
      </c>
      <c r="U1700" s="11">
        <v>48237</v>
      </c>
      <c r="V1700" s="12">
        <v>42104</v>
      </c>
      <c r="W1700" s="13" t="str">
        <f>TEXT(Table1[[#This Row],[Order Date]],"mmmm")</f>
        <v>April</v>
      </c>
      <c r="X1700" s="7" t="str">
        <f>TEXT(Table1[[#This Row],[Order Date]],"yyyy")</f>
        <v>2015</v>
      </c>
      <c r="Y1700" s="12">
        <v>42105</v>
      </c>
      <c r="Z1700" s="11">
        <v>11.82</v>
      </c>
      <c r="AA1700" s="11">
        <v>5</v>
      </c>
      <c r="AB1700" s="11">
        <v>56.19</v>
      </c>
      <c r="AC1700" s="11">
        <v>87041</v>
      </c>
      <c r="AD1700" s="6" t="str">
        <f>IF(COUNTIF(Returns!$A$2:$A$1635,Orders!AC1700)&gt;0,"Returned","Not Returned")</f>
        <v>Not Returned</v>
      </c>
    </row>
    <row r="1701" spans="1:30" ht="12.75" customHeight="1" thickTop="1" thickBot="1" x14ac:dyDescent="0.25">
      <c r="A1701" s="8">
        <v>21499</v>
      </c>
      <c r="B1701" s="1" t="s">
        <v>106</v>
      </c>
      <c r="C1701" s="1">
        <v>0.01</v>
      </c>
      <c r="D1701" s="1">
        <v>10.14</v>
      </c>
      <c r="E1701" s="1">
        <v>2.27</v>
      </c>
      <c r="F1701" s="1">
        <v>3000</v>
      </c>
      <c r="G1701" s="6" t="str">
        <f>IF(COUNTIF(Table1[Customer ID],Table1[[#This Row],[Customer ID]])&gt;1,"Repeat Customer","One-Time Customer")</f>
        <v>One-Time Customer</v>
      </c>
      <c r="H1701" s="1" t="s">
        <v>2719</v>
      </c>
      <c r="I1701" s="1" t="s">
        <v>49</v>
      </c>
      <c r="J1701" s="1" t="s">
        <v>114</v>
      </c>
      <c r="K1701" s="1" t="s">
        <v>29</v>
      </c>
      <c r="L1701" s="1" t="s">
        <v>93</v>
      </c>
      <c r="M1701" s="1" t="s">
        <v>31</v>
      </c>
      <c r="N1701" s="1" t="s">
        <v>270</v>
      </c>
      <c r="O1701" s="1">
        <v>0.36</v>
      </c>
      <c r="P1701" s="6">
        <f>Table1[[#This Row],[Profit]]/Table1[[#This Row],[Sales]]</f>
        <v>0.69</v>
      </c>
      <c r="Q1701" s="1" t="s">
        <v>33</v>
      </c>
      <c r="R1701" s="1" t="s">
        <v>61</v>
      </c>
      <c r="S1701" s="1" t="s">
        <v>300</v>
      </c>
      <c r="T1701" s="1" t="s">
        <v>2720</v>
      </c>
      <c r="U1701" s="1">
        <v>48342</v>
      </c>
      <c r="V1701" s="9">
        <v>42030</v>
      </c>
      <c r="W1701" s="13" t="str">
        <f>TEXT(Table1[[#This Row],[Order Date]],"mmmm")</f>
        <v>January</v>
      </c>
      <c r="X1701" s="7" t="str">
        <f>TEXT(Table1[[#This Row],[Order Date]],"yyyy")</f>
        <v>2015</v>
      </c>
      <c r="Y1701" s="9">
        <v>42032</v>
      </c>
      <c r="Z1701" s="1">
        <v>28.151999999999997</v>
      </c>
      <c r="AA1701" s="1">
        <v>4</v>
      </c>
      <c r="AB1701" s="1">
        <v>40.799999999999997</v>
      </c>
      <c r="AC1701" s="1">
        <v>87042</v>
      </c>
      <c r="AD1701" s="6" t="str">
        <f>IF(COUNTIF(Returns!$A$2:$A$1635,Orders!AC1701)&gt;0,"Returned","Not Returned")</f>
        <v>Not Returned</v>
      </c>
    </row>
    <row r="1702" spans="1:30" ht="12.75" customHeight="1" thickTop="1" thickBot="1" x14ac:dyDescent="0.25">
      <c r="A1702" s="10">
        <v>23836</v>
      </c>
      <c r="B1702" s="11" t="s">
        <v>37</v>
      </c>
      <c r="C1702" s="11">
        <v>0.03</v>
      </c>
      <c r="D1702" s="11">
        <v>5.4</v>
      </c>
      <c r="E1702" s="11">
        <v>7.78</v>
      </c>
      <c r="F1702" s="11">
        <v>3001</v>
      </c>
      <c r="G1702" s="6" t="str">
        <f>IF(COUNTIF(Table1[Customer ID],Table1[[#This Row],[Customer ID]])&gt;1,"Repeat Customer","One-Time Customer")</f>
        <v>One-Time Customer</v>
      </c>
      <c r="H1702" s="11" t="s">
        <v>2721</v>
      </c>
      <c r="I1702" s="11" t="s">
        <v>49</v>
      </c>
      <c r="J1702" s="11" t="s">
        <v>114</v>
      </c>
      <c r="K1702" s="11" t="s">
        <v>29</v>
      </c>
      <c r="L1702" s="11" t="s">
        <v>109</v>
      </c>
      <c r="M1702" s="11" t="s">
        <v>59</v>
      </c>
      <c r="N1702" s="11" t="s">
        <v>310</v>
      </c>
      <c r="O1702" s="11">
        <v>0.37</v>
      </c>
      <c r="P1702" s="6">
        <f>Table1[[#This Row],[Profit]]/Table1[[#This Row],[Sales]]</f>
        <v>-2.0153049970306269</v>
      </c>
      <c r="Q1702" s="11" t="s">
        <v>33</v>
      </c>
      <c r="R1702" s="11" t="s">
        <v>61</v>
      </c>
      <c r="S1702" s="11" t="s">
        <v>300</v>
      </c>
      <c r="T1702" s="11" t="s">
        <v>2722</v>
      </c>
      <c r="U1702" s="11">
        <v>48060</v>
      </c>
      <c r="V1702" s="12">
        <v>42080</v>
      </c>
      <c r="W1702" s="13" t="str">
        <f>TEXT(Table1[[#This Row],[Order Date]],"mmmm")</f>
        <v>March</v>
      </c>
      <c r="X1702" s="7" t="str">
        <f>TEXT(Table1[[#This Row],[Order Date]],"yyyy")</f>
        <v>2015</v>
      </c>
      <c r="Y1702" s="12">
        <v>42082</v>
      </c>
      <c r="Z1702" s="11">
        <v>-237.54400000000001</v>
      </c>
      <c r="AA1702" s="11">
        <v>21</v>
      </c>
      <c r="AB1702" s="11">
        <v>117.87</v>
      </c>
      <c r="AC1702" s="11">
        <v>87043</v>
      </c>
      <c r="AD1702" s="6" t="str">
        <f>IF(COUNTIF(Returns!$A$2:$A$1635,Orders!AC1702)&gt;0,"Returned","Not Returned")</f>
        <v>Not Returned</v>
      </c>
    </row>
    <row r="1703" spans="1:30" ht="12.75" customHeight="1" thickTop="1" thickBot="1" x14ac:dyDescent="0.25">
      <c r="A1703" s="8">
        <v>25282</v>
      </c>
      <c r="B1703" s="1" t="s">
        <v>56</v>
      </c>
      <c r="C1703" s="1">
        <v>0.03</v>
      </c>
      <c r="D1703" s="1">
        <v>85.99</v>
      </c>
      <c r="E1703" s="1">
        <v>0.99</v>
      </c>
      <c r="F1703" s="1">
        <v>3003</v>
      </c>
      <c r="G1703" s="6" t="str">
        <f>IF(COUNTIF(Table1[Customer ID],Table1[[#This Row],[Customer ID]])&gt;1,"Repeat Customer","One-Time Customer")</f>
        <v>One-Time Customer</v>
      </c>
      <c r="H1703" s="1" t="s">
        <v>2723</v>
      </c>
      <c r="I1703" s="1" t="s">
        <v>49</v>
      </c>
      <c r="J1703" s="1" t="s">
        <v>40</v>
      </c>
      <c r="K1703" s="1" t="s">
        <v>77</v>
      </c>
      <c r="L1703" s="1" t="s">
        <v>78</v>
      </c>
      <c r="M1703" s="1" t="s">
        <v>31</v>
      </c>
      <c r="N1703" s="1" t="s">
        <v>417</v>
      </c>
      <c r="O1703" s="1">
        <v>0.55000000000000004</v>
      </c>
      <c r="P1703" s="6">
        <f>Table1[[#This Row],[Profit]]/Table1[[#This Row],[Sales]]</f>
        <v>0.69</v>
      </c>
      <c r="Q1703" s="1" t="s">
        <v>33</v>
      </c>
      <c r="R1703" s="1" t="s">
        <v>34</v>
      </c>
      <c r="S1703" s="1" t="s">
        <v>1741</v>
      </c>
      <c r="T1703" s="1" t="s">
        <v>2724</v>
      </c>
      <c r="U1703" s="1">
        <v>83814</v>
      </c>
      <c r="V1703" s="9">
        <v>42068</v>
      </c>
      <c r="W1703" s="13" t="str">
        <f>TEXT(Table1[[#This Row],[Order Date]],"mmmm")</f>
        <v>March</v>
      </c>
      <c r="X1703" s="7" t="str">
        <f>TEXT(Table1[[#This Row],[Order Date]],"yyyy")</f>
        <v>2015</v>
      </c>
      <c r="Y1703" s="9">
        <v>42069</v>
      </c>
      <c r="Z1703" s="1">
        <v>1037.1044999999999</v>
      </c>
      <c r="AA1703" s="1">
        <v>20</v>
      </c>
      <c r="AB1703" s="1">
        <v>1503.05</v>
      </c>
      <c r="AC1703" s="1">
        <v>91586</v>
      </c>
      <c r="AD1703" s="6" t="str">
        <f>IF(COUNTIF(Returns!$A$2:$A$1635,Orders!AC1703)&gt;0,"Returned","Not Returned")</f>
        <v>Not Returned</v>
      </c>
    </row>
    <row r="1704" spans="1:30" ht="12.75" customHeight="1" thickTop="1" thickBot="1" x14ac:dyDescent="0.25">
      <c r="A1704" s="10">
        <v>7664</v>
      </c>
      <c r="B1704" s="11" t="s">
        <v>106</v>
      </c>
      <c r="C1704" s="11">
        <v>0.08</v>
      </c>
      <c r="D1704" s="11">
        <v>6.48</v>
      </c>
      <c r="E1704" s="11">
        <v>6.81</v>
      </c>
      <c r="F1704" s="11">
        <v>3004</v>
      </c>
      <c r="G1704" s="6" t="str">
        <f>IF(COUNTIF(Table1[Customer ID],Table1[[#This Row],[Customer ID]])&gt;1,"Repeat Customer","One-Time Customer")</f>
        <v>Repeat Customer</v>
      </c>
      <c r="H1704" s="11" t="s">
        <v>2725</v>
      </c>
      <c r="I1704" s="11" t="s">
        <v>49</v>
      </c>
      <c r="J1704" s="11" t="s">
        <v>28</v>
      </c>
      <c r="K1704" s="11" t="s">
        <v>29</v>
      </c>
      <c r="L1704" s="11" t="s">
        <v>93</v>
      </c>
      <c r="M1704" s="11" t="s">
        <v>59</v>
      </c>
      <c r="N1704" s="11" t="s">
        <v>2726</v>
      </c>
      <c r="O1704" s="11">
        <v>0.36</v>
      </c>
      <c r="P1704" s="6">
        <f>Table1[[#This Row],[Profit]]/Table1[[#This Row],[Sales]]</f>
        <v>-0.2474040750137316</v>
      </c>
      <c r="Q1704" s="11" t="s">
        <v>33</v>
      </c>
      <c r="R1704" s="11" t="s">
        <v>34</v>
      </c>
      <c r="S1704" s="11" t="s">
        <v>45</v>
      </c>
      <c r="T1704" s="11" t="s">
        <v>663</v>
      </c>
      <c r="U1704" s="11">
        <v>90049</v>
      </c>
      <c r="V1704" s="12">
        <v>42045</v>
      </c>
      <c r="W1704" s="13" t="str">
        <f>TEXT(Table1[[#This Row],[Order Date]],"mmmm")</f>
        <v>February</v>
      </c>
      <c r="X1704" s="7" t="str">
        <f>TEXT(Table1[[#This Row],[Order Date]],"yyyy")</f>
        <v>2015</v>
      </c>
      <c r="Y1704" s="12">
        <v>42050</v>
      </c>
      <c r="Z1704" s="11">
        <v>-94.59</v>
      </c>
      <c r="AA1704" s="11">
        <v>58</v>
      </c>
      <c r="AB1704" s="11">
        <v>382.33</v>
      </c>
      <c r="AC1704" s="11">
        <v>54949</v>
      </c>
      <c r="AD1704" s="6" t="str">
        <f>IF(COUNTIF(Returns!$A$2:$A$1635,Orders!AC1704)&gt;0,"Returned","Not Returned")</f>
        <v>Not Returned</v>
      </c>
    </row>
    <row r="1705" spans="1:30" ht="12.75" customHeight="1" thickTop="1" thickBot="1" x14ac:dyDescent="0.25">
      <c r="A1705" s="8">
        <v>7665</v>
      </c>
      <c r="B1705" s="1" t="s">
        <v>106</v>
      </c>
      <c r="C1705" s="1">
        <v>0.09</v>
      </c>
      <c r="D1705" s="1">
        <v>20.98</v>
      </c>
      <c r="E1705" s="1">
        <v>53.03</v>
      </c>
      <c r="F1705" s="1">
        <v>3004</v>
      </c>
      <c r="G1705" s="6" t="str">
        <f>IF(COUNTIF(Table1[Customer ID],Table1[[#This Row],[Customer ID]])&gt;1,"Repeat Customer","One-Time Customer")</f>
        <v>Repeat Customer</v>
      </c>
      <c r="H1705" s="1" t="s">
        <v>2725</v>
      </c>
      <c r="I1705" s="1" t="s">
        <v>39</v>
      </c>
      <c r="J1705" s="1" t="s">
        <v>28</v>
      </c>
      <c r="K1705" s="1" t="s">
        <v>29</v>
      </c>
      <c r="L1705" s="1" t="s">
        <v>141</v>
      </c>
      <c r="M1705" s="1" t="s">
        <v>43</v>
      </c>
      <c r="N1705" s="1" t="s">
        <v>617</v>
      </c>
      <c r="O1705" s="1">
        <v>0.78</v>
      </c>
      <c r="P1705" s="6">
        <f>Table1[[#This Row],[Profit]]/Table1[[#This Row],[Sales]]</f>
        <v>-0.82370096183505792</v>
      </c>
      <c r="Q1705" s="1" t="s">
        <v>33</v>
      </c>
      <c r="R1705" s="1" t="s">
        <v>34</v>
      </c>
      <c r="S1705" s="1" t="s">
        <v>45</v>
      </c>
      <c r="T1705" s="1" t="s">
        <v>663</v>
      </c>
      <c r="U1705" s="1">
        <v>90049</v>
      </c>
      <c r="V1705" s="9">
        <v>42045</v>
      </c>
      <c r="W1705" s="13" t="str">
        <f>TEXT(Table1[[#This Row],[Order Date]],"mmmm")</f>
        <v>February</v>
      </c>
      <c r="X1705" s="7" t="str">
        <f>TEXT(Table1[[#This Row],[Order Date]],"yyyy")</f>
        <v>2015</v>
      </c>
      <c r="Y1705" s="9">
        <v>42052</v>
      </c>
      <c r="Z1705" s="1">
        <v>-293.74</v>
      </c>
      <c r="AA1705" s="1">
        <v>13</v>
      </c>
      <c r="AB1705" s="1">
        <v>356.61</v>
      </c>
      <c r="AC1705" s="1">
        <v>54949</v>
      </c>
      <c r="AD1705" s="6" t="str">
        <f>IF(COUNTIF(Returns!$A$2:$A$1635,Orders!AC1705)&gt;0,"Returned","Not Returned")</f>
        <v>Not Returned</v>
      </c>
    </row>
    <row r="1706" spans="1:30" ht="12.75" customHeight="1" thickTop="1" thickBot="1" x14ac:dyDescent="0.25">
      <c r="A1706" s="10">
        <v>23295</v>
      </c>
      <c r="B1706" s="11" t="s">
        <v>47</v>
      </c>
      <c r="C1706" s="11">
        <v>0.05</v>
      </c>
      <c r="D1706" s="11">
        <v>122.99</v>
      </c>
      <c r="E1706" s="11">
        <v>19.989999999999998</v>
      </c>
      <c r="F1706" s="11">
        <v>3005</v>
      </c>
      <c r="G1706" s="6" t="str">
        <f>IF(COUNTIF(Table1[Customer ID],Table1[[#This Row],[Customer ID]])&gt;1,"Repeat Customer","One-Time Customer")</f>
        <v>One-Time Customer</v>
      </c>
      <c r="H1706" s="11" t="s">
        <v>2727</v>
      </c>
      <c r="I1706" s="11" t="s">
        <v>27</v>
      </c>
      <c r="J1706" s="11" t="s">
        <v>28</v>
      </c>
      <c r="K1706" s="11" t="s">
        <v>29</v>
      </c>
      <c r="L1706" s="11" t="s">
        <v>109</v>
      </c>
      <c r="M1706" s="11" t="s">
        <v>59</v>
      </c>
      <c r="N1706" s="11" t="s">
        <v>2243</v>
      </c>
      <c r="O1706" s="11">
        <v>0.37</v>
      </c>
      <c r="P1706" s="6">
        <f>Table1[[#This Row],[Profit]]/Table1[[#This Row],[Sales]]</f>
        <v>0.68999999999999984</v>
      </c>
      <c r="Q1706" s="11" t="s">
        <v>33</v>
      </c>
      <c r="R1706" s="11" t="s">
        <v>34</v>
      </c>
      <c r="S1706" s="11" t="s">
        <v>1741</v>
      </c>
      <c r="T1706" s="11" t="s">
        <v>2724</v>
      </c>
      <c r="U1706" s="11">
        <v>83814</v>
      </c>
      <c r="V1706" s="12">
        <v>42163</v>
      </c>
      <c r="W1706" s="13" t="str">
        <f>TEXT(Table1[[#This Row],[Order Date]],"mmmm")</f>
        <v>June</v>
      </c>
      <c r="X1706" s="7" t="str">
        <f>TEXT(Table1[[#This Row],[Order Date]],"yyyy")</f>
        <v>2015</v>
      </c>
      <c r="Y1706" s="12">
        <v>42166</v>
      </c>
      <c r="Z1706" s="11">
        <v>1039.7540999999999</v>
      </c>
      <c r="AA1706" s="11">
        <v>12</v>
      </c>
      <c r="AB1706" s="11">
        <v>1506.89</v>
      </c>
      <c r="AC1706" s="11">
        <v>91389</v>
      </c>
      <c r="AD1706" s="6" t="str">
        <f>IF(COUNTIF(Returns!$A$2:$A$1635,Orders!AC1706)&gt;0,"Returned","Not Returned")</f>
        <v>Not Returned</v>
      </c>
    </row>
    <row r="1707" spans="1:30" ht="12.75" customHeight="1" thickTop="1" thickBot="1" x14ac:dyDescent="0.25">
      <c r="A1707" s="8">
        <v>25664</v>
      </c>
      <c r="B1707" s="1" t="s">
        <v>106</v>
      </c>
      <c r="C1707" s="1">
        <v>0.08</v>
      </c>
      <c r="D1707" s="1">
        <v>6.48</v>
      </c>
      <c r="E1707" s="1">
        <v>6.81</v>
      </c>
      <c r="F1707" s="1">
        <v>3006</v>
      </c>
      <c r="G1707" s="6" t="str">
        <f>IF(COUNTIF(Table1[Customer ID],Table1[[#This Row],[Customer ID]])&gt;1,"Repeat Customer","One-Time Customer")</f>
        <v>Repeat Customer</v>
      </c>
      <c r="H1707" s="1" t="s">
        <v>2728</v>
      </c>
      <c r="I1707" s="1" t="s">
        <v>49</v>
      </c>
      <c r="J1707" s="1" t="s">
        <v>28</v>
      </c>
      <c r="K1707" s="1" t="s">
        <v>29</v>
      </c>
      <c r="L1707" s="1" t="s">
        <v>93</v>
      </c>
      <c r="M1707" s="1" t="s">
        <v>59</v>
      </c>
      <c r="N1707" s="1" t="s">
        <v>2726</v>
      </c>
      <c r="O1707" s="1">
        <v>0.36</v>
      </c>
      <c r="P1707" s="6">
        <f>Table1[[#This Row],[Profit]]/Table1[[#This Row],[Sales]]</f>
        <v>-0.53295915050384657</v>
      </c>
      <c r="Q1707" s="1" t="s">
        <v>33</v>
      </c>
      <c r="R1707" s="1" t="s">
        <v>34</v>
      </c>
      <c r="S1707" s="1" t="s">
        <v>1741</v>
      </c>
      <c r="T1707" s="1" t="s">
        <v>2729</v>
      </c>
      <c r="U1707" s="1">
        <v>83402</v>
      </c>
      <c r="V1707" s="9">
        <v>42045</v>
      </c>
      <c r="W1707" s="13" t="str">
        <f>TEXT(Table1[[#This Row],[Order Date]],"mmmm")</f>
        <v>February</v>
      </c>
      <c r="X1707" s="7" t="str">
        <f>TEXT(Table1[[#This Row],[Order Date]],"yyyy")</f>
        <v>2015</v>
      </c>
      <c r="Y1707" s="9">
        <v>42050</v>
      </c>
      <c r="Z1707" s="1">
        <v>-49.186800000000005</v>
      </c>
      <c r="AA1707" s="1">
        <v>14</v>
      </c>
      <c r="AB1707" s="1">
        <v>92.29</v>
      </c>
      <c r="AC1707" s="1">
        <v>91388</v>
      </c>
      <c r="AD1707" s="6" t="str">
        <f>IF(COUNTIF(Returns!$A$2:$A$1635,Orders!AC1707)&gt;0,"Returned","Not Returned")</f>
        <v>Not Returned</v>
      </c>
    </row>
    <row r="1708" spans="1:30" ht="12.75" customHeight="1" thickTop="1" thickBot="1" x14ac:dyDescent="0.25">
      <c r="A1708" s="10">
        <v>25665</v>
      </c>
      <c r="B1708" s="11" t="s">
        <v>106</v>
      </c>
      <c r="C1708" s="11">
        <v>0.09</v>
      </c>
      <c r="D1708" s="11">
        <v>20.98</v>
      </c>
      <c r="E1708" s="11">
        <v>53.03</v>
      </c>
      <c r="F1708" s="11">
        <v>3006</v>
      </c>
      <c r="G1708" s="6" t="str">
        <f>IF(COUNTIF(Table1[Customer ID],Table1[[#This Row],[Customer ID]])&gt;1,"Repeat Customer","One-Time Customer")</f>
        <v>Repeat Customer</v>
      </c>
      <c r="H1708" s="11" t="s">
        <v>2728</v>
      </c>
      <c r="I1708" s="11" t="s">
        <v>39</v>
      </c>
      <c r="J1708" s="11" t="s">
        <v>28</v>
      </c>
      <c r="K1708" s="11" t="s">
        <v>29</v>
      </c>
      <c r="L1708" s="11" t="s">
        <v>141</v>
      </c>
      <c r="M1708" s="11" t="s">
        <v>43</v>
      </c>
      <c r="N1708" s="11" t="s">
        <v>617</v>
      </c>
      <c r="O1708" s="11">
        <v>0.78</v>
      </c>
      <c r="P1708" s="6">
        <f>Table1[[#This Row],[Profit]]/Table1[[#This Row],[Sales]]</f>
        <v>-1.8561769352290678</v>
      </c>
      <c r="Q1708" s="11" t="s">
        <v>33</v>
      </c>
      <c r="R1708" s="11" t="s">
        <v>34</v>
      </c>
      <c r="S1708" s="11" t="s">
        <v>1741</v>
      </c>
      <c r="T1708" s="11" t="s">
        <v>2729</v>
      </c>
      <c r="U1708" s="11">
        <v>83402</v>
      </c>
      <c r="V1708" s="12">
        <v>42045</v>
      </c>
      <c r="W1708" s="13" t="str">
        <f>TEXT(Table1[[#This Row],[Order Date]],"mmmm")</f>
        <v>February</v>
      </c>
      <c r="X1708" s="7" t="str">
        <f>TEXT(Table1[[#This Row],[Order Date]],"yyyy")</f>
        <v>2015</v>
      </c>
      <c r="Y1708" s="12">
        <v>42052</v>
      </c>
      <c r="Z1708" s="11">
        <v>-152.7448</v>
      </c>
      <c r="AA1708" s="11">
        <v>3</v>
      </c>
      <c r="AB1708" s="11">
        <v>82.29</v>
      </c>
      <c r="AC1708" s="11">
        <v>91388</v>
      </c>
      <c r="AD1708" s="6" t="str">
        <f>IF(COUNTIF(Returns!$A$2:$A$1635,Orders!AC1708)&gt;0,"Returned","Not Returned")</f>
        <v>Not Returned</v>
      </c>
    </row>
    <row r="1709" spans="1:30" ht="12.75" customHeight="1" thickTop="1" thickBot="1" x14ac:dyDescent="0.25">
      <c r="A1709" s="8">
        <v>23627</v>
      </c>
      <c r="B1709" s="1" t="s">
        <v>47</v>
      </c>
      <c r="C1709" s="1">
        <v>0.05</v>
      </c>
      <c r="D1709" s="1">
        <v>9.99</v>
      </c>
      <c r="E1709" s="1">
        <v>4.78</v>
      </c>
      <c r="F1709" s="1">
        <v>3008</v>
      </c>
      <c r="G1709" s="6" t="str">
        <f>IF(COUNTIF(Table1[Customer ID],Table1[[#This Row],[Customer ID]])&gt;1,"Repeat Customer","One-Time Customer")</f>
        <v>Repeat Customer</v>
      </c>
      <c r="H1709" s="1" t="s">
        <v>2730</v>
      </c>
      <c r="I1709" s="1" t="s">
        <v>49</v>
      </c>
      <c r="J1709" s="1" t="s">
        <v>40</v>
      </c>
      <c r="K1709" s="1" t="s">
        <v>29</v>
      </c>
      <c r="L1709" s="1" t="s">
        <v>93</v>
      </c>
      <c r="M1709" s="1" t="s">
        <v>59</v>
      </c>
      <c r="N1709" s="1" t="s">
        <v>1811</v>
      </c>
      <c r="O1709" s="1">
        <v>0.4</v>
      </c>
      <c r="P1709" s="6">
        <f>Table1[[#This Row],[Profit]]/Table1[[#This Row],[Sales]]</f>
        <v>0.20307813345134482</v>
      </c>
      <c r="Q1709" s="1" t="s">
        <v>33</v>
      </c>
      <c r="R1709" s="1" t="s">
        <v>61</v>
      </c>
      <c r="S1709" s="1" t="s">
        <v>62</v>
      </c>
      <c r="T1709" s="1" t="s">
        <v>2731</v>
      </c>
      <c r="U1709" s="1">
        <v>55343</v>
      </c>
      <c r="V1709" s="9">
        <v>42069</v>
      </c>
      <c r="W1709" s="13" t="str">
        <f>TEXT(Table1[[#This Row],[Order Date]],"mmmm")</f>
        <v>March</v>
      </c>
      <c r="X1709" s="7" t="str">
        <f>TEXT(Table1[[#This Row],[Order Date]],"yyyy")</f>
        <v>2015</v>
      </c>
      <c r="Y1709" s="9">
        <v>42070</v>
      </c>
      <c r="Z1709" s="1">
        <v>41.3</v>
      </c>
      <c r="AA1709" s="1">
        <v>20</v>
      </c>
      <c r="AB1709" s="1">
        <v>203.37</v>
      </c>
      <c r="AC1709" s="1">
        <v>89414</v>
      </c>
      <c r="AD1709" s="6" t="str">
        <f>IF(COUNTIF(Returns!$A$2:$A$1635,Orders!AC1709)&gt;0,"Returned","Not Returned")</f>
        <v>Not Returned</v>
      </c>
    </row>
    <row r="1710" spans="1:30" ht="12.75" customHeight="1" thickTop="1" thickBot="1" x14ac:dyDescent="0.25">
      <c r="A1710" s="10">
        <v>24908</v>
      </c>
      <c r="B1710" s="11" t="s">
        <v>25</v>
      </c>
      <c r="C1710" s="11">
        <v>0.01</v>
      </c>
      <c r="D1710" s="11">
        <v>12.28</v>
      </c>
      <c r="E1710" s="11">
        <v>6.47</v>
      </c>
      <c r="F1710" s="11">
        <v>3008</v>
      </c>
      <c r="G1710" s="6" t="str">
        <f>IF(COUNTIF(Table1[Customer ID],Table1[[#This Row],[Customer ID]])&gt;1,"Repeat Customer","One-Time Customer")</f>
        <v>Repeat Customer</v>
      </c>
      <c r="H1710" s="11" t="s">
        <v>2730</v>
      </c>
      <c r="I1710" s="11" t="s">
        <v>49</v>
      </c>
      <c r="J1710" s="11" t="s">
        <v>40</v>
      </c>
      <c r="K1710" s="11" t="s">
        <v>29</v>
      </c>
      <c r="L1710" s="11" t="s">
        <v>93</v>
      </c>
      <c r="M1710" s="11" t="s">
        <v>59</v>
      </c>
      <c r="N1710" s="11" t="s">
        <v>2732</v>
      </c>
      <c r="O1710" s="11">
        <v>0.38</v>
      </c>
      <c r="P1710" s="6">
        <f>Table1[[#This Row],[Profit]]/Table1[[#This Row],[Sales]]</f>
        <v>0.29634009709946468</v>
      </c>
      <c r="Q1710" s="11" t="s">
        <v>33</v>
      </c>
      <c r="R1710" s="11" t="s">
        <v>61</v>
      </c>
      <c r="S1710" s="11" t="s">
        <v>62</v>
      </c>
      <c r="T1710" s="11" t="s">
        <v>2731</v>
      </c>
      <c r="U1710" s="11">
        <v>55343</v>
      </c>
      <c r="V1710" s="12">
        <v>42166</v>
      </c>
      <c r="W1710" s="13" t="str">
        <f>TEXT(Table1[[#This Row],[Order Date]],"mmmm")</f>
        <v>June</v>
      </c>
      <c r="X1710" s="7" t="str">
        <f>TEXT(Table1[[#This Row],[Order Date]],"yyyy")</f>
        <v>2015</v>
      </c>
      <c r="Y1710" s="12">
        <v>42167</v>
      </c>
      <c r="Z1710" s="11">
        <v>47.61</v>
      </c>
      <c r="AA1710" s="11">
        <v>12</v>
      </c>
      <c r="AB1710" s="11">
        <v>160.66</v>
      </c>
      <c r="AC1710" s="11">
        <v>89415</v>
      </c>
      <c r="AD1710" s="6" t="str">
        <f>IF(COUNTIF(Returns!$A$2:$A$1635,Orders!AC1710)&gt;0,"Returned","Not Returned")</f>
        <v>Not Returned</v>
      </c>
    </row>
    <row r="1711" spans="1:30" ht="12.75" customHeight="1" thickTop="1" thickBot="1" x14ac:dyDescent="0.25">
      <c r="A1711" s="8">
        <v>7898</v>
      </c>
      <c r="B1711" s="1" t="s">
        <v>47</v>
      </c>
      <c r="C1711" s="1">
        <v>0.03</v>
      </c>
      <c r="D1711" s="1">
        <v>5.98</v>
      </c>
      <c r="E1711" s="1">
        <v>5.35</v>
      </c>
      <c r="F1711" s="1">
        <v>3011</v>
      </c>
      <c r="G1711" s="6" t="str">
        <f>IF(COUNTIF(Table1[Customer ID],Table1[[#This Row],[Customer ID]])&gt;1,"Repeat Customer","One-Time Customer")</f>
        <v>Repeat Customer</v>
      </c>
      <c r="H1711" s="1" t="s">
        <v>2733</v>
      </c>
      <c r="I1711" s="1" t="s">
        <v>49</v>
      </c>
      <c r="J1711" s="1" t="s">
        <v>28</v>
      </c>
      <c r="K1711" s="1" t="s">
        <v>29</v>
      </c>
      <c r="L1711" s="1" t="s">
        <v>93</v>
      </c>
      <c r="M1711" s="1" t="s">
        <v>59</v>
      </c>
      <c r="N1711" s="1" t="s">
        <v>1437</v>
      </c>
      <c r="O1711" s="1">
        <v>0.4</v>
      </c>
      <c r="P1711" s="6">
        <f>Table1[[#This Row],[Profit]]/Table1[[#This Row],[Sales]]</f>
        <v>-0.21946208442286141</v>
      </c>
      <c r="Q1711" s="1" t="s">
        <v>33</v>
      </c>
      <c r="R1711" s="1" t="s">
        <v>53</v>
      </c>
      <c r="S1711" s="1" t="s">
        <v>193</v>
      </c>
      <c r="T1711" s="1" t="s">
        <v>194</v>
      </c>
      <c r="U1711" s="1">
        <v>2113</v>
      </c>
      <c r="V1711" s="9">
        <v>42152</v>
      </c>
      <c r="W1711" s="13" t="str">
        <f>TEXT(Table1[[#This Row],[Order Date]],"mmmm")</f>
        <v>May</v>
      </c>
      <c r="X1711" s="7" t="str">
        <f>TEXT(Table1[[#This Row],[Order Date]],"yyyy")</f>
        <v>2015</v>
      </c>
      <c r="Y1711" s="9">
        <v>42153</v>
      </c>
      <c r="Z1711" s="1">
        <v>-23.5</v>
      </c>
      <c r="AA1711" s="1">
        <v>16</v>
      </c>
      <c r="AB1711" s="1">
        <v>107.08</v>
      </c>
      <c r="AC1711" s="1">
        <v>56486</v>
      </c>
      <c r="AD1711" s="6" t="str">
        <f>IF(COUNTIF(Returns!$A$2:$A$1635,Orders!AC1711)&gt;0,"Returned","Not Returned")</f>
        <v>Not Returned</v>
      </c>
    </row>
    <row r="1712" spans="1:30" ht="12.75" customHeight="1" thickTop="1" thickBot="1" x14ac:dyDescent="0.25">
      <c r="A1712" s="10">
        <v>1041</v>
      </c>
      <c r="B1712" s="11" t="s">
        <v>47</v>
      </c>
      <c r="C1712" s="11">
        <v>0.03</v>
      </c>
      <c r="D1712" s="11">
        <v>300.64999999999998</v>
      </c>
      <c r="E1712" s="11">
        <v>24.49</v>
      </c>
      <c r="F1712" s="11">
        <v>3011</v>
      </c>
      <c r="G1712" s="6" t="str">
        <f>IF(COUNTIF(Table1[Customer ID],Table1[[#This Row],[Customer ID]])&gt;1,"Repeat Customer","One-Time Customer")</f>
        <v>Repeat Customer</v>
      </c>
      <c r="H1712" s="11" t="s">
        <v>2733</v>
      </c>
      <c r="I1712" s="11" t="s">
        <v>49</v>
      </c>
      <c r="J1712" s="11" t="s">
        <v>28</v>
      </c>
      <c r="K1712" s="11" t="s">
        <v>29</v>
      </c>
      <c r="L1712" s="11" t="s">
        <v>257</v>
      </c>
      <c r="M1712" s="11" t="s">
        <v>236</v>
      </c>
      <c r="N1712" s="11" t="s">
        <v>2734</v>
      </c>
      <c r="O1712" s="11">
        <v>0.52</v>
      </c>
      <c r="P1712" s="6">
        <f>Table1[[#This Row],[Profit]]/Table1[[#This Row],[Sales]]</f>
        <v>0.13214170168132164</v>
      </c>
      <c r="Q1712" s="11" t="s">
        <v>33</v>
      </c>
      <c r="R1712" s="11" t="s">
        <v>53</v>
      </c>
      <c r="S1712" s="11" t="s">
        <v>193</v>
      </c>
      <c r="T1712" s="11" t="s">
        <v>194</v>
      </c>
      <c r="U1712" s="11">
        <v>2113</v>
      </c>
      <c r="V1712" s="12">
        <v>42122</v>
      </c>
      <c r="W1712" s="13" t="str">
        <f>TEXT(Table1[[#This Row],[Order Date]],"mmmm")</f>
        <v>April</v>
      </c>
      <c r="X1712" s="7" t="str">
        <f>TEXT(Table1[[#This Row],[Order Date]],"yyyy")</f>
        <v>2015</v>
      </c>
      <c r="Y1712" s="12">
        <v>42124</v>
      </c>
      <c r="Z1712" s="11">
        <v>1282.4959999999999</v>
      </c>
      <c r="AA1712" s="11">
        <v>32</v>
      </c>
      <c r="AB1712" s="11">
        <v>9705.4599999999991</v>
      </c>
      <c r="AC1712" s="11">
        <v>7623</v>
      </c>
      <c r="AD1712" s="6" t="str">
        <f>IF(COUNTIF(Returns!$A$2:$A$1635,Orders!AC1712)&gt;0,"Returned","Not Returned")</f>
        <v>Not Returned</v>
      </c>
    </row>
    <row r="1713" spans="1:30" ht="12.75" customHeight="1" thickTop="1" thickBot="1" x14ac:dyDescent="0.25">
      <c r="A1713" s="8">
        <v>1042</v>
      </c>
      <c r="B1713" s="1" t="s">
        <v>47</v>
      </c>
      <c r="C1713" s="1">
        <v>0.06</v>
      </c>
      <c r="D1713" s="1">
        <v>49.99</v>
      </c>
      <c r="E1713" s="1">
        <v>19.989999999999998</v>
      </c>
      <c r="F1713" s="1">
        <v>3011</v>
      </c>
      <c r="G1713" s="6" t="str">
        <f>IF(COUNTIF(Table1[Customer ID],Table1[[#This Row],[Customer ID]])&gt;1,"Repeat Customer","One-Time Customer")</f>
        <v>Repeat Customer</v>
      </c>
      <c r="H1713" s="1" t="s">
        <v>2733</v>
      </c>
      <c r="I1713" s="1" t="s">
        <v>49</v>
      </c>
      <c r="J1713" s="1" t="s">
        <v>28</v>
      </c>
      <c r="K1713" s="1" t="s">
        <v>77</v>
      </c>
      <c r="L1713" s="1" t="s">
        <v>180</v>
      </c>
      <c r="M1713" s="1" t="s">
        <v>59</v>
      </c>
      <c r="N1713" s="1" t="s">
        <v>1731</v>
      </c>
      <c r="O1713" s="1">
        <v>0.45</v>
      </c>
      <c r="P1713" s="6">
        <f>Table1[[#This Row],[Profit]]/Table1[[#This Row],[Sales]]</f>
        <v>5.2963165965623209E-3</v>
      </c>
      <c r="Q1713" s="1" t="s">
        <v>33</v>
      </c>
      <c r="R1713" s="1" t="s">
        <v>53</v>
      </c>
      <c r="S1713" s="1" t="s">
        <v>193</v>
      </c>
      <c r="T1713" s="1" t="s">
        <v>194</v>
      </c>
      <c r="U1713" s="1">
        <v>2113</v>
      </c>
      <c r="V1713" s="9">
        <v>42122</v>
      </c>
      <c r="W1713" s="13" t="str">
        <f>TEXT(Table1[[#This Row],[Order Date]],"mmmm")</f>
        <v>April</v>
      </c>
      <c r="X1713" s="7" t="str">
        <f>TEXT(Table1[[#This Row],[Order Date]],"yyyy")</f>
        <v>2015</v>
      </c>
      <c r="Y1713" s="9">
        <v>42124</v>
      </c>
      <c r="Z1713" s="1">
        <v>17.2</v>
      </c>
      <c r="AA1713" s="1">
        <v>67</v>
      </c>
      <c r="AB1713" s="1">
        <v>3247.54</v>
      </c>
      <c r="AC1713" s="1">
        <v>7623</v>
      </c>
      <c r="AD1713" s="6" t="str">
        <f>IF(COUNTIF(Returns!$A$2:$A$1635,Orders!AC1713)&gt;0,"Returned","Not Returned")</f>
        <v>Not Returned</v>
      </c>
    </row>
    <row r="1714" spans="1:30" ht="12.75" customHeight="1" thickTop="1" thickBot="1" x14ac:dyDescent="0.25">
      <c r="A1714" s="10">
        <v>1043</v>
      </c>
      <c r="B1714" s="11" t="s">
        <v>47</v>
      </c>
      <c r="C1714" s="11">
        <v>0.1</v>
      </c>
      <c r="D1714" s="11">
        <v>104.85</v>
      </c>
      <c r="E1714" s="11">
        <v>4.6500000000000004</v>
      </c>
      <c r="F1714" s="11">
        <v>3011</v>
      </c>
      <c r="G1714" s="6" t="str">
        <f>IF(COUNTIF(Table1[Customer ID],Table1[[#This Row],[Customer ID]])&gt;1,"Repeat Customer","One-Time Customer")</f>
        <v>Repeat Customer</v>
      </c>
      <c r="H1714" s="11" t="s">
        <v>2733</v>
      </c>
      <c r="I1714" s="11" t="s">
        <v>49</v>
      </c>
      <c r="J1714" s="11" t="s">
        <v>28</v>
      </c>
      <c r="K1714" s="11" t="s">
        <v>29</v>
      </c>
      <c r="L1714" s="11" t="s">
        <v>93</v>
      </c>
      <c r="M1714" s="11" t="s">
        <v>59</v>
      </c>
      <c r="N1714" s="11" t="s">
        <v>2735</v>
      </c>
      <c r="O1714" s="11">
        <v>0.37</v>
      </c>
      <c r="P1714" s="6">
        <f>Table1[[#This Row],[Profit]]/Table1[[#This Row],[Sales]]</f>
        <v>0.21210791329534648</v>
      </c>
      <c r="Q1714" s="11" t="s">
        <v>33</v>
      </c>
      <c r="R1714" s="11" t="s">
        <v>53</v>
      </c>
      <c r="S1714" s="11" t="s">
        <v>193</v>
      </c>
      <c r="T1714" s="11" t="s">
        <v>194</v>
      </c>
      <c r="U1714" s="11">
        <v>2113</v>
      </c>
      <c r="V1714" s="12">
        <v>42122</v>
      </c>
      <c r="W1714" s="13" t="str">
        <f>TEXT(Table1[[#This Row],[Order Date]],"mmmm")</f>
        <v>April</v>
      </c>
      <c r="X1714" s="7" t="str">
        <f>TEXT(Table1[[#This Row],[Order Date]],"yyyy")</f>
        <v>2015</v>
      </c>
      <c r="Y1714" s="12">
        <v>42123</v>
      </c>
      <c r="Z1714" s="11">
        <v>1184.1200000000001</v>
      </c>
      <c r="AA1714" s="11">
        <v>58</v>
      </c>
      <c r="AB1714" s="11">
        <v>5582.63</v>
      </c>
      <c r="AC1714" s="11">
        <v>7623</v>
      </c>
      <c r="AD1714" s="6" t="str">
        <f>IF(COUNTIF(Returns!$A$2:$A$1635,Orders!AC1714)&gt;0,"Returned","Not Returned")</f>
        <v>Not Returned</v>
      </c>
    </row>
    <row r="1715" spans="1:30" ht="12.75" customHeight="1" thickTop="1" thickBot="1" x14ac:dyDescent="0.25">
      <c r="A1715" s="8">
        <v>19041</v>
      </c>
      <c r="B1715" s="1" t="s">
        <v>47</v>
      </c>
      <c r="C1715" s="1">
        <v>0.03</v>
      </c>
      <c r="D1715" s="1">
        <v>300.64999999999998</v>
      </c>
      <c r="E1715" s="1">
        <v>24.49</v>
      </c>
      <c r="F1715" s="1">
        <v>3012</v>
      </c>
      <c r="G1715" s="6" t="str">
        <f>IF(COUNTIF(Table1[Customer ID],Table1[[#This Row],[Customer ID]])&gt;1,"Repeat Customer","One-Time Customer")</f>
        <v>Repeat Customer</v>
      </c>
      <c r="H1715" s="1" t="s">
        <v>2736</v>
      </c>
      <c r="I1715" s="1" t="s">
        <v>49</v>
      </c>
      <c r="J1715" s="1" t="s">
        <v>28</v>
      </c>
      <c r="K1715" s="1" t="s">
        <v>29</v>
      </c>
      <c r="L1715" s="1" t="s">
        <v>257</v>
      </c>
      <c r="M1715" s="1" t="s">
        <v>236</v>
      </c>
      <c r="N1715" s="1" t="s">
        <v>2734</v>
      </c>
      <c r="O1715" s="1">
        <v>0.52</v>
      </c>
      <c r="P1715" s="6">
        <f>Table1[[#This Row],[Profit]]/Table1[[#This Row],[Sales]]</f>
        <v>0.60785308033432783</v>
      </c>
      <c r="Q1715" s="1" t="s">
        <v>33</v>
      </c>
      <c r="R1715" s="1" t="s">
        <v>53</v>
      </c>
      <c r="S1715" s="1" t="s">
        <v>71</v>
      </c>
      <c r="T1715" s="1" t="s">
        <v>2737</v>
      </c>
      <c r="U1715" s="1">
        <v>14609</v>
      </c>
      <c r="V1715" s="9">
        <v>42122</v>
      </c>
      <c r="W1715" s="13" t="str">
        <f>TEXT(Table1[[#This Row],[Order Date]],"mmmm")</f>
        <v>April</v>
      </c>
      <c r="X1715" s="7" t="str">
        <f>TEXT(Table1[[#This Row],[Order Date]],"yyyy")</f>
        <v>2015</v>
      </c>
      <c r="Y1715" s="9">
        <v>42124</v>
      </c>
      <c r="Z1715" s="1">
        <v>1474.8703999999998</v>
      </c>
      <c r="AA1715" s="1">
        <v>8</v>
      </c>
      <c r="AB1715" s="1">
        <v>2426.36</v>
      </c>
      <c r="AC1715" s="1">
        <v>86346</v>
      </c>
      <c r="AD1715" s="6" t="str">
        <f>IF(COUNTIF(Returns!$A$2:$A$1635,Orders!AC1715)&gt;0,"Returned","Not Returned")</f>
        <v>Not Returned</v>
      </c>
    </row>
    <row r="1716" spans="1:30" ht="12.75" customHeight="1" thickTop="1" thickBot="1" x14ac:dyDescent="0.25">
      <c r="A1716" s="10">
        <v>19042</v>
      </c>
      <c r="B1716" s="11" t="s">
        <v>47</v>
      </c>
      <c r="C1716" s="11">
        <v>0.06</v>
      </c>
      <c r="D1716" s="11">
        <v>49.99</v>
      </c>
      <c r="E1716" s="11">
        <v>19.989999999999998</v>
      </c>
      <c r="F1716" s="11">
        <v>3012</v>
      </c>
      <c r="G1716" s="6" t="str">
        <f>IF(COUNTIF(Table1[Customer ID],Table1[[#This Row],[Customer ID]])&gt;1,"Repeat Customer","One-Time Customer")</f>
        <v>Repeat Customer</v>
      </c>
      <c r="H1716" s="11" t="s">
        <v>2736</v>
      </c>
      <c r="I1716" s="11" t="s">
        <v>49</v>
      </c>
      <c r="J1716" s="11" t="s">
        <v>28</v>
      </c>
      <c r="K1716" s="11" t="s">
        <v>77</v>
      </c>
      <c r="L1716" s="11" t="s">
        <v>180</v>
      </c>
      <c r="M1716" s="11" t="s">
        <v>59</v>
      </c>
      <c r="N1716" s="11" t="s">
        <v>1731</v>
      </c>
      <c r="O1716" s="11">
        <v>0.45</v>
      </c>
      <c r="P1716" s="6">
        <f>Table1[[#This Row],[Profit]]/Table1[[#This Row],[Sales]]</f>
        <v>2.400485436893204E-2</v>
      </c>
      <c r="Q1716" s="11" t="s">
        <v>33</v>
      </c>
      <c r="R1716" s="11" t="s">
        <v>53</v>
      </c>
      <c r="S1716" s="11" t="s">
        <v>71</v>
      </c>
      <c r="T1716" s="11" t="s">
        <v>2737</v>
      </c>
      <c r="U1716" s="11">
        <v>14609</v>
      </c>
      <c r="V1716" s="12">
        <v>42122</v>
      </c>
      <c r="W1716" s="13" t="str">
        <f>TEXT(Table1[[#This Row],[Order Date]],"mmmm")</f>
        <v>April</v>
      </c>
      <c r="X1716" s="7" t="str">
        <f>TEXT(Table1[[#This Row],[Order Date]],"yyyy")</f>
        <v>2015</v>
      </c>
      <c r="Y1716" s="12">
        <v>42124</v>
      </c>
      <c r="Z1716" s="11">
        <v>19.78</v>
      </c>
      <c r="AA1716" s="11">
        <v>17</v>
      </c>
      <c r="AB1716" s="11">
        <v>824</v>
      </c>
      <c r="AC1716" s="11">
        <v>86346</v>
      </c>
      <c r="AD1716" s="6" t="str">
        <f>IF(COUNTIF(Returns!$A$2:$A$1635,Orders!AC1716)&gt;0,"Returned","Not Returned")</f>
        <v>Not Returned</v>
      </c>
    </row>
    <row r="1717" spans="1:30" ht="12.75" customHeight="1" thickTop="1" thickBot="1" x14ac:dyDescent="0.25">
      <c r="A1717" s="8">
        <v>19043</v>
      </c>
      <c r="B1717" s="1" t="s">
        <v>47</v>
      </c>
      <c r="C1717" s="1">
        <v>0.1</v>
      </c>
      <c r="D1717" s="1">
        <v>104.85</v>
      </c>
      <c r="E1717" s="1">
        <v>4.6500000000000004</v>
      </c>
      <c r="F1717" s="1">
        <v>3012</v>
      </c>
      <c r="G1717" s="6" t="str">
        <f>IF(COUNTIF(Table1[Customer ID],Table1[[#This Row],[Customer ID]])&gt;1,"Repeat Customer","One-Time Customer")</f>
        <v>Repeat Customer</v>
      </c>
      <c r="H1717" s="1" t="s">
        <v>2736</v>
      </c>
      <c r="I1717" s="1" t="s">
        <v>49</v>
      </c>
      <c r="J1717" s="1" t="s">
        <v>28</v>
      </c>
      <c r="K1717" s="1" t="s">
        <v>29</v>
      </c>
      <c r="L1717" s="1" t="s">
        <v>93</v>
      </c>
      <c r="M1717" s="1" t="s">
        <v>59</v>
      </c>
      <c r="N1717" s="1" t="s">
        <v>2735</v>
      </c>
      <c r="O1717" s="1">
        <v>0.37</v>
      </c>
      <c r="P1717" s="6">
        <f>Table1[[#This Row],[Profit]]/Table1[[#This Row],[Sales]]</f>
        <v>0.69</v>
      </c>
      <c r="Q1717" s="1" t="s">
        <v>33</v>
      </c>
      <c r="R1717" s="1" t="s">
        <v>53</v>
      </c>
      <c r="S1717" s="1" t="s">
        <v>71</v>
      </c>
      <c r="T1717" s="1" t="s">
        <v>2737</v>
      </c>
      <c r="U1717" s="1">
        <v>14609</v>
      </c>
      <c r="V1717" s="9">
        <v>42122</v>
      </c>
      <c r="W1717" s="13" t="str">
        <f>TEXT(Table1[[#This Row],[Order Date]],"mmmm")</f>
        <v>April</v>
      </c>
      <c r="X1717" s="7" t="str">
        <f>TEXT(Table1[[#This Row],[Order Date]],"yyyy")</f>
        <v>2015</v>
      </c>
      <c r="Y1717" s="9">
        <v>42123</v>
      </c>
      <c r="Z1717" s="1">
        <v>929.7956999999999</v>
      </c>
      <c r="AA1717" s="1">
        <v>14</v>
      </c>
      <c r="AB1717" s="1">
        <v>1347.53</v>
      </c>
      <c r="AC1717" s="1">
        <v>86346</v>
      </c>
      <c r="AD1717" s="6" t="str">
        <f>IF(COUNTIF(Returns!$A$2:$A$1635,Orders!AC1717)&gt;0,"Returned","Not Returned")</f>
        <v>Not Returned</v>
      </c>
    </row>
    <row r="1718" spans="1:30" ht="12.75" customHeight="1" thickTop="1" thickBot="1" x14ac:dyDescent="0.25">
      <c r="A1718" s="10">
        <v>22064</v>
      </c>
      <c r="B1718" s="11" t="s">
        <v>47</v>
      </c>
      <c r="C1718" s="11">
        <v>0.01</v>
      </c>
      <c r="D1718" s="11">
        <v>5.58</v>
      </c>
      <c r="E1718" s="11">
        <v>5.3</v>
      </c>
      <c r="F1718" s="11">
        <v>3017</v>
      </c>
      <c r="G1718" s="6" t="str">
        <f>IF(COUNTIF(Table1[Customer ID],Table1[[#This Row],[Customer ID]])&gt;1,"Repeat Customer","One-Time Customer")</f>
        <v>Repeat Customer</v>
      </c>
      <c r="H1718" s="11" t="s">
        <v>2738</v>
      </c>
      <c r="I1718" s="11" t="s">
        <v>49</v>
      </c>
      <c r="J1718" s="11" t="s">
        <v>28</v>
      </c>
      <c r="K1718" s="11" t="s">
        <v>29</v>
      </c>
      <c r="L1718" s="11" t="s">
        <v>69</v>
      </c>
      <c r="M1718" s="11" t="s">
        <v>59</v>
      </c>
      <c r="N1718" s="11" t="s">
        <v>377</v>
      </c>
      <c r="O1718" s="11">
        <v>0.35</v>
      </c>
      <c r="P1718" s="6">
        <f>Table1[[#This Row],[Profit]]/Table1[[#This Row],[Sales]]</f>
        <v>-0.64964157706093184</v>
      </c>
      <c r="Q1718" s="11" t="s">
        <v>33</v>
      </c>
      <c r="R1718" s="11" t="s">
        <v>34</v>
      </c>
      <c r="S1718" s="11" t="s">
        <v>45</v>
      </c>
      <c r="T1718" s="11" t="s">
        <v>2739</v>
      </c>
      <c r="U1718" s="11">
        <v>92024</v>
      </c>
      <c r="V1718" s="12">
        <v>42013</v>
      </c>
      <c r="W1718" s="13" t="str">
        <f>TEXT(Table1[[#This Row],[Order Date]],"mmmm")</f>
        <v>January</v>
      </c>
      <c r="X1718" s="7" t="str">
        <f>TEXT(Table1[[#This Row],[Order Date]],"yyyy")</f>
        <v>2015</v>
      </c>
      <c r="Y1718" s="12">
        <v>42014</v>
      </c>
      <c r="Z1718" s="11">
        <v>-7.25</v>
      </c>
      <c r="AA1718" s="11">
        <v>1</v>
      </c>
      <c r="AB1718" s="11">
        <v>11.16</v>
      </c>
      <c r="AC1718" s="11">
        <v>89071</v>
      </c>
      <c r="AD1718" s="6" t="str">
        <f>IF(COUNTIF(Returns!$A$2:$A$1635,Orders!AC1718)&gt;0,"Returned","Not Returned")</f>
        <v>Not Returned</v>
      </c>
    </row>
    <row r="1719" spans="1:30" ht="12.75" customHeight="1" thickTop="1" thickBot="1" x14ac:dyDescent="0.25">
      <c r="A1719" s="8">
        <v>22065</v>
      </c>
      <c r="B1719" s="1" t="s">
        <v>47</v>
      </c>
      <c r="C1719" s="1">
        <v>0.03</v>
      </c>
      <c r="D1719" s="1">
        <v>3.98</v>
      </c>
      <c r="E1719" s="1">
        <v>0.7</v>
      </c>
      <c r="F1719" s="1">
        <v>3017</v>
      </c>
      <c r="G1719" s="6" t="str">
        <f>IF(COUNTIF(Table1[Customer ID],Table1[[#This Row],[Customer ID]])&gt;1,"Repeat Customer","One-Time Customer")</f>
        <v>Repeat Customer</v>
      </c>
      <c r="H1719" s="1" t="s">
        <v>2738</v>
      </c>
      <c r="I1719" s="1" t="s">
        <v>49</v>
      </c>
      <c r="J1719" s="1" t="s">
        <v>28</v>
      </c>
      <c r="K1719" s="1" t="s">
        <v>29</v>
      </c>
      <c r="L1719" s="1" t="s">
        <v>30</v>
      </c>
      <c r="M1719" s="1" t="s">
        <v>31</v>
      </c>
      <c r="N1719" s="1" t="s">
        <v>2740</v>
      </c>
      <c r="O1719" s="1">
        <v>0.52</v>
      </c>
      <c r="P1719" s="6">
        <f>Table1[[#This Row],[Profit]]/Table1[[#This Row],[Sales]]</f>
        <v>0.69</v>
      </c>
      <c r="Q1719" s="1" t="s">
        <v>33</v>
      </c>
      <c r="R1719" s="1" t="s">
        <v>34</v>
      </c>
      <c r="S1719" s="1" t="s">
        <v>45</v>
      </c>
      <c r="T1719" s="1" t="s">
        <v>2739</v>
      </c>
      <c r="U1719" s="1">
        <v>92024</v>
      </c>
      <c r="V1719" s="9">
        <v>42013</v>
      </c>
      <c r="W1719" s="13" t="str">
        <f>TEXT(Table1[[#This Row],[Order Date]],"mmmm")</f>
        <v>January</v>
      </c>
      <c r="X1719" s="7" t="str">
        <f>TEXT(Table1[[#This Row],[Order Date]],"yyyy")</f>
        <v>2015</v>
      </c>
      <c r="Y1719" s="9">
        <v>42014</v>
      </c>
      <c r="Z1719" s="1">
        <v>31.201799999999995</v>
      </c>
      <c r="AA1719" s="1">
        <v>11</v>
      </c>
      <c r="AB1719" s="1">
        <v>45.22</v>
      </c>
      <c r="AC1719" s="1">
        <v>89071</v>
      </c>
      <c r="AD1719" s="6" t="str">
        <f>IF(COUNTIF(Returns!$A$2:$A$1635,Orders!AC1719)&gt;0,"Returned","Not Returned")</f>
        <v>Not Returned</v>
      </c>
    </row>
    <row r="1720" spans="1:30" ht="12.75" customHeight="1" thickTop="1" thickBot="1" x14ac:dyDescent="0.25">
      <c r="A1720" s="10">
        <v>18950</v>
      </c>
      <c r="B1720" s="11" t="s">
        <v>106</v>
      </c>
      <c r="C1720" s="11">
        <v>0.01</v>
      </c>
      <c r="D1720" s="11">
        <v>4.9800000000000004</v>
      </c>
      <c r="E1720" s="11">
        <v>4.75</v>
      </c>
      <c r="F1720" s="11">
        <v>3035</v>
      </c>
      <c r="G1720" s="6" t="str">
        <f>IF(COUNTIF(Table1[Customer ID],Table1[[#This Row],[Customer ID]])&gt;1,"Repeat Customer","One-Time Customer")</f>
        <v>Repeat Customer</v>
      </c>
      <c r="H1720" s="11" t="s">
        <v>2741</v>
      </c>
      <c r="I1720" s="11" t="s">
        <v>49</v>
      </c>
      <c r="J1720" s="11" t="s">
        <v>40</v>
      </c>
      <c r="K1720" s="11" t="s">
        <v>29</v>
      </c>
      <c r="L1720" s="11" t="s">
        <v>93</v>
      </c>
      <c r="M1720" s="11" t="s">
        <v>59</v>
      </c>
      <c r="N1720" s="11" t="s">
        <v>2742</v>
      </c>
      <c r="O1720" s="11">
        <v>0.36</v>
      </c>
      <c r="P1720" s="6">
        <f>Table1[[#This Row],[Profit]]/Table1[[#This Row],[Sales]]</f>
        <v>-1.4339769506895901</v>
      </c>
      <c r="Q1720" s="11" t="s">
        <v>33</v>
      </c>
      <c r="R1720" s="11" t="s">
        <v>61</v>
      </c>
      <c r="S1720" s="11" t="s">
        <v>178</v>
      </c>
      <c r="T1720" s="11" t="s">
        <v>2743</v>
      </c>
      <c r="U1720" s="11">
        <v>60148</v>
      </c>
      <c r="V1720" s="12">
        <v>42019</v>
      </c>
      <c r="W1720" s="13" t="str">
        <f>TEXT(Table1[[#This Row],[Order Date]],"mmmm")</f>
        <v>January</v>
      </c>
      <c r="X1720" s="7" t="str">
        <f>TEXT(Table1[[#This Row],[Order Date]],"yyyy")</f>
        <v>2015</v>
      </c>
      <c r="Y1720" s="12">
        <v>42024</v>
      </c>
      <c r="Z1720" s="11">
        <v>-75.900400000000005</v>
      </c>
      <c r="AA1720" s="11">
        <v>10</v>
      </c>
      <c r="AB1720" s="11">
        <v>52.93</v>
      </c>
      <c r="AC1720" s="11">
        <v>89128</v>
      </c>
      <c r="AD1720" s="6" t="str">
        <f>IF(COUNTIF(Returns!$A$2:$A$1635,Orders!AC1720)&gt;0,"Returned","Not Returned")</f>
        <v>Not Returned</v>
      </c>
    </row>
    <row r="1721" spans="1:30" ht="12.75" customHeight="1" thickTop="1" thickBot="1" x14ac:dyDescent="0.25">
      <c r="A1721" s="8">
        <v>18951</v>
      </c>
      <c r="B1721" s="1" t="s">
        <v>106</v>
      </c>
      <c r="C1721" s="1">
        <v>0.04</v>
      </c>
      <c r="D1721" s="1">
        <v>6.35</v>
      </c>
      <c r="E1721" s="1">
        <v>1.02</v>
      </c>
      <c r="F1721" s="1">
        <v>3035</v>
      </c>
      <c r="G1721" s="6" t="str">
        <f>IF(COUNTIF(Table1[Customer ID],Table1[[#This Row],[Customer ID]])&gt;1,"Repeat Customer","One-Time Customer")</f>
        <v>Repeat Customer</v>
      </c>
      <c r="H1721" s="1" t="s">
        <v>2741</v>
      </c>
      <c r="I1721" s="1" t="s">
        <v>49</v>
      </c>
      <c r="J1721" s="1" t="s">
        <v>40</v>
      </c>
      <c r="K1721" s="1" t="s">
        <v>29</v>
      </c>
      <c r="L1721" s="1" t="s">
        <v>93</v>
      </c>
      <c r="M1721" s="1" t="s">
        <v>31</v>
      </c>
      <c r="N1721" s="1" t="s">
        <v>887</v>
      </c>
      <c r="O1721" s="1">
        <v>0.39</v>
      </c>
      <c r="P1721" s="6">
        <f>Table1[[#This Row],[Profit]]/Table1[[#This Row],[Sales]]</f>
        <v>0.69</v>
      </c>
      <c r="Q1721" s="1" t="s">
        <v>33</v>
      </c>
      <c r="R1721" s="1" t="s">
        <v>61</v>
      </c>
      <c r="S1721" s="1" t="s">
        <v>178</v>
      </c>
      <c r="T1721" s="1" t="s">
        <v>2743</v>
      </c>
      <c r="U1721" s="1">
        <v>60148</v>
      </c>
      <c r="V1721" s="9">
        <v>42019</v>
      </c>
      <c r="W1721" s="13" t="str">
        <f>TEXT(Table1[[#This Row],[Order Date]],"mmmm")</f>
        <v>January</v>
      </c>
      <c r="X1721" s="7" t="str">
        <f>TEXT(Table1[[#This Row],[Order Date]],"yyyy")</f>
        <v>2015</v>
      </c>
      <c r="Y1721" s="9">
        <v>42024</v>
      </c>
      <c r="Z1721" s="1">
        <v>52.170899999999996</v>
      </c>
      <c r="AA1721" s="1">
        <v>12</v>
      </c>
      <c r="AB1721" s="1">
        <v>75.61</v>
      </c>
      <c r="AC1721" s="1">
        <v>89128</v>
      </c>
      <c r="AD1721" s="6" t="str">
        <f>IF(COUNTIF(Returns!$A$2:$A$1635,Orders!AC1721)&gt;0,"Returned","Not Returned")</f>
        <v>Not Returned</v>
      </c>
    </row>
    <row r="1722" spans="1:30" ht="12.75" customHeight="1" thickTop="1" thickBot="1" x14ac:dyDescent="0.25">
      <c r="A1722" s="10">
        <v>19849</v>
      </c>
      <c r="B1722" s="11" t="s">
        <v>37</v>
      </c>
      <c r="C1722" s="11">
        <v>0.02</v>
      </c>
      <c r="D1722" s="11">
        <v>12.99</v>
      </c>
      <c r="E1722" s="11">
        <v>14.37</v>
      </c>
      <c r="F1722" s="11">
        <v>3036</v>
      </c>
      <c r="G1722" s="6" t="str">
        <f>IF(COUNTIF(Table1[Customer ID],Table1[[#This Row],[Customer ID]])&gt;1,"Repeat Customer","One-Time Customer")</f>
        <v>Repeat Customer</v>
      </c>
      <c r="H1722" s="11" t="s">
        <v>2744</v>
      </c>
      <c r="I1722" s="11" t="s">
        <v>49</v>
      </c>
      <c r="J1722" s="11" t="s">
        <v>40</v>
      </c>
      <c r="K1722" s="11" t="s">
        <v>41</v>
      </c>
      <c r="L1722" s="11" t="s">
        <v>50</v>
      </c>
      <c r="M1722" s="11" t="s">
        <v>236</v>
      </c>
      <c r="N1722" s="11" t="s">
        <v>568</v>
      </c>
      <c r="O1722" s="11">
        <v>0.73</v>
      </c>
      <c r="P1722" s="6">
        <f>Table1[[#This Row],[Profit]]/Table1[[#This Row],[Sales]]</f>
        <v>-2.3633944411590777</v>
      </c>
      <c r="Q1722" s="11" t="s">
        <v>33</v>
      </c>
      <c r="R1722" s="11" t="s">
        <v>61</v>
      </c>
      <c r="S1722" s="11" t="s">
        <v>2659</v>
      </c>
      <c r="T1722" s="11" t="s">
        <v>2745</v>
      </c>
      <c r="U1722" s="11">
        <v>58554</v>
      </c>
      <c r="V1722" s="12">
        <v>42020</v>
      </c>
      <c r="W1722" s="13" t="str">
        <f>TEXT(Table1[[#This Row],[Order Date]],"mmmm")</f>
        <v>January</v>
      </c>
      <c r="X1722" s="7" t="str">
        <f>TEXT(Table1[[#This Row],[Order Date]],"yyyy")</f>
        <v>2015</v>
      </c>
      <c r="Y1722" s="12">
        <v>42022</v>
      </c>
      <c r="Z1722" s="11">
        <v>-159.86000000000001</v>
      </c>
      <c r="AA1722" s="11">
        <v>5</v>
      </c>
      <c r="AB1722" s="11">
        <v>67.64</v>
      </c>
      <c r="AC1722" s="11">
        <v>89129</v>
      </c>
      <c r="AD1722" s="6" t="str">
        <f>IF(COUNTIF(Returns!$A$2:$A$1635,Orders!AC1722)&gt;0,"Returned","Not Returned")</f>
        <v>Not Returned</v>
      </c>
    </row>
    <row r="1723" spans="1:30" ht="12.75" customHeight="1" thickTop="1" thickBot="1" x14ac:dyDescent="0.25">
      <c r="A1723" s="8">
        <v>19850</v>
      </c>
      <c r="B1723" s="1" t="s">
        <v>37</v>
      </c>
      <c r="C1723" s="1">
        <v>0.05</v>
      </c>
      <c r="D1723" s="1">
        <v>35.44</v>
      </c>
      <c r="E1723" s="1">
        <v>7.5</v>
      </c>
      <c r="F1723" s="1">
        <v>3036</v>
      </c>
      <c r="G1723" s="6" t="str">
        <f>IF(COUNTIF(Table1[Customer ID],Table1[[#This Row],[Customer ID]])&gt;1,"Repeat Customer","One-Time Customer")</f>
        <v>Repeat Customer</v>
      </c>
      <c r="H1723" s="1" t="s">
        <v>2744</v>
      </c>
      <c r="I1723" s="1" t="s">
        <v>49</v>
      </c>
      <c r="J1723" s="1" t="s">
        <v>40</v>
      </c>
      <c r="K1723" s="1" t="s">
        <v>29</v>
      </c>
      <c r="L1723" s="1" t="s">
        <v>93</v>
      </c>
      <c r="M1723" s="1" t="s">
        <v>59</v>
      </c>
      <c r="N1723" s="1" t="s">
        <v>2746</v>
      </c>
      <c r="O1723" s="1">
        <v>0.38</v>
      </c>
      <c r="P1723" s="6">
        <f>Table1[[#This Row],[Profit]]/Table1[[#This Row],[Sales]]</f>
        <v>0.69</v>
      </c>
      <c r="Q1723" s="1" t="s">
        <v>33</v>
      </c>
      <c r="R1723" s="1" t="s">
        <v>61</v>
      </c>
      <c r="S1723" s="1" t="s">
        <v>2659</v>
      </c>
      <c r="T1723" s="1" t="s">
        <v>2745</v>
      </c>
      <c r="U1723" s="1">
        <v>58554</v>
      </c>
      <c r="V1723" s="9">
        <v>42020</v>
      </c>
      <c r="W1723" s="13" t="str">
        <f>TEXT(Table1[[#This Row],[Order Date]],"mmmm")</f>
        <v>January</v>
      </c>
      <c r="X1723" s="7" t="str">
        <f>TEXT(Table1[[#This Row],[Order Date]],"yyyy")</f>
        <v>2015</v>
      </c>
      <c r="Y1723" s="9">
        <v>42022</v>
      </c>
      <c r="Z1723" s="1">
        <v>165.88979999999998</v>
      </c>
      <c r="AA1723" s="1">
        <v>7</v>
      </c>
      <c r="AB1723" s="1">
        <v>240.42</v>
      </c>
      <c r="AC1723" s="1">
        <v>89129</v>
      </c>
      <c r="AD1723" s="6" t="str">
        <f>IF(COUNTIF(Returns!$A$2:$A$1635,Orders!AC1723)&gt;0,"Returned","Not Returned")</f>
        <v>Not Returned</v>
      </c>
    </row>
    <row r="1724" spans="1:30" ht="12.75" customHeight="1" thickTop="1" thickBot="1" x14ac:dyDescent="0.25">
      <c r="A1724" s="10">
        <v>19851</v>
      </c>
      <c r="B1724" s="11" t="s">
        <v>37</v>
      </c>
      <c r="C1724" s="11">
        <v>0.02</v>
      </c>
      <c r="D1724" s="11">
        <v>12.98</v>
      </c>
      <c r="E1724" s="11">
        <v>3.14</v>
      </c>
      <c r="F1724" s="11">
        <v>3036</v>
      </c>
      <c r="G1724" s="6" t="str">
        <f>IF(COUNTIF(Table1[Customer ID],Table1[[#This Row],[Customer ID]])&gt;1,"Repeat Customer","One-Time Customer")</f>
        <v>Repeat Customer</v>
      </c>
      <c r="H1724" s="11" t="s">
        <v>2744</v>
      </c>
      <c r="I1724" s="11" t="s">
        <v>49</v>
      </c>
      <c r="J1724" s="11" t="s">
        <v>40</v>
      </c>
      <c r="K1724" s="11" t="s">
        <v>29</v>
      </c>
      <c r="L1724" s="11" t="s">
        <v>174</v>
      </c>
      <c r="M1724" s="11" t="s">
        <v>51</v>
      </c>
      <c r="N1724" s="11" t="s">
        <v>175</v>
      </c>
      <c r="O1724" s="11">
        <v>0.6</v>
      </c>
      <c r="P1724" s="6">
        <f>Table1[[#This Row],[Profit]]/Table1[[#This Row],[Sales]]</f>
        <v>0.40677874186550977</v>
      </c>
      <c r="Q1724" s="11" t="s">
        <v>33</v>
      </c>
      <c r="R1724" s="11" t="s">
        <v>61</v>
      </c>
      <c r="S1724" s="11" t="s">
        <v>2659</v>
      </c>
      <c r="T1724" s="11" t="s">
        <v>2745</v>
      </c>
      <c r="U1724" s="11">
        <v>58554</v>
      </c>
      <c r="V1724" s="12">
        <v>42020</v>
      </c>
      <c r="W1724" s="13" t="str">
        <f>TEXT(Table1[[#This Row],[Order Date]],"mmmm")</f>
        <v>January</v>
      </c>
      <c r="X1724" s="7" t="str">
        <f>TEXT(Table1[[#This Row],[Order Date]],"yyyy")</f>
        <v>2015</v>
      </c>
      <c r="Y1724" s="12">
        <v>42023</v>
      </c>
      <c r="Z1724" s="11">
        <v>75.010000000000005</v>
      </c>
      <c r="AA1724" s="11">
        <v>14</v>
      </c>
      <c r="AB1724" s="11">
        <v>184.4</v>
      </c>
      <c r="AC1724" s="11">
        <v>89129</v>
      </c>
      <c r="AD1724" s="6" t="str">
        <f>IF(COUNTIF(Returns!$A$2:$A$1635,Orders!AC1724)&gt;0,"Returned","Not Returned")</f>
        <v>Not Returned</v>
      </c>
    </row>
    <row r="1725" spans="1:30" ht="12.75" customHeight="1" thickTop="1" thickBot="1" x14ac:dyDescent="0.25">
      <c r="A1725" s="8">
        <v>22201</v>
      </c>
      <c r="B1725" s="1" t="s">
        <v>47</v>
      </c>
      <c r="C1725" s="1">
        <v>0.08</v>
      </c>
      <c r="D1725" s="1">
        <v>178.47</v>
      </c>
      <c r="E1725" s="1">
        <v>19.989999999999998</v>
      </c>
      <c r="F1725" s="1">
        <v>3036</v>
      </c>
      <c r="G1725" s="6" t="str">
        <f>IF(COUNTIF(Table1[Customer ID],Table1[[#This Row],[Customer ID]])&gt;1,"Repeat Customer","One-Time Customer")</f>
        <v>Repeat Customer</v>
      </c>
      <c r="H1725" s="1" t="s">
        <v>2744</v>
      </c>
      <c r="I1725" s="1" t="s">
        <v>49</v>
      </c>
      <c r="J1725" s="1" t="s">
        <v>40</v>
      </c>
      <c r="K1725" s="1" t="s">
        <v>29</v>
      </c>
      <c r="L1725" s="1" t="s">
        <v>141</v>
      </c>
      <c r="M1725" s="1" t="s">
        <v>59</v>
      </c>
      <c r="N1725" s="1" t="s">
        <v>528</v>
      </c>
      <c r="O1725" s="1">
        <v>0.55000000000000004</v>
      </c>
      <c r="P1725" s="6">
        <f>Table1[[#This Row],[Profit]]/Table1[[#This Row],[Sales]]</f>
        <v>0.59632141945970674</v>
      </c>
      <c r="Q1725" s="1" t="s">
        <v>33</v>
      </c>
      <c r="R1725" s="1" t="s">
        <v>61</v>
      </c>
      <c r="S1725" s="1" t="s">
        <v>2659</v>
      </c>
      <c r="T1725" s="1" t="s">
        <v>2745</v>
      </c>
      <c r="U1725" s="1">
        <v>58554</v>
      </c>
      <c r="V1725" s="9">
        <v>42076</v>
      </c>
      <c r="W1725" s="13" t="str">
        <f>TEXT(Table1[[#This Row],[Order Date]],"mmmm")</f>
        <v>March</v>
      </c>
      <c r="X1725" s="7" t="str">
        <f>TEXT(Table1[[#This Row],[Order Date]],"yyyy")</f>
        <v>2015</v>
      </c>
      <c r="Y1725" s="9">
        <v>42079</v>
      </c>
      <c r="Z1725" s="1">
        <v>2267.2199999999998</v>
      </c>
      <c r="AA1725" s="1">
        <v>22</v>
      </c>
      <c r="AB1725" s="1">
        <v>3802.01</v>
      </c>
      <c r="AC1725" s="1">
        <v>89130</v>
      </c>
      <c r="AD1725" s="6" t="str">
        <f>IF(COUNTIF(Returns!$A$2:$A$1635,Orders!AC1725)&gt;0,"Returned","Not Returned")</f>
        <v>Not Returned</v>
      </c>
    </row>
    <row r="1726" spans="1:30" ht="12.75" customHeight="1" thickTop="1" thickBot="1" x14ac:dyDescent="0.25">
      <c r="A1726" s="10">
        <v>19381</v>
      </c>
      <c r="B1726" s="11" t="s">
        <v>37</v>
      </c>
      <c r="C1726" s="11">
        <v>0.08</v>
      </c>
      <c r="D1726" s="11">
        <v>73.98</v>
      </c>
      <c r="E1726" s="11">
        <v>4</v>
      </c>
      <c r="F1726" s="11">
        <v>3041</v>
      </c>
      <c r="G1726" s="6" t="str">
        <f>IF(COUNTIF(Table1[Customer ID],Table1[[#This Row],[Customer ID]])&gt;1,"Repeat Customer","One-Time Customer")</f>
        <v>Repeat Customer</v>
      </c>
      <c r="H1726" s="11" t="s">
        <v>2747</v>
      </c>
      <c r="I1726" s="11" t="s">
        <v>49</v>
      </c>
      <c r="J1726" s="11" t="s">
        <v>28</v>
      </c>
      <c r="K1726" s="11" t="s">
        <v>77</v>
      </c>
      <c r="L1726" s="11" t="s">
        <v>180</v>
      </c>
      <c r="M1726" s="11" t="s">
        <v>59</v>
      </c>
      <c r="N1726" s="11" t="s">
        <v>372</v>
      </c>
      <c r="O1726" s="11">
        <v>0.77</v>
      </c>
      <c r="P1726" s="6">
        <f>Table1[[#This Row],[Profit]]/Table1[[#This Row],[Sales]]</f>
        <v>8.2222617143534085E-2</v>
      </c>
      <c r="Q1726" s="11" t="s">
        <v>33</v>
      </c>
      <c r="R1726" s="11" t="s">
        <v>61</v>
      </c>
      <c r="S1726" s="11" t="s">
        <v>183</v>
      </c>
      <c r="T1726" s="11" t="s">
        <v>2001</v>
      </c>
      <c r="U1726" s="11">
        <v>67846</v>
      </c>
      <c r="V1726" s="12">
        <v>42139</v>
      </c>
      <c r="W1726" s="13" t="str">
        <f>TEXT(Table1[[#This Row],[Order Date]],"mmmm")</f>
        <v>May</v>
      </c>
      <c r="X1726" s="7" t="str">
        <f>TEXT(Table1[[#This Row],[Order Date]],"yyyy")</f>
        <v>2015</v>
      </c>
      <c r="Y1726" s="12">
        <v>42142</v>
      </c>
      <c r="Z1726" s="11">
        <v>97.159999999999926</v>
      </c>
      <c r="AA1726" s="11">
        <v>17</v>
      </c>
      <c r="AB1726" s="11">
        <v>1181.67</v>
      </c>
      <c r="AC1726" s="11">
        <v>86102</v>
      </c>
      <c r="AD1726" s="6" t="str">
        <f>IF(COUNTIF(Returns!$A$2:$A$1635,Orders!AC1726)&gt;0,"Returned","Not Returned")</f>
        <v>Not Returned</v>
      </c>
    </row>
    <row r="1727" spans="1:30" ht="12.75" customHeight="1" thickTop="1" thickBot="1" x14ac:dyDescent="0.25">
      <c r="A1727" s="8">
        <v>19382</v>
      </c>
      <c r="B1727" s="1" t="s">
        <v>37</v>
      </c>
      <c r="C1727" s="1">
        <v>0.02</v>
      </c>
      <c r="D1727" s="1">
        <v>3.68</v>
      </c>
      <c r="E1727" s="1">
        <v>1.32</v>
      </c>
      <c r="F1727" s="1">
        <v>3041</v>
      </c>
      <c r="G1727" s="6" t="str">
        <f>IF(COUNTIF(Table1[Customer ID],Table1[[#This Row],[Customer ID]])&gt;1,"Repeat Customer","One-Time Customer")</f>
        <v>Repeat Customer</v>
      </c>
      <c r="H1727" s="1" t="s">
        <v>2747</v>
      </c>
      <c r="I1727" s="1" t="s">
        <v>49</v>
      </c>
      <c r="J1727" s="1" t="s">
        <v>28</v>
      </c>
      <c r="K1727" s="1" t="s">
        <v>29</v>
      </c>
      <c r="L1727" s="1" t="s">
        <v>174</v>
      </c>
      <c r="M1727" s="1" t="s">
        <v>31</v>
      </c>
      <c r="N1727" s="1" t="s">
        <v>839</v>
      </c>
      <c r="O1727" s="1">
        <v>0.83</v>
      </c>
      <c r="P1727" s="6">
        <f>Table1[[#This Row],[Profit]]/Table1[[#This Row],[Sales]]</f>
        <v>-0.68994320080187099</v>
      </c>
      <c r="Q1727" s="1" t="s">
        <v>33</v>
      </c>
      <c r="R1727" s="1" t="s">
        <v>61</v>
      </c>
      <c r="S1727" s="1" t="s">
        <v>183</v>
      </c>
      <c r="T1727" s="1" t="s">
        <v>2001</v>
      </c>
      <c r="U1727" s="1">
        <v>67846</v>
      </c>
      <c r="V1727" s="9">
        <v>42139</v>
      </c>
      <c r="W1727" s="13" t="str">
        <f>TEXT(Table1[[#This Row],[Order Date]],"mmmm")</f>
        <v>May</v>
      </c>
      <c r="X1727" s="7" t="str">
        <f>TEXT(Table1[[#This Row],[Order Date]],"yyyy")</f>
        <v>2015</v>
      </c>
      <c r="Y1727" s="9">
        <v>42141</v>
      </c>
      <c r="Z1727" s="1">
        <v>-20.65</v>
      </c>
      <c r="AA1727" s="1">
        <v>8</v>
      </c>
      <c r="AB1727" s="1">
        <v>29.93</v>
      </c>
      <c r="AC1727" s="1">
        <v>86102</v>
      </c>
      <c r="AD1727" s="6" t="str">
        <f>IF(COUNTIF(Returns!$A$2:$A$1635,Orders!AC1727)&gt;0,"Returned","Not Returned")</f>
        <v>Not Returned</v>
      </c>
    </row>
    <row r="1728" spans="1:30" ht="12.75" customHeight="1" thickTop="1" thickBot="1" x14ac:dyDescent="0.25">
      <c r="A1728" s="10">
        <v>20049</v>
      </c>
      <c r="B1728" s="11" t="s">
        <v>56</v>
      </c>
      <c r="C1728" s="11">
        <v>7.0000000000000007E-2</v>
      </c>
      <c r="D1728" s="11">
        <v>14.48</v>
      </c>
      <c r="E1728" s="11">
        <v>6.46</v>
      </c>
      <c r="F1728" s="11">
        <v>3042</v>
      </c>
      <c r="G1728" s="6" t="str">
        <f>IF(COUNTIF(Table1[Customer ID],Table1[[#This Row],[Customer ID]])&gt;1,"Repeat Customer","One-Time Customer")</f>
        <v>One-Time Customer</v>
      </c>
      <c r="H1728" s="11" t="s">
        <v>2748</v>
      </c>
      <c r="I1728" s="11" t="s">
        <v>49</v>
      </c>
      <c r="J1728" s="11" t="s">
        <v>58</v>
      </c>
      <c r="K1728" s="11" t="s">
        <v>29</v>
      </c>
      <c r="L1728" s="11" t="s">
        <v>109</v>
      </c>
      <c r="M1728" s="11" t="s">
        <v>59</v>
      </c>
      <c r="N1728" s="11" t="s">
        <v>2749</v>
      </c>
      <c r="O1728" s="11">
        <v>0.38</v>
      </c>
      <c r="P1728" s="6">
        <f>Table1[[#This Row],[Profit]]/Table1[[#This Row],[Sales]]</f>
        <v>0.39610109146092337</v>
      </c>
      <c r="Q1728" s="11" t="s">
        <v>33</v>
      </c>
      <c r="R1728" s="11" t="s">
        <v>61</v>
      </c>
      <c r="S1728" s="11" t="s">
        <v>183</v>
      </c>
      <c r="T1728" s="11" t="s">
        <v>2750</v>
      </c>
      <c r="U1728" s="11">
        <v>67501</v>
      </c>
      <c r="V1728" s="12">
        <v>42039</v>
      </c>
      <c r="W1728" s="13" t="str">
        <f>TEXT(Table1[[#This Row],[Order Date]],"mmmm")</f>
        <v>February</v>
      </c>
      <c r="X1728" s="7" t="str">
        <f>TEXT(Table1[[#This Row],[Order Date]],"yyyy")</f>
        <v>2015</v>
      </c>
      <c r="Y1728" s="12">
        <v>42040</v>
      </c>
      <c r="Z1728" s="11">
        <v>67.864000000000004</v>
      </c>
      <c r="AA1728" s="11">
        <v>12</v>
      </c>
      <c r="AB1728" s="11">
        <v>171.33</v>
      </c>
      <c r="AC1728" s="11">
        <v>86101</v>
      </c>
      <c r="AD1728" s="6" t="str">
        <f>IF(COUNTIF(Returns!$A$2:$A$1635,Orders!AC1728)&gt;0,"Returned","Not Returned")</f>
        <v>Not Returned</v>
      </c>
    </row>
    <row r="1729" spans="1:30" ht="12.75" customHeight="1" thickTop="1" thickBot="1" x14ac:dyDescent="0.25">
      <c r="A1729" s="8">
        <v>21475</v>
      </c>
      <c r="B1729" s="1" t="s">
        <v>25</v>
      </c>
      <c r="C1729" s="1">
        <v>0</v>
      </c>
      <c r="D1729" s="1">
        <v>6.48</v>
      </c>
      <c r="E1729" s="1">
        <v>5.19</v>
      </c>
      <c r="F1729" s="1">
        <v>3045</v>
      </c>
      <c r="G1729" s="6" t="str">
        <f>IF(COUNTIF(Table1[Customer ID],Table1[[#This Row],[Customer ID]])&gt;1,"Repeat Customer","One-Time Customer")</f>
        <v>One-Time Customer</v>
      </c>
      <c r="H1729" s="1" t="s">
        <v>2751</v>
      </c>
      <c r="I1729" s="1" t="s">
        <v>49</v>
      </c>
      <c r="J1729" s="1" t="s">
        <v>58</v>
      </c>
      <c r="K1729" s="1" t="s">
        <v>29</v>
      </c>
      <c r="L1729" s="1" t="s">
        <v>93</v>
      </c>
      <c r="M1729" s="1" t="s">
        <v>59</v>
      </c>
      <c r="N1729" s="1" t="s">
        <v>2752</v>
      </c>
      <c r="O1729" s="1">
        <v>0.37</v>
      </c>
      <c r="P1729" s="6">
        <f>Table1[[#This Row],[Profit]]/Table1[[#This Row],[Sales]]</f>
        <v>-0.16747977153736313</v>
      </c>
      <c r="Q1729" s="1" t="s">
        <v>33</v>
      </c>
      <c r="R1729" s="1" t="s">
        <v>61</v>
      </c>
      <c r="S1729" s="1" t="s">
        <v>183</v>
      </c>
      <c r="T1729" s="1" t="s">
        <v>2753</v>
      </c>
      <c r="U1729" s="1">
        <v>66048</v>
      </c>
      <c r="V1729" s="9">
        <v>42161</v>
      </c>
      <c r="W1729" s="13" t="str">
        <f>TEXT(Table1[[#This Row],[Order Date]],"mmmm")</f>
        <v>June</v>
      </c>
      <c r="X1729" s="7" t="str">
        <f>TEXT(Table1[[#This Row],[Order Date]],"yyyy")</f>
        <v>2015</v>
      </c>
      <c r="Y1729" s="9">
        <v>42162</v>
      </c>
      <c r="Z1729" s="1">
        <v>-14.074999999999999</v>
      </c>
      <c r="AA1729" s="1">
        <v>12</v>
      </c>
      <c r="AB1729" s="1">
        <v>84.04</v>
      </c>
      <c r="AC1729" s="1">
        <v>86104</v>
      </c>
      <c r="AD1729" s="6" t="str">
        <f>IF(COUNTIF(Returns!$A$2:$A$1635,Orders!AC1729)&gt;0,"Returned","Not Returned")</f>
        <v>Not Returned</v>
      </c>
    </row>
    <row r="1730" spans="1:30" ht="12.75" customHeight="1" thickTop="1" thickBot="1" x14ac:dyDescent="0.25">
      <c r="A1730" s="10">
        <v>24415</v>
      </c>
      <c r="B1730" s="11" t="s">
        <v>25</v>
      </c>
      <c r="C1730" s="11">
        <v>0.05</v>
      </c>
      <c r="D1730" s="11">
        <v>120.98</v>
      </c>
      <c r="E1730" s="11">
        <v>30</v>
      </c>
      <c r="F1730" s="11">
        <v>3046</v>
      </c>
      <c r="G1730" s="6" t="str">
        <f>IF(COUNTIF(Table1[Customer ID],Table1[[#This Row],[Customer ID]])&gt;1,"Repeat Customer","One-Time Customer")</f>
        <v>One-Time Customer</v>
      </c>
      <c r="H1730" s="11" t="s">
        <v>2754</v>
      </c>
      <c r="I1730" s="11" t="s">
        <v>39</v>
      </c>
      <c r="J1730" s="11" t="s">
        <v>58</v>
      </c>
      <c r="K1730" s="11" t="s">
        <v>41</v>
      </c>
      <c r="L1730" s="11" t="s">
        <v>42</v>
      </c>
      <c r="M1730" s="11" t="s">
        <v>43</v>
      </c>
      <c r="N1730" s="11" t="s">
        <v>1342</v>
      </c>
      <c r="O1730" s="11">
        <v>0.64</v>
      </c>
      <c r="P1730" s="6">
        <f>Table1[[#This Row],[Profit]]/Table1[[#This Row],[Sales]]</f>
        <v>-0.31370668366127619</v>
      </c>
      <c r="Q1730" s="11" t="s">
        <v>33</v>
      </c>
      <c r="R1730" s="11" t="s">
        <v>61</v>
      </c>
      <c r="S1730" s="11" t="s">
        <v>183</v>
      </c>
      <c r="T1730" s="11" t="s">
        <v>2755</v>
      </c>
      <c r="U1730" s="11">
        <v>66209</v>
      </c>
      <c r="V1730" s="12">
        <v>42047</v>
      </c>
      <c r="W1730" s="13" t="str">
        <f>TEXT(Table1[[#This Row],[Order Date]],"mmmm")</f>
        <v>February</v>
      </c>
      <c r="X1730" s="7" t="str">
        <f>TEXT(Table1[[#This Row],[Order Date]],"yyyy")</f>
        <v>2015</v>
      </c>
      <c r="Y1730" s="12">
        <v>42049</v>
      </c>
      <c r="Z1730" s="11">
        <v>-78.759200000000007</v>
      </c>
      <c r="AA1730" s="11">
        <v>2</v>
      </c>
      <c r="AB1730" s="11">
        <v>251.06</v>
      </c>
      <c r="AC1730" s="11">
        <v>86103</v>
      </c>
      <c r="AD1730" s="6" t="str">
        <f>IF(COUNTIF(Returns!$A$2:$A$1635,Orders!AC1730)&gt;0,"Returned","Not Returned")</f>
        <v>Not Returned</v>
      </c>
    </row>
    <row r="1731" spans="1:30" ht="12.75" customHeight="1" thickTop="1" thickBot="1" x14ac:dyDescent="0.25">
      <c r="A1731" s="8">
        <v>23188</v>
      </c>
      <c r="B1731" s="1" t="s">
        <v>25</v>
      </c>
      <c r="C1731" s="1">
        <v>0.06</v>
      </c>
      <c r="D1731" s="1">
        <v>276.2</v>
      </c>
      <c r="E1731" s="1">
        <v>24.49</v>
      </c>
      <c r="F1731" s="1">
        <v>3048</v>
      </c>
      <c r="G1731" s="6" t="str">
        <f>IF(COUNTIF(Table1[Customer ID],Table1[[#This Row],[Customer ID]])&gt;1,"Repeat Customer","One-Time Customer")</f>
        <v>One-Time Customer</v>
      </c>
      <c r="H1731" s="1" t="s">
        <v>2756</v>
      </c>
      <c r="I1731" s="1" t="s">
        <v>27</v>
      </c>
      <c r="J1731" s="1" t="s">
        <v>28</v>
      </c>
      <c r="K1731" s="1" t="s">
        <v>41</v>
      </c>
      <c r="L1731" s="1" t="s">
        <v>42</v>
      </c>
      <c r="M1731" s="1" t="s">
        <v>236</v>
      </c>
      <c r="N1731" s="1" t="s">
        <v>438</v>
      </c>
      <c r="O1731" s="1"/>
      <c r="P1731" s="6">
        <f>Table1[[#This Row],[Profit]]/Table1[[#This Row],[Sales]]</f>
        <v>0.44717608482471199</v>
      </c>
      <c r="Q1731" s="1" t="s">
        <v>33</v>
      </c>
      <c r="R1731" s="1" t="s">
        <v>34</v>
      </c>
      <c r="S1731" s="1" t="s">
        <v>45</v>
      </c>
      <c r="T1731" s="1" t="s">
        <v>2757</v>
      </c>
      <c r="U1731" s="1">
        <v>94704</v>
      </c>
      <c r="V1731" s="9">
        <v>42068</v>
      </c>
      <c r="W1731" s="13" t="str">
        <f>TEXT(Table1[[#This Row],[Order Date]],"mmmm")</f>
        <v>March</v>
      </c>
      <c r="X1731" s="7" t="str">
        <f>TEXT(Table1[[#This Row],[Order Date]],"yyyy")</f>
        <v>2015</v>
      </c>
      <c r="Y1731" s="9">
        <v>42070</v>
      </c>
      <c r="Z1731" s="1">
        <v>1167.3800000000001</v>
      </c>
      <c r="AA1731" s="1">
        <v>10</v>
      </c>
      <c r="AB1731" s="1">
        <v>2610.56</v>
      </c>
      <c r="AC1731" s="1">
        <v>89789</v>
      </c>
      <c r="AD1731" s="6" t="str">
        <f>IF(COUNTIF(Returns!$A$2:$A$1635,Orders!AC1731)&gt;0,"Returned","Not Returned")</f>
        <v>Not Returned</v>
      </c>
    </row>
    <row r="1732" spans="1:30" ht="12.75" customHeight="1" thickTop="1" thickBot="1" x14ac:dyDescent="0.25">
      <c r="A1732" s="10">
        <v>25904</v>
      </c>
      <c r="B1732" s="11" t="s">
        <v>56</v>
      </c>
      <c r="C1732" s="11">
        <v>0.06</v>
      </c>
      <c r="D1732" s="11">
        <v>125.99</v>
      </c>
      <c r="E1732" s="11">
        <v>2.5</v>
      </c>
      <c r="F1732" s="11">
        <v>3053</v>
      </c>
      <c r="G1732" s="6" t="str">
        <f>IF(COUNTIF(Table1[Customer ID],Table1[[#This Row],[Customer ID]])&gt;1,"Repeat Customer","One-Time Customer")</f>
        <v>One-Time Customer</v>
      </c>
      <c r="H1732" s="11" t="s">
        <v>2758</v>
      </c>
      <c r="I1732" s="11" t="s">
        <v>49</v>
      </c>
      <c r="J1732" s="11" t="s">
        <v>28</v>
      </c>
      <c r="K1732" s="11" t="s">
        <v>77</v>
      </c>
      <c r="L1732" s="11" t="s">
        <v>78</v>
      </c>
      <c r="M1732" s="11" t="s">
        <v>59</v>
      </c>
      <c r="N1732" s="11" t="s">
        <v>1148</v>
      </c>
      <c r="O1732" s="11">
        <v>0.6</v>
      </c>
      <c r="P1732" s="6">
        <f>Table1[[#This Row],[Profit]]/Table1[[#This Row],[Sales]]</f>
        <v>0.34254532442748092</v>
      </c>
      <c r="Q1732" s="11" t="s">
        <v>33</v>
      </c>
      <c r="R1732" s="11" t="s">
        <v>136</v>
      </c>
      <c r="S1732" s="11" t="s">
        <v>613</v>
      </c>
      <c r="T1732" s="11" t="s">
        <v>319</v>
      </c>
      <c r="U1732" s="11">
        <v>42071</v>
      </c>
      <c r="V1732" s="12">
        <v>42038</v>
      </c>
      <c r="W1732" s="13" t="str">
        <f>TEXT(Table1[[#This Row],[Order Date]],"mmmm")</f>
        <v>February</v>
      </c>
      <c r="X1732" s="7" t="str">
        <f>TEXT(Table1[[#This Row],[Order Date]],"yyyy")</f>
        <v>2015</v>
      </c>
      <c r="Y1732" s="12">
        <v>42040</v>
      </c>
      <c r="Z1732" s="11">
        <v>402.06599999999997</v>
      </c>
      <c r="AA1732" s="11">
        <v>11</v>
      </c>
      <c r="AB1732" s="11">
        <v>1173.76</v>
      </c>
      <c r="AC1732" s="11">
        <v>86662</v>
      </c>
      <c r="AD1732" s="6" t="str">
        <f>IF(COUNTIF(Returns!$A$2:$A$1635,Orders!AC1732)&gt;0,"Returned","Not Returned")</f>
        <v>Not Returned</v>
      </c>
    </row>
    <row r="1733" spans="1:30" ht="12.75" customHeight="1" thickTop="1" thickBot="1" x14ac:dyDescent="0.25">
      <c r="A1733" s="8">
        <v>20516</v>
      </c>
      <c r="B1733" s="1" t="s">
        <v>56</v>
      </c>
      <c r="C1733" s="1">
        <v>7.0000000000000007E-2</v>
      </c>
      <c r="D1733" s="1">
        <v>8.33</v>
      </c>
      <c r="E1733" s="1">
        <v>1.99</v>
      </c>
      <c r="F1733" s="1">
        <v>3063</v>
      </c>
      <c r="G1733" s="6" t="str">
        <f>IF(COUNTIF(Table1[Customer ID],Table1[[#This Row],[Customer ID]])&gt;1,"Repeat Customer","One-Time Customer")</f>
        <v>Repeat Customer</v>
      </c>
      <c r="H1733" s="1" t="s">
        <v>2759</v>
      </c>
      <c r="I1733" s="1" t="s">
        <v>49</v>
      </c>
      <c r="J1733" s="1" t="s">
        <v>114</v>
      </c>
      <c r="K1733" s="1" t="s">
        <v>77</v>
      </c>
      <c r="L1733" s="1" t="s">
        <v>180</v>
      </c>
      <c r="M1733" s="1" t="s">
        <v>51</v>
      </c>
      <c r="N1733" s="1" t="s">
        <v>414</v>
      </c>
      <c r="O1733" s="1">
        <v>0.52</v>
      </c>
      <c r="P1733" s="6">
        <f>Table1[[#This Row],[Profit]]/Table1[[#This Row],[Sales]]</f>
        <v>0.23766905330151153</v>
      </c>
      <c r="Q1733" s="1" t="s">
        <v>33</v>
      </c>
      <c r="R1733" s="1" t="s">
        <v>34</v>
      </c>
      <c r="S1733" s="1" t="s">
        <v>35</v>
      </c>
      <c r="T1733" s="1" t="s">
        <v>2760</v>
      </c>
      <c r="U1733" s="1">
        <v>98034</v>
      </c>
      <c r="V1733" s="9">
        <v>42061</v>
      </c>
      <c r="W1733" s="13" t="str">
        <f>TEXT(Table1[[#This Row],[Order Date]],"mmmm")</f>
        <v>February</v>
      </c>
      <c r="X1733" s="7" t="str">
        <f>TEXT(Table1[[#This Row],[Order Date]],"yyyy")</f>
        <v>2015</v>
      </c>
      <c r="Y1733" s="9">
        <v>42063</v>
      </c>
      <c r="Z1733" s="1">
        <v>11.95</v>
      </c>
      <c r="AA1733" s="1">
        <v>6</v>
      </c>
      <c r="AB1733" s="1">
        <v>50.28</v>
      </c>
      <c r="AC1733" s="1">
        <v>88447</v>
      </c>
      <c r="AD1733" s="6" t="str">
        <f>IF(COUNTIF(Returns!$A$2:$A$1635,Orders!AC1733)&gt;0,"Returned","Not Returned")</f>
        <v>Not Returned</v>
      </c>
    </row>
    <row r="1734" spans="1:30" ht="12.75" customHeight="1" thickTop="1" thickBot="1" x14ac:dyDescent="0.25">
      <c r="A1734" s="10">
        <v>20517</v>
      </c>
      <c r="B1734" s="11" t="s">
        <v>56</v>
      </c>
      <c r="C1734" s="11">
        <v>0.03</v>
      </c>
      <c r="D1734" s="11">
        <v>499.99</v>
      </c>
      <c r="E1734" s="11">
        <v>24.49</v>
      </c>
      <c r="F1734" s="11">
        <v>3063</v>
      </c>
      <c r="G1734" s="6" t="str">
        <f>IF(COUNTIF(Table1[Customer ID],Table1[[#This Row],[Customer ID]])&gt;1,"Repeat Customer","One-Time Customer")</f>
        <v>Repeat Customer</v>
      </c>
      <c r="H1734" s="11" t="s">
        <v>2759</v>
      </c>
      <c r="I1734" s="11" t="s">
        <v>49</v>
      </c>
      <c r="J1734" s="11" t="s">
        <v>114</v>
      </c>
      <c r="K1734" s="11" t="s">
        <v>77</v>
      </c>
      <c r="L1734" s="11" t="s">
        <v>587</v>
      </c>
      <c r="M1734" s="11" t="s">
        <v>236</v>
      </c>
      <c r="N1734" s="11" t="s">
        <v>2761</v>
      </c>
      <c r="O1734" s="11">
        <v>0.36</v>
      </c>
      <c r="P1734" s="6">
        <f>Table1[[#This Row],[Profit]]/Table1[[#This Row],[Sales]]</f>
        <v>0.69</v>
      </c>
      <c r="Q1734" s="11" t="s">
        <v>33</v>
      </c>
      <c r="R1734" s="11" t="s">
        <v>34</v>
      </c>
      <c r="S1734" s="11" t="s">
        <v>35</v>
      </c>
      <c r="T1734" s="11" t="s">
        <v>2760</v>
      </c>
      <c r="U1734" s="11">
        <v>98034</v>
      </c>
      <c r="V1734" s="12">
        <v>42061</v>
      </c>
      <c r="W1734" s="13" t="str">
        <f>TEXT(Table1[[#This Row],[Order Date]],"mmmm")</f>
        <v>February</v>
      </c>
      <c r="X1734" s="7" t="str">
        <f>TEXT(Table1[[#This Row],[Order Date]],"yyyy")</f>
        <v>2015</v>
      </c>
      <c r="Y1734" s="12">
        <v>42062</v>
      </c>
      <c r="Z1734" s="11">
        <v>1773.6104999999998</v>
      </c>
      <c r="AA1734" s="11">
        <v>5</v>
      </c>
      <c r="AB1734" s="11">
        <v>2570.4499999999998</v>
      </c>
      <c r="AC1734" s="11">
        <v>88447</v>
      </c>
      <c r="AD1734" s="6" t="str">
        <f>IF(COUNTIF(Returns!$A$2:$A$1635,Orders!AC1734)&gt;0,"Returned","Not Returned")</f>
        <v>Not Returned</v>
      </c>
    </row>
    <row r="1735" spans="1:30" ht="12.75" customHeight="1" thickTop="1" thickBot="1" x14ac:dyDescent="0.25">
      <c r="A1735" s="8">
        <v>19652</v>
      </c>
      <c r="B1735" s="1" t="s">
        <v>37</v>
      </c>
      <c r="C1735" s="1">
        <v>0.03</v>
      </c>
      <c r="D1735" s="1">
        <v>20.99</v>
      </c>
      <c r="E1735" s="1">
        <v>0.99</v>
      </c>
      <c r="F1735" s="1">
        <v>3063</v>
      </c>
      <c r="G1735" s="6" t="str">
        <f>IF(COUNTIF(Table1[Customer ID],Table1[[#This Row],[Customer ID]])&gt;1,"Repeat Customer","One-Time Customer")</f>
        <v>Repeat Customer</v>
      </c>
      <c r="H1735" s="1" t="s">
        <v>2759</v>
      </c>
      <c r="I1735" s="1" t="s">
        <v>49</v>
      </c>
      <c r="J1735" s="1" t="s">
        <v>114</v>
      </c>
      <c r="K1735" s="1" t="s">
        <v>77</v>
      </c>
      <c r="L1735" s="1" t="s">
        <v>78</v>
      </c>
      <c r="M1735" s="1" t="s">
        <v>31</v>
      </c>
      <c r="N1735" s="1" t="s">
        <v>596</v>
      </c>
      <c r="O1735" s="1">
        <v>0.56999999999999995</v>
      </c>
      <c r="P1735" s="6">
        <f>Table1[[#This Row],[Profit]]/Table1[[#This Row],[Sales]]</f>
        <v>2.6324667967520646E-2</v>
      </c>
      <c r="Q1735" s="1" t="s">
        <v>33</v>
      </c>
      <c r="R1735" s="1" t="s">
        <v>34</v>
      </c>
      <c r="S1735" s="1" t="s">
        <v>35</v>
      </c>
      <c r="T1735" s="1" t="s">
        <v>2760</v>
      </c>
      <c r="U1735" s="1">
        <v>98034</v>
      </c>
      <c r="V1735" s="9">
        <v>42148</v>
      </c>
      <c r="W1735" s="13" t="str">
        <f>TEXT(Table1[[#This Row],[Order Date]],"mmmm")</f>
        <v>May</v>
      </c>
      <c r="X1735" s="7" t="str">
        <f>TEXT(Table1[[#This Row],[Order Date]],"yyyy")</f>
        <v>2015</v>
      </c>
      <c r="Y1735" s="9">
        <v>42150</v>
      </c>
      <c r="Z1735" s="1">
        <v>4.1822000000000052</v>
      </c>
      <c r="AA1735" s="1">
        <v>9</v>
      </c>
      <c r="AB1735" s="1">
        <v>158.87</v>
      </c>
      <c r="AC1735" s="1">
        <v>88449</v>
      </c>
      <c r="AD1735" s="6" t="str">
        <f>IF(COUNTIF(Returns!$A$2:$A$1635,Orders!AC1735)&gt;0,"Returned","Not Returned")</f>
        <v>Not Returned</v>
      </c>
    </row>
    <row r="1736" spans="1:30" ht="12.75" customHeight="1" thickTop="1" thickBot="1" x14ac:dyDescent="0.25">
      <c r="A1736" s="10">
        <v>23811</v>
      </c>
      <c r="B1736" s="11" t="s">
        <v>106</v>
      </c>
      <c r="C1736" s="11">
        <v>0.03</v>
      </c>
      <c r="D1736" s="11">
        <v>6.45</v>
      </c>
      <c r="E1736" s="11">
        <v>1.34</v>
      </c>
      <c r="F1736" s="11">
        <v>3064</v>
      </c>
      <c r="G1736" s="6" t="str">
        <f>IF(COUNTIF(Table1[Customer ID],Table1[[#This Row],[Customer ID]])&gt;1,"Repeat Customer","One-Time Customer")</f>
        <v>One-Time Customer</v>
      </c>
      <c r="H1736" s="11" t="s">
        <v>2762</v>
      </c>
      <c r="I1736" s="11" t="s">
        <v>49</v>
      </c>
      <c r="J1736" s="11" t="s">
        <v>114</v>
      </c>
      <c r="K1736" s="11" t="s">
        <v>29</v>
      </c>
      <c r="L1736" s="11" t="s">
        <v>93</v>
      </c>
      <c r="M1736" s="11" t="s">
        <v>31</v>
      </c>
      <c r="N1736" s="11" t="s">
        <v>2763</v>
      </c>
      <c r="O1736" s="11">
        <v>0.36</v>
      </c>
      <c r="P1736" s="6">
        <f>Table1[[#This Row],[Profit]]/Table1[[#This Row],[Sales]]</f>
        <v>0.69</v>
      </c>
      <c r="Q1736" s="11" t="s">
        <v>33</v>
      </c>
      <c r="R1736" s="11" t="s">
        <v>34</v>
      </c>
      <c r="S1736" s="11" t="s">
        <v>35</v>
      </c>
      <c r="T1736" s="11" t="s">
        <v>2764</v>
      </c>
      <c r="U1736" s="11">
        <v>98503</v>
      </c>
      <c r="V1736" s="12">
        <v>42018</v>
      </c>
      <c r="W1736" s="13" t="str">
        <f>TEXT(Table1[[#This Row],[Order Date]],"mmmm")</f>
        <v>January</v>
      </c>
      <c r="X1736" s="7" t="str">
        <f>TEXT(Table1[[#This Row],[Order Date]],"yyyy")</f>
        <v>2015</v>
      </c>
      <c r="Y1736" s="12">
        <v>42023</v>
      </c>
      <c r="Z1736" s="11">
        <v>39.129899999999999</v>
      </c>
      <c r="AA1736" s="11">
        <v>9</v>
      </c>
      <c r="AB1736" s="11">
        <v>56.71</v>
      </c>
      <c r="AC1736" s="11">
        <v>88448</v>
      </c>
      <c r="AD1736" s="6" t="str">
        <f>IF(COUNTIF(Returns!$A$2:$A$1635,Orders!AC1736)&gt;0,"Returned","Not Returned")</f>
        <v>Not Returned</v>
      </c>
    </row>
    <row r="1737" spans="1:30" ht="12.75" customHeight="1" thickTop="1" thickBot="1" x14ac:dyDescent="0.25">
      <c r="A1737" s="8">
        <v>25239</v>
      </c>
      <c r="B1737" s="1" t="s">
        <v>37</v>
      </c>
      <c r="C1737" s="1">
        <v>0.06</v>
      </c>
      <c r="D1737" s="1">
        <v>355.98</v>
      </c>
      <c r="E1737" s="1">
        <v>58.92</v>
      </c>
      <c r="F1737" s="1">
        <v>3067</v>
      </c>
      <c r="G1737" s="6" t="str">
        <f>IF(COUNTIF(Table1[Customer ID],Table1[[#This Row],[Customer ID]])&gt;1,"Repeat Customer","One-Time Customer")</f>
        <v>One-Time Customer</v>
      </c>
      <c r="H1737" s="1" t="s">
        <v>2765</v>
      </c>
      <c r="I1737" s="1" t="s">
        <v>39</v>
      </c>
      <c r="J1737" s="1" t="s">
        <v>114</v>
      </c>
      <c r="K1737" s="1" t="s">
        <v>41</v>
      </c>
      <c r="L1737" s="1" t="s">
        <v>42</v>
      </c>
      <c r="M1737" s="1" t="s">
        <v>43</v>
      </c>
      <c r="N1737" s="1" t="s">
        <v>1294</v>
      </c>
      <c r="O1737" s="1">
        <v>0.64</v>
      </c>
      <c r="P1737" s="6">
        <f>Table1[[#This Row],[Profit]]/Table1[[#This Row],[Sales]]</f>
        <v>0.32656191015477543</v>
      </c>
      <c r="Q1737" s="1" t="s">
        <v>33</v>
      </c>
      <c r="R1737" s="1" t="s">
        <v>53</v>
      </c>
      <c r="S1737" s="1" t="s">
        <v>154</v>
      </c>
      <c r="T1737" s="1" t="s">
        <v>2766</v>
      </c>
      <c r="U1737" s="1">
        <v>44515</v>
      </c>
      <c r="V1737" s="9">
        <v>42065</v>
      </c>
      <c r="W1737" s="13" t="str">
        <f>TEXT(Table1[[#This Row],[Order Date]],"mmmm")</f>
        <v>March</v>
      </c>
      <c r="X1737" s="7" t="str">
        <f>TEXT(Table1[[#This Row],[Order Date]],"yyyy")</f>
        <v>2015</v>
      </c>
      <c r="Y1737" s="9">
        <v>42066</v>
      </c>
      <c r="Z1737" s="1">
        <v>1660.92</v>
      </c>
      <c r="AA1737" s="1">
        <v>14</v>
      </c>
      <c r="AB1737" s="1">
        <v>5086.08</v>
      </c>
      <c r="AC1737" s="1">
        <v>91376</v>
      </c>
      <c r="AD1737" s="6" t="str">
        <f>IF(COUNTIF(Returns!$A$2:$A$1635,Orders!AC1737)&gt;0,"Returned","Not Returned")</f>
        <v>Not Returned</v>
      </c>
    </row>
    <row r="1738" spans="1:30" ht="12.75" customHeight="1" thickTop="1" thickBot="1" x14ac:dyDescent="0.25">
      <c r="A1738" s="10">
        <v>21027</v>
      </c>
      <c r="B1738" s="11" t="s">
        <v>25</v>
      </c>
      <c r="C1738" s="11">
        <v>0.03</v>
      </c>
      <c r="D1738" s="11">
        <v>120.98</v>
      </c>
      <c r="E1738" s="11">
        <v>30</v>
      </c>
      <c r="F1738" s="11">
        <v>3069</v>
      </c>
      <c r="G1738" s="6" t="str">
        <f>IF(COUNTIF(Table1[Customer ID],Table1[[#This Row],[Customer ID]])&gt;1,"Repeat Customer","One-Time Customer")</f>
        <v>Repeat Customer</v>
      </c>
      <c r="H1738" s="11" t="s">
        <v>2767</v>
      </c>
      <c r="I1738" s="11" t="s">
        <v>39</v>
      </c>
      <c r="J1738" s="11" t="s">
        <v>114</v>
      </c>
      <c r="K1738" s="11" t="s">
        <v>41</v>
      </c>
      <c r="L1738" s="11" t="s">
        <v>42</v>
      </c>
      <c r="M1738" s="11" t="s">
        <v>43</v>
      </c>
      <c r="N1738" s="11" t="s">
        <v>1342</v>
      </c>
      <c r="O1738" s="11">
        <v>0.64</v>
      </c>
      <c r="P1738" s="6">
        <f>Table1[[#This Row],[Profit]]/Table1[[#This Row],[Sales]]</f>
        <v>0.33678798595898546</v>
      </c>
      <c r="Q1738" s="11" t="s">
        <v>33</v>
      </c>
      <c r="R1738" s="11" t="s">
        <v>61</v>
      </c>
      <c r="S1738" s="11" t="s">
        <v>62</v>
      </c>
      <c r="T1738" s="11" t="s">
        <v>2768</v>
      </c>
      <c r="U1738" s="11">
        <v>55128</v>
      </c>
      <c r="V1738" s="12">
        <v>42156</v>
      </c>
      <c r="W1738" s="13" t="str">
        <f>TEXT(Table1[[#This Row],[Order Date]],"mmmm")</f>
        <v>June</v>
      </c>
      <c r="X1738" s="7" t="str">
        <f>TEXT(Table1[[#This Row],[Order Date]],"yyyy")</f>
        <v>2015</v>
      </c>
      <c r="Y1738" s="12">
        <v>42158</v>
      </c>
      <c r="Z1738" s="11">
        <v>638.02800000000002</v>
      </c>
      <c r="AA1738" s="11">
        <v>15</v>
      </c>
      <c r="AB1738" s="11">
        <v>1894.45</v>
      </c>
      <c r="AC1738" s="11">
        <v>88191</v>
      </c>
      <c r="AD1738" s="6" t="str">
        <f>IF(COUNTIF(Returns!$A$2:$A$1635,Orders!AC1738)&gt;0,"Returned","Not Returned")</f>
        <v>Not Returned</v>
      </c>
    </row>
    <row r="1739" spans="1:30" ht="12.75" customHeight="1" thickTop="1" thickBot="1" x14ac:dyDescent="0.25">
      <c r="A1739" s="8">
        <v>21028</v>
      </c>
      <c r="B1739" s="1" t="s">
        <v>25</v>
      </c>
      <c r="C1739" s="1">
        <v>0.01</v>
      </c>
      <c r="D1739" s="1">
        <v>15.68</v>
      </c>
      <c r="E1739" s="1">
        <v>3.73</v>
      </c>
      <c r="F1739" s="1">
        <v>3069</v>
      </c>
      <c r="G1739" s="6" t="str">
        <f>IF(COUNTIF(Table1[Customer ID],Table1[[#This Row],[Customer ID]])&gt;1,"Repeat Customer","One-Time Customer")</f>
        <v>Repeat Customer</v>
      </c>
      <c r="H1739" s="1" t="s">
        <v>2767</v>
      </c>
      <c r="I1739" s="1" t="s">
        <v>49</v>
      </c>
      <c r="J1739" s="1" t="s">
        <v>114</v>
      </c>
      <c r="K1739" s="1" t="s">
        <v>41</v>
      </c>
      <c r="L1739" s="1" t="s">
        <v>50</v>
      </c>
      <c r="M1739" s="1" t="s">
        <v>51</v>
      </c>
      <c r="N1739" s="1" t="s">
        <v>2380</v>
      </c>
      <c r="O1739" s="1">
        <v>0.46</v>
      </c>
      <c r="P1739" s="6">
        <f>Table1[[#This Row],[Profit]]/Table1[[#This Row],[Sales]]</f>
        <v>0.69</v>
      </c>
      <c r="Q1739" s="1" t="s">
        <v>33</v>
      </c>
      <c r="R1739" s="1" t="s">
        <v>61</v>
      </c>
      <c r="S1739" s="1" t="s">
        <v>62</v>
      </c>
      <c r="T1739" s="1" t="s">
        <v>2768</v>
      </c>
      <c r="U1739" s="1">
        <v>55128</v>
      </c>
      <c r="V1739" s="9">
        <v>42156</v>
      </c>
      <c r="W1739" s="13" t="str">
        <f>TEXT(Table1[[#This Row],[Order Date]],"mmmm")</f>
        <v>June</v>
      </c>
      <c r="X1739" s="7" t="str">
        <f>TEXT(Table1[[#This Row],[Order Date]],"yyyy")</f>
        <v>2015</v>
      </c>
      <c r="Y1739" s="9">
        <v>42158</v>
      </c>
      <c r="Z1739" s="1">
        <v>138.49679999999998</v>
      </c>
      <c r="AA1739" s="1">
        <v>12</v>
      </c>
      <c r="AB1739" s="1">
        <v>200.72</v>
      </c>
      <c r="AC1739" s="1">
        <v>88191</v>
      </c>
      <c r="AD1739" s="6" t="str">
        <f>IF(COUNTIF(Returns!$A$2:$A$1635,Orders!AC1739)&gt;0,"Returned","Not Returned")</f>
        <v>Not Returned</v>
      </c>
    </row>
    <row r="1740" spans="1:30" ht="12.75" customHeight="1" thickTop="1" thickBot="1" x14ac:dyDescent="0.25">
      <c r="A1740" s="10">
        <v>22213</v>
      </c>
      <c r="B1740" s="11" t="s">
        <v>47</v>
      </c>
      <c r="C1740" s="11">
        <v>0.09</v>
      </c>
      <c r="D1740" s="11">
        <v>1.82</v>
      </c>
      <c r="E1740" s="11">
        <v>0.83</v>
      </c>
      <c r="F1740" s="11">
        <v>3069</v>
      </c>
      <c r="G1740" s="6" t="str">
        <f>IF(COUNTIF(Table1[Customer ID],Table1[[#This Row],[Customer ID]])&gt;1,"Repeat Customer","One-Time Customer")</f>
        <v>Repeat Customer</v>
      </c>
      <c r="H1740" s="11" t="s">
        <v>2767</v>
      </c>
      <c r="I1740" s="11" t="s">
        <v>49</v>
      </c>
      <c r="J1740" s="11" t="s">
        <v>114</v>
      </c>
      <c r="K1740" s="11" t="s">
        <v>29</v>
      </c>
      <c r="L1740" s="11" t="s">
        <v>30</v>
      </c>
      <c r="M1740" s="11" t="s">
        <v>31</v>
      </c>
      <c r="N1740" s="11" t="s">
        <v>2769</v>
      </c>
      <c r="O1740" s="11">
        <v>0.56999999999999995</v>
      </c>
      <c r="P1740" s="6">
        <f>Table1[[#This Row],[Profit]]/Table1[[#This Row],[Sales]]</f>
        <v>-0.18288973384030419</v>
      </c>
      <c r="Q1740" s="11" t="s">
        <v>33</v>
      </c>
      <c r="R1740" s="11" t="s">
        <v>61</v>
      </c>
      <c r="S1740" s="11" t="s">
        <v>62</v>
      </c>
      <c r="T1740" s="11" t="s">
        <v>2768</v>
      </c>
      <c r="U1740" s="11">
        <v>55128</v>
      </c>
      <c r="V1740" s="12">
        <v>42049</v>
      </c>
      <c r="W1740" s="13" t="str">
        <f>TEXT(Table1[[#This Row],[Order Date]],"mmmm")</f>
        <v>February</v>
      </c>
      <c r="X1740" s="7" t="str">
        <f>TEXT(Table1[[#This Row],[Order Date]],"yyyy")</f>
        <v>2015</v>
      </c>
      <c r="Y1740" s="12">
        <v>42050</v>
      </c>
      <c r="Z1740" s="11">
        <v>-6.734</v>
      </c>
      <c r="AA1740" s="11">
        <v>22</v>
      </c>
      <c r="AB1740" s="11">
        <v>36.82</v>
      </c>
      <c r="AC1740" s="11">
        <v>88192</v>
      </c>
      <c r="AD1740" s="6" t="str">
        <f>IF(COUNTIF(Returns!$A$2:$A$1635,Orders!AC1740)&gt;0,"Returned","Not Returned")</f>
        <v>Not Returned</v>
      </c>
    </row>
    <row r="1741" spans="1:30" ht="12.75" customHeight="1" thickTop="1" thickBot="1" x14ac:dyDescent="0.25">
      <c r="A1741" s="8">
        <v>2063</v>
      </c>
      <c r="B1741" s="1" t="s">
        <v>106</v>
      </c>
      <c r="C1741" s="1">
        <v>0.06</v>
      </c>
      <c r="D1741" s="1">
        <v>19.23</v>
      </c>
      <c r="E1741" s="1">
        <v>6.15</v>
      </c>
      <c r="F1741" s="1">
        <v>3075</v>
      </c>
      <c r="G1741" s="6" t="str">
        <f>IF(COUNTIF(Table1[Customer ID],Table1[[#This Row],[Customer ID]])&gt;1,"Repeat Customer","One-Time Customer")</f>
        <v>One-Time Customer</v>
      </c>
      <c r="H1741" s="1" t="s">
        <v>2770</v>
      </c>
      <c r="I1741" s="1" t="s">
        <v>49</v>
      </c>
      <c r="J1741" s="1" t="s">
        <v>28</v>
      </c>
      <c r="K1741" s="1" t="s">
        <v>41</v>
      </c>
      <c r="L1741" s="1" t="s">
        <v>50</v>
      </c>
      <c r="M1741" s="1" t="s">
        <v>51</v>
      </c>
      <c r="N1741" s="1" t="s">
        <v>472</v>
      </c>
      <c r="O1741" s="1">
        <v>0.44</v>
      </c>
      <c r="P1741" s="6">
        <f>Table1[[#This Row],[Profit]]/Table1[[#This Row],[Sales]]</f>
        <v>-0.3</v>
      </c>
      <c r="Q1741" s="1" t="s">
        <v>33</v>
      </c>
      <c r="R1741" s="1" t="s">
        <v>34</v>
      </c>
      <c r="S1741" s="1" t="s">
        <v>45</v>
      </c>
      <c r="T1741" s="1" t="s">
        <v>663</v>
      </c>
      <c r="U1741" s="1">
        <v>90061</v>
      </c>
      <c r="V1741" s="9">
        <v>42063</v>
      </c>
      <c r="W1741" s="13" t="str">
        <f>TEXT(Table1[[#This Row],[Order Date]],"mmmm")</f>
        <v>February</v>
      </c>
      <c r="X1741" s="7" t="str">
        <f>TEXT(Table1[[#This Row],[Order Date]],"yyyy")</f>
        <v>2015</v>
      </c>
      <c r="Y1741" s="9">
        <v>42063</v>
      </c>
      <c r="Z1741" s="1">
        <v>-25.38</v>
      </c>
      <c r="AA1741" s="1">
        <v>4</v>
      </c>
      <c r="AB1741" s="1">
        <v>84.6</v>
      </c>
      <c r="AC1741" s="1">
        <v>14756</v>
      </c>
      <c r="AD1741" s="6" t="str">
        <f>IF(COUNTIF(Returns!$A$2:$A$1635,Orders!AC1741)&gt;0,"Returned","Not Returned")</f>
        <v>Not Returned</v>
      </c>
    </row>
    <row r="1742" spans="1:30" ht="12.75" customHeight="1" thickTop="1" thickBot="1" x14ac:dyDescent="0.25">
      <c r="A1742" s="10">
        <v>19739</v>
      </c>
      <c r="B1742" s="11" t="s">
        <v>56</v>
      </c>
      <c r="C1742" s="11">
        <v>0</v>
      </c>
      <c r="D1742" s="11">
        <v>137.47999999999999</v>
      </c>
      <c r="E1742" s="11">
        <v>32.18</v>
      </c>
      <c r="F1742" s="11">
        <v>3076</v>
      </c>
      <c r="G1742" s="6" t="str">
        <f>IF(COUNTIF(Table1[Customer ID],Table1[[#This Row],[Customer ID]])&gt;1,"Repeat Customer","One-Time Customer")</f>
        <v>One-Time Customer</v>
      </c>
      <c r="H1742" s="11" t="s">
        <v>2771</v>
      </c>
      <c r="I1742" s="11" t="s">
        <v>39</v>
      </c>
      <c r="J1742" s="11" t="s">
        <v>58</v>
      </c>
      <c r="K1742" s="11" t="s">
        <v>41</v>
      </c>
      <c r="L1742" s="11" t="s">
        <v>191</v>
      </c>
      <c r="M1742" s="11" t="s">
        <v>121</v>
      </c>
      <c r="N1742" s="11" t="s">
        <v>2772</v>
      </c>
      <c r="O1742" s="11">
        <v>0.78</v>
      </c>
      <c r="P1742" s="6">
        <f>Table1[[#This Row],[Profit]]/Table1[[#This Row],[Sales]]</f>
        <v>-0.68498736310025277</v>
      </c>
      <c r="Q1742" s="11" t="s">
        <v>33</v>
      </c>
      <c r="R1742" s="11" t="s">
        <v>53</v>
      </c>
      <c r="S1742" s="11" t="s">
        <v>154</v>
      </c>
      <c r="T1742" s="11" t="s">
        <v>2773</v>
      </c>
      <c r="U1742" s="11">
        <v>44224</v>
      </c>
      <c r="V1742" s="12">
        <v>42011</v>
      </c>
      <c r="W1742" s="13" t="str">
        <f>TEXT(Table1[[#This Row],[Order Date]],"mmmm")</f>
        <v>January</v>
      </c>
      <c r="X1742" s="7" t="str">
        <f>TEXT(Table1[[#This Row],[Order Date]],"yyyy")</f>
        <v>2015</v>
      </c>
      <c r="Y1742" s="12">
        <v>42012</v>
      </c>
      <c r="Z1742" s="11">
        <v>-203.27</v>
      </c>
      <c r="AA1742" s="11">
        <v>2</v>
      </c>
      <c r="AB1742" s="11">
        <v>296.75</v>
      </c>
      <c r="AC1742" s="11">
        <v>88241</v>
      </c>
      <c r="AD1742" s="6" t="str">
        <f>IF(COUNTIF(Returns!$A$2:$A$1635,Orders!AC1742)&gt;0,"Returned","Not Returned")</f>
        <v>Not Returned</v>
      </c>
    </row>
    <row r="1743" spans="1:30" ht="12.75" customHeight="1" thickTop="1" thickBot="1" x14ac:dyDescent="0.25">
      <c r="A1743" s="8">
        <v>23816</v>
      </c>
      <c r="B1743" s="1" t="s">
        <v>56</v>
      </c>
      <c r="C1743" s="1">
        <v>7.0000000000000007E-2</v>
      </c>
      <c r="D1743" s="1">
        <v>300.97000000000003</v>
      </c>
      <c r="E1743" s="1">
        <v>7.18</v>
      </c>
      <c r="F1743" s="1">
        <v>3077</v>
      </c>
      <c r="G1743" s="6" t="str">
        <f>IF(COUNTIF(Table1[Customer ID],Table1[[#This Row],[Customer ID]])&gt;1,"Repeat Customer","One-Time Customer")</f>
        <v>One-Time Customer</v>
      </c>
      <c r="H1743" s="1" t="s">
        <v>2774</v>
      </c>
      <c r="I1743" s="1" t="s">
        <v>49</v>
      </c>
      <c r="J1743" s="1" t="s">
        <v>58</v>
      </c>
      <c r="K1743" s="1" t="s">
        <v>77</v>
      </c>
      <c r="L1743" s="1" t="s">
        <v>180</v>
      </c>
      <c r="M1743" s="1" t="s">
        <v>59</v>
      </c>
      <c r="N1743" s="1" t="s">
        <v>1089</v>
      </c>
      <c r="O1743" s="1">
        <v>0.48</v>
      </c>
      <c r="P1743" s="6">
        <f>Table1[[#This Row],[Profit]]/Table1[[#This Row],[Sales]]</f>
        <v>-1.3871350051528684</v>
      </c>
      <c r="Q1743" s="1" t="s">
        <v>33</v>
      </c>
      <c r="R1743" s="1" t="s">
        <v>53</v>
      </c>
      <c r="S1743" s="1" t="s">
        <v>154</v>
      </c>
      <c r="T1743" s="1" t="s">
        <v>2775</v>
      </c>
      <c r="U1743" s="1">
        <v>44136</v>
      </c>
      <c r="V1743" s="9">
        <v>42131</v>
      </c>
      <c r="W1743" s="13" t="str">
        <f>TEXT(Table1[[#This Row],[Order Date]],"mmmm")</f>
        <v>May</v>
      </c>
      <c r="X1743" s="7" t="str">
        <f>TEXT(Table1[[#This Row],[Order Date]],"yyyy")</f>
        <v>2015</v>
      </c>
      <c r="Y1743" s="9">
        <v>42133</v>
      </c>
      <c r="Z1743" s="1">
        <v>-807.59</v>
      </c>
      <c r="AA1743" s="1">
        <v>2</v>
      </c>
      <c r="AB1743" s="1">
        <v>582.20000000000005</v>
      </c>
      <c r="AC1743" s="1">
        <v>88239</v>
      </c>
      <c r="AD1743" s="6" t="str">
        <f>IF(COUNTIF(Returns!$A$2:$A$1635,Orders!AC1743)&gt;0,"Returned","Not Returned")</f>
        <v>Not Returned</v>
      </c>
    </row>
    <row r="1744" spans="1:30" ht="12.75" customHeight="1" thickTop="1" thickBot="1" x14ac:dyDescent="0.25">
      <c r="A1744" s="10">
        <v>25489</v>
      </c>
      <c r="B1744" s="11" t="s">
        <v>37</v>
      </c>
      <c r="C1744" s="11">
        <v>0.04</v>
      </c>
      <c r="D1744" s="11">
        <v>35.44</v>
      </c>
      <c r="E1744" s="11">
        <v>5.09</v>
      </c>
      <c r="F1744" s="11">
        <v>3078</v>
      </c>
      <c r="G1744" s="6" t="str">
        <f>IF(COUNTIF(Table1[Customer ID],Table1[[#This Row],[Customer ID]])&gt;1,"Repeat Customer","One-Time Customer")</f>
        <v>Repeat Customer</v>
      </c>
      <c r="H1744" s="11" t="s">
        <v>2776</v>
      </c>
      <c r="I1744" s="11" t="s">
        <v>49</v>
      </c>
      <c r="J1744" s="11" t="s">
        <v>58</v>
      </c>
      <c r="K1744" s="11" t="s">
        <v>29</v>
      </c>
      <c r="L1744" s="11" t="s">
        <v>93</v>
      </c>
      <c r="M1744" s="11" t="s">
        <v>59</v>
      </c>
      <c r="N1744" s="11" t="s">
        <v>2777</v>
      </c>
      <c r="O1744" s="11">
        <v>0.38</v>
      </c>
      <c r="P1744" s="6">
        <f>Table1[[#This Row],[Profit]]/Table1[[#This Row],[Sales]]</f>
        <v>0.69</v>
      </c>
      <c r="Q1744" s="11" t="s">
        <v>33</v>
      </c>
      <c r="R1744" s="11" t="s">
        <v>53</v>
      </c>
      <c r="S1744" s="11" t="s">
        <v>154</v>
      </c>
      <c r="T1744" s="11" t="s">
        <v>2778</v>
      </c>
      <c r="U1744" s="11">
        <v>43615</v>
      </c>
      <c r="V1744" s="12">
        <v>42166</v>
      </c>
      <c r="W1744" s="13" t="str">
        <f>TEXT(Table1[[#This Row],[Order Date]],"mmmm")</f>
        <v>June</v>
      </c>
      <c r="X1744" s="7" t="str">
        <f>TEXT(Table1[[#This Row],[Order Date]],"yyyy")</f>
        <v>2015</v>
      </c>
      <c r="Y1744" s="12">
        <v>42166</v>
      </c>
      <c r="Z1744" s="11">
        <v>118.6317</v>
      </c>
      <c r="AA1744" s="11">
        <v>5</v>
      </c>
      <c r="AB1744" s="11">
        <v>171.93</v>
      </c>
      <c r="AC1744" s="11">
        <v>88240</v>
      </c>
      <c r="AD1744" s="6" t="str">
        <f>IF(COUNTIF(Returns!$A$2:$A$1635,Orders!AC1744)&gt;0,"Returned","Not Returned")</f>
        <v>Not Returned</v>
      </c>
    </row>
    <row r="1745" spans="1:30" ht="12.75" customHeight="1" thickTop="1" thickBot="1" x14ac:dyDescent="0.25">
      <c r="A1745" s="8">
        <v>25490</v>
      </c>
      <c r="B1745" s="1" t="s">
        <v>37</v>
      </c>
      <c r="C1745" s="1">
        <v>0.08</v>
      </c>
      <c r="D1745" s="1">
        <v>3.98</v>
      </c>
      <c r="E1745" s="1">
        <v>0.7</v>
      </c>
      <c r="F1745" s="1">
        <v>3078</v>
      </c>
      <c r="G1745" s="6" t="str">
        <f>IF(COUNTIF(Table1[Customer ID],Table1[[#This Row],[Customer ID]])&gt;1,"Repeat Customer","One-Time Customer")</f>
        <v>Repeat Customer</v>
      </c>
      <c r="H1745" s="1" t="s">
        <v>2776</v>
      </c>
      <c r="I1745" s="1" t="s">
        <v>49</v>
      </c>
      <c r="J1745" s="1" t="s">
        <v>58</v>
      </c>
      <c r="K1745" s="1" t="s">
        <v>29</v>
      </c>
      <c r="L1745" s="1" t="s">
        <v>30</v>
      </c>
      <c r="M1745" s="1" t="s">
        <v>31</v>
      </c>
      <c r="N1745" s="1" t="s">
        <v>2740</v>
      </c>
      <c r="O1745" s="1">
        <v>0.52</v>
      </c>
      <c r="P1745" s="6">
        <f>Table1[[#This Row],[Profit]]/Table1[[#This Row],[Sales]]</f>
        <v>0.66223358908780916</v>
      </c>
      <c r="Q1745" s="1" t="s">
        <v>33</v>
      </c>
      <c r="R1745" s="1" t="s">
        <v>53</v>
      </c>
      <c r="S1745" s="1" t="s">
        <v>154</v>
      </c>
      <c r="T1745" s="1" t="s">
        <v>2778</v>
      </c>
      <c r="U1745" s="1">
        <v>43615</v>
      </c>
      <c r="V1745" s="9">
        <v>42166</v>
      </c>
      <c r="W1745" s="13" t="str">
        <f>TEXT(Table1[[#This Row],[Order Date]],"mmmm")</f>
        <v>June</v>
      </c>
      <c r="X1745" s="7" t="str">
        <f>TEXT(Table1[[#This Row],[Order Date]],"yyyy")</f>
        <v>2015</v>
      </c>
      <c r="Y1745" s="9">
        <v>42169</v>
      </c>
      <c r="Z1745" s="1">
        <v>23.304000000000002</v>
      </c>
      <c r="AA1745" s="1">
        <v>9</v>
      </c>
      <c r="AB1745" s="1">
        <v>35.19</v>
      </c>
      <c r="AC1745" s="1">
        <v>88240</v>
      </c>
      <c r="AD1745" s="6" t="str">
        <f>IF(COUNTIF(Returns!$A$2:$A$1635,Orders!AC1745)&gt;0,"Returned","Not Returned")</f>
        <v>Not Returned</v>
      </c>
    </row>
    <row r="1746" spans="1:30" ht="12.75" customHeight="1" thickTop="1" thickBot="1" x14ac:dyDescent="0.25">
      <c r="A1746" s="10">
        <v>5816</v>
      </c>
      <c r="B1746" s="11" t="s">
        <v>56</v>
      </c>
      <c r="C1746" s="11">
        <v>7.0000000000000007E-2</v>
      </c>
      <c r="D1746" s="11">
        <v>300.97000000000003</v>
      </c>
      <c r="E1746" s="11">
        <v>7.18</v>
      </c>
      <c r="F1746" s="11">
        <v>3079</v>
      </c>
      <c r="G1746" s="6" t="str">
        <f>IF(COUNTIF(Table1[Customer ID],Table1[[#This Row],[Customer ID]])&gt;1,"Repeat Customer","One-Time Customer")</f>
        <v>Repeat Customer</v>
      </c>
      <c r="H1746" s="11" t="s">
        <v>2779</v>
      </c>
      <c r="I1746" s="11" t="s">
        <v>49</v>
      </c>
      <c r="J1746" s="11" t="s">
        <v>58</v>
      </c>
      <c r="K1746" s="11" t="s">
        <v>77</v>
      </c>
      <c r="L1746" s="11" t="s">
        <v>180</v>
      </c>
      <c r="M1746" s="11" t="s">
        <v>59</v>
      </c>
      <c r="N1746" s="11" t="s">
        <v>1089</v>
      </c>
      <c r="O1746" s="11">
        <v>0.48</v>
      </c>
      <c r="P1746" s="6">
        <f>Table1[[#This Row],[Profit]]/Table1[[#This Row],[Sales]]</f>
        <v>-0.39632623215503832</v>
      </c>
      <c r="Q1746" s="11" t="s">
        <v>33</v>
      </c>
      <c r="R1746" s="11" t="s">
        <v>53</v>
      </c>
      <c r="S1746" s="11" t="s">
        <v>234</v>
      </c>
      <c r="T1746" s="11" t="s">
        <v>1319</v>
      </c>
      <c r="U1746" s="11">
        <v>19112</v>
      </c>
      <c r="V1746" s="12">
        <v>42131</v>
      </c>
      <c r="W1746" s="13" t="str">
        <f>TEXT(Table1[[#This Row],[Order Date]],"mmmm")</f>
        <v>May</v>
      </c>
      <c r="X1746" s="7" t="str">
        <f>TEXT(Table1[[#This Row],[Order Date]],"yyyy")</f>
        <v>2015</v>
      </c>
      <c r="Y1746" s="12">
        <v>42133</v>
      </c>
      <c r="Z1746" s="11">
        <v>-807.59</v>
      </c>
      <c r="AA1746" s="11">
        <v>7</v>
      </c>
      <c r="AB1746" s="11">
        <v>2037.69</v>
      </c>
      <c r="AC1746" s="11">
        <v>41253</v>
      </c>
      <c r="AD1746" s="6" t="str">
        <f>IF(COUNTIF(Returns!$A$2:$A$1635,Orders!AC1746)&gt;0,"Returned","Not Returned")</f>
        <v>Not Returned</v>
      </c>
    </row>
    <row r="1747" spans="1:30" ht="12.75" customHeight="1" thickTop="1" thickBot="1" x14ac:dyDescent="0.25">
      <c r="A1747" s="8">
        <v>7489</v>
      </c>
      <c r="B1747" s="1" t="s">
        <v>37</v>
      </c>
      <c r="C1747" s="1">
        <v>0.04</v>
      </c>
      <c r="D1747" s="1">
        <v>35.44</v>
      </c>
      <c r="E1747" s="1">
        <v>5.09</v>
      </c>
      <c r="F1747" s="1">
        <v>3079</v>
      </c>
      <c r="G1747" s="6" t="str">
        <f>IF(COUNTIF(Table1[Customer ID],Table1[[#This Row],[Customer ID]])&gt;1,"Repeat Customer","One-Time Customer")</f>
        <v>Repeat Customer</v>
      </c>
      <c r="H1747" s="1" t="s">
        <v>2779</v>
      </c>
      <c r="I1747" s="1" t="s">
        <v>49</v>
      </c>
      <c r="J1747" s="1" t="s">
        <v>58</v>
      </c>
      <c r="K1747" s="1" t="s">
        <v>29</v>
      </c>
      <c r="L1747" s="1" t="s">
        <v>93</v>
      </c>
      <c r="M1747" s="1" t="s">
        <v>59</v>
      </c>
      <c r="N1747" s="1" t="s">
        <v>2777</v>
      </c>
      <c r="O1747" s="1">
        <v>0.38</v>
      </c>
      <c r="P1747" s="6">
        <f>Table1[[#This Row],[Profit]]/Table1[[#This Row],[Sales]]</f>
        <v>0.20872455338595761</v>
      </c>
      <c r="Q1747" s="1" t="s">
        <v>33</v>
      </c>
      <c r="R1747" s="1" t="s">
        <v>53</v>
      </c>
      <c r="S1747" s="1" t="s">
        <v>234</v>
      </c>
      <c r="T1747" s="1" t="s">
        <v>1319</v>
      </c>
      <c r="U1747" s="1">
        <v>19112</v>
      </c>
      <c r="V1747" s="9">
        <v>42166</v>
      </c>
      <c r="W1747" s="13" t="str">
        <f>TEXT(Table1[[#This Row],[Order Date]],"mmmm")</f>
        <v>June</v>
      </c>
      <c r="X1747" s="7" t="str">
        <f>TEXT(Table1[[#This Row],[Order Date]],"yyyy")</f>
        <v>2015</v>
      </c>
      <c r="Y1747" s="9">
        <v>42166</v>
      </c>
      <c r="Z1747" s="1">
        <v>150.72</v>
      </c>
      <c r="AA1747" s="1">
        <v>21</v>
      </c>
      <c r="AB1747" s="1">
        <v>722.1</v>
      </c>
      <c r="AC1747" s="1">
        <v>53476</v>
      </c>
      <c r="AD1747" s="6" t="str">
        <f>IF(COUNTIF(Returns!$A$2:$A$1635,Orders!AC1747)&gt;0,"Returned","Not Returned")</f>
        <v>Not Returned</v>
      </c>
    </row>
    <row r="1748" spans="1:30" ht="12.75" customHeight="1" thickTop="1" thickBot="1" x14ac:dyDescent="0.25">
      <c r="A1748" s="10">
        <v>7490</v>
      </c>
      <c r="B1748" s="11" t="s">
        <v>37</v>
      </c>
      <c r="C1748" s="11">
        <v>0.08</v>
      </c>
      <c r="D1748" s="11">
        <v>3.98</v>
      </c>
      <c r="E1748" s="11">
        <v>0.7</v>
      </c>
      <c r="F1748" s="11">
        <v>3079</v>
      </c>
      <c r="G1748" s="6" t="str">
        <f>IF(COUNTIF(Table1[Customer ID],Table1[[#This Row],[Customer ID]])&gt;1,"Repeat Customer","One-Time Customer")</f>
        <v>Repeat Customer</v>
      </c>
      <c r="H1748" s="11" t="s">
        <v>2779</v>
      </c>
      <c r="I1748" s="11" t="s">
        <v>49</v>
      </c>
      <c r="J1748" s="11" t="s">
        <v>58</v>
      </c>
      <c r="K1748" s="11" t="s">
        <v>29</v>
      </c>
      <c r="L1748" s="11" t="s">
        <v>30</v>
      </c>
      <c r="M1748" s="11" t="s">
        <v>31</v>
      </c>
      <c r="N1748" s="11" t="s">
        <v>2740</v>
      </c>
      <c r="O1748" s="11">
        <v>0.52</v>
      </c>
      <c r="P1748" s="6">
        <f>Table1[[#This Row],[Profit]]/Table1[[#This Row],[Sales]]</f>
        <v>0.13794573092768861</v>
      </c>
      <c r="Q1748" s="11" t="s">
        <v>33</v>
      </c>
      <c r="R1748" s="11" t="s">
        <v>53</v>
      </c>
      <c r="S1748" s="11" t="s">
        <v>234</v>
      </c>
      <c r="T1748" s="11" t="s">
        <v>1319</v>
      </c>
      <c r="U1748" s="11">
        <v>19112</v>
      </c>
      <c r="V1748" s="12">
        <v>42166</v>
      </c>
      <c r="W1748" s="13" t="str">
        <f>TEXT(Table1[[#This Row],[Order Date]],"mmmm")</f>
        <v>June</v>
      </c>
      <c r="X1748" s="7" t="str">
        <f>TEXT(Table1[[#This Row],[Order Date]],"yyyy")</f>
        <v>2015</v>
      </c>
      <c r="Y1748" s="12">
        <v>42169</v>
      </c>
      <c r="Z1748" s="11">
        <v>19.420000000000002</v>
      </c>
      <c r="AA1748" s="11">
        <v>36</v>
      </c>
      <c r="AB1748" s="11">
        <v>140.78</v>
      </c>
      <c r="AC1748" s="11">
        <v>53476</v>
      </c>
      <c r="AD1748" s="6" t="str">
        <f>IF(COUNTIF(Returns!$A$2:$A$1635,Orders!AC1748)&gt;0,"Returned","Not Returned")</f>
        <v>Not Returned</v>
      </c>
    </row>
    <row r="1749" spans="1:30" ht="12.75" customHeight="1" thickTop="1" thickBot="1" x14ac:dyDescent="0.25">
      <c r="A1749" s="8">
        <v>7491</v>
      </c>
      <c r="B1749" s="1" t="s">
        <v>37</v>
      </c>
      <c r="C1749" s="1">
        <v>0.01</v>
      </c>
      <c r="D1749" s="1">
        <v>1.76</v>
      </c>
      <c r="E1749" s="1">
        <v>0.7</v>
      </c>
      <c r="F1749" s="1">
        <v>3079</v>
      </c>
      <c r="G1749" s="6" t="str">
        <f>IF(COUNTIF(Table1[Customer ID],Table1[[#This Row],[Customer ID]])&gt;1,"Repeat Customer","One-Time Customer")</f>
        <v>Repeat Customer</v>
      </c>
      <c r="H1749" s="1" t="s">
        <v>2779</v>
      </c>
      <c r="I1749" s="1" t="s">
        <v>49</v>
      </c>
      <c r="J1749" s="1" t="s">
        <v>58</v>
      </c>
      <c r="K1749" s="1" t="s">
        <v>29</v>
      </c>
      <c r="L1749" s="1" t="s">
        <v>30</v>
      </c>
      <c r="M1749" s="1" t="s">
        <v>31</v>
      </c>
      <c r="N1749" s="1" t="s">
        <v>127</v>
      </c>
      <c r="O1749" s="1">
        <v>0.56000000000000005</v>
      </c>
      <c r="P1749" s="6">
        <f>Table1[[#This Row],[Profit]]/Table1[[#This Row],[Sales]]</f>
        <v>2.4128893000308356E-2</v>
      </c>
      <c r="Q1749" s="1" t="s">
        <v>33</v>
      </c>
      <c r="R1749" s="1" t="s">
        <v>53</v>
      </c>
      <c r="S1749" s="1" t="s">
        <v>234</v>
      </c>
      <c r="T1749" s="1" t="s">
        <v>1319</v>
      </c>
      <c r="U1749" s="1">
        <v>19112</v>
      </c>
      <c r="V1749" s="9">
        <v>42166</v>
      </c>
      <c r="W1749" s="13" t="str">
        <f>TEXT(Table1[[#This Row],[Order Date]],"mmmm")</f>
        <v>June</v>
      </c>
      <c r="X1749" s="7" t="str">
        <f>TEXT(Table1[[#This Row],[Order Date]],"yyyy")</f>
        <v>2015</v>
      </c>
      <c r="Y1749" s="9">
        <v>42167</v>
      </c>
      <c r="Z1749" s="1">
        <v>3.13</v>
      </c>
      <c r="AA1749" s="1">
        <v>71</v>
      </c>
      <c r="AB1749" s="1">
        <v>129.72</v>
      </c>
      <c r="AC1749" s="1">
        <v>53476</v>
      </c>
      <c r="AD1749" s="6" t="str">
        <f>IF(COUNTIF(Returns!$A$2:$A$1635,Orders!AC1749)&gt;0,"Returned","Not Returned")</f>
        <v>Not Returned</v>
      </c>
    </row>
    <row r="1750" spans="1:30" ht="12.75" customHeight="1" thickTop="1" thickBot="1" x14ac:dyDescent="0.25">
      <c r="A1750" s="10">
        <v>7492</v>
      </c>
      <c r="B1750" s="11" t="s">
        <v>37</v>
      </c>
      <c r="C1750" s="11">
        <v>0.01</v>
      </c>
      <c r="D1750" s="11">
        <v>193.17</v>
      </c>
      <c r="E1750" s="11">
        <v>19.989999999999998</v>
      </c>
      <c r="F1750" s="11">
        <v>3079</v>
      </c>
      <c r="G1750" s="6" t="str">
        <f>IF(COUNTIF(Table1[Customer ID],Table1[[#This Row],[Customer ID]])&gt;1,"Repeat Customer","One-Time Customer")</f>
        <v>Repeat Customer</v>
      </c>
      <c r="H1750" s="11" t="s">
        <v>2779</v>
      </c>
      <c r="I1750" s="11" t="s">
        <v>27</v>
      </c>
      <c r="J1750" s="11" t="s">
        <v>58</v>
      </c>
      <c r="K1750" s="11" t="s">
        <v>29</v>
      </c>
      <c r="L1750" s="11" t="s">
        <v>141</v>
      </c>
      <c r="M1750" s="11" t="s">
        <v>59</v>
      </c>
      <c r="N1750" s="11" t="s">
        <v>1523</v>
      </c>
      <c r="O1750" s="11">
        <v>0.71</v>
      </c>
      <c r="P1750" s="6">
        <f>Table1[[#This Row],[Profit]]/Table1[[#This Row],[Sales]]</f>
        <v>9.3599530144418241E-2</v>
      </c>
      <c r="Q1750" s="11" t="s">
        <v>33</v>
      </c>
      <c r="R1750" s="11" t="s">
        <v>53</v>
      </c>
      <c r="S1750" s="11" t="s">
        <v>234</v>
      </c>
      <c r="T1750" s="11" t="s">
        <v>1319</v>
      </c>
      <c r="U1750" s="11">
        <v>19112</v>
      </c>
      <c r="V1750" s="12">
        <v>42166</v>
      </c>
      <c r="W1750" s="13" t="str">
        <f>TEXT(Table1[[#This Row],[Order Date]],"mmmm")</f>
        <v>June</v>
      </c>
      <c r="X1750" s="7" t="str">
        <f>TEXT(Table1[[#This Row],[Order Date]],"yyyy")</f>
        <v>2015</v>
      </c>
      <c r="Y1750" s="12">
        <v>42166</v>
      </c>
      <c r="Z1750" s="11">
        <v>1141.07</v>
      </c>
      <c r="AA1750" s="11">
        <v>63</v>
      </c>
      <c r="AB1750" s="11">
        <v>12190.98</v>
      </c>
      <c r="AC1750" s="11">
        <v>53476</v>
      </c>
      <c r="AD1750" s="6" t="str">
        <f>IF(COUNTIF(Returns!$A$2:$A$1635,Orders!AC1750)&gt;0,"Returned","Not Returned")</f>
        <v>Not Returned</v>
      </c>
    </row>
    <row r="1751" spans="1:30" ht="12.75" customHeight="1" thickTop="1" thickBot="1" x14ac:dyDescent="0.25">
      <c r="A1751" s="8">
        <v>1739</v>
      </c>
      <c r="B1751" s="1" t="s">
        <v>56</v>
      </c>
      <c r="C1751" s="1">
        <v>0</v>
      </c>
      <c r="D1751" s="1">
        <v>137.47999999999999</v>
      </c>
      <c r="E1751" s="1">
        <v>32.18</v>
      </c>
      <c r="F1751" s="1">
        <v>3079</v>
      </c>
      <c r="G1751" s="6" t="str">
        <f>IF(COUNTIF(Table1[Customer ID],Table1[[#This Row],[Customer ID]])&gt;1,"Repeat Customer","One-Time Customer")</f>
        <v>Repeat Customer</v>
      </c>
      <c r="H1751" s="1" t="s">
        <v>2779</v>
      </c>
      <c r="I1751" s="1" t="s">
        <v>39</v>
      </c>
      <c r="J1751" s="1" t="s">
        <v>58</v>
      </c>
      <c r="K1751" s="1" t="s">
        <v>41</v>
      </c>
      <c r="L1751" s="1" t="s">
        <v>191</v>
      </c>
      <c r="M1751" s="1" t="s">
        <v>121</v>
      </c>
      <c r="N1751" s="1" t="s">
        <v>2772</v>
      </c>
      <c r="O1751" s="1">
        <v>0.78</v>
      </c>
      <c r="P1751" s="6">
        <f>Table1[[#This Row],[Profit]]/Table1[[#This Row],[Sales]]</f>
        <v>-0.13699654930716559</v>
      </c>
      <c r="Q1751" s="1" t="s">
        <v>33</v>
      </c>
      <c r="R1751" s="1" t="s">
        <v>53</v>
      </c>
      <c r="S1751" s="1" t="s">
        <v>234</v>
      </c>
      <c r="T1751" s="1" t="s">
        <v>1319</v>
      </c>
      <c r="U1751" s="1">
        <v>19112</v>
      </c>
      <c r="V1751" s="9">
        <v>42011</v>
      </c>
      <c r="W1751" s="13" t="str">
        <f>TEXT(Table1[[#This Row],[Order Date]],"mmmm")</f>
        <v>January</v>
      </c>
      <c r="X1751" s="7" t="str">
        <f>TEXT(Table1[[#This Row],[Order Date]],"yyyy")</f>
        <v>2015</v>
      </c>
      <c r="Y1751" s="9">
        <v>42012</v>
      </c>
      <c r="Z1751" s="1">
        <v>-203.27</v>
      </c>
      <c r="AA1751" s="1">
        <v>10</v>
      </c>
      <c r="AB1751" s="1">
        <v>1483.76</v>
      </c>
      <c r="AC1751" s="1">
        <v>12480</v>
      </c>
      <c r="AD1751" s="6" t="str">
        <f>IF(COUNTIF(Returns!$A$2:$A$1635,Orders!AC1751)&gt;0,"Returned","Not Returned")</f>
        <v>Not Returned</v>
      </c>
    </row>
    <row r="1752" spans="1:30" ht="12.75" customHeight="1" thickTop="1" thickBot="1" x14ac:dyDescent="0.25">
      <c r="A1752" s="10">
        <v>6807</v>
      </c>
      <c r="B1752" s="11" t="s">
        <v>47</v>
      </c>
      <c r="C1752" s="11">
        <v>0</v>
      </c>
      <c r="D1752" s="11">
        <v>2.21</v>
      </c>
      <c r="E1752" s="11">
        <v>1</v>
      </c>
      <c r="F1752" s="11">
        <v>3079</v>
      </c>
      <c r="G1752" s="6" t="str">
        <f>IF(COUNTIF(Table1[Customer ID],Table1[[#This Row],[Customer ID]])&gt;1,"Repeat Customer","One-Time Customer")</f>
        <v>Repeat Customer</v>
      </c>
      <c r="H1752" s="11" t="s">
        <v>2779</v>
      </c>
      <c r="I1752" s="11" t="s">
        <v>27</v>
      </c>
      <c r="J1752" s="11" t="s">
        <v>58</v>
      </c>
      <c r="K1752" s="11" t="s">
        <v>29</v>
      </c>
      <c r="L1752" s="11" t="s">
        <v>30</v>
      </c>
      <c r="M1752" s="11" t="s">
        <v>31</v>
      </c>
      <c r="N1752" s="11" t="s">
        <v>2780</v>
      </c>
      <c r="O1752" s="11">
        <v>0.38</v>
      </c>
      <c r="P1752" s="6">
        <f>Table1[[#This Row],[Profit]]/Table1[[#This Row],[Sales]]</f>
        <v>0.11481991282404221</v>
      </c>
      <c r="Q1752" s="11" t="s">
        <v>33</v>
      </c>
      <c r="R1752" s="11" t="s">
        <v>53</v>
      </c>
      <c r="S1752" s="11" t="s">
        <v>234</v>
      </c>
      <c r="T1752" s="11" t="s">
        <v>1319</v>
      </c>
      <c r="U1752" s="11">
        <v>19112</v>
      </c>
      <c r="V1752" s="12">
        <v>42165</v>
      </c>
      <c r="W1752" s="13" t="str">
        <f>TEXT(Table1[[#This Row],[Order Date]],"mmmm")</f>
        <v>June</v>
      </c>
      <c r="X1752" s="7" t="str">
        <f>TEXT(Table1[[#This Row],[Order Date]],"yyyy")</f>
        <v>2015</v>
      </c>
      <c r="Y1752" s="12">
        <v>42166</v>
      </c>
      <c r="Z1752" s="11">
        <v>10.01</v>
      </c>
      <c r="AA1752" s="11">
        <v>33</v>
      </c>
      <c r="AB1752" s="11">
        <v>87.18</v>
      </c>
      <c r="AC1752" s="11">
        <v>48483</v>
      </c>
      <c r="AD1752" s="6" t="str">
        <f>IF(COUNTIF(Returns!$A$2:$A$1635,Orders!AC1752)&gt;0,"Returned","Not Returned")</f>
        <v>Not Returned</v>
      </c>
    </row>
    <row r="1753" spans="1:30" ht="12.75" customHeight="1" thickTop="1" thickBot="1" x14ac:dyDescent="0.25">
      <c r="A1753" s="8">
        <v>19756</v>
      </c>
      <c r="B1753" s="1" t="s">
        <v>25</v>
      </c>
      <c r="C1753" s="1">
        <v>0</v>
      </c>
      <c r="D1753" s="1">
        <v>65.989999999999995</v>
      </c>
      <c r="E1753" s="1">
        <v>5.99</v>
      </c>
      <c r="F1753" s="1">
        <v>3084</v>
      </c>
      <c r="G1753" s="6" t="str">
        <f>IF(COUNTIF(Table1[Customer ID],Table1[[#This Row],[Customer ID]])&gt;1,"Repeat Customer","One-Time Customer")</f>
        <v>Repeat Customer</v>
      </c>
      <c r="H1753" s="1" t="s">
        <v>2781</v>
      </c>
      <c r="I1753" s="1" t="s">
        <v>27</v>
      </c>
      <c r="J1753" s="1" t="s">
        <v>58</v>
      </c>
      <c r="K1753" s="1" t="s">
        <v>77</v>
      </c>
      <c r="L1753" s="1" t="s">
        <v>78</v>
      </c>
      <c r="M1753" s="1" t="s">
        <v>59</v>
      </c>
      <c r="N1753" s="1" t="s">
        <v>2452</v>
      </c>
      <c r="O1753" s="1">
        <v>0.57999999999999996</v>
      </c>
      <c r="P1753" s="6">
        <f>Table1[[#This Row],[Profit]]/Table1[[#This Row],[Sales]]</f>
        <v>0.3928100239081726</v>
      </c>
      <c r="Q1753" s="1" t="s">
        <v>33</v>
      </c>
      <c r="R1753" s="1" t="s">
        <v>34</v>
      </c>
      <c r="S1753" s="1" t="s">
        <v>35</v>
      </c>
      <c r="T1753" s="1" t="s">
        <v>2764</v>
      </c>
      <c r="U1753" s="1">
        <v>98503</v>
      </c>
      <c r="V1753" s="9">
        <v>42114</v>
      </c>
      <c r="W1753" s="13" t="str">
        <f>TEXT(Table1[[#This Row],[Order Date]],"mmmm")</f>
        <v>April</v>
      </c>
      <c r="X1753" s="7" t="str">
        <f>TEXT(Table1[[#This Row],[Order Date]],"yyyy")</f>
        <v>2015</v>
      </c>
      <c r="Y1753" s="9">
        <v>42116</v>
      </c>
      <c r="Z1753" s="1">
        <v>313.81200000000001</v>
      </c>
      <c r="AA1753" s="1">
        <v>14</v>
      </c>
      <c r="AB1753" s="1">
        <v>798.89</v>
      </c>
      <c r="AC1753" s="1">
        <v>89879</v>
      </c>
      <c r="AD1753" s="6" t="str">
        <f>IF(COUNTIF(Returns!$A$2:$A$1635,Orders!AC1753)&gt;0,"Returned","Not Returned")</f>
        <v>Not Returned</v>
      </c>
    </row>
    <row r="1754" spans="1:30" ht="12.75" customHeight="1" thickTop="1" thickBot="1" x14ac:dyDescent="0.25">
      <c r="A1754" s="10">
        <v>20589</v>
      </c>
      <c r="B1754" s="11" t="s">
        <v>37</v>
      </c>
      <c r="C1754" s="11">
        <v>0.01</v>
      </c>
      <c r="D1754" s="11">
        <v>7.1</v>
      </c>
      <c r="E1754" s="11">
        <v>6.05</v>
      </c>
      <c r="F1754" s="11">
        <v>3084</v>
      </c>
      <c r="G1754" s="6" t="str">
        <f>IF(COUNTIF(Table1[Customer ID],Table1[[#This Row],[Customer ID]])&gt;1,"Repeat Customer","One-Time Customer")</f>
        <v>Repeat Customer</v>
      </c>
      <c r="H1754" s="11" t="s">
        <v>2781</v>
      </c>
      <c r="I1754" s="11" t="s">
        <v>49</v>
      </c>
      <c r="J1754" s="11" t="s">
        <v>58</v>
      </c>
      <c r="K1754" s="11" t="s">
        <v>29</v>
      </c>
      <c r="L1754" s="11" t="s">
        <v>109</v>
      </c>
      <c r="M1754" s="11" t="s">
        <v>59</v>
      </c>
      <c r="N1754" s="11" t="s">
        <v>651</v>
      </c>
      <c r="O1754" s="11">
        <v>0.39</v>
      </c>
      <c r="P1754" s="6">
        <f>Table1[[#This Row],[Profit]]/Table1[[#This Row],[Sales]]</f>
        <v>-0.29421315414070126</v>
      </c>
      <c r="Q1754" s="11" t="s">
        <v>33</v>
      </c>
      <c r="R1754" s="11" t="s">
        <v>34</v>
      </c>
      <c r="S1754" s="11" t="s">
        <v>35</v>
      </c>
      <c r="T1754" s="11" t="s">
        <v>2764</v>
      </c>
      <c r="U1754" s="11">
        <v>98503</v>
      </c>
      <c r="V1754" s="12">
        <v>42179</v>
      </c>
      <c r="W1754" s="13" t="str">
        <f>TEXT(Table1[[#This Row],[Order Date]],"mmmm")</f>
        <v>June</v>
      </c>
      <c r="X1754" s="7" t="str">
        <f>TEXT(Table1[[#This Row],[Order Date]],"yyyy")</f>
        <v>2015</v>
      </c>
      <c r="Y1754" s="12">
        <v>42180</v>
      </c>
      <c r="Z1754" s="11">
        <v>-39.186250000000001</v>
      </c>
      <c r="AA1754" s="11">
        <v>18</v>
      </c>
      <c r="AB1754" s="11">
        <v>133.19</v>
      </c>
      <c r="AC1754" s="11">
        <v>89880</v>
      </c>
      <c r="AD1754" s="6" t="str">
        <f>IF(COUNTIF(Returns!$A$2:$A$1635,Orders!AC1754)&gt;0,"Returned","Not Returned")</f>
        <v>Not Returned</v>
      </c>
    </row>
    <row r="1755" spans="1:30" ht="12.75" customHeight="1" thickTop="1" thickBot="1" x14ac:dyDescent="0.25">
      <c r="A1755" s="8">
        <v>20590</v>
      </c>
      <c r="B1755" s="1" t="s">
        <v>37</v>
      </c>
      <c r="C1755" s="1">
        <v>0.05</v>
      </c>
      <c r="D1755" s="1">
        <v>18.97</v>
      </c>
      <c r="E1755" s="1">
        <v>9.0299999999999994</v>
      </c>
      <c r="F1755" s="1">
        <v>3084</v>
      </c>
      <c r="G1755" s="6" t="str">
        <f>IF(COUNTIF(Table1[Customer ID],Table1[[#This Row],[Customer ID]])&gt;1,"Repeat Customer","One-Time Customer")</f>
        <v>Repeat Customer</v>
      </c>
      <c r="H1755" s="1" t="s">
        <v>2781</v>
      </c>
      <c r="I1755" s="1" t="s">
        <v>49</v>
      </c>
      <c r="J1755" s="1" t="s">
        <v>58</v>
      </c>
      <c r="K1755" s="1" t="s">
        <v>29</v>
      </c>
      <c r="L1755" s="1" t="s">
        <v>93</v>
      </c>
      <c r="M1755" s="1" t="s">
        <v>59</v>
      </c>
      <c r="N1755" s="1" t="s">
        <v>775</v>
      </c>
      <c r="O1755" s="1">
        <v>0.37</v>
      </c>
      <c r="P1755" s="6">
        <f>Table1[[#This Row],[Profit]]/Table1[[#This Row],[Sales]]</f>
        <v>-1.9418473235384773E-2</v>
      </c>
      <c r="Q1755" s="1" t="s">
        <v>33</v>
      </c>
      <c r="R1755" s="1" t="s">
        <v>34</v>
      </c>
      <c r="S1755" s="1" t="s">
        <v>35</v>
      </c>
      <c r="T1755" s="1" t="s">
        <v>2764</v>
      </c>
      <c r="U1755" s="1">
        <v>98503</v>
      </c>
      <c r="V1755" s="9">
        <v>42179</v>
      </c>
      <c r="W1755" s="13" t="str">
        <f>TEXT(Table1[[#This Row],[Order Date]],"mmmm")</f>
        <v>June</v>
      </c>
      <c r="X1755" s="7" t="str">
        <f>TEXT(Table1[[#This Row],[Order Date]],"yyyy")</f>
        <v>2015</v>
      </c>
      <c r="Y1755" s="9">
        <v>42180</v>
      </c>
      <c r="Z1755" s="1">
        <v>-1.89</v>
      </c>
      <c r="AA1755" s="1">
        <v>5</v>
      </c>
      <c r="AB1755" s="1">
        <v>97.33</v>
      </c>
      <c r="AC1755" s="1">
        <v>89880</v>
      </c>
      <c r="AD1755" s="6" t="str">
        <f>IF(COUNTIF(Returns!$A$2:$A$1635,Orders!AC1755)&gt;0,"Returned","Not Returned")</f>
        <v>Not Returned</v>
      </c>
    </row>
    <row r="1756" spans="1:30" ht="12.75" customHeight="1" thickTop="1" thickBot="1" x14ac:dyDescent="0.25">
      <c r="A1756" s="10">
        <v>20008</v>
      </c>
      <c r="B1756" s="11" t="s">
        <v>25</v>
      </c>
      <c r="C1756" s="11">
        <v>0.05</v>
      </c>
      <c r="D1756" s="11">
        <v>39.99</v>
      </c>
      <c r="E1756" s="11">
        <v>10.25</v>
      </c>
      <c r="F1756" s="11">
        <v>3086</v>
      </c>
      <c r="G1756" s="6" t="str">
        <f>IF(COUNTIF(Table1[Customer ID],Table1[[#This Row],[Customer ID]])&gt;1,"Repeat Customer","One-Time Customer")</f>
        <v>One-Time Customer</v>
      </c>
      <c r="H1756" s="11" t="s">
        <v>2782</v>
      </c>
      <c r="I1756" s="11" t="s">
        <v>27</v>
      </c>
      <c r="J1756" s="11" t="s">
        <v>114</v>
      </c>
      <c r="K1756" s="11" t="s">
        <v>77</v>
      </c>
      <c r="L1756" s="11" t="s">
        <v>180</v>
      </c>
      <c r="M1756" s="11" t="s">
        <v>59</v>
      </c>
      <c r="N1756" s="11" t="s">
        <v>2783</v>
      </c>
      <c r="O1756" s="11">
        <v>0.55000000000000004</v>
      </c>
      <c r="P1756" s="6">
        <f>Table1[[#This Row],[Profit]]/Table1[[#This Row],[Sales]]</f>
        <v>3.2770605759682228E-2</v>
      </c>
      <c r="Q1756" s="11" t="s">
        <v>33</v>
      </c>
      <c r="R1756" s="11" t="s">
        <v>136</v>
      </c>
      <c r="S1756" s="11" t="s">
        <v>362</v>
      </c>
      <c r="T1756" s="11" t="s">
        <v>2784</v>
      </c>
      <c r="U1756" s="11">
        <v>34287</v>
      </c>
      <c r="V1756" s="12">
        <v>42142</v>
      </c>
      <c r="W1756" s="13" t="str">
        <f>TEXT(Table1[[#This Row],[Order Date]],"mmmm")</f>
        <v>May</v>
      </c>
      <c r="X1756" s="7" t="str">
        <f>TEXT(Table1[[#This Row],[Order Date]],"yyyy")</f>
        <v>2015</v>
      </c>
      <c r="Y1756" s="12">
        <v>42143</v>
      </c>
      <c r="Z1756" s="11">
        <v>4.29</v>
      </c>
      <c r="AA1756" s="11">
        <v>3</v>
      </c>
      <c r="AB1756" s="11">
        <v>130.91</v>
      </c>
      <c r="AC1756" s="11">
        <v>88380</v>
      </c>
      <c r="AD1756" s="6" t="str">
        <f>IF(COUNTIF(Returns!$A$2:$A$1635,Orders!AC1756)&gt;0,"Returned","Not Returned")</f>
        <v>Not Returned</v>
      </c>
    </row>
    <row r="1757" spans="1:30" ht="12.75" customHeight="1" thickTop="1" thickBot="1" x14ac:dyDescent="0.25">
      <c r="A1757" s="8">
        <v>21085</v>
      </c>
      <c r="B1757" s="1" t="s">
        <v>106</v>
      </c>
      <c r="C1757" s="1">
        <v>7.0000000000000007E-2</v>
      </c>
      <c r="D1757" s="1">
        <v>49.43</v>
      </c>
      <c r="E1757" s="1">
        <v>19.989999999999998</v>
      </c>
      <c r="F1757" s="1">
        <v>3089</v>
      </c>
      <c r="G1757" s="6" t="str">
        <f>IF(COUNTIF(Table1[Customer ID],Table1[[#This Row],[Customer ID]])&gt;1,"Repeat Customer","One-Time Customer")</f>
        <v>One-Time Customer</v>
      </c>
      <c r="H1757" s="1" t="s">
        <v>2785</v>
      </c>
      <c r="I1757" s="1" t="s">
        <v>49</v>
      </c>
      <c r="J1757" s="1" t="s">
        <v>28</v>
      </c>
      <c r="K1757" s="1" t="s">
        <v>29</v>
      </c>
      <c r="L1757" s="1" t="s">
        <v>257</v>
      </c>
      <c r="M1757" s="1" t="s">
        <v>59</v>
      </c>
      <c r="N1757" s="1" t="s">
        <v>2786</v>
      </c>
      <c r="O1757" s="1">
        <v>0.56999999999999995</v>
      </c>
      <c r="P1757" s="6">
        <f>Table1[[#This Row],[Profit]]/Table1[[#This Row],[Sales]]</f>
        <v>-0.43563267333759137</v>
      </c>
      <c r="Q1757" s="1" t="s">
        <v>33</v>
      </c>
      <c r="R1757" s="1" t="s">
        <v>61</v>
      </c>
      <c r="S1757" s="1" t="s">
        <v>183</v>
      </c>
      <c r="T1757" s="1" t="s">
        <v>2755</v>
      </c>
      <c r="U1757" s="1">
        <v>66209</v>
      </c>
      <c r="V1757" s="9">
        <v>42028</v>
      </c>
      <c r="W1757" s="13" t="str">
        <f>TEXT(Table1[[#This Row],[Order Date]],"mmmm")</f>
        <v>January</v>
      </c>
      <c r="X1757" s="7" t="str">
        <f>TEXT(Table1[[#This Row],[Order Date]],"yyyy")</f>
        <v>2015</v>
      </c>
      <c r="Y1757" s="9">
        <v>42033</v>
      </c>
      <c r="Z1757" s="1">
        <v>-122.77</v>
      </c>
      <c r="AA1757" s="1">
        <v>6</v>
      </c>
      <c r="AB1757" s="1">
        <v>281.82</v>
      </c>
      <c r="AC1757" s="1">
        <v>91219</v>
      </c>
      <c r="AD1757" s="6" t="str">
        <f>IF(COUNTIF(Returns!$A$2:$A$1635,Orders!AC1757)&gt;0,"Returned","Not Returned")</f>
        <v>Not Returned</v>
      </c>
    </row>
    <row r="1758" spans="1:30" ht="12.75" customHeight="1" thickTop="1" thickBot="1" x14ac:dyDescent="0.25">
      <c r="A1758" s="10">
        <v>20357</v>
      </c>
      <c r="B1758" s="11" t="s">
        <v>47</v>
      </c>
      <c r="C1758" s="11">
        <v>0.09</v>
      </c>
      <c r="D1758" s="11">
        <v>207.48</v>
      </c>
      <c r="E1758" s="11">
        <v>0.99</v>
      </c>
      <c r="F1758" s="11">
        <v>3095</v>
      </c>
      <c r="G1758" s="6" t="str">
        <f>IF(COUNTIF(Table1[Customer ID],Table1[[#This Row],[Customer ID]])&gt;1,"Repeat Customer","One-Time Customer")</f>
        <v>One-Time Customer</v>
      </c>
      <c r="H1758" s="11" t="s">
        <v>2787</v>
      </c>
      <c r="I1758" s="11" t="s">
        <v>49</v>
      </c>
      <c r="J1758" s="11" t="s">
        <v>114</v>
      </c>
      <c r="K1758" s="11" t="s">
        <v>29</v>
      </c>
      <c r="L1758" s="11" t="s">
        <v>257</v>
      </c>
      <c r="M1758" s="11" t="s">
        <v>59</v>
      </c>
      <c r="N1758" s="11" t="s">
        <v>2143</v>
      </c>
      <c r="O1758" s="11">
        <v>0.55000000000000004</v>
      </c>
      <c r="P1758" s="6">
        <f>Table1[[#This Row],[Profit]]/Table1[[#This Row],[Sales]]</f>
        <v>0.69</v>
      </c>
      <c r="Q1758" s="11" t="s">
        <v>33</v>
      </c>
      <c r="R1758" s="11" t="s">
        <v>53</v>
      </c>
      <c r="S1758" s="11" t="s">
        <v>154</v>
      </c>
      <c r="T1758" s="11" t="s">
        <v>2788</v>
      </c>
      <c r="U1758" s="11">
        <v>45011</v>
      </c>
      <c r="V1758" s="12">
        <v>42023</v>
      </c>
      <c r="W1758" s="13" t="str">
        <f>TEXT(Table1[[#This Row],[Order Date]],"mmmm")</f>
        <v>January</v>
      </c>
      <c r="X1758" s="7" t="str">
        <f>TEXT(Table1[[#This Row],[Order Date]],"yyyy")</f>
        <v>2015</v>
      </c>
      <c r="Y1758" s="12">
        <v>42025</v>
      </c>
      <c r="Z1758" s="11">
        <v>683.9556</v>
      </c>
      <c r="AA1758" s="11">
        <v>5</v>
      </c>
      <c r="AB1758" s="11">
        <v>991.24</v>
      </c>
      <c r="AC1758" s="11">
        <v>86220</v>
      </c>
      <c r="AD1758" s="6" t="str">
        <f>IF(COUNTIF(Returns!$A$2:$A$1635,Orders!AC1758)&gt;0,"Returned","Not Returned")</f>
        <v>Not Returned</v>
      </c>
    </row>
    <row r="1759" spans="1:30" ht="12.75" customHeight="1" thickTop="1" thickBot="1" x14ac:dyDescent="0.25">
      <c r="A1759" s="8">
        <v>21235</v>
      </c>
      <c r="B1759" s="1" t="s">
        <v>25</v>
      </c>
      <c r="C1759" s="1">
        <v>0.08</v>
      </c>
      <c r="D1759" s="1">
        <v>40.98</v>
      </c>
      <c r="E1759" s="1">
        <v>7.2</v>
      </c>
      <c r="F1759" s="1">
        <v>3096</v>
      </c>
      <c r="G1759" s="6" t="str">
        <f>IF(COUNTIF(Table1[Customer ID],Table1[[#This Row],[Customer ID]])&gt;1,"Repeat Customer","One-Time Customer")</f>
        <v>Repeat Customer</v>
      </c>
      <c r="H1759" s="1" t="s">
        <v>2789</v>
      </c>
      <c r="I1759" s="1" t="s">
        <v>27</v>
      </c>
      <c r="J1759" s="1" t="s">
        <v>114</v>
      </c>
      <c r="K1759" s="1" t="s">
        <v>29</v>
      </c>
      <c r="L1759" s="1" t="s">
        <v>257</v>
      </c>
      <c r="M1759" s="1" t="s">
        <v>59</v>
      </c>
      <c r="N1759" s="1" t="s">
        <v>2790</v>
      </c>
      <c r="O1759" s="1">
        <v>0.6</v>
      </c>
      <c r="P1759" s="6">
        <f>Table1[[#This Row],[Profit]]/Table1[[#This Row],[Sales]]</f>
        <v>-0.13882863340563992</v>
      </c>
      <c r="Q1759" s="1" t="s">
        <v>33</v>
      </c>
      <c r="R1759" s="1" t="s">
        <v>53</v>
      </c>
      <c r="S1759" s="1" t="s">
        <v>154</v>
      </c>
      <c r="T1759" s="1" t="s">
        <v>1734</v>
      </c>
      <c r="U1759" s="1">
        <v>43026</v>
      </c>
      <c r="V1759" s="9">
        <v>42148</v>
      </c>
      <c r="W1759" s="13" t="str">
        <f>TEXT(Table1[[#This Row],[Order Date]],"mmmm")</f>
        <v>May</v>
      </c>
      <c r="X1759" s="7" t="str">
        <f>TEXT(Table1[[#This Row],[Order Date]],"yyyy")</f>
        <v>2015</v>
      </c>
      <c r="Y1759" s="9">
        <v>42149</v>
      </c>
      <c r="Z1759" s="1">
        <v>-16.64</v>
      </c>
      <c r="AA1759" s="1">
        <v>3</v>
      </c>
      <c r="AB1759" s="1">
        <v>119.86</v>
      </c>
      <c r="AC1759" s="1">
        <v>86221</v>
      </c>
      <c r="AD1759" s="6" t="str">
        <f>IF(COUNTIF(Returns!$A$2:$A$1635,Orders!AC1759)&gt;0,"Returned","Not Returned")</f>
        <v>Not Returned</v>
      </c>
    </row>
    <row r="1760" spans="1:30" ht="12.75" customHeight="1" thickTop="1" thickBot="1" x14ac:dyDescent="0.25">
      <c r="A1760" s="10">
        <v>21236</v>
      </c>
      <c r="B1760" s="11" t="s">
        <v>25</v>
      </c>
      <c r="C1760" s="11">
        <v>0.08</v>
      </c>
      <c r="D1760" s="11">
        <v>8.1199999999999992</v>
      </c>
      <c r="E1760" s="11">
        <v>2.83</v>
      </c>
      <c r="F1760" s="11">
        <v>3096</v>
      </c>
      <c r="G1760" s="6" t="str">
        <f>IF(COUNTIF(Table1[Customer ID],Table1[[#This Row],[Customer ID]])&gt;1,"Repeat Customer","One-Time Customer")</f>
        <v>Repeat Customer</v>
      </c>
      <c r="H1760" s="11" t="s">
        <v>2789</v>
      </c>
      <c r="I1760" s="11" t="s">
        <v>27</v>
      </c>
      <c r="J1760" s="11" t="s">
        <v>114</v>
      </c>
      <c r="K1760" s="11" t="s">
        <v>77</v>
      </c>
      <c r="L1760" s="11" t="s">
        <v>180</v>
      </c>
      <c r="M1760" s="11" t="s">
        <v>51</v>
      </c>
      <c r="N1760" s="11" t="s">
        <v>827</v>
      </c>
      <c r="O1760" s="11">
        <v>0.77</v>
      </c>
      <c r="P1760" s="6">
        <f>Table1[[#This Row],[Profit]]/Table1[[#This Row],[Sales]]</f>
        <v>-0.60473828085451042</v>
      </c>
      <c r="Q1760" s="11" t="s">
        <v>33</v>
      </c>
      <c r="R1760" s="11" t="s">
        <v>53</v>
      </c>
      <c r="S1760" s="11" t="s">
        <v>154</v>
      </c>
      <c r="T1760" s="11" t="s">
        <v>1734</v>
      </c>
      <c r="U1760" s="11">
        <v>43026</v>
      </c>
      <c r="V1760" s="12">
        <v>42148</v>
      </c>
      <c r="W1760" s="13" t="str">
        <f>TEXT(Table1[[#This Row],[Order Date]],"mmmm")</f>
        <v>May</v>
      </c>
      <c r="X1760" s="7" t="str">
        <f>TEXT(Table1[[#This Row],[Order Date]],"yyyy")</f>
        <v>2015</v>
      </c>
      <c r="Y1760" s="12">
        <v>42149</v>
      </c>
      <c r="Z1760" s="11">
        <v>-59.73</v>
      </c>
      <c r="AA1760" s="11">
        <v>12</v>
      </c>
      <c r="AB1760" s="11">
        <v>98.77</v>
      </c>
      <c r="AC1760" s="11">
        <v>86221</v>
      </c>
      <c r="AD1760" s="6" t="str">
        <f>IF(COUNTIF(Returns!$A$2:$A$1635,Orders!AC1760)&gt;0,"Returned","Not Returned")</f>
        <v>Not Returned</v>
      </c>
    </row>
    <row r="1761" spans="1:30" ht="12.75" customHeight="1" thickTop="1" thickBot="1" x14ac:dyDescent="0.25">
      <c r="A1761" s="8">
        <v>21237</v>
      </c>
      <c r="B1761" s="1" t="s">
        <v>25</v>
      </c>
      <c r="C1761" s="1">
        <v>0.02</v>
      </c>
      <c r="D1761" s="1">
        <v>262.11</v>
      </c>
      <c r="E1761" s="1">
        <v>62.74</v>
      </c>
      <c r="F1761" s="1">
        <v>3096</v>
      </c>
      <c r="G1761" s="6" t="str">
        <f>IF(COUNTIF(Table1[Customer ID],Table1[[#This Row],[Customer ID]])&gt;1,"Repeat Customer","One-Time Customer")</f>
        <v>Repeat Customer</v>
      </c>
      <c r="H1761" s="1" t="s">
        <v>2789</v>
      </c>
      <c r="I1761" s="1" t="s">
        <v>39</v>
      </c>
      <c r="J1761" s="1" t="s">
        <v>114</v>
      </c>
      <c r="K1761" s="1" t="s">
        <v>41</v>
      </c>
      <c r="L1761" s="1" t="s">
        <v>152</v>
      </c>
      <c r="M1761" s="1" t="s">
        <v>121</v>
      </c>
      <c r="N1761" s="1" t="s">
        <v>2791</v>
      </c>
      <c r="O1761" s="1">
        <v>0.75</v>
      </c>
      <c r="P1761" s="6">
        <f>Table1[[#This Row],[Profit]]/Table1[[#This Row],[Sales]]</f>
        <v>-0.25384865329512907</v>
      </c>
      <c r="Q1761" s="1" t="s">
        <v>33</v>
      </c>
      <c r="R1761" s="1" t="s">
        <v>53</v>
      </c>
      <c r="S1761" s="1" t="s">
        <v>154</v>
      </c>
      <c r="T1761" s="1" t="s">
        <v>1734</v>
      </c>
      <c r="U1761" s="1">
        <v>43026</v>
      </c>
      <c r="V1761" s="9">
        <v>42148</v>
      </c>
      <c r="W1761" s="13" t="str">
        <f>TEXT(Table1[[#This Row],[Order Date]],"mmmm")</f>
        <v>May</v>
      </c>
      <c r="X1761" s="7" t="str">
        <f>TEXT(Table1[[#This Row],[Order Date]],"yyyy")</f>
        <v>2015</v>
      </c>
      <c r="Y1761" s="9">
        <v>42149</v>
      </c>
      <c r="Z1761" s="1">
        <v>-633.44123700000023</v>
      </c>
      <c r="AA1761" s="1">
        <v>9</v>
      </c>
      <c r="AB1761" s="1">
        <v>2495.35</v>
      </c>
      <c r="AC1761" s="1">
        <v>86221</v>
      </c>
      <c r="AD1761" s="6" t="str">
        <f>IF(COUNTIF(Returns!$A$2:$A$1635,Orders!AC1761)&gt;0,"Returned","Not Returned")</f>
        <v>Not Returned</v>
      </c>
    </row>
    <row r="1762" spans="1:30" ht="12.75" customHeight="1" thickTop="1" thickBot="1" x14ac:dyDescent="0.25">
      <c r="A1762" s="10">
        <v>25999</v>
      </c>
      <c r="B1762" s="11" t="s">
        <v>47</v>
      </c>
      <c r="C1762" s="11">
        <v>0.04</v>
      </c>
      <c r="D1762" s="11">
        <v>33.89</v>
      </c>
      <c r="E1762" s="11">
        <v>5.0999999999999996</v>
      </c>
      <c r="F1762" s="11">
        <v>3096</v>
      </c>
      <c r="G1762" s="6" t="str">
        <f>IF(COUNTIF(Table1[Customer ID],Table1[[#This Row],[Customer ID]])&gt;1,"Repeat Customer","One-Time Customer")</f>
        <v>Repeat Customer</v>
      </c>
      <c r="H1762" s="11" t="s">
        <v>2789</v>
      </c>
      <c r="I1762" s="11" t="s">
        <v>27</v>
      </c>
      <c r="J1762" s="11" t="s">
        <v>114</v>
      </c>
      <c r="K1762" s="11" t="s">
        <v>29</v>
      </c>
      <c r="L1762" s="11" t="s">
        <v>141</v>
      </c>
      <c r="M1762" s="11" t="s">
        <v>59</v>
      </c>
      <c r="N1762" s="11" t="s">
        <v>2792</v>
      </c>
      <c r="O1762" s="11">
        <v>0.6</v>
      </c>
      <c r="P1762" s="6">
        <f>Table1[[#This Row],[Profit]]/Table1[[#This Row],[Sales]]</f>
        <v>0.36341184086042921</v>
      </c>
      <c r="Q1762" s="11" t="s">
        <v>33</v>
      </c>
      <c r="R1762" s="11" t="s">
        <v>53</v>
      </c>
      <c r="S1762" s="11" t="s">
        <v>154</v>
      </c>
      <c r="T1762" s="11" t="s">
        <v>1734</v>
      </c>
      <c r="U1762" s="11">
        <v>43026</v>
      </c>
      <c r="V1762" s="12">
        <v>42172</v>
      </c>
      <c r="W1762" s="13" t="str">
        <f>TEXT(Table1[[#This Row],[Order Date]],"mmmm")</f>
        <v>June</v>
      </c>
      <c r="X1762" s="7" t="str">
        <f>TEXT(Table1[[#This Row],[Order Date]],"yyyy")</f>
        <v>2015</v>
      </c>
      <c r="Y1762" s="12">
        <v>42173</v>
      </c>
      <c r="Z1762" s="11">
        <v>72.984000000000009</v>
      </c>
      <c r="AA1762" s="11">
        <v>6</v>
      </c>
      <c r="AB1762" s="11">
        <v>200.83</v>
      </c>
      <c r="AC1762" s="11">
        <v>86222</v>
      </c>
      <c r="AD1762" s="6" t="str">
        <f>IF(COUNTIF(Returns!$A$2:$A$1635,Orders!AC1762)&gt;0,"Returned","Not Returned")</f>
        <v>Not Returned</v>
      </c>
    </row>
    <row r="1763" spans="1:30" ht="12.75" customHeight="1" thickTop="1" thickBot="1" x14ac:dyDescent="0.25">
      <c r="A1763" s="8">
        <v>19816</v>
      </c>
      <c r="B1763" s="1" t="s">
        <v>47</v>
      </c>
      <c r="C1763" s="1">
        <v>0.05</v>
      </c>
      <c r="D1763" s="1">
        <v>35.44</v>
      </c>
      <c r="E1763" s="1">
        <v>5.09</v>
      </c>
      <c r="F1763" s="1">
        <v>3098</v>
      </c>
      <c r="G1763" s="6" t="str">
        <f>IF(COUNTIF(Table1[Customer ID],Table1[[#This Row],[Customer ID]])&gt;1,"Repeat Customer","One-Time Customer")</f>
        <v>Repeat Customer</v>
      </c>
      <c r="H1763" s="1" t="s">
        <v>2793</v>
      </c>
      <c r="I1763" s="1" t="s">
        <v>49</v>
      </c>
      <c r="J1763" s="1" t="s">
        <v>114</v>
      </c>
      <c r="K1763" s="1" t="s">
        <v>29</v>
      </c>
      <c r="L1763" s="1" t="s">
        <v>93</v>
      </c>
      <c r="M1763" s="1" t="s">
        <v>59</v>
      </c>
      <c r="N1763" s="1" t="s">
        <v>2777</v>
      </c>
      <c r="O1763" s="1">
        <v>0.38</v>
      </c>
      <c r="P1763" s="6">
        <f>Table1[[#This Row],[Profit]]/Table1[[#This Row],[Sales]]</f>
        <v>0.69</v>
      </c>
      <c r="Q1763" s="1" t="s">
        <v>33</v>
      </c>
      <c r="R1763" s="1" t="s">
        <v>53</v>
      </c>
      <c r="S1763" s="1" t="s">
        <v>71</v>
      </c>
      <c r="T1763" s="1" t="s">
        <v>2794</v>
      </c>
      <c r="U1763" s="1">
        <v>11967</v>
      </c>
      <c r="V1763" s="9">
        <v>42102</v>
      </c>
      <c r="W1763" s="13" t="str">
        <f>TEXT(Table1[[#This Row],[Order Date]],"mmmm")</f>
        <v>April</v>
      </c>
      <c r="X1763" s="7" t="str">
        <f>TEXT(Table1[[#This Row],[Order Date]],"yyyy")</f>
        <v>2015</v>
      </c>
      <c r="Y1763" s="9">
        <v>42103</v>
      </c>
      <c r="Z1763" s="1">
        <v>240.17519999999996</v>
      </c>
      <c r="AA1763" s="1">
        <v>10</v>
      </c>
      <c r="AB1763" s="1">
        <v>348.08</v>
      </c>
      <c r="AC1763" s="1">
        <v>89314</v>
      </c>
      <c r="AD1763" s="6" t="str">
        <f>IF(COUNTIF(Returns!$A$2:$A$1635,Orders!AC1763)&gt;0,"Returned","Not Returned")</f>
        <v>Not Returned</v>
      </c>
    </row>
    <row r="1764" spans="1:30" ht="12.75" customHeight="1" thickTop="1" thickBot="1" x14ac:dyDescent="0.25">
      <c r="A1764" s="10">
        <v>22503</v>
      </c>
      <c r="B1764" s="11" t="s">
        <v>106</v>
      </c>
      <c r="C1764" s="11">
        <v>0</v>
      </c>
      <c r="D1764" s="11">
        <v>11.7</v>
      </c>
      <c r="E1764" s="11">
        <v>6.96</v>
      </c>
      <c r="F1764" s="11">
        <v>3098</v>
      </c>
      <c r="G1764" s="6" t="str">
        <f>IF(COUNTIF(Table1[Customer ID],Table1[[#This Row],[Customer ID]])&gt;1,"Repeat Customer","One-Time Customer")</f>
        <v>Repeat Customer</v>
      </c>
      <c r="H1764" s="11" t="s">
        <v>2793</v>
      </c>
      <c r="I1764" s="11" t="s">
        <v>27</v>
      </c>
      <c r="J1764" s="11" t="s">
        <v>114</v>
      </c>
      <c r="K1764" s="11" t="s">
        <v>29</v>
      </c>
      <c r="L1764" s="11" t="s">
        <v>257</v>
      </c>
      <c r="M1764" s="11" t="s">
        <v>86</v>
      </c>
      <c r="N1764" s="11" t="s">
        <v>1280</v>
      </c>
      <c r="O1764" s="11">
        <v>0.5</v>
      </c>
      <c r="P1764" s="6">
        <f>Table1[[#This Row],[Profit]]/Table1[[#This Row],[Sales]]</f>
        <v>-8.5412711671349395E-2</v>
      </c>
      <c r="Q1764" s="11" t="s">
        <v>33</v>
      </c>
      <c r="R1764" s="11" t="s">
        <v>53</v>
      </c>
      <c r="S1764" s="11" t="s">
        <v>71</v>
      </c>
      <c r="T1764" s="11" t="s">
        <v>2794</v>
      </c>
      <c r="U1764" s="11">
        <v>11967</v>
      </c>
      <c r="V1764" s="12">
        <v>42172</v>
      </c>
      <c r="W1764" s="13" t="str">
        <f>TEXT(Table1[[#This Row],[Order Date]],"mmmm")</f>
        <v>June</v>
      </c>
      <c r="X1764" s="7" t="str">
        <f>TEXT(Table1[[#This Row],[Order Date]],"yyyy")</f>
        <v>2015</v>
      </c>
      <c r="Y1764" s="12">
        <v>42174</v>
      </c>
      <c r="Z1764" s="11">
        <v>-11.248000000000001</v>
      </c>
      <c r="AA1764" s="11">
        <v>10</v>
      </c>
      <c r="AB1764" s="11">
        <v>131.69</v>
      </c>
      <c r="AC1764" s="11">
        <v>89315</v>
      </c>
      <c r="AD1764" s="6" t="str">
        <f>IF(COUNTIF(Returns!$A$2:$A$1635,Orders!AC1764)&gt;0,"Returned","Not Returned")</f>
        <v>Not Returned</v>
      </c>
    </row>
    <row r="1765" spans="1:30" ht="12.75" customHeight="1" thickTop="1" thickBot="1" x14ac:dyDescent="0.25">
      <c r="A1765" s="8">
        <v>18930</v>
      </c>
      <c r="B1765" s="1" t="s">
        <v>106</v>
      </c>
      <c r="C1765" s="1">
        <v>0.06</v>
      </c>
      <c r="D1765" s="1">
        <v>2.89</v>
      </c>
      <c r="E1765" s="1">
        <v>0.5</v>
      </c>
      <c r="F1765" s="1">
        <v>3098</v>
      </c>
      <c r="G1765" s="6" t="str">
        <f>IF(COUNTIF(Table1[Customer ID],Table1[[#This Row],[Customer ID]])&gt;1,"Repeat Customer","One-Time Customer")</f>
        <v>Repeat Customer</v>
      </c>
      <c r="H1765" s="1" t="s">
        <v>2793</v>
      </c>
      <c r="I1765" s="1" t="s">
        <v>49</v>
      </c>
      <c r="J1765" s="1" t="s">
        <v>114</v>
      </c>
      <c r="K1765" s="1" t="s">
        <v>29</v>
      </c>
      <c r="L1765" s="1" t="s">
        <v>134</v>
      </c>
      <c r="M1765" s="1" t="s">
        <v>59</v>
      </c>
      <c r="N1765" s="1" t="s">
        <v>789</v>
      </c>
      <c r="O1765" s="1">
        <v>0.38</v>
      </c>
      <c r="P1765" s="6">
        <f>Table1[[#This Row],[Profit]]/Table1[[#This Row],[Sales]]</f>
        <v>0.69</v>
      </c>
      <c r="Q1765" s="1" t="s">
        <v>33</v>
      </c>
      <c r="R1765" s="1" t="s">
        <v>53</v>
      </c>
      <c r="S1765" s="1" t="s">
        <v>71</v>
      </c>
      <c r="T1765" s="1" t="s">
        <v>2794</v>
      </c>
      <c r="U1765" s="1">
        <v>11967</v>
      </c>
      <c r="V1765" s="9">
        <v>42063</v>
      </c>
      <c r="W1765" s="13" t="str">
        <f>TEXT(Table1[[#This Row],[Order Date]],"mmmm")</f>
        <v>February</v>
      </c>
      <c r="X1765" s="7" t="str">
        <f>TEXT(Table1[[#This Row],[Order Date]],"yyyy")</f>
        <v>2015</v>
      </c>
      <c r="Y1765" s="9">
        <v>42063</v>
      </c>
      <c r="Z1765" s="1">
        <v>9.611699999999999</v>
      </c>
      <c r="AA1765" s="1">
        <v>5</v>
      </c>
      <c r="AB1765" s="1">
        <v>13.93</v>
      </c>
      <c r="AC1765" s="1">
        <v>89316</v>
      </c>
      <c r="AD1765" s="6" t="str">
        <f>IF(COUNTIF(Returns!$A$2:$A$1635,Orders!AC1765)&gt;0,"Returned","Not Returned")</f>
        <v>Not Returned</v>
      </c>
    </row>
    <row r="1766" spans="1:30" ht="12.75" customHeight="1" thickTop="1" thickBot="1" x14ac:dyDescent="0.25">
      <c r="A1766" s="10">
        <v>19805</v>
      </c>
      <c r="B1766" s="11" t="s">
        <v>47</v>
      </c>
      <c r="C1766" s="11">
        <v>7.0000000000000007E-2</v>
      </c>
      <c r="D1766" s="11">
        <v>35.99</v>
      </c>
      <c r="E1766" s="11">
        <v>5</v>
      </c>
      <c r="F1766" s="11">
        <v>3100</v>
      </c>
      <c r="G1766" s="6" t="str">
        <f>IF(COUNTIF(Table1[Customer ID],Table1[[#This Row],[Customer ID]])&gt;1,"Repeat Customer","One-Time Customer")</f>
        <v>One-Time Customer</v>
      </c>
      <c r="H1766" s="11" t="s">
        <v>2795</v>
      </c>
      <c r="I1766" s="11" t="s">
        <v>49</v>
      </c>
      <c r="J1766" s="11" t="s">
        <v>114</v>
      </c>
      <c r="K1766" s="11" t="s">
        <v>77</v>
      </c>
      <c r="L1766" s="11" t="s">
        <v>78</v>
      </c>
      <c r="M1766" s="11" t="s">
        <v>31</v>
      </c>
      <c r="N1766" s="11" t="s">
        <v>1762</v>
      </c>
      <c r="O1766" s="11">
        <v>0.82</v>
      </c>
      <c r="P1766" s="6">
        <f>Table1[[#This Row],[Profit]]/Table1[[#This Row],[Sales]]</f>
        <v>-9.4548785871964682</v>
      </c>
      <c r="Q1766" s="11" t="s">
        <v>33</v>
      </c>
      <c r="R1766" s="11" t="s">
        <v>136</v>
      </c>
      <c r="S1766" s="11" t="s">
        <v>362</v>
      </c>
      <c r="T1766" s="11" t="s">
        <v>2796</v>
      </c>
      <c r="U1766" s="11">
        <v>33334</v>
      </c>
      <c r="V1766" s="12">
        <v>42088</v>
      </c>
      <c r="W1766" s="13" t="str">
        <f>TEXT(Table1[[#This Row],[Order Date]],"mmmm")</f>
        <v>March</v>
      </c>
      <c r="X1766" s="7" t="str">
        <f>TEXT(Table1[[#This Row],[Order Date]],"yyyy")</f>
        <v>2015</v>
      </c>
      <c r="Y1766" s="12">
        <v>42090</v>
      </c>
      <c r="Z1766" s="11">
        <v>-299.81420000000003</v>
      </c>
      <c r="AA1766" s="11">
        <v>1</v>
      </c>
      <c r="AB1766" s="11">
        <v>31.71</v>
      </c>
      <c r="AC1766" s="11">
        <v>89988</v>
      </c>
      <c r="AD1766" s="6" t="str">
        <f>IF(COUNTIF(Returns!$A$2:$A$1635,Orders!AC1766)&gt;0,"Returned","Not Returned")</f>
        <v>Not Returned</v>
      </c>
    </row>
    <row r="1767" spans="1:30" ht="12.75" customHeight="1" thickTop="1" thickBot="1" x14ac:dyDescent="0.25">
      <c r="A1767" s="8">
        <v>18087</v>
      </c>
      <c r="B1767" s="1" t="s">
        <v>47</v>
      </c>
      <c r="C1767" s="1">
        <v>0.04</v>
      </c>
      <c r="D1767" s="1">
        <v>3.08</v>
      </c>
      <c r="E1767" s="1">
        <v>0.99</v>
      </c>
      <c r="F1767" s="1">
        <v>3105</v>
      </c>
      <c r="G1767" s="6" t="str">
        <f>IF(COUNTIF(Table1[Customer ID],Table1[[#This Row],[Customer ID]])&gt;1,"Repeat Customer","One-Time Customer")</f>
        <v>Repeat Customer</v>
      </c>
      <c r="H1767" s="1" t="s">
        <v>2797</v>
      </c>
      <c r="I1767" s="1" t="s">
        <v>49</v>
      </c>
      <c r="J1767" s="1" t="s">
        <v>40</v>
      </c>
      <c r="K1767" s="1" t="s">
        <v>29</v>
      </c>
      <c r="L1767" s="1" t="s">
        <v>134</v>
      </c>
      <c r="M1767" s="1" t="s">
        <v>59</v>
      </c>
      <c r="N1767" s="1" t="s">
        <v>1994</v>
      </c>
      <c r="O1767" s="1">
        <v>0.37</v>
      </c>
      <c r="P1767" s="6">
        <f>Table1[[#This Row],[Profit]]/Table1[[#This Row],[Sales]]</f>
        <v>0.22996167305449092</v>
      </c>
      <c r="Q1767" s="1" t="s">
        <v>33</v>
      </c>
      <c r="R1767" s="1" t="s">
        <v>136</v>
      </c>
      <c r="S1767" s="1" t="s">
        <v>613</v>
      </c>
      <c r="T1767" s="1" t="s">
        <v>319</v>
      </c>
      <c r="U1767" s="1">
        <v>42071</v>
      </c>
      <c r="V1767" s="9">
        <v>42083</v>
      </c>
      <c r="W1767" s="13" t="str">
        <f>TEXT(Table1[[#This Row],[Order Date]],"mmmm")</f>
        <v>March</v>
      </c>
      <c r="X1767" s="7" t="str">
        <f>TEXT(Table1[[#This Row],[Order Date]],"yyyy")</f>
        <v>2015</v>
      </c>
      <c r="Y1767" s="9">
        <v>42084</v>
      </c>
      <c r="Z1767" s="1">
        <v>13.799999999999999</v>
      </c>
      <c r="AA1767" s="1">
        <v>19</v>
      </c>
      <c r="AB1767" s="1">
        <v>60.01</v>
      </c>
      <c r="AC1767" s="1">
        <v>86327</v>
      </c>
      <c r="AD1767" s="6" t="str">
        <f>IF(COUNTIF(Returns!$A$2:$A$1635,Orders!AC1767)&gt;0,"Returned","Not Returned")</f>
        <v>Not Returned</v>
      </c>
    </row>
    <row r="1768" spans="1:30" ht="12.75" customHeight="1" thickTop="1" thickBot="1" x14ac:dyDescent="0.25">
      <c r="A1768" s="10">
        <v>18088</v>
      </c>
      <c r="B1768" s="11" t="s">
        <v>47</v>
      </c>
      <c r="C1768" s="11">
        <v>0.02</v>
      </c>
      <c r="D1768" s="11">
        <v>6.48</v>
      </c>
      <c r="E1768" s="11">
        <v>5.9</v>
      </c>
      <c r="F1768" s="11">
        <v>3105</v>
      </c>
      <c r="G1768" s="6" t="str">
        <f>IF(COUNTIF(Table1[Customer ID],Table1[[#This Row],[Customer ID]])&gt;1,"Repeat Customer","One-Time Customer")</f>
        <v>Repeat Customer</v>
      </c>
      <c r="H1768" s="11" t="s">
        <v>2797</v>
      </c>
      <c r="I1768" s="11" t="s">
        <v>49</v>
      </c>
      <c r="J1768" s="11" t="s">
        <v>40</v>
      </c>
      <c r="K1768" s="11" t="s">
        <v>29</v>
      </c>
      <c r="L1768" s="11" t="s">
        <v>93</v>
      </c>
      <c r="M1768" s="11" t="s">
        <v>59</v>
      </c>
      <c r="N1768" s="11" t="s">
        <v>712</v>
      </c>
      <c r="O1768" s="11">
        <v>0.37</v>
      </c>
      <c r="P1768" s="6">
        <f>Table1[[#This Row],[Profit]]/Table1[[#This Row],[Sales]]</f>
        <v>4.8274346010112101E-2</v>
      </c>
      <c r="Q1768" s="11" t="s">
        <v>33</v>
      </c>
      <c r="R1768" s="11" t="s">
        <v>136</v>
      </c>
      <c r="S1768" s="11" t="s">
        <v>613</v>
      </c>
      <c r="T1768" s="11" t="s">
        <v>319</v>
      </c>
      <c r="U1768" s="11">
        <v>42071</v>
      </c>
      <c r="V1768" s="12">
        <v>42083</v>
      </c>
      <c r="W1768" s="13" t="str">
        <f>TEXT(Table1[[#This Row],[Order Date]],"mmmm")</f>
        <v>March</v>
      </c>
      <c r="X1768" s="7" t="str">
        <f>TEXT(Table1[[#This Row],[Order Date]],"yyyy")</f>
        <v>2015</v>
      </c>
      <c r="Y1768" s="12">
        <v>42084</v>
      </c>
      <c r="Z1768" s="11">
        <v>4.3919999999999995</v>
      </c>
      <c r="AA1768" s="11">
        <v>13</v>
      </c>
      <c r="AB1768" s="11">
        <v>90.98</v>
      </c>
      <c r="AC1768" s="11">
        <v>86327</v>
      </c>
      <c r="AD1768" s="6" t="str">
        <f>IF(COUNTIF(Returns!$A$2:$A$1635,Orders!AC1768)&gt;0,"Returned","Not Returned")</f>
        <v>Not Returned</v>
      </c>
    </row>
    <row r="1769" spans="1:30" ht="12.75" customHeight="1" thickTop="1" thickBot="1" x14ac:dyDescent="0.25">
      <c r="A1769" s="8">
        <v>18089</v>
      </c>
      <c r="B1769" s="1" t="s">
        <v>47</v>
      </c>
      <c r="C1769" s="1">
        <v>0.04</v>
      </c>
      <c r="D1769" s="1">
        <v>125.99</v>
      </c>
      <c r="E1769" s="1">
        <v>4.2</v>
      </c>
      <c r="F1769" s="1">
        <v>3105</v>
      </c>
      <c r="G1769" s="6" t="str">
        <f>IF(COUNTIF(Table1[Customer ID],Table1[[#This Row],[Customer ID]])&gt;1,"Repeat Customer","One-Time Customer")</f>
        <v>Repeat Customer</v>
      </c>
      <c r="H1769" s="1" t="s">
        <v>2797</v>
      </c>
      <c r="I1769" s="1" t="s">
        <v>49</v>
      </c>
      <c r="J1769" s="1" t="s">
        <v>40</v>
      </c>
      <c r="K1769" s="1" t="s">
        <v>77</v>
      </c>
      <c r="L1769" s="1" t="s">
        <v>78</v>
      </c>
      <c r="M1769" s="1" t="s">
        <v>59</v>
      </c>
      <c r="N1769" s="1" t="s">
        <v>2798</v>
      </c>
      <c r="O1769" s="1">
        <v>0.59</v>
      </c>
      <c r="P1769" s="6">
        <f>Table1[[#This Row],[Profit]]/Table1[[#This Row],[Sales]]</f>
        <v>-0.18592114582513575</v>
      </c>
      <c r="Q1769" s="1" t="s">
        <v>33</v>
      </c>
      <c r="R1769" s="1" t="s">
        <v>136</v>
      </c>
      <c r="S1769" s="1" t="s">
        <v>613</v>
      </c>
      <c r="T1769" s="1" t="s">
        <v>319</v>
      </c>
      <c r="U1769" s="1">
        <v>42071</v>
      </c>
      <c r="V1769" s="9">
        <v>42083</v>
      </c>
      <c r="W1769" s="13" t="str">
        <f>TEXT(Table1[[#This Row],[Order Date]],"mmmm")</f>
        <v>March</v>
      </c>
      <c r="X1769" s="7" t="str">
        <f>TEXT(Table1[[#This Row],[Order Date]],"yyyy")</f>
        <v>2015</v>
      </c>
      <c r="Y1769" s="9">
        <v>42085</v>
      </c>
      <c r="Z1769" s="1">
        <v>-236.25</v>
      </c>
      <c r="AA1769" s="1">
        <v>12</v>
      </c>
      <c r="AB1769" s="1">
        <v>1270.7</v>
      </c>
      <c r="AC1769" s="1">
        <v>86327</v>
      </c>
      <c r="AD1769" s="6" t="str">
        <f>IF(COUNTIF(Returns!$A$2:$A$1635,Orders!AC1769)&gt;0,"Returned","Not Returned")</f>
        <v>Not Returned</v>
      </c>
    </row>
    <row r="1770" spans="1:30" ht="12.75" customHeight="1" thickTop="1" thickBot="1" x14ac:dyDescent="0.25">
      <c r="A1770" s="10">
        <v>87</v>
      </c>
      <c r="B1770" s="11" t="s">
        <v>47</v>
      </c>
      <c r="C1770" s="11">
        <v>0.04</v>
      </c>
      <c r="D1770" s="11">
        <v>3.08</v>
      </c>
      <c r="E1770" s="11">
        <v>0.99</v>
      </c>
      <c r="F1770" s="11">
        <v>3106</v>
      </c>
      <c r="G1770" s="6" t="str">
        <f>IF(COUNTIF(Table1[Customer ID],Table1[[#This Row],[Customer ID]])&gt;1,"Repeat Customer","One-Time Customer")</f>
        <v>Repeat Customer</v>
      </c>
      <c r="H1770" s="11" t="s">
        <v>2799</v>
      </c>
      <c r="I1770" s="11" t="s">
        <v>49</v>
      </c>
      <c r="J1770" s="11" t="s">
        <v>40</v>
      </c>
      <c r="K1770" s="11" t="s">
        <v>29</v>
      </c>
      <c r="L1770" s="11" t="s">
        <v>134</v>
      </c>
      <c r="M1770" s="11" t="s">
        <v>59</v>
      </c>
      <c r="N1770" s="11" t="s">
        <v>1994</v>
      </c>
      <c r="O1770" s="11">
        <v>0.37</v>
      </c>
      <c r="P1770" s="6">
        <f>Table1[[#This Row],[Profit]]/Table1[[#This Row],[Sales]]</f>
        <v>0.15206653438595011</v>
      </c>
      <c r="Q1770" s="11" t="s">
        <v>33</v>
      </c>
      <c r="R1770" s="11" t="s">
        <v>61</v>
      </c>
      <c r="S1770" s="11" t="s">
        <v>130</v>
      </c>
      <c r="T1770" s="11" t="s">
        <v>2164</v>
      </c>
      <c r="U1770" s="11">
        <v>77041</v>
      </c>
      <c r="V1770" s="12">
        <v>42083</v>
      </c>
      <c r="W1770" s="13" t="str">
        <f>TEXT(Table1[[#This Row],[Order Date]],"mmmm")</f>
        <v>March</v>
      </c>
      <c r="X1770" s="7" t="str">
        <f>TEXT(Table1[[#This Row],[Order Date]],"yyyy")</f>
        <v>2015</v>
      </c>
      <c r="Y1770" s="12">
        <v>42084</v>
      </c>
      <c r="Z1770" s="11">
        <v>36.020000000000003</v>
      </c>
      <c r="AA1770" s="11">
        <v>75</v>
      </c>
      <c r="AB1770" s="11">
        <v>236.87</v>
      </c>
      <c r="AC1770" s="11">
        <v>548</v>
      </c>
      <c r="AD1770" s="6" t="str">
        <f>IF(COUNTIF(Returns!$A$2:$A$1635,Orders!AC1770)&gt;0,"Returned","Not Returned")</f>
        <v>Not Returned</v>
      </c>
    </row>
    <row r="1771" spans="1:30" ht="12.75" customHeight="1" thickTop="1" thickBot="1" x14ac:dyDescent="0.25">
      <c r="A1771" s="8">
        <v>88</v>
      </c>
      <c r="B1771" s="1" t="s">
        <v>47</v>
      </c>
      <c r="C1771" s="1">
        <v>0.02</v>
      </c>
      <c r="D1771" s="1">
        <v>6.48</v>
      </c>
      <c r="E1771" s="1">
        <v>5.9</v>
      </c>
      <c r="F1771" s="1">
        <v>3106</v>
      </c>
      <c r="G1771" s="6" t="str">
        <f>IF(COUNTIF(Table1[Customer ID],Table1[[#This Row],[Customer ID]])&gt;1,"Repeat Customer","One-Time Customer")</f>
        <v>Repeat Customer</v>
      </c>
      <c r="H1771" s="1" t="s">
        <v>2799</v>
      </c>
      <c r="I1771" s="1" t="s">
        <v>49</v>
      </c>
      <c r="J1771" s="1" t="s">
        <v>40</v>
      </c>
      <c r="K1771" s="1" t="s">
        <v>29</v>
      </c>
      <c r="L1771" s="1" t="s">
        <v>93</v>
      </c>
      <c r="M1771" s="1" t="s">
        <v>59</v>
      </c>
      <c r="N1771" s="1" t="s">
        <v>712</v>
      </c>
      <c r="O1771" s="1">
        <v>0.37</v>
      </c>
      <c r="P1771" s="6">
        <f>Table1[[#This Row],[Profit]]/Table1[[#This Row],[Sales]]</f>
        <v>-0.13652907713461485</v>
      </c>
      <c r="Q1771" s="1" t="s">
        <v>33</v>
      </c>
      <c r="R1771" s="1" t="s">
        <v>61</v>
      </c>
      <c r="S1771" s="1" t="s">
        <v>130</v>
      </c>
      <c r="T1771" s="1" t="s">
        <v>2164</v>
      </c>
      <c r="U1771" s="1">
        <v>77041</v>
      </c>
      <c r="V1771" s="9">
        <v>42083</v>
      </c>
      <c r="W1771" s="13" t="str">
        <f>TEXT(Table1[[#This Row],[Order Date]],"mmmm")</f>
        <v>March</v>
      </c>
      <c r="X1771" s="7" t="str">
        <f>TEXT(Table1[[#This Row],[Order Date]],"yyyy")</f>
        <v>2015</v>
      </c>
      <c r="Y1771" s="9">
        <v>42084</v>
      </c>
      <c r="Z1771" s="1">
        <v>-50.64</v>
      </c>
      <c r="AA1771" s="1">
        <v>53</v>
      </c>
      <c r="AB1771" s="1">
        <v>370.91</v>
      </c>
      <c r="AC1771" s="1">
        <v>548</v>
      </c>
      <c r="AD1771" s="6" t="str">
        <f>IF(COUNTIF(Returns!$A$2:$A$1635,Orders!AC1771)&gt;0,"Returned","Not Returned")</f>
        <v>Not Returned</v>
      </c>
    </row>
    <row r="1772" spans="1:30" ht="12.75" customHeight="1" thickTop="1" thickBot="1" x14ac:dyDescent="0.25">
      <c r="A1772" s="10">
        <v>89</v>
      </c>
      <c r="B1772" s="11" t="s">
        <v>47</v>
      </c>
      <c r="C1772" s="11">
        <v>0.04</v>
      </c>
      <c r="D1772" s="11">
        <v>125.99</v>
      </c>
      <c r="E1772" s="11">
        <v>4.2</v>
      </c>
      <c r="F1772" s="11">
        <v>3106</v>
      </c>
      <c r="G1772" s="6" t="str">
        <f>IF(COUNTIF(Table1[Customer ID],Table1[[#This Row],[Customer ID]])&gt;1,"Repeat Customer","One-Time Customer")</f>
        <v>Repeat Customer</v>
      </c>
      <c r="H1772" s="11" t="s">
        <v>2799</v>
      </c>
      <c r="I1772" s="11" t="s">
        <v>49</v>
      </c>
      <c r="J1772" s="11" t="s">
        <v>40</v>
      </c>
      <c r="K1772" s="11" t="s">
        <v>77</v>
      </c>
      <c r="L1772" s="11" t="s">
        <v>78</v>
      </c>
      <c r="M1772" s="11" t="s">
        <v>59</v>
      </c>
      <c r="N1772" s="11" t="s">
        <v>2798</v>
      </c>
      <c r="O1772" s="11">
        <v>0.59</v>
      </c>
      <c r="P1772" s="6">
        <f>Table1[[#This Row],[Profit]]/Table1[[#This Row],[Sales]]</f>
        <v>0.1025712689776006</v>
      </c>
      <c r="Q1772" s="11" t="s">
        <v>33</v>
      </c>
      <c r="R1772" s="11" t="s">
        <v>61</v>
      </c>
      <c r="S1772" s="11" t="s">
        <v>130</v>
      </c>
      <c r="T1772" s="11" t="s">
        <v>2164</v>
      </c>
      <c r="U1772" s="11">
        <v>77041</v>
      </c>
      <c r="V1772" s="12">
        <v>42083</v>
      </c>
      <c r="W1772" s="13" t="str">
        <f>TEXT(Table1[[#This Row],[Order Date]],"mmmm")</f>
        <v>March</v>
      </c>
      <c r="X1772" s="7" t="str">
        <f>TEXT(Table1[[#This Row],[Order Date]],"yyyy")</f>
        <v>2015</v>
      </c>
      <c r="Y1772" s="12">
        <v>42085</v>
      </c>
      <c r="Z1772" s="11">
        <v>510.48900000000003</v>
      </c>
      <c r="AA1772" s="11">
        <v>47</v>
      </c>
      <c r="AB1772" s="11">
        <v>4976.92</v>
      </c>
      <c r="AC1772" s="11">
        <v>548</v>
      </c>
      <c r="AD1772" s="6" t="str">
        <f>IF(COUNTIF(Returns!$A$2:$A$1635,Orders!AC1772)&gt;0,"Returned","Not Returned")</f>
        <v>Not Returned</v>
      </c>
    </row>
    <row r="1773" spans="1:30" ht="12.75" customHeight="1" thickTop="1" thickBot="1" x14ac:dyDescent="0.25">
      <c r="A1773" s="8">
        <v>21120</v>
      </c>
      <c r="B1773" s="1" t="s">
        <v>37</v>
      </c>
      <c r="C1773" s="1">
        <v>7.0000000000000007E-2</v>
      </c>
      <c r="D1773" s="1">
        <v>34.54</v>
      </c>
      <c r="E1773" s="1">
        <v>14.72</v>
      </c>
      <c r="F1773" s="1">
        <v>3113</v>
      </c>
      <c r="G1773" s="6" t="str">
        <f>IF(COUNTIF(Table1[Customer ID],Table1[[#This Row],[Customer ID]])&gt;1,"Repeat Customer","One-Time Customer")</f>
        <v>Repeat Customer</v>
      </c>
      <c r="H1773" s="1" t="s">
        <v>2800</v>
      </c>
      <c r="I1773" s="1" t="s">
        <v>49</v>
      </c>
      <c r="J1773" s="1" t="s">
        <v>28</v>
      </c>
      <c r="K1773" s="1" t="s">
        <v>29</v>
      </c>
      <c r="L1773" s="1" t="s">
        <v>109</v>
      </c>
      <c r="M1773" s="1" t="s">
        <v>59</v>
      </c>
      <c r="N1773" s="1" t="s">
        <v>2801</v>
      </c>
      <c r="O1773" s="1">
        <v>0.37</v>
      </c>
      <c r="P1773" s="6">
        <f>Table1[[#This Row],[Profit]]/Table1[[#This Row],[Sales]]</f>
        <v>-3.5101413986816703E-2</v>
      </c>
      <c r="Q1773" s="1" t="s">
        <v>33</v>
      </c>
      <c r="R1773" s="1" t="s">
        <v>136</v>
      </c>
      <c r="S1773" s="1" t="s">
        <v>171</v>
      </c>
      <c r="T1773" s="1" t="s">
        <v>2802</v>
      </c>
      <c r="U1773" s="1">
        <v>70560</v>
      </c>
      <c r="V1773" s="9">
        <v>42141</v>
      </c>
      <c r="W1773" s="13" t="str">
        <f>TEXT(Table1[[#This Row],[Order Date]],"mmmm")</f>
        <v>May</v>
      </c>
      <c r="X1773" s="7" t="str">
        <f>TEXT(Table1[[#This Row],[Order Date]],"yyyy")</f>
        <v>2015</v>
      </c>
      <c r="Y1773" s="9">
        <v>42142</v>
      </c>
      <c r="Z1773" s="1">
        <v>-20.182259999999999</v>
      </c>
      <c r="AA1773" s="1">
        <v>17</v>
      </c>
      <c r="AB1773" s="1">
        <v>574.97</v>
      </c>
      <c r="AC1773" s="1">
        <v>86860</v>
      </c>
      <c r="AD1773" s="6" t="str">
        <f>IF(COUNTIF(Returns!$A$2:$A$1635,Orders!AC1773)&gt;0,"Returned","Not Returned")</f>
        <v>Not Returned</v>
      </c>
    </row>
    <row r="1774" spans="1:30" ht="12.75" customHeight="1" thickTop="1" thickBot="1" x14ac:dyDescent="0.25">
      <c r="A1774" s="10">
        <v>21121</v>
      </c>
      <c r="B1774" s="11" t="s">
        <v>37</v>
      </c>
      <c r="C1774" s="11">
        <v>0.02</v>
      </c>
      <c r="D1774" s="11">
        <v>12.28</v>
      </c>
      <c r="E1774" s="11">
        <v>6.47</v>
      </c>
      <c r="F1774" s="11">
        <v>3113</v>
      </c>
      <c r="G1774" s="6" t="str">
        <f>IF(COUNTIF(Table1[Customer ID],Table1[[#This Row],[Customer ID]])&gt;1,"Repeat Customer","One-Time Customer")</f>
        <v>Repeat Customer</v>
      </c>
      <c r="H1774" s="11" t="s">
        <v>2800</v>
      </c>
      <c r="I1774" s="11" t="s">
        <v>49</v>
      </c>
      <c r="J1774" s="11" t="s">
        <v>28</v>
      </c>
      <c r="K1774" s="11" t="s">
        <v>29</v>
      </c>
      <c r="L1774" s="11" t="s">
        <v>93</v>
      </c>
      <c r="M1774" s="11" t="s">
        <v>59</v>
      </c>
      <c r="N1774" s="11" t="s">
        <v>2732</v>
      </c>
      <c r="O1774" s="11">
        <v>0.38</v>
      </c>
      <c r="P1774" s="6">
        <f>Table1[[#This Row],[Profit]]/Table1[[#This Row],[Sales]]</f>
        <v>-1.3623693803159176</v>
      </c>
      <c r="Q1774" s="11" t="s">
        <v>33</v>
      </c>
      <c r="R1774" s="11" t="s">
        <v>136</v>
      </c>
      <c r="S1774" s="11" t="s">
        <v>171</v>
      </c>
      <c r="T1774" s="11" t="s">
        <v>2802</v>
      </c>
      <c r="U1774" s="11">
        <v>70560</v>
      </c>
      <c r="V1774" s="12">
        <v>42141</v>
      </c>
      <c r="W1774" s="13" t="str">
        <f>TEXT(Table1[[#This Row],[Order Date]],"mmmm")</f>
        <v>May</v>
      </c>
      <c r="X1774" s="7" t="str">
        <f>TEXT(Table1[[#This Row],[Order Date]],"yyyy")</f>
        <v>2015</v>
      </c>
      <c r="Y1774" s="12">
        <v>42141</v>
      </c>
      <c r="Z1774" s="11">
        <v>-156.97220000000002</v>
      </c>
      <c r="AA1774" s="11">
        <v>9</v>
      </c>
      <c r="AB1774" s="11">
        <v>115.22</v>
      </c>
      <c r="AC1774" s="11">
        <v>86860</v>
      </c>
      <c r="AD1774" s="6" t="str">
        <f>IF(COUNTIF(Returns!$A$2:$A$1635,Orders!AC1774)&gt;0,"Returned","Not Returned")</f>
        <v>Not Returned</v>
      </c>
    </row>
    <row r="1775" spans="1:30" ht="12.75" customHeight="1" thickTop="1" thickBot="1" x14ac:dyDescent="0.25">
      <c r="A1775" s="8">
        <v>21122</v>
      </c>
      <c r="B1775" s="1" t="s">
        <v>37</v>
      </c>
      <c r="C1775" s="1">
        <v>0.06</v>
      </c>
      <c r="D1775" s="1">
        <v>34.58</v>
      </c>
      <c r="E1775" s="1">
        <v>8.99</v>
      </c>
      <c r="F1775" s="1">
        <v>3113</v>
      </c>
      <c r="G1775" s="6" t="str">
        <f>IF(COUNTIF(Table1[Customer ID],Table1[[#This Row],[Customer ID]])&gt;1,"Repeat Customer","One-Time Customer")</f>
        <v>Repeat Customer</v>
      </c>
      <c r="H1775" s="1" t="s">
        <v>2800</v>
      </c>
      <c r="I1775" s="1" t="s">
        <v>27</v>
      </c>
      <c r="J1775" s="1" t="s">
        <v>28</v>
      </c>
      <c r="K1775" s="1" t="s">
        <v>29</v>
      </c>
      <c r="L1775" s="1" t="s">
        <v>30</v>
      </c>
      <c r="M1775" s="1" t="s">
        <v>51</v>
      </c>
      <c r="N1775" s="1" t="s">
        <v>2803</v>
      </c>
      <c r="O1775" s="1">
        <v>0.56000000000000005</v>
      </c>
      <c r="P1775" s="6">
        <f>Table1[[#This Row],[Profit]]/Table1[[#This Row],[Sales]]</f>
        <v>0.84214004117569763</v>
      </c>
      <c r="Q1775" s="1" t="s">
        <v>33</v>
      </c>
      <c r="R1775" s="1" t="s">
        <v>136</v>
      </c>
      <c r="S1775" s="1" t="s">
        <v>171</v>
      </c>
      <c r="T1775" s="1" t="s">
        <v>2802</v>
      </c>
      <c r="U1775" s="1">
        <v>70560</v>
      </c>
      <c r="V1775" s="9">
        <v>42141</v>
      </c>
      <c r="W1775" s="13" t="str">
        <f>TEXT(Table1[[#This Row],[Order Date]],"mmmm")</f>
        <v>May</v>
      </c>
      <c r="X1775" s="7" t="str">
        <f>TEXT(Table1[[#This Row],[Order Date]],"yyyy")</f>
        <v>2015</v>
      </c>
      <c r="Y1775" s="9">
        <v>42143</v>
      </c>
      <c r="Z1775" s="1">
        <v>384.5043</v>
      </c>
      <c r="AA1775" s="1">
        <v>13</v>
      </c>
      <c r="AB1775" s="1">
        <v>456.58</v>
      </c>
      <c r="AC1775" s="1">
        <v>86860</v>
      </c>
      <c r="AD1775" s="6" t="str">
        <f>IF(COUNTIF(Returns!$A$2:$A$1635,Orders!AC1775)&gt;0,"Returned","Not Returned")</f>
        <v>Not Returned</v>
      </c>
    </row>
    <row r="1776" spans="1:30" ht="12.75" customHeight="1" thickTop="1" thickBot="1" x14ac:dyDescent="0.25">
      <c r="A1776" s="10">
        <v>20795</v>
      </c>
      <c r="B1776" s="11" t="s">
        <v>47</v>
      </c>
      <c r="C1776" s="11">
        <v>0.08</v>
      </c>
      <c r="D1776" s="11">
        <v>349.45</v>
      </c>
      <c r="E1776" s="11">
        <v>60</v>
      </c>
      <c r="F1776" s="11">
        <v>3119</v>
      </c>
      <c r="G1776" s="6" t="str">
        <f>IF(COUNTIF(Table1[Customer ID],Table1[[#This Row],[Customer ID]])&gt;1,"Repeat Customer","One-Time Customer")</f>
        <v>One-Time Customer</v>
      </c>
      <c r="H1776" s="11" t="s">
        <v>2804</v>
      </c>
      <c r="I1776" s="11" t="s">
        <v>39</v>
      </c>
      <c r="J1776" s="11" t="s">
        <v>28</v>
      </c>
      <c r="K1776" s="11" t="s">
        <v>41</v>
      </c>
      <c r="L1776" s="11" t="s">
        <v>152</v>
      </c>
      <c r="M1776" s="11" t="s">
        <v>43</v>
      </c>
      <c r="N1776" s="11" t="s">
        <v>989</v>
      </c>
      <c r="O1776" s="11"/>
      <c r="P1776" s="6">
        <f>Table1[[#This Row],[Profit]]/Table1[[#This Row],[Sales]]</f>
        <v>0.13601753888324819</v>
      </c>
      <c r="Q1776" s="11" t="s">
        <v>33</v>
      </c>
      <c r="R1776" s="11" t="s">
        <v>136</v>
      </c>
      <c r="S1776" s="11" t="s">
        <v>362</v>
      </c>
      <c r="T1776" s="11" t="s">
        <v>2805</v>
      </c>
      <c r="U1776" s="11">
        <v>32839</v>
      </c>
      <c r="V1776" s="12">
        <v>42185</v>
      </c>
      <c r="W1776" s="13" t="str">
        <f>TEXT(Table1[[#This Row],[Order Date]],"mmmm")</f>
        <v>June</v>
      </c>
      <c r="X1776" s="7" t="str">
        <f>TEXT(Table1[[#This Row],[Order Date]],"yyyy")</f>
        <v>2015</v>
      </c>
      <c r="Y1776" s="12">
        <v>42187</v>
      </c>
      <c r="Z1776" s="11">
        <v>513.08399999999995</v>
      </c>
      <c r="AA1776" s="11">
        <v>11</v>
      </c>
      <c r="AB1776" s="11">
        <v>3772.19</v>
      </c>
      <c r="AC1776" s="11">
        <v>86432</v>
      </c>
      <c r="AD1776" s="6" t="str">
        <f>IF(COUNTIF(Returns!$A$2:$A$1635,Orders!AC1776)&gt;0,"Returned","Not Returned")</f>
        <v>Not Returned</v>
      </c>
    </row>
    <row r="1777" spans="1:30" ht="12.75" customHeight="1" thickTop="1" thickBot="1" x14ac:dyDescent="0.25">
      <c r="A1777" s="8">
        <v>25473</v>
      </c>
      <c r="B1777" s="1" t="s">
        <v>37</v>
      </c>
      <c r="C1777" s="1">
        <v>0.08</v>
      </c>
      <c r="D1777" s="1">
        <v>315.98</v>
      </c>
      <c r="E1777" s="1">
        <v>19.989999999999998</v>
      </c>
      <c r="F1777" s="1">
        <v>3120</v>
      </c>
      <c r="G1777" s="6" t="str">
        <f>IF(COUNTIF(Table1[Customer ID],Table1[[#This Row],[Customer ID]])&gt;1,"Repeat Customer","One-Time Customer")</f>
        <v>One-Time Customer</v>
      </c>
      <c r="H1777" s="1" t="s">
        <v>2806</v>
      </c>
      <c r="I1777" s="1" t="s">
        <v>49</v>
      </c>
      <c r="J1777" s="1" t="s">
        <v>40</v>
      </c>
      <c r="K1777" s="1" t="s">
        <v>29</v>
      </c>
      <c r="L1777" s="1" t="s">
        <v>109</v>
      </c>
      <c r="M1777" s="1" t="s">
        <v>59</v>
      </c>
      <c r="N1777" s="1" t="s">
        <v>2807</v>
      </c>
      <c r="O1777" s="1">
        <v>0.38</v>
      </c>
      <c r="P1777" s="6">
        <f>Table1[[#This Row],[Profit]]/Table1[[#This Row],[Sales]]</f>
        <v>1.6847809633374709E-2</v>
      </c>
      <c r="Q1777" s="1" t="s">
        <v>33</v>
      </c>
      <c r="R1777" s="1" t="s">
        <v>136</v>
      </c>
      <c r="S1777" s="1" t="s">
        <v>171</v>
      </c>
      <c r="T1777" s="1" t="s">
        <v>2808</v>
      </c>
      <c r="U1777" s="1">
        <v>70117</v>
      </c>
      <c r="V1777" s="9">
        <v>42169</v>
      </c>
      <c r="W1777" s="13" t="str">
        <f>TEXT(Table1[[#This Row],[Order Date]],"mmmm")</f>
        <v>June</v>
      </c>
      <c r="X1777" s="7" t="str">
        <f>TEXT(Table1[[#This Row],[Order Date]],"yyyy")</f>
        <v>2015</v>
      </c>
      <c r="Y1777" s="9">
        <v>42169</v>
      </c>
      <c r="Z1777" s="1">
        <v>44.519999999999996</v>
      </c>
      <c r="AA1777" s="1">
        <v>9</v>
      </c>
      <c r="AB1777" s="1">
        <v>2642.48</v>
      </c>
      <c r="AC1777" s="1">
        <v>90160</v>
      </c>
      <c r="AD1777" s="6" t="str">
        <f>IF(COUNTIF(Returns!$A$2:$A$1635,Orders!AC1777)&gt;0,"Returned","Not Returned")</f>
        <v>Not Returned</v>
      </c>
    </row>
    <row r="1778" spans="1:30" ht="12.75" customHeight="1" thickTop="1" thickBot="1" x14ac:dyDescent="0.25">
      <c r="A1778" s="10">
        <v>23764</v>
      </c>
      <c r="B1778" s="11" t="s">
        <v>106</v>
      </c>
      <c r="C1778" s="11">
        <v>0.02</v>
      </c>
      <c r="D1778" s="11">
        <v>7.1</v>
      </c>
      <c r="E1778" s="11">
        <v>6.05</v>
      </c>
      <c r="F1778" s="11">
        <v>3123</v>
      </c>
      <c r="G1778" s="6" t="str">
        <f>IF(COUNTIF(Table1[Customer ID],Table1[[#This Row],[Customer ID]])&gt;1,"Repeat Customer","One-Time Customer")</f>
        <v>One-Time Customer</v>
      </c>
      <c r="H1778" s="11" t="s">
        <v>2809</v>
      </c>
      <c r="I1778" s="11" t="s">
        <v>49</v>
      </c>
      <c r="J1778" s="11" t="s">
        <v>40</v>
      </c>
      <c r="K1778" s="11" t="s">
        <v>29</v>
      </c>
      <c r="L1778" s="11" t="s">
        <v>109</v>
      </c>
      <c r="M1778" s="11" t="s">
        <v>59</v>
      </c>
      <c r="N1778" s="11" t="s">
        <v>651</v>
      </c>
      <c r="O1778" s="11">
        <v>0.39</v>
      </c>
      <c r="P1778" s="6">
        <f>Table1[[#This Row],[Profit]]/Table1[[#This Row],[Sales]]</f>
        <v>-0.79471544715447151</v>
      </c>
      <c r="Q1778" s="11" t="s">
        <v>33</v>
      </c>
      <c r="R1778" s="11" t="s">
        <v>61</v>
      </c>
      <c r="S1778" s="11" t="s">
        <v>178</v>
      </c>
      <c r="T1778" s="11" t="s">
        <v>2810</v>
      </c>
      <c r="U1778" s="11">
        <v>60160</v>
      </c>
      <c r="V1778" s="12">
        <v>42011</v>
      </c>
      <c r="W1778" s="13" t="str">
        <f>TEXT(Table1[[#This Row],[Order Date]],"mmmm")</f>
        <v>January</v>
      </c>
      <c r="X1778" s="7" t="str">
        <f>TEXT(Table1[[#This Row],[Order Date]],"yyyy")</f>
        <v>2015</v>
      </c>
      <c r="Y1778" s="12">
        <v>42013</v>
      </c>
      <c r="Z1778" s="11">
        <v>-48.875</v>
      </c>
      <c r="AA1778" s="11">
        <v>8</v>
      </c>
      <c r="AB1778" s="11">
        <v>61.5</v>
      </c>
      <c r="AC1778" s="11">
        <v>87287</v>
      </c>
      <c r="AD1778" s="6" t="str">
        <f>IF(COUNTIF(Returns!$A$2:$A$1635,Orders!AC1778)&gt;0,"Returned","Not Returned")</f>
        <v>Not Returned</v>
      </c>
    </row>
    <row r="1779" spans="1:30" ht="12.75" customHeight="1" thickTop="1" thickBot="1" x14ac:dyDescent="0.25">
      <c r="A1779" s="8">
        <v>25060</v>
      </c>
      <c r="B1779" s="1" t="s">
        <v>37</v>
      </c>
      <c r="C1779" s="1">
        <v>0.05</v>
      </c>
      <c r="D1779" s="1">
        <v>120.98</v>
      </c>
      <c r="E1779" s="1">
        <v>9.07</v>
      </c>
      <c r="F1779" s="1">
        <v>3124</v>
      </c>
      <c r="G1779" s="6" t="str">
        <f>IF(COUNTIF(Table1[Customer ID],Table1[[#This Row],[Customer ID]])&gt;1,"Repeat Customer","One-Time Customer")</f>
        <v>One-Time Customer</v>
      </c>
      <c r="H1779" s="1" t="s">
        <v>2811</v>
      </c>
      <c r="I1779" s="1" t="s">
        <v>49</v>
      </c>
      <c r="J1779" s="1" t="s">
        <v>40</v>
      </c>
      <c r="K1779" s="1" t="s">
        <v>29</v>
      </c>
      <c r="L1779" s="1" t="s">
        <v>109</v>
      </c>
      <c r="M1779" s="1" t="s">
        <v>59</v>
      </c>
      <c r="N1779" s="1" t="s">
        <v>1323</v>
      </c>
      <c r="O1779" s="1">
        <v>0.35</v>
      </c>
      <c r="P1779" s="6">
        <f>Table1[[#This Row],[Profit]]/Table1[[#This Row],[Sales]]</f>
        <v>0.69</v>
      </c>
      <c r="Q1779" s="1" t="s">
        <v>33</v>
      </c>
      <c r="R1779" s="1" t="s">
        <v>61</v>
      </c>
      <c r="S1779" s="1" t="s">
        <v>178</v>
      </c>
      <c r="T1779" s="1" t="s">
        <v>2812</v>
      </c>
      <c r="U1779" s="1">
        <v>61265</v>
      </c>
      <c r="V1779" s="9">
        <v>42154</v>
      </c>
      <c r="W1779" s="13" t="str">
        <f>TEXT(Table1[[#This Row],[Order Date]],"mmmm")</f>
        <v>May</v>
      </c>
      <c r="X1779" s="7" t="str">
        <f>TEXT(Table1[[#This Row],[Order Date]],"yyyy")</f>
        <v>2015</v>
      </c>
      <c r="Y1779" s="9">
        <v>42155</v>
      </c>
      <c r="Z1779" s="1">
        <v>881.04719999999998</v>
      </c>
      <c r="AA1779" s="1">
        <v>11</v>
      </c>
      <c r="AB1779" s="1">
        <v>1276.8800000000001</v>
      </c>
      <c r="AC1779" s="1">
        <v>87286</v>
      </c>
      <c r="AD1779" s="6" t="str">
        <f>IF(COUNTIF(Returns!$A$2:$A$1635,Orders!AC1779)&gt;0,"Returned","Not Returned")</f>
        <v>Not Returned</v>
      </c>
    </row>
    <row r="1780" spans="1:30" ht="12.75" customHeight="1" thickTop="1" thickBot="1" x14ac:dyDescent="0.25">
      <c r="A1780" s="10">
        <v>25352</v>
      </c>
      <c r="B1780" s="11" t="s">
        <v>25</v>
      </c>
      <c r="C1780" s="11">
        <v>0.08</v>
      </c>
      <c r="D1780" s="11">
        <v>120.97</v>
      </c>
      <c r="E1780" s="11">
        <v>26.3</v>
      </c>
      <c r="F1780" s="11">
        <v>3125</v>
      </c>
      <c r="G1780" s="6" t="str">
        <f>IF(COUNTIF(Table1[Customer ID],Table1[[#This Row],[Customer ID]])&gt;1,"Repeat Customer","One-Time Customer")</f>
        <v>One-Time Customer</v>
      </c>
      <c r="H1780" s="11" t="s">
        <v>2813</v>
      </c>
      <c r="I1780" s="11" t="s">
        <v>39</v>
      </c>
      <c r="J1780" s="11" t="s">
        <v>40</v>
      </c>
      <c r="K1780" s="11" t="s">
        <v>77</v>
      </c>
      <c r="L1780" s="11" t="s">
        <v>85</v>
      </c>
      <c r="M1780" s="11" t="s">
        <v>43</v>
      </c>
      <c r="N1780" s="11" t="s">
        <v>2814</v>
      </c>
      <c r="O1780" s="11">
        <v>0.38</v>
      </c>
      <c r="P1780" s="6">
        <f>Table1[[#This Row],[Profit]]/Table1[[#This Row],[Sales]]</f>
        <v>-1.001116054456717</v>
      </c>
      <c r="Q1780" s="11" t="s">
        <v>33</v>
      </c>
      <c r="R1780" s="11" t="s">
        <v>61</v>
      </c>
      <c r="S1780" s="11" t="s">
        <v>178</v>
      </c>
      <c r="T1780" s="11" t="s">
        <v>2815</v>
      </c>
      <c r="U1780" s="11">
        <v>60056</v>
      </c>
      <c r="V1780" s="12">
        <v>42009</v>
      </c>
      <c r="W1780" s="13" t="str">
        <f>TEXT(Table1[[#This Row],[Order Date]],"mmmm")</f>
        <v>January</v>
      </c>
      <c r="X1780" s="7" t="str">
        <f>TEXT(Table1[[#This Row],[Order Date]],"yyyy")</f>
        <v>2015</v>
      </c>
      <c r="Y1780" s="12">
        <v>42011</v>
      </c>
      <c r="Z1780" s="11">
        <v>-233.840688</v>
      </c>
      <c r="AA1780" s="11">
        <v>2</v>
      </c>
      <c r="AB1780" s="11">
        <v>233.58</v>
      </c>
      <c r="AC1780" s="11">
        <v>87285</v>
      </c>
      <c r="AD1780" s="6" t="str">
        <f>IF(COUNTIF(Returns!$A$2:$A$1635,Orders!AC1780)&gt;0,"Returned","Not Returned")</f>
        <v>Not Returned</v>
      </c>
    </row>
    <row r="1781" spans="1:30" ht="12.75" customHeight="1" thickTop="1" thickBot="1" x14ac:dyDescent="0.25">
      <c r="A1781" s="8">
        <v>24457</v>
      </c>
      <c r="B1781" s="1" t="s">
        <v>106</v>
      </c>
      <c r="C1781" s="1">
        <v>0.08</v>
      </c>
      <c r="D1781" s="1">
        <v>3.69</v>
      </c>
      <c r="E1781" s="1">
        <v>2.5</v>
      </c>
      <c r="F1781" s="1">
        <v>3128</v>
      </c>
      <c r="G1781" s="6" t="str">
        <f>IF(COUNTIF(Table1[Customer ID],Table1[[#This Row],[Customer ID]])&gt;1,"Repeat Customer","One-Time Customer")</f>
        <v>One-Time Customer</v>
      </c>
      <c r="H1781" s="1" t="s">
        <v>2816</v>
      </c>
      <c r="I1781" s="1" t="s">
        <v>49</v>
      </c>
      <c r="J1781" s="1" t="s">
        <v>58</v>
      </c>
      <c r="K1781" s="1" t="s">
        <v>29</v>
      </c>
      <c r="L1781" s="1" t="s">
        <v>69</v>
      </c>
      <c r="M1781" s="1" t="s">
        <v>59</v>
      </c>
      <c r="N1781" s="1" t="s">
        <v>1358</v>
      </c>
      <c r="O1781" s="1">
        <v>0.39</v>
      </c>
      <c r="P1781" s="6">
        <f>Table1[[#This Row],[Profit]]/Table1[[#This Row],[Sales]]</f>
        <v>-4.3488430268918083</v>
      </c>
      <c r="Q1781" s="1" t="s">
        <v>33</v>
      </c>
      <c r="R1781" s="1" t="s">
        <v>136</v>
      </c>
      <c r="S1781" s="1" t="s">
        <v>171</v>
      </c>
      <c r="T1781" s="1" t="s">
        <v>2817</v>
      </c>
      <c r="U1781" s="1">
        <v>71109</v>
      </c>
      <c r="V1781" s="9">
        <v>42180</v>
      </c>
      <c r="W1781" s="13" t="str">
        <f>TEXT(Table1[[#This Row],[Order Date]],"mmmm")</f>
        <v>June</v>
      </c>
      <c r="X1781" s="7" t="str">
        <f>TEXT(Table1[[#This Row],[Order Date]],"yyyy")</f>
        <v>2015</v>
      </c>
      <c r="Y1781" s="9">
        <v>42185</v>
      </c>
      <c r="Z1781" s="1">
        <v>-139.07600000000002</v>
      </c>
      <c r="AA1781" s="1">
        <v>9</v>
      </c>
      <c r="AB1781" s="1">
        <v>31.98</v>
      </c>
      <c r="AC1781" s="1">
        <v>89810</v>
      </c>
      <c r="AD1781" s="6" t="str">
        <f>IF(COUNTIF(Returns!$A$2:$A$1635,Orders!AC1781)&gt;0,"Returned","Not Returned")</f>
        <v>Not Returned</v>
      </c>
    </row>
    <row r="1782" spans="1:30" ht="12.75" customHeight="1" thickTop="1" thickBot="1" x14ac:dyDescent="0.25">
      <c r="A1782" s="10">
        <v>20483</v>
      </c>
      <c r="B1782" s="11" t="s">
        <v>25</v>
      </c>
      <c r="C1782" s="11">
        <v>0.1</v>
      </c>
      <c r="D1782" s="11">
        <v>180.98</v>
      </c>
      <c r="E1782" s="11">
        <v>26.2</v>
      </c>
      <c r="F1782" s="11">
        <v>3132</v>
      </c>
      <c r="G1782" s="6" t="str">
        <f>IF(COUNTIF(Table1[Customer ID],Table1[[#This Row],[Customer ID]])&gt;1,"Repeat Customer","One-Time Customer")</f>
        <v>Repeat Customer</v>
      </c>
      <c r="H1782" s="11" t="s">
        <v>2818</v>
      </c>
      <c r="I1782" s="11" t="s">
        <v>39</v>
      </c>
      <c r="J1782" s="11" t="s">
        <v>28</v>
      </c>
      <c r="K1782" s="11" t="s">
        <v>41</v>
      </c>
      <c r="L1782" s="11" t="s">
        <v>42</v>
      </c>
      <c r="M1782" s="11" t="s">
        <v>43</v>
      </c>
      <c r="N1782" s="11" t="s">
        <v>241</v>
      </c>
      <c r="O1782" s="11">
        <v>0.59</v>
      </c>
      <c r="P1782" s="6">
        <f>Table1[[#This Row],[Profit]]/Table1[[#This Row],[Sales]]</f>
        <v>-0.1244927033999461</v>
      </c>
      <c r="Q1782" s="11" t="s">
        <v>33</v>
      </c>
      <c r="R1782" s="11" t="s">
        <v>61</v>
      </c>
      <c r="S1782" s="11" t="s">
        <v>178</v>
      </c>
      <c r="T1782" s="11" t="s">
        <v>2819</v>
      </c>
      <c r="U1782" s="11">
        <v>60060</v>
      </c>
      <c r="V1782" s="12">
        <v>42177</v>
      </c>
      <c r="W1782" s="13" t="str">
        <f>TEXT(Table1[[#This Row],[Order Date]],"mmmm")</f>
        <v>June</v>
      </c>
      <c r="X1782" s="7" t="str">
        <f>TEXT(Table1[[#This Row],[Order Date]],"yyyy")</f>
        <v>2015</v>
      </c>
      <c r="Y1782" s="12">
        <v>42178</v>
      </c>
      <c r="Z1782" s="11">
        <v>-64.664000000000001</v>
      </c>
      <c r="AA1782" s="11">
        <v>3</v>
      </c>
      <c r="AB1782" s="11">
        <v>519.41999999999996</v>
      </c>
      <c r="AC1782" s="11">
        <v>86790</v>
      </c>
      <c r="AD1782" s="6" t="str">
        <f>IF(COUNTIF(Returns!$A$2:$A$1635,Orders!AC1782)&gt;0,"Returned","Not Returned")</f>
        <v>Not Returned</v>
      </c>
    </row>
    <row r="1783" spans="1:30" ht="12.75" customHeight="1" thickTop="1" thickBot="1" x14ac:dyDescent="0.25">
      <c r="A1783" s="8">
        <v>19258</v>
      </c>
      <c r="B1783" s="1" t="s">
        <v>56</v>
      </c>
      <c r="C1783" s="1">
        <v>0.04</v>
      </c>
      <c r="D1783" s="1">
        <v>62.05</v>
      </c>
      <c r="E1783" s="1">
        <v>3.99</v>
      </c>
      <c r="F1783" s="1">
        <v>3132</v>
      </c>
      <c r="G1783" s="6" t="str">
        <f>IF(COUNTIF(Table1[Customer ID],Table1[[#This Row],[Customer ID]])&gt;1,"Repeat Customer","One-Time Customer")</f>
        <v>Repeat Customer</v>
      </c>
      <c r="H1783" s="1" t="s">
        <v>2818</v>
      </c>
      <c r="I1783" s="1" t="s">
        <v>49</v>
      </c>
      <c r="J1783" s="1" t="s">
        <v>28</v>
      </c>
      <c r="K1783" s="1" t="s">
        <v>29</v>
      </c>
      <c r="L1783" s="1" t="s">
        <v>257</v>
      </c>
      <c r="M1783" s="1" t="s">
        <v>59</v>
      </c>
      <c r="N1783" s="1" t="s">
        <v>2820</v>
      </c>
      <c r="O1783" s="1">
        <v>0.55000000000000004</v>
      </c>
      <c r="P1783" s="6">
        <f>Table1[[#This Row],[Profit]]/Table1[[#This Row],[Sales]]</f>
        <v>0.69</v>
      </c>
      <c r="Q1783" s="1" t="s">
        <v>33</v>
      </c>
      <c r="R1783" s="1" t="s">
        <v>61</v>
      </c>
      <c r="S1783" s="1" t="s">
        <v>178</v>
      </c>
      <c r="T1783" s="1" t="s">
        <v>2819</v>
      </c>
      <c r="U1783" s="1">
        <v>60060</v>
      </c>
      <c r="V1783" s="9">
        <v>42141</v>
      </c>
      <c r="W1783" s="13" t="str">
        <f>TEXT(Table1[[#This Row],[Order Date]],"mmmm")</f>
        <v>May</v>
      </c>
      <c r="X1783" s="7" t="str">
        <f>TEXT(Table1[[#This Row],[Order Date]],"yyyy")</f>
        <v>2015</v>
      </c>
      <c r="Y1783" s="9">
        <v>42142</v>
      </c>
      <c r="Z1783" s="1">
        <v>1644.0767999999998</v>
      </c>
      <c r="AA1783" s="1">
        <v>40</v>
      </c>
      <c r="AB1783" s="1">
        <v>2382.7199999999998</v>
      </c>
      <c r="AC1783" s="1">
        <v>86794</v>
      </c>
      <c r="AD1783" s="6" t="str">
        <f>IF(COUNTIF(Returns!$A$2:$A$1635,Orders!AC1783)&gt;0,"Returned","Not Returned")</f>
        <v>Not Returned</v>
      </c>
    </row>
    <row r="1784" spans="1:30" ht="12.75" customHeight="1" thickTop="1" thickBot="1" x14ac:dyDescent="0.25">
      <c r="A1784" s="10">
        <v>22459</v>
      </c>
      <c r="B1784" s="11" t="s">
        <v>56</v>
      </c>
      <c r="C1784" s="11">
        <v>0.1</v>
      </c>
      <c r="D1784" s="11">
        <v>5.81</v>
      </c>
      <c r="E1784" s="11">
        <v>8.49</v>
      </c>
      <c r="F1784" s="11">
        <v>3133</v>
      </c>
      <c r="G1784" s="6" t="str">
        <f>IF(COUNTIF(Table1[Customer ID],Table1[[#This Row],[Customer ID]])&gt;1,"Repeat Customer","One-Time Customer")</f>
        <v>Repeat Customer</v>
      </c>
      <c r="H1784" s="11" t="s">
        <v>2821</v>
      </c>
      <c r="I1784" s="11" t="s">
        <v>49</v>
      </c>
      <c r="J1784" s="11" t="s">
        <v>28</v>
      </c>
      <c r="K1784" s="11" t="s">
        <v>29</v>
      </c>
      <c r="L1784" s="11" t="s">
        <v>109</v>
      </c>
      <c r="M1784" s="11" t="s">
        <v>59</v>
      </c>
      <c r="N1784" s="11" t="s">
        <v>325</v>
      </c>
      <c r="O1784" s="11">
        <v>0.39</v>
      </c>
      <c r="P1784" s="6">
        <f>Table1[[#This Row],[Profit]]/Table1[[#This Row],[Sales]]</f>
        <v>-5.394696736453203</v>
      </c>
      <c r="Q1784" s="11" t="s">
        <v>33</v>
      </c>
      <c r="R1784" s="11" t="s">
        <v>61</v>
      </c>
      <c r="S1784" s="11" t="s">
        <v>178</v>
      </c>
      <c r="T1784" s="11" t="s">
        <v>2822</v>
      </c>
      <c r="U1784" s="11">
        <v>60540</v>
      </c>
      <c r="V1784" s="12">
        <v>42020</v>
      </c>
      <c r="W1784" s="13" t="str">
        <f>TEXT(Table1[[#This Row],[Order Date]],"mmmm")</f>
        <v>January</v>
      </c>
      <c r="X1784" s="7" t="str">
        <f>TEXT(Table1[[#This Row],[Order Date]],"yyyy")</f>
        <v>2015</v>
      </c>
      <c r="Y1784" s="12">
        <v>42021</v>
      </c>
      <c r="Z1784" s="11">
        <v>-350.43950000000001</v>
      </c>
      <c r="AA1784" s="11">
        <v>12</v>
      </c>
      <c r="AB1784" s="11">
        <v>64.959999999999994</v>
      </c>
      <c r="AC1784" s="11">
        <v>86789</v>
      </c>
      <c r="AD1784" s="6" t="str">
        <f>IF(COUNTIF(Returns!$A$2:$A$1635,Orders!AC1784)&gt;0,"Returned","Not Returned")</f>
        <v>Not Returned</v>
      </c>
    </row>
    <row r="1785" spans="1:30" ht="12.75" customHeight="1" thickTop="1" thickBot="1" x14ac:dyDescent="0.25">
      <c r="A1785" s="8">
        <v>22460</v>
      </c>
      <c r="B1785" s="1" t="s">
        <v>56</v>
      </c>
      <c r="C1785" s="1">
        <v>0.03</v>
      </c>
      <c r="D1785" s="1">
        <v>1.81</v>
      </c>
      <c r="E1785" s="1">
        <v>0.75</v>
      </c>
      <c r="F1785" s="1">
        <v>3133</v>
      </c>
      <c r="G1785" s="6" t="str">
        <f>IF(COUNTIF(Table1[Customer ID],Table1[[#This Row],[Customer ID]])&gt;1,"Repeat Customer","One-Time Customer")</f>
        <v>Repeat Customer</v>
      </c>
      <c r="H1785" s="1" t="s">
        <v>2821</v>
      </c>
      <c r="I1785" s="1" t="s">
        <v>49</v>
      </c>
      <c r="J1785" s="1" t="s">
        <v>28</v>
      </c>
      <c r="K1785" s="1" t="s">
        <v>29</v>
      </c>
      <c r="L1785" s="1" t="s">
        <v>66</v>
      </c>
      <c r="M1785" s="1" t="s">
        <v>31</v>
      </c>
      <c r="N1785" s="1" t="s">
        <v>2823</v>
      </c>
      <c r="O1785" s="1">
        <v>0.52</v>
      </c>
      <c r="P1785" s="6">
        <f>Table1[[#This Row],[Profit]]/Table1[[#This Row],[Sales]]</f>
        <v>0.21958202716823405</v>
      </c>
      <c r="Q1785" s="1" t="s">
        <v>33</v>
      </c>
      <c r="R1785" s="1" t="s">
        <v>61</v>
      </c>
      <c r="S1785" s="1" t="s">
        <v>178</v>
      </c>
      <c r="T1785" s="1" t="s">
        <v>2822</v>
      </c>
      <c r="U1785" s="1">
        <v>60540</v>
      </c>
      <c r="V1785" s="9">
        <v>42020</v>
      </c>
      <c r="W1785" s="13" t="str">
        <f>TEXT(Table1[[#This Row],[Order Date]],"mmmm")</f>
        <v>January</v>
      </c>
      <c r="X1785" s="7" t="str">
        <f>TEXT(Table1[[#This Row],[Order Date]],"yyyy")</f>
        <v>2015</v>
      </c>
      <c r="Y1785" s="9">
        <v>42021</v>
      </c>
      <c r="Z1785" s="1">
        <v>4.2027999999999999</v>
      </c>
      <c r="AA1785" s="1">
        <v>10</v>
      </c>
      <c r="AB1785" s="1">
        <v>19.14</v>
      </c>
      <c r="AC1785" s="1">
        <v>86789</v>
      </c>
      <c r="AD1785" s="6" t="str">
        <f>IF(COUNTIF(Returns!$A$2:$A$1635,Orders!AC1785)&gt;0,"Returned","Not Returned")</f>
        <v>Not Returned</v>
      </c>
    </row>
    <row r="1786" spans="1:30" ht="12.75" customHeight="1" thickTop="1" thickBot="1" x14ac:dyDescent="0.25">
      <c r="A1786" s="10">
        <v>21719</v>
      </c>
      <c r="B1786" s="11" t="s">
        <v>47</v>
      </c>
      <c r="C1786" s="11">
        <v>0.08</v>
      </c>
      <c r="D1786" s="11">
        <v>5.4</v>
      </c>
      <c r="E1786" s="11">
        <v>7.78</v>
      </c>
      <c r="F1786" s="11">
        <v>3133</v>
      </c>
      <c r="G1786" s="6" t="str">
        <f>IF(COUNTIF(Table1[Customer ID],Table1[[#This Row],[Customer ID]])&gt;1,"Repeat Customer","One-Time Customer")</f>
        <v>Repeat Customer</v>
      </c>
      <c r="H1786" s="11" t="s">
        <v>2821</v>
      </c>
      <c r="I1786" s="11" t="s">
        <v>49</v>
      </c>
      <c r="J1786" s="11" t="s">
        <v>28</v>
      </c>
      <c r="K1786" s="11" t="s">
        <v>29</v>
      </c>
      <c r="L1786" s="11" t="s">
        <v>109</v>
      </c>
      <c r="M1786" s="11" t="s">
        <v>59</v>
      </c>
      <c r="N1786" s="11" t="s">
        <v>310</v>
      </c>
      <c r="O1786" s="11">
        <v>0.37</v>
      </c>
      <c r="P1786" s="6">
        <f>Table1[[#This Row],[Profit]]/Table1[[#This Row],[Sales]]</f>
        <v>-1.7383826429980274</v>
      </c>
      <c r="Q1786" s="11" t="s">
        <v>33</v>
      </c>
      <c r="R1786" s="11" t="s">
        <v>61</v>
      </c>
      <c r="S1786" s="11" t="s">
        <v>178</v>
      </c>
      <c r="T1786" s="11" t="s">
        <v>2822</v>
      </c>
      <c r="U1786" s="11">
        <v>60540</v>
      </c>
      <c r="V1786" s="12">
        <v>42067</v>
      </c>
      <c r="W1786" s="13" t="str">
        <f>TEXT(Table1[[#This Row],[Order Date]],"mmmm")</f>
        <v>March</v>
      </c>
      <c r="X1786" s="7" t="str">
        <f>TEXT(Table1[[#This Row],[Order Date]],"yyyy")</f>
        <v>2015</v>
      </c>
      <c r="Y1786" s="12">
        <v>42067</v>
      </c>
      <c r="Z1786" s="11">
        <v>-44.067999999999998</v>
      </c>
      <c r="AA1786" s="11">
        <v>4</v>
      </c>
      <c r="AB1786" s="11">
        <v>25.35</v>
      </c>
      <c r="AC1786" s="11">
        <v>86792</v>
      </c>
      <c r="AD1786" s="6" t="str">
        <f>IF(COUNTIF(Returns!$A$2:$A$1635,Orders!AC1786)&gt;0,"Returned","Not Returned")</f>
        <v>Not Returned</v>
      </c>
    </row>
    <row r="1787" spans="1:30" ht="12.75" customHeight="1" thickTop="1" thickBot="1" x14ac:dyDescent="0.25">
      <c r="A1787" s="8">
        <v>21720</v>
      </c>
      <c r="B1787" s="1" t="s">
        <v>47</v>
      </c>
      <c r="C1787" s="1">
        <v>0.09</v>
      </c>
      <c r="D1787" s="1">
        <v>8.4600000000000009</v>
      </c>
      <c r="E1787" s="1">
        <v>8.99</v>
      </c>
      <c r="F1787" s="1">
        <v>3133</v>
      </c>
      <c r="G1787" s="6" t="str">
        <f>IF(COUNTIF(Table1[Customer ID],Table1[[#This Row],[Customer ID]])&gt;1,"Repeat Customer","One-Time Customer")</f>
        <v>Repeat Customer</v>
      </c>
      <c r="H1787" s="1" t="s">
        <v>2821</v>
      </c>
      <c r="I1787" s="1" t="s">
        <v>27</v>
      </c>
      <c r="J1787" s="1" t="s">
        <v>28</v>
      </c>
      <c r="K1787" s="1" t="s">
        <v>77</v>
      </c>
      <c r="L1787" s="1" t="s">
        <v>180</v>
      </c>
      <c r="M1787" s="1" t="s">
        <v>51</v>
      </c>
      <c r="N1787" s="1" t="s">
        <v>2824</v>
      </c>
      <c r="O1787" s="1">
        <v>0.79</v>
      </c>
      <c r="P1787" s="6">
        <f>Table1[[#This Row],[Profit]]/Table1[[#This Row],[Sales]]</f>
        <v>-2.2320675105485233</v>
      </c>
      <c r="Q1787" s="1" t="s">
        <v>33</v>
      </c>
      <c r="R1787" s="1" t="s">
        <v>61</v>
      </c>
      <c r="S1787" s="1" t="s">
        <v>178</v>
      </c>
      <c r="T1787" s="1" t="s">
        <v>2822</v>
      </c>
      <c r="U1787" s="1">
        <v>60540</v>
      </c>
      <c r="V1787" s="9">
        <v>42067</v>
      </c>
      <c r="W1787" s="13" t="str">
        <f>TEXT(Table1[[#This Row],[Order Date]],"mmmm")</f>
        <v>March</v>
      </c>
      <c r="X1787" s="7" t="str">
        <f>TEXT(Table1[[#This Row],[Order Date]],"yyyy")</f>
        <v>2015</v>
      </c>
      <c r="Y1787" s="9">
        <v>42070</v>
      </c>
      <c r="Z1787" s="1">
        <v>-100.51</v>
      </c>
      <c r="AA1787" s="1">
        <v>5</v>
      </c>
      <c r="AB1787" s="1">
        <v>45.03</v>
      </c>
      <c r="AC1787" s="1">
        <v>86792</v>
      </c>
      <c r="AD1787" s="6" t="str">
        <f>IF(COUNTIF(Returns!$A$2:$A$1635,Orders!AC1787)&gt;0,"Returned","Not Returned")</f>
        <v>Not Returned</v>
      </c>
    </row>
    <row r="1788" spans="1:30" ht="12.75" customHeight="1" thickTop="1" thickBot="1" x14ac:dyDescent="0.25">
      <c r="A1788" s="10">
        <v>21721</v>
      </c>
      <c r="B1788" s="11" t="s">
        <v>47</v>
      </c>
      <c r="C1788" s="11">
        <v>0.21</v>
      </c>
      <c r="D1788" s="11">
        <v>14.98</v>
      </c>
      <c r="E1788" s="11">
        <v>8.99</v>
      </c>
      <c r="F1788" s="11">
        <v>3133</v>
      </c>
      <c r="G1788" s="6" t="str">
        <f>IF(COUNTIF(Table1[Customer ID],Table1[[#This Row],[Customer ID]])&gt;1,"Repeat Customer","One-Time Customer")</f>
        <v>Repeat Customer</v>
      </c>
      <c r="H1788" s="11" t="s">
        <v>2821</v>
      </c>
      <c r="I1788" s="11" t="s">
        <v>49</v>
      </c>
      <c r="J1788" s="11" t="s">
        <v>28</v>
      </c>
      <c r="K1788" s="11" t="s">
        <v>41</v>
      </c>
      <c r="L1788" s="11" t="s">
        <v>50</v>
      </c>
      <c r="M1788" s="11" t="s">
        <v>51</v>
      </c>
      <c r="N1788" s="11" t="s">
        <v>2598</v>
      </c>
      <c r="O1788" s="11">
        <v>0.39</v>
      </c>
      <c r="P1788" s="6">
        <f>Table1[[#This Row],[Profit]]/Table1[[#This Row],[Sales]]</f>
        <v>-0.1153571196464548</v>
      </c>
      <c r="Q1788" s="11" t="s">
        <v>33</v>
      </c>
      <c r="R1788" s="11" t="s">
        <v>61</v>
      </c>
      <c r="S1788" s="11" t="s">
        <v>178</v>
      </c>
      <c r="T1788" s="11" t="s">
        <v>2822</v>
      </c>
      <c r="U1788" s="11">
        <v>60540</v>
      </c>
      <c r="V1788" s="12">
        <v>42067</v>
      </c>
      <c r="W1788" s="13" t="str">
        <f>TEXT(Table1[[#This Row],[Order Date]],"mmmm")</f>
        <v>March</v>
      </c>
      <c r="X1788" s="7" t="str">
        <f>TEXT(Table1[[#This Row],[Order Date]],"yyyy")</f>
        <v>2015</v>
      </c>
      <c r="Y1788" s="12">
        <v>42068</v>
      </c>
      <c r="Z1788" s="11">
        <v>-17.75</v>
      </c>
      <c r="AA1788" s="11">
        <v>10</v>
      </c>
      <c r="AB1788" s="11">
        <v>153.87</v>
      </c>
      <c r="AC1788" s="11">
        <v>86792</v>
      </c>
      <c r="AD1788" s="6" t="str">
        <f>IF(COUNTIF(Returns!$A$2:$A$1635,Orders!AC1788)&gt;0,"Returned","Not Returned")</f>
        <v>Not Returned</v>
      </c>
    </row>
    <row r="1789" spans="1:30" ht="12.75" customHeight="1" thickTop="1" thickBot="1" x14ac:dyDescent="0.25">
      <c r="A1789" s="8">
        <v>21722</v>
      </c>
      <c r="B1789" s="1" t="s">
        <v>47</v>
      </c>
      <c r="C1789" s="1">
        <v>0.04</v>
      </c>
      <c r="D1789" s="1">
        <v>155.99</v>
      </c>
      <c r="E1789" s="1">
        <v>8.08</v>
      </c>
      <c r="F1789" s="1">
        <v>3133</v>
      </c>
      <c r="G1789" s="6" t="str">
        <f>IF(COUNTIF(Table1[Customer ID],Table1[[#This Row],[Customer ID]])&gt;1,"Repeat Customer","One-Time Customer")</f>
        <v>Repeat Customer</v>
      </c>
      <c r="H1789" s="1" t="s">
        <v>2821</v>
      </c>
      <c r="I1789" s="1" t="s">
        <v>49</v>
      </c>
      <c r="J1789" s="1" t="s">
        <v>28</v>
      </c>
      <c r="K1789" s="1" t="s">
        <v>77</v>
      </c>
      <c r="L1789" s="1" t="s">
        <v>78</v>
      </c>
      <c r="M1789" s="1" t="s">
        <v>59</v>
      </c>
      <c r="N1789" s="1" t="s">
        <v>2825</v>
      </c>
      <c r="O1789" s="1">
        <v>0.6</v>
      </c>
      <c r="P1789" s="6">
        <f>Table1[[#This Row],[Profit]]/Table1[[#This Row],[Sales]]</f>
        <v>0.49099498987619322</v>
      </c>
      <c r="Q1789" s="1" t="s">
        <v>33</v>
      </c>
      <c r="R1789" s="1" t="s">
        <v>61</v>
      </c>
      <c r="S1789" s="1" t="s">
        <v>178</v>
      </c>
      <c r="T1789" s="1" t="s">
        <v>2822</v>
      </c>
      <c r="U1789" s="1">
        <v>60540</v>
      </c>
      <c r="V1789" s="9">
        <v>42067</v>
      </c>
      <c r="W1789" s="13" t="str">
        <f>TEXT(Table1[[#This Row],[Order Date]],"mmmm")</f>
        <v>March</v>
      </c>
      <c r="X1789" s="7" t="str">
        <f>TEXT(Table1[[#This Row],[Order Date]],"yyyy")</f>
        <v>2015</v>
      </c>
      <c r="Y1789" s="9">
        <v>42068</v>
      </c>
      <c r="Z1789" s="1">
        <v>1374.9480000000001</v>
      </c>
      <c r="AA1789" s="1">
        <v>22</v>
      </c>
      <c r="AB1789" s="1">
        <v>2800.33</v>
      </c>
      <c r="AC1789" s="1">
        <v>86792</v>
      </c>
      <c r="AD1789" s="6" t="str">
        <f>IF(COUNTIF(Returns!$A$2:$A$1635,Orders!AC1789)&gt;0,"Returned","Not Returned")</f>
        <v>Not Returned</v>
      </c>
    </row>
    <row r="1790" spans="1:30" ht="12.75" customHeight="1" thickTop="1" thickBot="1" x14ac:dyDescent="0.25">
      <c r="A1790" s="10">
        <v>23898</v>
      </c>
      <c r="B1790" s="11" t="s">
        <v>47</v>
      </c>
      <c r="C1790" s="11">
        <v>0.03</v>
      </c>
      <c r="D1790" s="11">
        <v>150.88999999999999</v>
      </c>
      <c r="E1790" s="11">
        <v>60.2</v>
      </c>
      <c r="F1790" s="11">
        <v>3136</v>
      </c>
      <c r="G1790" s="6" t="str">
        <f>IF(COUNTIF(Table1[Customer ID],Table1[[#This Row],[Customer ID]])&gt;1,"Repeat Customer","One-Time Customer")</f>
        <v>One-Time Customer</v>
      </c>
      <c r="H1790" s="11" t="s">
        <v>2826</v>
      </c>
      <c r="I1790" s="11" t="s">
        <v>39</v>
      </c>
      <c r="J1790" s="11" t="s">
        <v>114</v>
      </c>
      <c r="K1790" s="11" t="s">
        <v>41</v>
      </c>
      <c r="L1790" s="11" t="s">
        <v>42</v>
      </c>
      <c r="M1790" s="11" t="s">
        <v>43</v>
      </c>
      <c r="N1790" s="11" t="s">
        <v>1186</v>
      </c>
      <c r="O1790" s="11">
        <v>0.77</v>
      </c>
      <c r="P1790" s="6">
        <f>Table1[[#This Row],[Profit]]/Table1[[#This Row],[Sales]]</f>
        <v>-0.18850565762799529</v>
      </c>
      <c r="Q1790" s="11" t="s">
        <v>33</v>
      </c>
      <c r="R1790" s="11" t="s">
        <v>53</v>
      </c>
      <c r="S1790" s="11" t="s">
        <v>188</v>
      </c>
      <c r="T1790" s="11" t="s">
        <v>433</v>
      </c>
      <c r="U1790" s="11">
        <v>4073</v>
      </c>
      <c r="V1790" s="12">
        <v>42057</v>
      </c>
      <c r="W1790" s="13" t="str">
        <f>TEXT(Table1[[#This Row],[Order Date]],"mmmm")</f>
        <v>February</v>
      </c>
      <c r="X1790" s="7" t="str">
        <f>TEXT(Table1[[#This Row],[Order Date]],"yyyy")</f>
        <v>2015</v>
      </c>
      <c r="Y1790" s="12">
        <v>42057</v>
      </c>
      <c r="Z1790" s="11">
        <v>-677.87199999999996</v>
      </c>
      <c r="AA1790" s="11">
        <v>23</v>
      </c>
      <c r="AB1790" s="11">
        <v>3596.03</v>
      </c>
      <c r="AC1790" s="11">
        <v>86791</v>
      </c>
      <c r="AD1790" s="6" t="str">
        <f>IF(COUNTIF(Returns!$A$2:$A$1635,Orders!AC1790)&gt;0,"Returned","Not Returned")</f>
        <v>Not Returned</v>
      </c>
    </row>
    <row r="1791" spans="1:30" ht="12.75" customHeight="1" thickTop="1" thickBot="1" x14ac:dyDescent="0.25">
      <c r="A1791" s="8">
        <v>24691</v>
      </c>
      <c r="B1791" s="1" t="s">
        <v>37</v>
      </c>
      <c r="C1791" s="1">
        <v>0.09</v>
      </c>
      <c r="D1791" s="1">
        <v>304.99</v>
      </c>
      <c r="E1791" s="1">
        <v>19.989999999999998</v>
      </c>
      <c r="F1791" s="1">
        <v>3137</v>
      </c>
      <c r="G1791" s="6" t="str">
        <f>IF(COUNTIF(Table1[Customer ID],Table1[[#This Row],[Customer ID]])&gt;1,"Repeat Customer","One-Time Customer")</f>
        <v>One-Time Customer</v>
      </c>
      <c r="H1791" s="1" t="s">
        <v>2827</v>
      </c>
      <c r="I1791" s="1" t="s">
        <v>49</v>
      </c>
      <c r="J1791" s="1" t="s">
        <v>28</v>
      </c>
      <c r="K1791" s="1" t="s">
        <v>29</v>
      </c>
      <c r="L1791" s="1" t="s">
        <v>109</v>
      </c>
      <c r="M1791" s="1" t="s">
        <v>59</v>
      </c>
      <c r="N1791" s="1" t="s">
        <v>2625</v>
      </c>
      <c r="O1791" s="1">
        <v>0.4</v>
      </c>
      <c r="P1791" s="6">
        <f>Table1[[#This Row],[Profit]]/Table1[[#This Row],[Sales]]</f>
        <v>0.69</v>
      </c>
      <c r="Q1791" s="1" t="s">
        <v>33</v>
      </c>
      <c r="R1791" s="1" t="s">
        <v>53</v>
      </c>
      <c r="S1791" s="1" t="s">
        <v>197</v>
      </c>
      <c r="T1791" s="1" t="s">
        <v>2828</v>
      </c>
      <c r="U1791" s="1">
        <v>3246</v>
      </c>
      <c r="V1791" s="9">
        <v>42163</v>
      </c>
      <c r="W1791" s="13" t="str">
        <f>TEXT(Table1[[#This Row],[Order Date]],"mmmm")</f>
        <v>June</v>
      </c>
      <c r="X1791" s="7" t="str">
        <f>TEXT(Table1[[#This Row],[Order Date]],"yyyy")</f>
        <v>2015</v>
      </c>
      <c r="Y1791" s="9">
        <v>42164</v>
      </c>
      <c r="Z1791" s="1">
        <v>1623.9494999999999</v>
      </c>
      <c r="AA1791" s="1">
        <v>8</v>
      </c>
      <c r="AB1791" s="1">
        <v>2353.5500000000002</v>
      </c>
      <c r="AC1791" s="1">
        <v>86795</v>
      </c>
      <c r="AD1791" s="6" t="str">
        <f>IF(COUNTIF(Returns!$A$2:$A$1635,Orders!AC1791)&gt;0,"Returned","Not Returned")</f>
        <v>Not Returned</v>
      </c>
    </row>
    <row r="1792" spans="1:30" ht="12.75" customHeight="1" thickTop="1" thickBot="1" x14ac:dyDescent="0.25">
      <c r="A1792" s="10">
        <v>23706</v>
      </c>
      <c r="B1792" s="11" t="s">
        <v>37</v>
      </c>
      <c r="C1792" s="11">
        <v>0.05</v>
      </c>
      <c r="D1792" s="11">
        <v>4.0599999999999996</v>
      </c>
      <c r="E1792" s="11">
        <v>6.89</v>
      </c>
      <c r="F1792" s="11">
        <v>3138</v>
      </c>
      <c r="G1792" s="6" t="str">
        <f>IF(COUNTIF(Table1[Customer ID],Table1[[#This Row],[Customer ID]])&gt;1,"Repeat Customer","One-Time Customer")</f>
        <v>One-Time Customer</v>
      </c>
      <c r="H1792" s="11" t="s">
        <v>2829</v>
      </c>
      <c r="I1792" s="11" t="s">
        <v>27</v>
      </c>
      <c r="J1792" s="11" t="s">
        <v>28</v>
      </c>
      <c r="K1792" s="11" t="s">
        <v>29</v>
      </c>
      <c r="L1792" s="11" t="s">
        <v>257</v>
      </c>
      <c r="M1792" s="11" t="s">
        <v>59</v>
      </c>
      <c r="N1792" s="11" t="s">
        <v>910</v>
      </c>
      <c r="O1792" s="11">
        <v>0.6</v>
      </c>
      <c r="P1792" s="6">
        <f>Table1[[#This Row],[Profit]]/Table1[[#This Row],[Sales]]</f>
        <v>-1.3269417737928055</v>
      </c>
      <c r="Q1792" s="11" t="s">
        <v>33</v>
      </c>
      <c r="R1792" s="11" t="s">
        <v>53</v>
      </c>
      <c r="S1792" s="11" t="s">
        <v>197</v>
      </c>
      <c r="T1792" s="11" t="s">
        <v>2830</v>
      </c>
      <c r="U1792" s="11">
        <v>3053</v>
      </c>
      <c r="V1792" s="12">
        <v>42174</v>
      </c>
      <c r="W1792" s="13" t="str">
        <f>TEXT(Table1[[#This Row],[Order Date]],"mmmm")</f>
        <v>June</v>
      </c>
      <c r="X1792" s="7" t="str">
        <f>TEXT(Table1[[#This Row],[Order Date]],"yyyy")</f>
        <v>2015</v>
      </c>
      <c r="Y1792" s="12">
        <v>42176</v>
      </c>
      <c r="Z1792" s="11">
        <v>-122.83499999999999</v>
      </c>
      <c r="AA1792" s="11">
        <v>22</v>
      </c>
      <c r="AB1792" s="11">
        <v>92.57</v>
      </c>
      <c r="AC1792" s="11">
        <v>86796</v>
      </c>
      <c r="AD1792" s="6" t="str">
        <f>IF(COUNTIF(Returns!$A$2:$A$1635,Orders!AC1792)&gt;0,"Returned","Not Returned")</f>
        <v>Not Returned</v>
      </c>
    </row>
    <row r="1793" spans="1:30" ht="12.75" customHeight="1" thickTop="1" thickBot="1" x14ac:dyDescent="0.25">
      <c r="A1793" s="8">
        <v>23427</v>
      </c>
      <c r="B1793" s="1" t="s">
        <v>47</v>
      </c>
      <c r="C1793" s="1">
        <v>0.09</v>
      </c>
      <c r="D1793" s="1">
        <v>280.98</v>
      </c>
      <c r="E1793" s="1">
        <v>57</v>
      </c>
      <c r="F1793" s="1">
        <v>3139</v>
      </c>
      <c r="G1793" s="6" t="str">
        <f>IF(COUNTIF(Table1[Customer ID],Table1[[#This Row],[Customer ID]])&gt;1,"Repeat Customer","One-Time Customer")</f>
        <v>One-Time Customer</v>
      </c>
      <c r="H1793" s="1" t="s">
        <v>2831</v>
      </c>
      <c r="I1793" s="1" t="s">
        <v>39</v>
      </c>
      <c r="J1793" s="1" t="s">
        <v>40</v>
      </c>
      <c r="K1793" s="1" t="s">
        <v>41</v>
      </c>
      <c r="L1793" s="1" t="s">
        <v>42</v>
      </c>
      <c r="M1793" s="1" t="s">
        <v>43</v>
      </c>
      <c r="N1793" s="1" t="s">
        <v>670</v>
      </c>
      <c r="O1793" s="1">
        <v>0.78</v>
      </c>
      <c r="P1793" s="6">
        <f>Table1[[#This Row],[Profit]]/Table1[[#This Row],[Sales]]</f>
        <v>3.1663073834273275E-2</v>
      </c>
      <c r="Q1793" s="1" t="s">
        <v>33</v>
      </c>
      <c r="R1793" s="1" t="s">
        <v>53</v>
      </c>
      <c r="S1793" s="1" t="s">
        <v>54</v>
      </c>
      <c r="T1793" s="1" t="s">
        <v>868</v>
      </c>
      <c r="U1793" s="1">
        <v>7016</v>
      </c>
      <c r="V1793" s="9">
        <v>42126</v>
      </c>
      <c r="W1793" s="13" t="str">
        <f>TEXT(Table1[[#This Row],[Order Date]],"mmmm")</f>
        <v>May</v>
      </c>
      <c r="X1793" s="7" t="str">
        <f>TEXT(Table1[[#This Row],[Order Date]],"yyyy")</f>
        <v>2015</v>
      </c>
      <c r="Y1793" s="9">
        <v>42129</v>
      </c>
      <c r="Z1793" s="1">
        <v>252.48800000000028</v>
      </c>
      <c r="AA1793" s="1">
        <v>31</v>
      </c>
      <c r="AB1793" s="1">
        <v>7974.21</v>
      </c>
      <c r="AC1793" s="1">
        <v>86793</v>
      </c>
      <c r="AD1793" s="6" t="str">
        <f>IF(COUNTIF(Returns!$A$2:$A$1635,Orders!AC1793)&gt;0,"Returned","Not Returned")</f>
        <v>Not Returned</v>
      </c>
    </row>
    <row r="1794" spans="1:30" ht="12.75" customHeight="1" thickTop="1" thickBot="1" x14ac:dyDescent="0.25">
      <c r="A1794" s="10">
        <v>18917</v>
      </c>
      <c r="B1794" s="11" t="s">
        <v>106</v>
      </c>
      <c r="C1794" s="11">
        <v>0.09</v>
      </c>
      <c r="D1794" s="11">
        <v>6.84</v>
      </c>
      <c r="E1794" s="11">
        <v>8.3699999999999992</v>
      </c>
      <c r="F1794" s="11">
        <v>3141</v>
      </c>
      <c r="G1794" s="6" t="str">
        <f>IF(COUNTIF(Table1[Customer ID],Table1[[#This Row],[Customer ID]])&gt;1,"Repeat Customer","One-Time Customer")</f>
        <v>Repeat Customer</v>
      </c>
      <c r="H1794" s="11" t="s">
        <v>2832</v>
      </c>
      <c r="I1794" s="11" t="s">
        <v>49</v>
      </c>
      <c r="J1794" s="11" t="s">
        <v>114</v>
      </c>
      <c r="K1794" s="11" t="s">
        <v>29</v>
      </c>
      <c r="L1794" s="11" t="s">
        <v>174</v>
      </c>
      <c r="M1794" s="11" t="s">
        <v>51</v>
      </c>
      <c r="N1794" s="11" t="s">
        <v>1697</v>
      </c>
      <c r="O1794" s="11">
        <v>0.57999999999999996</v>
      </c>
      <c r="P1794" s="6">
        <f>Table1[[#This Row],[Profit]]/Table1[[#This Row],[Sales]]</f>
        <v>-1.0170493685419058</v>
      </c>
      <c r="Q1794" s="11" t="s">
        <v>33</v>
      </c>
      <c r="R1794" s="11" t="s">
        <v>61</v>
      </c>
      <c r="S1794" s="11" t="s">
        <v>130</v>
      </c>
      <c r="T1794" s="11" t="s">
        <v>2073</v>
      </c>
      <c r="U1794" s="11">
        <v>77506</v>
      </c>
      <c r="V1794" s="12">
        <v>42156</v>
      </c>
      <c r="W1794" s="13" t="str">
        <f>TEXT(Table1[[#This Row],[Order Date]],"mmmm")</f>
        <v>June</v>
      </c>
      <c r="X1794" s="7" t="str">
        <f>TEXT(Table1[[#This Row],[Order Date]],"yyyy")</f>
        <v>2015</v>
      </c>
      <c r="Y1794" s="12">
        <v>42163</v>
      </c>
      <c r="Z1794" s="11">
        <v>-88.584999999999994</v>
      </c>
      <c r="AA1794" s="11">
        <v>13</v>
      </c>
      <c r="AB1794" s="11">
        <v>87.1</v>
      </c>
      <c r="AC1794" s="11">
        <v>86369</v>
      </c>
      <c r="AD1794" s="6" t="str">
        <f>IF(COUNTIF(Returns!$A$2:$A$1635,Orders!AC1794)&gt;0,"Returned","Not Returned")</f>
        <v>Not Returned</v>
      </c>
    </row>
    <row r="1795" spans="1:30" ht="12.75" customHeight="1" thickTop="1" thickBot="1" x14ac:dyDescent="0.25">
      <c r="A1795" s="8">
        <v>18918</v>
      </c>
      <c r="B1795" s="1" t="s">
        <v>106</v>
      </c>
      <c r="C1795" s="1">
        <v>7.0000000000000007E-2</v>
      </c>
      <c r="D1795" s="1">
        <v>48.91</v>
      </c>
      <c r="E1795" s="1">
        <v>35</v>
      </c>
      <c r="F1795" s="1">
        <v>3141</v>
      </c>
      <c r="G1795" s="6" t="str">
        <f>IF(COUNTIF(Table1[Customer ID],Table1[[#This Row],[Customer ID]])&gt;1,"Repeat Customer","One-Time Customer")</f>
        <v>Repeat Customer</v>
      </c>
      <c r="H1795" s="1" t="s">
        <v>2832</v>
      </c>
      <c r="I1795" s="1" t="s">
        <v>27</v>
      </c>
      <c r="J1795" s="1" t="s">
        <v>114</v>
      </c>
      <c r="K1795" s="1" t="s">
        <v>29</v>
      </c>
      <c r="L1795" s="1" t="s">
        <v>141</v>
      </c>
      <c r="M1795" s="1" t="s">
        <v>236</v>
      </c>
      <c r="N1795" s="1" t="s">
        <v>1692</v>
      </c>
      <c r="O1795" s="1">
        <v>0.83</v>
      </c>
      <c r="P1795" s="6">
        <f>Table1[[#This Row],[Profit]]/Table1[[#This Row],[Sales]]</f>
        <v>-0.65912113562956332</v>
      </c>
      <c r="Q1795" s="1" t="s">
        <v>33</v>
      </c>
      <c r="R1795" s="1" t="s">
        <v>61</v>
      </c>
      <c r="S1795" s="1" t="s">
        <v>130</v>
      </c>
      <c r="T1795" s="1" t="s">
        <v>2073</v>
      </c>
      <c r="U1795" s="1">
        <v>77506</v>
      </c>
      <c r="V1795" s="9">
        <v>42156</v>
      </c>
      <c r="W1795" s="13" t="str">
        <f>TEXT(Table1[[#This Row],[Order Date]],"mmmm")</f>
        <v>June</v>
      </c>
      <c r="X1795" s="7" t="str">
        <f>TEXT(Table1[[#This Row],[Order Date]],"yyyy")</f>
        <v>2015</v>
      </c>
      <c r="Y1795" s="9">
        <v>42158</v>
      </c>
      <c r="Z1795" s="1">
        <v>-485.68</v>
      </c>
      <c r="AA1795" s="1">
        <v>15</v>
      </c>
      <c r="AB1795" s="1">
        <v>736.86</v>
      </c>
      <c r="AC1795" s="1">
        <v>86369</v>
      </c>
      <c r="AD1795" s="6" t="str">
        <f>IF(COUNTIF(Returns!$A$2:$A$1635,Orders!AC1795)&gt;0,"Returned","Not Returned")</f>
        <v>Not Returned</v>
      </c>
    </row>
    <row r="1796" spans="1:30" ht="12.75" customHeight="1" thickTop="1" thickBot="1" x14ac:dyDescent="0.25">
      <c r="A1796" s="10">
        <v>26039</v>
      </c>
      <c r="B1796" s="11" t="s">
        <v>56</v>
      </c>
      <c r="C1796" s="11">
        <v>0.02</v>
      </c>
      <c r="D1796" s="11">
        <v>15.42</v>
      </c>
      <c r="E1796" s="11">
        <v>5.41</v>
      </c>
      <c r="F1796" s="11">
        <v>3143</v>
      </c>
      <c r="G1796" s="6" t="str">
        <f>IF(COUNTIF(Table1[Customer ID],Table1[[#This Row],[Customer ID]])&gt;1,"Repeat Customer","One-Time Customer")</f>
        <v>One-Time Customer</v>
      </c>
      <c r="H1796" s="11" t="s">
        <v>2833</v>
      </c>
      <c r="I1796" s="11" t="s">
        <v>49</v>
      </c>
      <c r="J1796" s="11" t="s">
        <v>114</v>
      </c>
      <c r="K1796" s="11" t="s">
        <v>29</v>
      </c>
      <c r="L1796" s="11" t="s">
        <v>141</v>
      </c>
      <c r="M1796" s="11" t="s">
        <v>59</v>
      </c>
      <c r="N1796" s="11" t="s">
        <v>2834</v>
      </c>
      <c r="O1796" s="11">
        <v>0.59</v>
      </c>
      <c r="P1796" s="6">
        <f>Table1[[#This Row],[Profit]]/Table1[[#This Row],[Sales]]</f>
        <v>-0.48374704491725767</v>
      </c>
      <c r="Q1796" s="11" t="s">
        <v>33</v>
      </c>
      <c r="R1796" s="11" t="s">
        <v>61</v>
      </c>
      <c r="S1796" s="11" t="s">
        <v>130</v>
      </c>
      <c r="T1796" s="11" t="s">
        <v>2835</v>
      </c>
      <c r="U1796" s="11">
        <v>78660</v>
      </c>
      <c r="V1796" s="12">
        <v>42087</v>
      </c>
      <c r="W1796" s="13" t="str">
        <f>TEXT(Table1[[#This Row],[Order Date]],"mmmm")</f>
        <v>March</v>
      </c>
      <c r="X1796" s="7" t="str">
        <f>TEXT(Table1[[#This Row],[Order Date]],"yyyy")</f>
        <v>2015</v>
      </c>
      <c r="Y1796" s="12">
        <v>42088</v>
      </c>
      <c r="Z1796" s="11">
        <v>-16.37</v>
      </c>
      <c r="AA1796" s="11">
        <v>2</v>
      </c>
      <c r="AB1796" s="11">
        <v>33.840000000000003</v>
      </c>
      <c r="AC1796" s="11">
        <v>86368</v>
      </c>
      <c r="AD1796" s="6" t="str">
        <f>IF(COUNTIF(Returns!$A$2:$A$1635,Orders!AC1796)&gt;0,"Returned","Not Returned")</f>
        <v>Not Returned</v>
      </c>
    </row>
    <row r="1797" spans="1:30" ht="12.75" customHeight="1" thickTop="1" thickBot="1" x14ac:dyDescent="0.25">
      <c r="A1797" s="8">
        <v>19193</v>
      </c>
      <c r="B1797" s="1" t="s">
        <v>47</v>
      </c>
      <c r="C1797" s="1">
        <v>0.03</v>
      </c>
      <c r="D1797" s="1">
        <v>3.36</v>
      </c>
      <c r="E1797" s="1">
        <v>6.27</v>
      </c>
      <c r="F1797" s="1">
        <v>3146</v>
      </c>
      <c r="G1797" s="6" t="str">
        <f>IF(COUNTIF(Table1[Customer ID],Table1[[#This Row],[Customer ID]])&gt;1,"Repeat Customer","One-Time Customer")</f>
        <v>Repeat Customer</v>
      </c>
      <c r="H1797" s="1" t="s">
        <v>2836</v>
      </c>
      <c r="I1797" s="1" t="s">
        <v>49</v>
      </c>
      <c r="J1797" s="1" t="s">
        <v>28</v>
      </c>
      <c r="K1797" s="1" t="s">
        <v>29</v>
      </c>
      <c r="L1797" s="1" t="s">
        <v>109</v>
      </c>
      <c r="M1797" s="1" t="s">
        <v>59</v>
      </c>
      <c r="N1797" s="1" t="s">
        <v>586</v>
      </c>
      <c r="O1797" s="1">
        <v>0.4</v>
      </c>
      <c r="P1797" s="6">
        <f>Table1[[#This Row],[Profit]]/Table1[[#This Row],[Sales]]</f>
        <v>-6.3260805369127517</v>
      </c>
      <c r="Q1797" s="1" t="s">
        <v>33</v>
      </c>
      <c r="R1797" s="1" t="s">
        <v>61</v>
      </c>
      <c r="S1797" s="1" t="s">
        <v>130</v>
      </c>
      <c r="T1797" s="1" t="s">
        <v>2837</v>
      </c>
      <c r="U1797" s="1">
        <v>78577</v>
      </c>
      <c r="V1797" s="9">
        <v>42008</v>
      </c>
      <c r="W1797" s="13" t="str">
        <f>TEXT(Table1[[#This Row],[Order Date]],"mmmm")</f>
        <v>January</v>
      </c>
      <c r="X1797" s="7" t="str">
        <f>TEXT(Table1[[#This Row],[Order Date]],"yyyy")</f>
        <v>2015</v>
      </c>
      <c r="Y1797" s="9">
        <v>42009</v>
      </c>
      <c r="Z1797" s="1">
        <v>-94.258600000000001</v>
      </c>
      <c r="AA1797" s="1">
        <v>4</v>
      </c>
      <c r="AB1797" s="1">
        <v>14.9</v>
      </c>
      <c r="AC1797" s="1">
        <v>85850</v>
      </c>
      <c r="AD1797" s="6" t="str">
        <f>IF(COUNTIF(Returns!$A$2:$A$1635,Orders!AC1797)&gt;0,"Returned","Not Returned")</f>
        <v>Not Returned</v>
      </c>
    </row>
    <row r="1798" spans="1:30" ht="12.75" customHeight="1" thickTop="1" thickBot="1" x14ac:dyDescent="0.25">
      <c r="A1798" s="10">
        <v>19194</v>
      </c>
      <c r="B1798" s="11" t="s">
        <v>47</v>
      </c>
      <c r="C1798" s="11">
        <v>7.0000000000000007E-2</v>
      </c>
      <c r="D1798" s="11">
        <v>3.71</v>
      </c>
      <c r="E1798" s="11">
        <v>1.93</v>
      </c>
      <c r="F1798" s="11">
        <v>3146</v>
      </c>
      <c r="G1798" s="6" t="str">
        <f>IF(COUNTIF(Table1[Customer ID],Table1[[#This Row],[Customer ID]])&gt;1,"Repeat Customer","One-Time Customer")</f>
        <v>Repeat Customer</v>
      </c>
      <c r="H1798" s="11" t="s">
        <v>2836</v>
      </c>
      <c r="I1798" s="11" t="s">
        <v>27</v>
      </c>
      <c r="J1798" s="11" t="s">
        <v>28</v>
      </c>
      <c r="K1798" s="11" t="s">
        <v>29</v>
      </c>
      <c r="L1798" s="11" t="s">
        <v>93</v>
      </c>
      <c r="M1798" s="11" t="s">
        <v>31</v>
      </c>
      <c r="N1798" s="11" t="s">
        <v>2838</v>
      </c>
      <c r="O1798" s="11">
        <v>0.35</v>
      </c>
      <c r="P1798" s="6">
        <f>Table1[[#This Row],[Profit]]/Table1[[#This Row],[Sales]]</f>
        <v>0.15970736629667004</v>
      </c>
      <c r="Q1798" s="11" t="s">
        <v>33</v>
      </c>
      <c r="R1798" s="11" t="s">
        <v>61</v>
      </c>
      <c r="S1798" s="11" t="s">
        <v>130</v>
      </c>
      <c r="T1798" s="11" t="s">
        <v>2837</v>
      </c>
      <c r="U1798" s="11">
        <v>78577</v>
      </c>
      <c r="V1798" s="12">
        <v>42008</v>
      </c>
      <c r="W1798" s="13" t="str">
        <f>TEXT(Table1[[#This Row],[Order Date]],"mmmm")</f>
        <v>January</v>
      </c>
      <c r="X1798" s="7" t="str">
        <f>TEXT(Table1[[#This Row],[Order Date]],"yyyy")</f>
        <v>2015</v>
      </c>
      <c r="Y1798" s="12">
        <v>42010</v>
      </c>
      <c r="Z1798" s="11">
        <v>6.3308</v>
      </c>
      <c r="AA1798" s="11">
        <v>11</v>
      </c>
      <c r="AB1798" s="11">
        <v>39.64</v>
      </c>
      <c r="AC1798" s="11">
        <v>85850</v>
      </c>
      <c r="AD1798" s="6" t="str">
        <f>IF(COUNTIF(Returns!$A$2:$A$1635,Orders!AC1798)&gt;0,"Returned","Not Returned")</f>
        <v>Not Returned</v>
      </c>
    </row>
    <row r="1799" spans="1:30" ht="12.75" customHeight="1" thickTop="1" thickBot="1" x14ac:dyDescent="0.25">
      <c r="A1799" s="8">
        <v>24200</v>
      </c>
      <c r="B1799" s="1" t="s">
        <v>56</v>
      </c>
      <c r="C1799" s="1">
        <v>0.06</v>
      </c>
      <c r="D1799" s="1">
        <v>19.989999999999998</v>
      </c>
      <c r="E1799" s="1">
        <v>11.17</v>
      </c>
      <c r="F1799" s="1">
        <v>3148</v>
      </c>
      <c r="G1799" s="6" t="str">
        <f>IF(COUNTIF(Table1[Customer ID],Table1[[#This Row],[Customer ID]])&gt;1,"Repeat Customer","One-Time Customer")</f>
        <v>One-Time Customer</v>
      </c>
      <c r="H1799" s="1" t="s">
        <v>2839</v>
      </c>
      <c r="I1799" s="1" t="s">
        <v>49</v>
      </c>
      <c r="J1799" s="1" t="s">
        <v>28</v>
      </c>
      <c r="K1799" s="1" t="s">
        <v>41</v>
      </c>
      <c r="L1799" s="1" t="s">
        <v>50</v>
      </c>
      <c r="M1799" s="1" t="s">
        <v>236</v>
      </c>
      <c r="N1799" s="1" t="s">
        <v>508</v>
      </c>
      <c r="O1799" s="1">
        <v>0.6</v>
      </c>
      <c r="P1799" s="6">
        <f>Table1[[#This Row],[Profit]]/Table1[[#This Row],[Sales]]</f>
        <v>-0.47905656319449419</v>
      </c>
      <c r="Q1799" s="1" t="s">
        <v>33</v>
      </c>
      <c r="R1799" s="1" t="s">
        <v>34</v>
      </c>
      <c r="S1799" s="1" t="s">
        <v>1741</v>
      </c>
      <c r="T1799" s="1" t="s">
        <v>2840</v>
      </c>
      <c r="U1799" s="1">
        <v>83854</v>
      </c>
      <c r="V1799" s="9">
        <v>42018</v>
      </c>
      <c r="W1799" s="13" t="str">
        <f>TEXT(Table1[[#This Row],[Order Date]],"mmmm")</f>
        <v>January</v>
      </c>
      <c r="X1799" s="7" t="str">
        <f>TEXT(Table1[[#This Row],[Order Date]],"yyyy")</f>
        <v>2015</v>
      </c>
      <c r="Y1799" s="9">
        <v>42018</v>
      </c>
      <c r="Z1799" s="1">
        <v>-66.823599999999999</v>
      </c>
      <c r="AA1799" s="1">
        <v>7</v>
      </c>
      <c r="AB1799" s="1">
        <v>139.49</v>
      </c>
      <c r="AC1799" s="1">
        <v>89716</v>
      </c>
      <c r="AD1799" s="6" t="str">
        <f>IF(COUNTIF(Returns!$A$2:$A$1635,Orders!AC1799)&gt;0,"Returned","Not Returned")</f>
        <v>Not Returned</v>
      </c>
    </row>
    <row r="1800" spans="1:30" ht="12.75" customHeight="1" thickTop="1" thickBot="1" x14ac:dyDescent="0.25">
      <c r="A1800" s="10">
        <v>24202</v>
      </c>
      <c r="B1800" s="11" t="s">
        <v>56</v>
      </c>
      <c r="C1800" s="11">
        <v>0.06</v>
      </c>
      <c r="D1800" s="11">
        <v>320.98</v>
      </c>
      <c r="E1800" s="11">
        <v>58.95</v>
      </c>
      <c r="F1800" s="11">
        <v>3149</v>
      </c>
      <c r="G1800" s="6" t="str">
        <f>IF(COUNTIF(Table1[Customer ID],Table1[[#This Row],[Customer ID]])&gt;1,"Repeat Customer","One-Time Customer")</f>
        <v>One-Time Customer</v>
      </c>
      <c r="H1800" s="11" t="s">
        <v>2841</v>
      </c>
      <c r="I1800" s="11" t="s">
        <v>39</v>
      </c>
      <c r="J1800" s="11" t="s">
        <v>28</v>
      </c>
      <c r="K1800" s="11" t="s">
        <v>41</v>
      </c>
      <c r="L1800" s="11" t="s">
        <v>42</v>
      </c>
      <c r="M1800" s="11" t="s">
        <v>43</v>
      </c>
      <c r="N1800" s="11" t="s">
        <v>2842</v>
      </c>
      <c r="O1800" s="11">
        <v>0.56999999999999995</v>
      </c>
      <c r="P1800" s="6">
        <f>Table1[[#This Row],[Profit]]/Table1[[#This Row],[Sales]]</f>
        <v>0.49764754690309004</v>
      </c>
      <c r="Q1800" s="11" t="s">
        <v>33</v>
      </c>
      <c r="R1800" s="11" t="s">
        <v>34</v>
      </c>
      <c r="S1800" s="11" t="s">
        <v>1741</v>
      </c>
      <c r="T1800" s="11" t="s">
        <v>2843</v>
      </c>
      <c r="U1800" s="11">
        <v>83440</v>
      </c>
      <c r="V1800" s="12">
        <v>42018</v>
      </c>
      <c r="W1800" s="13" t="str">
        <f>TEXT(Table1[[#This Row],[Order Date]],"mmmm")</f>
        <v>January</v>
      </c>
      <c r="X1800" s="7" t="str">
        <f>TEXT(Table1[[#This Row],[Order Date]],"yyyy")</f>
        <v>2015</v>
      </c>
      <c r="Y1800" s="12">
        <v>42020</v>
      </c>
      <c r="Z1800" s="11">
        <v>971.62200000000007</v>
      </c>
      <c r="AA1800" s="11">
        <v>6</v>
      </c>
      <c r="AB1800" s="11">
        <v>1952.43</v>
      </c>
      <c r="AC1800" s="11">
        <v>89716</v>
      </c>
      <c r="AD1800" s="6" t="str">
        <f>IF(COUNTIF(Returns!$A$2:$A$1635,Orders!AC1800)&gt;0,"Returned","Not Returned")</f>
        <v>Not Returned</v>
      </c>
    </row>
    <row r="1801" spans="1:30" ht="12.75" customHeight="1" thickTop="1" thickBot="1" x14ac:dyDescent="0.25">
      <c r="A1801" s="8">
        <v>19625</v>
      </c>
      <c r="B1801" s="1" t="s">
        <v>37</v>
      </c>
      <c r="C1801" s="1">
        <v>0.01</v>
      </c>
      <c r="D1801" s="1">
        <v>145.97999999999999</v>
      </c>
      <c r="E1801" s="1">
        <v>46.2</v>
      </c>
      <c r="F1801" s="1">
        <v>3151</v>
      </c>
      <c r="G1801" s="6" t="str">
        <f>IF(COUNTIF(Table1[Customer ID],Table1[[#This Row],[Customer ID]])&gt;1,"Repeat Customer","One-Time Customer")</f>
        <v>Repeat Customer</v>
      </c>
      <c r="H1801" s="1" t="s">
        <v>2844</v>
      </c>
      <c r="I1801" s="1" t="s">
        <v>39</v>
      </c>
      <c r="J1801" s="1" t="s">
        <v>28</v>
      </c>
      <c r="K1801" s="1" t="s">
        <v>41</v>
      </c>
      <c r="L1801" s="1" t="s">
        <v>152</v>
      </c>
      <c r="M1801" s="1" t="s">
        <v>121</v>
      </c>
      <c r="N1801" s="1" t="s">
        <v>2845</v>
      </c>
      <c r="O1801" s="1">
        <v>0.69</v>
      </c>
      <c r="P1801" s="6">
        <f>Table1[[#This Row],[Profit]]/Table1[[#This Row],[Sales]]</f>
        <v>-9.8127357217371008E-2</v>
      </c>
      <c r="Q1801" s="1" t="s">
        <v>33</v>
      </c>
      <c r="R1801" s="1" t="s">
        <v>34</v>
      </c>
      <c r="S1801" s="1" t="s">
        <v>45</v>
      </c>
      <c r="T1801" s="1" t="s">
        <v>2846</v>
      </c>
      <c r="U1801" s="1">
        <v>92277</v>
      </c>
      <c r="V1801" s="9">
        <v>42158</v>
      </c>
      <c r="W1801" s="13" t="str">
        <f>TEXT(Table1[[#This Row],[Order Date]],"mmmm")</f>
        <v>June</v>
      </c>
      <c r="X1801" s="7" t="str">
        <f>TEXT(Table1[[#This Row],[Order Date]],"yyyy")</f>
        <v>2015</v>
      </c>
      <c r="Y1801" s="9">
        <v>42158</v>
      </c>
      <c r="Z1801" s="1">
        <v>-134.512</v>
      </c>
      <c r="AA1801" s="1">
        <v>9</v>
      </c>
      <c r="AB1801" s="1">
        <v>1370.79</v>
      </c>
      <c r="AC1801" s="1">
        <v>88543</v>
      </c>
      <c r="AD1801" s="6" t="str">
        <f>IF(COUNTIF(Returns!$A$2:$A$1635,Orders!AC1801)&gt;0,"Returned","Not Returned")</f>
        <v>Not Returned</v>
      </c>
    </row>
    <row r="1802" spans="1:30" ht="12.75" customHeight="1" thickTop="1" thickBot="1" x14ac:dyDescent="0.25">
      <c r="A1802" s="10">
        <v>19618</v>
      </c>
      <c r="B1802" s="11" t="s">
        <v>47</v>
      </c>
      <c r="C1802" s="11">
        <v>0.01</v>
      </c>
      <c r="D1802" s="11">
        <v>3502.14</v>
      </c>
      <c r="E1802" s="11">
        <v>8.73</v>
      </c>
      <c r="F1802" s="11">
        <v>3151</v>
      </c>
      <c r="G1802" s="6" t="str">
        <f>IF(COUNTIF(Table1[Customer ID],Table1[[#This Row],[Customer ID]])&gt;1,"Repeat Customer","One-Time Customer")</f>
        <v>Repeat Customer</v>
      </c>
      <c r="H1802" s="11" t="s">
        <v>2844</v>
      </c>
      <c r="I1802" s="11" t="s">
        <v>39</v>
      </c>
      <c r="J1802" s="11" t="s">
        <v>28</v>
      </c>
      <c r="K1802" s="11" t="s">
        <v>77</v>
      </c>
      <c r="L1802" s="11" t="s">
        <v>85</v>
      </c>
      <c r="M1802" s="11" t="s">
        <v>121</v>
      </c>
      <c r="N1802" s="11" t="s">
        <v>122</v>
      </c>
      <c r="O1802" s="11">
        <v>0.56999999999999995</v>
      </c>
      <c r="P1802" s="6">
        <f>Table1[[#This Row],[Profit]]/Table1[[#This Row],[Sales]]</f>
        <v>-1.1639572881297851</v>
      </c>
      <c r="Q1802" s="11" t="s">
        <v>33</v>
      </c>
      <c r="R1802" s="11" t="s">
        <v>34</v>
      </c>
      <c r="S1802" s="11" t="s">
        <v>45</v>
      </c>
      <c r="T1802" s="11" t="s">
        <v>2846</v>
      </c>
      <c r="U1802" s="11">
        <v>92277</v>
      </c>
      <c r="V1802" s="12">
        <v>42039</v>
      </c>
      <c r="W1802" s="13" t="str">
        <f>TEXT(Table1[[#This Row],[Order Date]],"mmmm")</f>
        <v>February</v>
      </c>
      <c r="X1802" s="7" t="str">
        <f>TEXT(Table1[[#This Row],[Order Date]],"yyyy")</f>
        <v>2015</v>
      </c>
      <c r="Y1802" s="12">
        <v>42040</v>
      </c>
      <c r="Z1802" s="11">
        <v>-4075.9339920000002</v>
      </c>
      <c r="AA1802" s="11">
        <v>1</v>
      </c>
      <c r="AB1802" s="11">
        <v>3501.79</v>
      </c>
      <c r="AC1802" s="11">
        <v>88544</v>
      </c>
      <c r="AD1802" s="6" t="str">
        <f>IF(COUNTIF(Returns!$A$2:$A$1635,Orders!AC1802)&gt;0,"Returned","Not Returned")</f>
        <v>Not Returned</v>
      </c>
    </row>
    <row r="1803" spans="1:30" ht="12.75" customHeight="1" thickTop="1" thickBot="1" x14ac:dyDescent="0.25">
      <c r="A1803" s="8">
        <v>19619</v>
      </c>
      <c r="B1803" s="1" t="s">
        <v>47</v>
      </c>
      <c r="C1803" s="1">
        <v>0.06</v>
      </c>
      <c r="D1803" s="1">
        <v>15.73</v>
      </c>
      <c r="E1803" s="1">
        <v>7.42</v>
      </c>
      <c r="F1803" s="1">
        <v>3151</v>
      </c>
      <c r="G1803" s="6" t="str">
        <f>IF(COUNTIF(Table1[Customer ID],Table1[[#This Row],[Customer ID]])&gt;1,"Repeat Customer","One-Time Customer")</f>
        <v>Repeat Customer</v>
      </c>
      <c r="H1803" s="1" t="s">
        <v>2844</v>
      </c>
      <c r="I1803" s="1" t="s">
        <v>49</v>
      </c>
      <c r="J1803" s="1" t="s">
        <v>28</v>
      </c>
      <c r="K1803" s="1" t="s">
        <v>29</v>
      </c>
      <c r="L1803" s="1" t="s">
        <v>174</v>
      </c>
      <c r="M1803" s="1" t="s">
        <v>51</v>
      </c>
      <c r="N1803" s="1" t="s">
        <v>2157</v>
      </c>
      <c r="O1803" s="1">
        <v>0.56000000000000005</v>
      </c>
      <c r="P1803" s="6">
        <f>Table1[[#This Row],[Profit]]/Table1[[#This Row],[Sales]]</f>
        <v>-0.2943972081218274</v>
      </c>
      <c r="Q1803" s="1" t="s">
        <v>33</v>
      </c>
      <c r="R1803" s="1" t="s">
        <v>34</v>
      </c>
      <c r="S1803" s="1" t="s">
        <v>45</v>
      </c>
      <c r="T1803" s="1" t="s">
        <v>2846</v>
      </c>
      <c r="U1803" s="1">
        <v>92277</v>
      </c>
      <c r="V1803" s="9">
        <v>42039</v>
      </c>
      <c r="W1803" s="13" t="str">
        <f>TEXT(Table1[[#This Row],[Order Date]],"mmmm")</f>
        <v>February</v>
      </c>
      <c r="X1803" s="7" t="str">
        <f>TEXT(Table1[[#This Row],[Order Date]],"yyyy")</f>
        <v>2015</v>
      </c>
      <c r="Y1803" s="9">
        <v>42040</v>
      </c>
      <c r="Z1803" s="1">
        <v>-18.558799999999998</v>
      </c>
      <c r="AA1803" s="1">
        <v>4</v>
      </c>
      <c r="AB1803" s="1">
        <v>63.04</v>
      </c>
      <c r="AC1803" s="1">
        <v>88544</v>
      </c>
      <c r="AD1803" s="6" t="str">
        <f>IF(COUNTIF(Returns!$A$2:$A$1635,Orders!AC1803)&gt;0,"Returned","Not Returned")</f>
        <v>Not Returned</v>
      </c>
    </row>
    <row r="1804" spans="1:30" ht="12.75" customHeight="1" thickTop="1" thickBot="1" x14ac:dyDescent="0.25">
      <c r="A1804" s="10">
        <v>23322</v>
      </c>
      <c r="B1804" s="11" t="s">
        <v>37</v>
      </c>
      <c r="C1804" s="11">
        <v>0.05</v>
      </c>
      <c r="D1804" s="11">
        <v>25.99</v>
      </c>
      <c r="E1804" s="11">
        <v>5.37</v>
      </c>
      <c r="F1804" s="11">
        <v>3151</v>
      </c>
      <c r="G1804" s="6" t="str">
        <f>IF(COUNTIF(Table1[Customer ID],Table1[[#This Row],[Customer ID]])&gt;1,"Repeat Customer","One-Time Customer")</f>
        <v>Repeat Customer</v>
      </c>
      <c r="H1804" s="11" t="s">
        <v>2844</v>
      </c>
      <c r="I1804" s="11" t="s">
        <v>27</v>
      </c>
      <c r="J1804" s="11" t="s">
        <v>28</v>
      </c>
      <c r="K1804" s="11" t="s">
        <v>29</v>
      </c>
      <c r="L1804" s="11" t="s">
        <v>30</v>
      </c>
      <c r="M1804" s="11" t="s">
        <v>59</v>
      </c>
      <c r="N1804" s="11" t="s">
        <v>1639</v>
      </c>
      <c r="O1804" s="11">
        <v>0.56000000000000005</v>
      </c>
      <c r="P1804" s="6">
        <f>Table1[[#This Row],[Profit]]/Table1[[#This Row],[Sales]]</f>
        <v>0.48821801262878023</v>
      </c>
      <c r="Q1804" s="11" t="s">
        <v>33</v>
      </c>
      <c r="R1804" s="11" t="s">
        <v>34</v>
      </c>
      <c r="S1804" s="11" t="s">
        <v>45</v>
      </c>
      <c r="T1804" s="11" t="s">
        <v>2846</v>
      </c>
      <c r="U1804" s="11">
        <v>92277</v>
      </c>
      <c r="V1804" s="12">
        <v>42051</v>
      </c>
      <c r="W1804" s="13" t="str">
        <f>TEXT(Table1[[#This Row],[Order Date]],"mmmm")</f>
        <v>February</v>
      </c>
      <c r="X1804" s="7" t="str">
        <f>TEXT(Table1[[#This Row],[Order Date]],"yyyy")</f>
        <v>2015</v>
      </c>
      <c r="Y1804" s="12">
        <v>42053</v>
      </c>
      <c r="Z1804" s="11">
        <v>220.35719999999998</v>
      </c>
      <c r="AA1804" s="11">
        <v>18</v>
      </c>
      <c r="AB1804" s="11">
        <v>451.35</v>
      </c>
      <c r="AC1804" s="11">
        <v>88545</v>
      </c>
      <c r="AD1804" s="6" t="str">
        <f>IF(COUNTIF(Returns!$A$2:$A$1635,Orders!AC1804)&gt;0,"Returned","Not Returned")</f>
        <v>Not Returned</v>
      </c>
    </row>
    <row r="1805" spans="1:30" ht="12.75" customHeight="1" thickTop="1" thickBot="1" x14ac:dyDescent="0.25">
      <c r="A1805" s="8">
        <v>24723</v>
      </c>
      <c r="B1805" s="1" t="s">
        <v>56</v>
      </c>
      <c r="C1805" s="1">
        <v>0.04</v>
      </c>
      <c r="D1805" s="1">
        <v>17.239999999999998</v>
      </c>
      <c r="E1805" s="1">
        <v>3.26</v>
      </c>
      <c r="F1805" s="1">
        <v>3151</v>
      </c>
      <c r="G1805" s="6" t="str">
        <f>IF(COUNTIF(Table1[Customer ID],Table1[[#This Row],[Customer ID]])&gt;1,"Repeat Customer","One-Time Customer")</f>
        <v>Repeat Customer</v>
      </c>
      <c r="H1805" s="1" t="s">
        <v>2844</v>
      </c>
      <c r="I1805" s="1" t="s">
        <v>49</v>
      </c>
      <c r="J1805" s="1" t="s">
        <v>40</v>
      </c>
      <c r="K1805" s="1" t="s">
        <v>29</v>
      </c>
      <c r="L1805" s="1" t="s">
        <v>174</v>
      </c>
      <c r="M1805" s="1" t="s">
        <v>51</v>
      </c>
      <c r="N1805" s="1" t="s">
        <v>2847</v>
      </c>
      <c r="O1805" s="1">
        <v>0.56000000000000005</v>
      </c>
      <c r="P1805" s="6">
        <f>Table1[[#This Row],[Profit]]/Table1[[#This Row],[Sales]]</f>
        <v>0.39908026755852843</v>
      </c>
      <c r="Q1805" s="1" t="s">
        <v>33</v>
      </c>
      <c r="R1805" s="1" t="s">
        <v>34</v>
      </c>
      <c r="S1805" s="1" t="s">
        <v>45</v>
      </c>
      <c r="T1805" s="1" t="s">
        <v>2846</v>
      </c>
      <c r="U1805" s="1">
        <v>92277</v>
      </c>
      <c r="V1805" s="9">
        <v>42063</v>
      </c>
      <c r="W1805" s="13" t="str">
        <f>TEXT(Table1[[#This Row],[Order Date]],"mmmm")</f>
        <v>February</v>
      </c>
      <c r="X1805" s="7" t="str">
        <f>TEXT(Table1[[#This Row],[Order Date]],"yyyy")</f>
        <v>2015</v>
      </c>
      <c r="Y1805" s="9">
        <v>42063</v>
      </c>
      <c r="Z1805" s="1">
        <v>47.73</v>
      </c>
      <c r="AA1805" s="1">
        <v>7</v>
      </c>
      <c r="AB1805" s="1">
        <v>119.6</v>
      </c>
      <c r="AC1805" s="1">
        <v>88546</v>
      </c>
      <c r="AD1805" s="6" t="str">
        <f>IF(COUNTIF(Returns!$A$2:$A$1635,Orders!AC1805)&gt;0,"Returned","Not Returned")</f>
        <v>Not Returned</v>
      </c>
    </row>
    <row r="1806" spans="1:30" ht="12.75" customHeight="1" thickTop="1" thickBot="1" x14ac:dyDescent="0.25">
      <c r="A1806" s="10">
        <v>24329</v>
      </c>
      <c r="B1806" s="11" t="s">
        <v>56</v>
      </c>
      <c r="C1806" s="11">
        <v>0.02</v>
      </c>
      <c r="D1806" s="11">
        <v>5.98</v>
      </c>
      <c r="E1806" s="11">
        <v>1.49</v>
      </c>
      <c r="F1806" s="11">
        <v>3151</v>
      </c>
      <c r="G1806" s="6" t="str">
        <f>IF(COUNTIF(Table1[Customer ID],Table1[[#This Row],[Customer ID]])&gt;1,"Repeat Customer","One-Time Customer")</f>
        <v>Repeat Customer</v>
      </c>
      <c r="H1806" s="11" t="s">
        <v>2844</v>
      </c>
      <c r="I1806" s="11" t="s">
        <v>49</v>
      </c>
      <c r="J1806" s="11" t="s">
        <v>28</v>
      </c>
      <c r="K1806" s="11" t="s">
        <v>29</v>
      </c>
      <c r="L1806" s="11" t="s">
        <v>109</v>
      </c>
      <c r="M1806" s="11" t="s">
        <v>59</v>
      </c>
      <c r="N1806" s="11" t="s">
        <v>1020</v>
      </c>
      <c r="O1806" s="11">
        <v>0.39</v>
      </c>
      <c r="P1806" s="6">
        <f>Table1[[#This Row],[Profit]]/Table1[[#This Row],[Sales]]</f>
        <v>0.47622704507512525</v>
      </c>
      <c r="Q1806" s="11" t="s">
        <v>33</v>
      </c>
      <c r="R1806" s="11" t="s">
        <v>34</v>
      </c>
      <c r="S1806" s="11" t="s">
        <v>45</v>
      </c>
      <c r="T1806" s="11" t="s">
        <v>2846</v>
      </c>
      <c r="U1806" s="11">
        <v>92277</v>
      </c>
      <c r="V1806" s="12">
        <v>42074</v>
      </c>
      <c r="W1806" s="13" t="str">
        <f>TEXT(Table1[[#This Row],[Order Date]],"mmmm")</f>
        <v>March</v>
      </c>
      <c r="X1806" s="7" t="str">
        <f>TEXT(Table1[[#This Row],[Order Date]],"yyyy")</f>
        <v>2015</v>
      </c>
      <c r="Y1806" s="12">
        <v>42075</v>
      </c>
      <c r="Z1806" s="11">
        <v>28.526000000000003</v>
      </c>
      <c r="AA1806" s="11">
        <v>10</v>
      </c>
      <c r="AB1806" s="11">
        <v>59.9</v>
      </c>
      <c r="AC1806" s="11">
        <v>88547</v>
      </c>
      <c r="AD1806" s="6" t="str">
        <f>IF(COUNTIF(Returns!$A$2:$A$1635,Orders!AC1806)&gt;0,"Returned","Not Returned")</f>
        <v>Not Returned</v>
      </c>
    </row>
    <row r="1807" spans="1:30" ht="12.75" customHeight="1" thickTop="1" thickBot="1" x14ac:dyDescent="0.25">
      <c r="A1807" s="8">
        <v>21734</v>
      </c>
      <c r="B1807" s="1" t="s">
        <v>25</v>
      </c>
      <c r="C1807" s="1">
        <v>0.01</v>
      </c>
      <c r="D1807" s="1">
        <v>99.23</v>
      </c>
      <c r="E1807" s="1">
        <v>8.99</v>
      </c>
      <c r="F1807" s="1">
        <v>3151</v>
      </c>
      <c r="G1807" s="6" t="str">
        <f>IF(COUNTIF(Table1[Customer ID],Table1[[#This Row],[Customer ID]])&gt;1,"Repeat Customer","One-Time Customer")</f>
        <v>Repeat Customer</v>
      </c>
      <c r="H1807" s="1" t="s">
        <v>2844</v>
      </c>
      <c r="I1807" s="1" t="s">
        <v>49</v>
      </c>
      <c r="J1807" s="1" t="s">
        <v>28</v>
      </c>
      <c r="K1807" s="1" t="s">
        <v>41</v>
      </c>
      <c r="L1807" s="1" t="s">
        <v>50</v>
      </c>
      <c r="M1807" s="1" t="s">
        <v>51</v>
      </c>
      <c r="N1807" s="1" t="s">
        <v>454</v>
      </c>
      <c r="O1807" s="1">
        <v>0.35</v>
      </c>
      <c r="P1807" s="6">
        <f>Table1[[#This Row],[Profit]]/Table1[[#This Row],[Sales]]</f>
        <v>-0.88147550896996563</v>
      </c>
      <c r="Q1807" s="1" t="s">
        <v>33</v>
      </c>
      <c r="R1807" s="1" t="s">
        <v>34</v>
      </c>
      <c r="S1807" s="1" t="s">
        <v>45</v>
      </c>
      <c r="T1807" s="1" t="s">
        <v>2846</v>
      </c>
      <c r="U1807" s="1">
        <v>92277</v>
      </c>
      <c r="V1807" s="9">
        <v>42092</v>
      </c>
      <c r="W1807" s="13" t="str">
        <f>TEXT(Table1[[#This Row],[Order Date]],"mmmm")</f>
        <v>March</v>
      </c>
      <c r="X1807" s="7" t="str">
        <f>TEXT(Table1[[#This Row],[Order Date]],"yyyy")</f>
        <v>2015</v>
      </c>
      <c r="Y1807" s="9">
        <v>42096</v>
      </c>
      <c r="Z1807" s="1">
        <v>-87.46</v>
      </c>
      <c r="AA1807" s="1">
        <v>1</v>
      </c>
      <c r="AB1807" s="1">
        <v>99.22</v>
      </c>
      <c r="AC1807" s="1">
        <v>88548</v>
      </c>
      <c r="AD1807" s="6" t="str">
        <f>IF(COUNTIF(Returns!$A$2:$A$1635,Orders!AC1807)&gt;0,"Returned","Not Returned")</f>
        <v>Not Returned</v>
      </c>
    </row>
    <row r="1808" spans="1:30" ht="12.75" customHeight="1" thickTop="1" thickBot="1" x14ac:dyDescent="0.25">
      <c r="A1808" s="10">
        <v>21436</v>
      </c>
      <c r="B1808" s="11" t="s">
        <v>25</v>
      </c>
      <c r="C1808" s="11">
        <v>0.08</v>
      </c>
      <c r="D1808" s="11">
        <v>150.97999999999999</v>
      </c>
      <c r="E1808" s="11">
        <v>13.99</v>
      </c>
      <c r="F1808" s="11">
        <v>3154</v>
      </c>
      <c r="G1808" s="6" t="str">
        <f>IF(COUNTIF(Table1[Customer ID],Table1[[#This Row],[Customer ID]])&gt;1,"Repeat Customer","One-Time Customer")</f>
        <v>Repeat Customer</v>
      </c>
      <c r="H1808" s="11" t="s">
        <v>2848</v>
      </c>
      <c r="I1808" s="11" t="s">
        <v>27</v>
      </c>
      <c r="J1808" s="11" t="s">
        <v>28</v>
      </c>
      <c r="K1808" s="11" t="s">
        <v>77</v>
      </c>
      <c r="L1808" s="11" t="s">
        <v>85</v>
      </c>
      <c r="M1808" s="11" t="s">
        <v>86</v>
      </c>
      <c r="N1808" s="11" t="s">
        <v>627</v>
      </c>
      <c r="O1808" s="11">
        <v>0.38</v>
      </c>
      <c r="P1808" s="6">
        <f>Table1[[#This Row],[Profit]]/Table1[[#This Row],[Sales]]</f>
        <v>-3.3349664644962912E-3</v>
      </c>
      <c r="Q1808" s="11" t="s">
        <v>33</v>
      </c>
      <c r="R1808" s="11" t="s">
        <v>136</v>
      </c>
      <c r="S1808" s="11" t="s">
        <v>362</v>
      </c>
      <c r="T1808" s="11" t="s">
        <v>2849</v>
      </c>
      <c r="U1808" s="11">
        <v>33710</v>
      </c>
      <c r="V1808" s="12">
        <v>42030</v>
      </c>
      <c r="W1808" s="13" t="str">
        <f>TEXT(Table1[[#This Row],[Order Date]],"mmmm")</f>
        <v>January</v>
      </c>
      <c r="X1808" s="7" t="str">
        <f>TEXT(Table1[[#This Row],[Order Date]],"yyyy")</f>
        <v>2015</v>
      </c>
      <c r="Y1808" s="12">
        <v>42031</v>
      </c>
      <c r="Z1808" s="11">
        <v>-3.9479999999999995</v>
      </c>
      <c r="AA1808" s="11">
        <v>8</v>
      </c>
      <c r="AB1808" s="11">
        <v>1183.82</v>
      </c>
      <c r="AC1808" s="11">
        <v>86899</v>
      </c>
      <c r="AD1808" s="6" t="str">
        <f>IF(COUNTIF(Returns!$A$2:$A$1635,Orders!AC1808)&gt;0,"Returned","Not Returned")</f>
        <v>Not Returned</v>
      </c>
    </row>
    <row r="1809" spans="1:30" ht="12.75" customHeight="1" thickTop="1" thickBot="1" x14ac:dyDescent="0.25">
      <c r="A1809" s="8">
        <v>20253</v>
      </c>
      <c r="B1809" s="1" t="s">
        <v>47</v>
      </c>
      <c r="C1809" s="1">
        <v>0.03</v>
      </c>
      <c r="D1809" s="1">
        <v>17.7</v>
      </c>
      <c r="E1809" s="1">
        <v>9.4700000000000006</v>
      </c>
      <c r="F1809" s="1">
        <v>3154</v>
      </c>
      <c r="G1809" s="6" t="str">
        <f>IF(COUNTIF(Table1[Customer ID],Table1[[#This Row],[Customer ID]])&gt;1,"Repeat Customer","One-Time Customer")</f>
        <v>Repeat Customer</v>
      </c>
      <c r="H1809" s="1" t="s">
        <v>2848</v>
      </c>
      <c r="I1809" s="1" t="s">
        <v>49</v>
      </c>
      <c r="J1809" s="1" t="s">
        <v>114</v>
      </c>
      <c r="K1809" s="1" t="s">
        <v>29</v>
      </c>
      <c r="L1809" s="1" t="s">
        <v>141</v>
      </c>
      <c r="M1809" s="1" t="s">
        <v>59</v>
      </c>
      <c r="N1809" s="1" t="s">
        <v>1569</v>
      </c>
      <c r="O1809" s="1">
        <v>0.59</v>
      </c>
      <c r="P1809" s="6">
        <f>Table1[[#This Row],[Profit]]/Table1[[#This Row],[Sales]]</f>
        <v>0.13967685979085095</v>
      </c>
      <c r="Q1809" s="1" t="s">
        <v>33</v>
      </c>
      <c r="R1809" s="1" t="s">
        <v>136</v>
      </c>
      <c r="S1809" s="1" t="s">
        <v>362</v>
      </c>
      <c r="T1809" s="1" t="s">
        <v>2849</v>
      </c>
      <c r="U1809" s="1">
        <v>33710</v>
      </c>
      <c r="V1809" s="9">
        <v>42152</v>
      </c>
      <c r="W1809" s="13" t="str">
        <f>TEXT(Table1[[#This Row],[Order Date]],"mmmm")</f>
        <v>May</v>
      </c>
      <c r="X1809" s="7" t="str">
        <f>TEXT(Table1[[#This Row],[Order Date]],"yyyy")</f>
        <v>2015</v>
      </c>
      <c r="Y1809" s="9">
        <v>42154</v>
      </c>
      <c r="Z1809" s="1">
        <v>28.182599999999997</v>
      </c>
      <c r="AA1809" s="1">
        <v>11</v>
      </c>
      <c r="AB1809" s="1">
        <v>201.77</v>
      </c>
      <c r="AC1809" s="1">
        <v>86900</v>
      </c>
      <c r="AD1809" s="6" t="str">
        <f>IF(COUNTIF(Returns!$A$2:$A$1635,Orders!AC1809)&gt;0,"Returned","Not Returned")</f>
        <v>Not Returned</v>
      </c>
    </row>
    <row r="1810" spans="1:30" ht="12.75" customHeight="1" thickTop="1" thickBot="1" x14ac:dyDescent="0.25">
      <c r="A1810" s="10">
        <v>18635</v>
      </c>
      <c r="B1810" s="11" t="s">
        <v>47</v>
      </c>
      <c r="C1810" s="11">
        <v>0.04</v>
      </c>
      <c r="D1810" s="11">
        <v>21.38</v>
      </c>
      <c r="E1810" s="11">
        <v>8.99</v>
      </c>
      <c r="F1810" s="11">
        <v>3154</v>
      </c>
      <c r="G1810" s="6" t="str">
        <f>IF(COUNTIF(Table1[Customer ID],Table1[[#This Row],[Customer ID]])&gt;1,"Repeat Customer","One-Time Customer")</f>
        <v>Repeat Customer</v>
      </c>
      <c r="H1810" s="11" t="s">
        <v>2848</v>
      </c>
      <c r="I1810" s="11" t="s">
        <v>49</v>
      </c>
      <c r="J1810" s="11" t="s">
        <v>28</v>
      </c>
      <c r="K1810" s="11" t="s">
        <v>29</v>
      </c>
      <c r="L1810" s="11" t="s">
        <v>30</v>
      </c>
      <c r="M1810" s="11" t="s">
        <v>51</v>
      </c>
      <c r="N1810" s="11" t="s">
        <v>2199</v>
      </c>
      <c r="O1810" s="11">
        <v>0.59</v>
      </c>
      <c r="P1810" s="6">
        <f>Table1[[#This Row],[Profit]]/Table1[[#This Row],[Sales]]</f>
        <v>-0.11644051751341115</v>
      </c>
      <c r="Q1810" s="11" t="s">
        <v>33</v>
      </c>
      <c r="R1810" s="11" t="s">
        <v>136</v>
      </c>
      <c r="S1810" s="11" t="s">
        <v>362</v>
      </c>
      <c r="T1810" s="11" t="s">
        <v>2849</v>
      </c>
      <c r="U1810" s="11">
        <v>33710</v>
      </c>
      <c r="V1810" s="12">
        <v>42093</v>
      </c>
      <c r="W1810" s="13" t="str">
        <f>TEXT(Table1[[#This Row],[Order Date]],"mmmm")</f>
        <v>March</v>
      </c>
      <c r="X1810" s="7" t="str">
        <f>TEXT(Table1[[#This Row],[Order Date]],"yyyy")</f>
        <v>2015</v>
      </c>
      <c r="Y1810" s="12">
        <v>42093</v>
      </c>
      <c r="Z1810" s="11">
        <v>-51.66</v>
      </c>
      <c r="AA1810" s="11">
        <v>21</v>
      </c>
      <c r="AB1810" s="11">
        <v>443.66</v>
      </c>
      <c r="AC1810" s="11">
        <v>86901</v>
      </c>
      <c r="AD1810" s="6" t="str">
        <f>IF(COUNTIF(Returns!$A$2:$A$1635,Orders!AC1810)&gt;0,"Returned","Not Returned")</f>
        <v>Not Returned</v>
      </c>
    </row>
    <row r="1811" spans="1:30" ht="12.75" customHeight="1" thickTop="1" thickBot="1" x14ac:dyDescent="0.25">
      <c r="A1811" s="8">
        <v>23392</v>
      </c>
      <c r="B1811" s="1" t="s">
        <v>47</v>
      </c>
      <c r="C1811" s="1">
        <v>0.02</v>
      </c>
      <c r="D1811" s="1">
        <v>60.22</v>
      </c>
      <c r="E1811" s="1">
        <v>3.5</v>
      </c>
      <c r="F1811" s="1">
        <v>3155</v>
      </c>
      <c r="G1811" s="6" t="str">
        <f>IF(COUNTIF(Table1[Customer ID],Table1[[#This Row],[Customer ID]])&gt;1,"Repeat Customer","One-Time Customer")</f>
        <v>Repeat Customer</v>
      </c>
      <c r="H1811" s="1" t="s">
        <v>2850</v>
      </c>
      <c r="I1811" s="1" t="s">
        <v>49</v>
      </c>
      <c r="J1811" s="1" t="s">
        <v>28</v>
      </c>
      <c r="K1811" s="1" t="s">
        <v>29</v>
      </c>
      <c r="L1811" s="1" t="s">
        <v>257</v>
      </c>
      <c r="M1811" s="1" t="s">
        <v>59</v>
      </c>
      <c r="N1811" s="1" t="s">
        <v>2851</v>
      </c>
      <c r="O1811" s="1">
        <v>0.56999999999999995</v>
      </c>
      <c r="P1811" s="6">
        <f>Table1[[#This Row],[Profit]]/Table1[[#This Row],[Sales]]</f>
        <v>-0.35793340224453629</v>
      </c>
      <c r="Q1811" s="1" t="s">
        <v>33</v>
      </c>
      <c r="R1811" s="1" t="s">
        <v>136</v>
      </c>
      <c r="S1811" s="1" t="s">
        <v>362</v>
      </c>
      <c r="T1811" s="1" t="s">
        <v>433</v>
      </c>
      <c r="U1811" s="1">
        <v>32771</v>
      </c>
      <c r="V1811" s="9">
        <v>42024</v>
      </c>
      <c r="W1811" s="13" t="str">
        <f>TEXT(Table1[[#This Row],[Order Date]],"mmmm")</f>
        <v>January</v>
      </c>
      <c r="X1811" s="7" t="str">
        <f>TEXT(Table1[[#This Row],[Order Date]],"yyyy")</f>
        <v>2015</v>
      </c>
      <c r="Y1811" s="9">
        <v>42025</v>
      </c>
      <c r="Z1811" s="1">
        <v>-193.91399999999999</v>
      </c>
      <c r="AA1811" s="1">
        <v>9</v>
      </c>
      <c r="AB1811" s="1">
        <v>541.76</v>
      </c>
      <c r="AC1811" s="1">
        <v>86898</v>
      </c>
      <c r="AD1811" s="6" t="str">
        <f>IF(COUNTIF(Returns!$A$2:$A$1635,Orders!AC1811)&gt;0,"Returned","Not Returned")</f>
        <v>Not Returned</v>
      </c>
    </row>
    <row r="1812" spans="1:30" ht="12.75" customHeight="1" thickTop="1" thickBot="1" x14ac:dyDescent="0.25">
      <c r="A1812" s="10">
        <v>21437</v>
      </c>
      <c r="B1812" s="11" t="s">
        <v>25</v>
      </c>
      <c r="C1812" s="11">
        <v>0.03</v>
      </c>
      <c r="D1812" s="11">
        <v>25.98</v>
      </c>
      <c r="E1812" s="11">
        <v>14.36</v>
      </c>
      <c r="F1812" s="11">
        <v>3155</v>
      </c>
      <c r="G1812" s="6" t="str">
        <f>IF(COUNTIF(Table1[Customer ID],Table1[[#This Row],[Customer ID]])&gt;1,"Repeat Customer","One-Time Customer")</f>
        <v>Repeat Customer</v>
      </c>
      <c r="H1812" s="11" t="s">
        <v>2850</v>
      </c>
      <c r="I1812" s="11" t="s">
        <v>39</v>
      </c>
      <c r="J1812" s="11" t="s">
        <v>28</v>
      </c>
      <c r="K1812" s="11" t="s">
        <v>41</v>
      </c>
      <c r="L1812" s="11" t="s">
        <v>42</v>
      </c>
      <c r="M1812" s="11" t="s">
        <v>43</v>
      </c>
      <c r="N1812" s="11" t="s">
        <v>1001</v>
      </c>
      <c r="O1812" s="11">
        <v>0.6</v>
      </c>
      <c r="P1812" s="6">
        <f>Table1[[#This Row],[Profit]]/Table1[[#This Row],[Sales]]</f>
        <v>0.53451606910644622</v>
      </c>
      <c r="Q1812" s="11" t="s">
        <v>33</v>
      </c>
      <c r="R1812" s="11" t="s">
        <v>136</v>
      </c>
      <c r="S1812" s="11" t="s">
        <v>362</v>
      </c>
      <c r="T1812" s="11" t="s">
        <v>433</v>
      </c>
      <c r="U1812" s="11">
        <v>32771</v>
      </c>
      <c r="V1812" s="12">
        <v>42030</v>
      </c>
      <c r="W1812" s="13" t="str">
        <f>TEXT(Table1[[#This Row],[Order Date]],"mmmm")</f>
        <v>January</v>
      </c>
      <c r="X1812" s="7" t="str">
        <f>TEXT(Table1[[#This Row],[Order Date]],"yyyy")</f>
        <v>2015</v>
      </c>
      <c r="Y1812" s="12">
        <v>42031</v>
      </c>
      <c r="Z1812" s="11">
        <v>57.545999999999999</v>
      </c>
      <c r="AA1812" s="11">
        <v>4</v>
      </c>
      <c r="AB1812" s="11">
        <v>107.66</v>
      </c>
      <c r="AC1812" s="11">
        <v>86899</v>
      </c>
      <c r="AD1812" s="6" t="str">
        <f>IF(COUNTIF(Returns!$A$2:$A$1635,Orders!AC1812)&gt;0,"Returned","Not Returned")</f>
        <v>Not Returned</v>
      </c>
    </row>
    <row r="1813" spans="1:30" ht="12.75" customHeight="1" thickTop="1" thickBot="1" x14ac:dyDescent="0.25">
      <c r="A1813" s="8">
        <v>21438</v>
      </c>
      <c r="B1813" s="1" t="s">
        <v>25</v>
      </c>
      <c r="C1813" s="1">
        <v>0.1</v>
      </c>
      <c r="D1813" s="1">
        <v>32.479999999999997</v>
      </c>
      <c r="E1813" s="1">
        <v>35</v>
      </c>
      <c r="F1813" s="1">
        <v>3155</v>
      </c>
      <c r="G1813" s="6" t="str">
        <f>IF(COUNTIF(Table1[Customer ID],Table1[[#This Row],[Customer ID]])&gt;1,"Repeat Customer","One-Time Customer")</f>
        <v>Repeat Customer</v>
      </c>
      <c r="H1813" s="1" t="s">
        <v>2850</v>
      </c>
      <c r="I1813" s="1" t="s">
        <v>49</v>
      </c>
      <c r="J1813" s="1" t="s">
        <v>28</v>
      </c>
      <c r="K1813" s="1" t="s">
        <v>29</v>
      </c>
      <c r="L1813" s="1" t="s">
        <v>141</v>
      </c>
      <c r="M1813" s="1" t="s">
        <v>236</v>
      </c>
      <c r="N1813" s="1" t="s">
        <v>668</v>
      </c>
      <c r="O1813" s="1">
        <v>0.81</v>
      </c>
      <c r="P1813" s="6">
        <f>Table1[[#This Row],[Profit]]/Table1[[#This Row],[Sales]]</f>
        <v>-1.0457780008154818</v>
      </c>
      <c r="Q1813" s="1" t="s">
        <v>33</v>
      </c>
      <c r="R1813" s="1" t="s">
        <v>136</v>
      </c>
      <c r="S1813" s="1" t="s">
        <v>362</v>
      </c>
      <c r="T1813" s="1" t="s">
        <v>433</v>
      </c>
      <c r="U1813" s="1">
        <v>32771</v>
      </c>
      <c r="V1813" s="9">
        <v>42030</v>
      </c>
      <c r="W1813" s="13" t="str">
        <f>TEXT(Table1[[#This Row],[Order Date]],"mmmm")</f>
        <v>January</v>
      </c>
      <c r="X1813" s="7" t="str">
        <f>TEXT(Table1[[#This Row],[Order Date]],"yyyy")</f>
        <v>2015</v>
      </c>
      <c r="Y1813" s="9">
        <v>42031</v>
      </c>
      <c r="Z1813" s="1">
        <v>-333.42540000000002</v>
      </c>
      <c r="AA1813" s="1">
        <v>10</v>
      </c>
      <c r="AB1813" s="1">
        <v>318.83</v>
      </c>
      <c r="AC1813" s="1">
        <v>86899</v>
      </c>
      <c r="AD1813" s="6" t="str">
        <f>IF(COUNTIF(Returns!$A$2:$A$1635,Orders!AC1813)&gt;0,"Returned","Not Returned")</f>
        <v>Not Returned</v>
      </c>
    </row>
    <row r="1814" spans="1:30" ht="12.75" customHeight="1" thickTop="1" thickBot="1" x14ac:dyDescent="0.25">
      <c r="A1814" s="10">
        <v>22015</v>
      </c>
      <c r="B1814" s="11" t="s">
        <v>47</v>
      </c>
      <c r="C1814" s="11">
        <v>0.05</v>
      </c>
      <c r="D1814" s="11">
        <v>159.99</v>
      </c>
      <c r="E1814" s="11">
        <v>5.5</v>
      </c>
      <c r="F1814" s="11">
        <v>3155</v>
      </c>
      <c r="G1814" s="6" t="str">
        <f>IF(COUNTIF(Table1[Customer ID],Table1[[#This Row],[Customer ID]])&gt;1,"Repeat Customer","One-Time Customer")</f>
        <v>Repeat Customer</v>
      </c>
      <c r="H1814" s="11" t="s">
        <v>2850</v>
      </c>
      <c r="I1814" s="11" t="s">
        <v>49</v>
      </c>
      <c r="J1814" s="11" t="s">
        <v>114</v>
      </c>
      <c r="K1814" s="11" t="s">
        <v>77</v>
      </c>
      <c r="L1814" s="11" t="s">
        <v>180</v>
      </c>
      <c r="M1814" s="11" t="s">
        <v>59</v>
      </c>
      <c r="N1814" s="11" t="s">
        <v>2852</v>
      </c>
      <c r="O1814" s="11">
        <v>0.49</v>
      </c>
      <c r="P1814" s="6">
        <f>Table1[[#This Row],[Profit]]/Table1[[#This Row],[Sales]]</f>
        <v>3.4060516851124106E-3</v>
      </c>
      <c r="Q1814" s="11" t="s">
        <v>33</v>
      </c>
      <c r="R1814" s="11" t="s">
        <v>136</v>
      </c>
      <c r="S1814" s="11" t="s">
        <v>362</v>
      </c>
      <c r="T1814" s="11" t="s">
        <v>433</v>
      </c>
      <c r="U1814" s="11">
        <v>32771</v>
      </c>
      <c r="V1814" s="12">
        <v>42113</v>
      </c>
      <c r="W1814" s="13" t="str">
        <f>TEXT(Table1[[#This Row],[Order Date]],"mmmm")</f>
        <v>April</v>
      </c>
      <c r="X1814" s="7" t="str">
        <f>TEXT(Table1[[#This Row],[Order Date]],"yyyy")</f>
        <v>2015</v>
      </c>
      <c r="Y1814" s="12">
        <v>42115</v>
      </c>
      <c r="Z1814" s="11">
        <v>12.264000000000001</v>
      </c>
      <c r="AA1814" s="11">
        <v>23</v>
      </c>
      <c r="AB1814" s="11">
        <v>3600.65</v>
      </c>
      <c r="AC1814" s="11">
        <v>86902</v>
      </c>
      <c r="AD1814" s="6" t="str">
        <f>IF(COUNTIF(Returns!$A$2:$A$1635,Orders!AC1814)&gt;0,"Returned","Not Returned")</f>
        <v>Not Returned</v>
      </c>
    </row>
    <row r="1815" spans="1:30" ht="12.75" customHeight="1" thickTop="1" thickBot="1" x14ac:dyDescent="0.25">
      <c r="A1815" s="8">
        <v>19374</v>
      </c>
      <c r="B1815" s="1" t="s">
        <v>37</v>
      </c>
      <c r="C1815" s="1">
        <v>7.0000000000000007E-2</v>
      </c>
      <c r="D1815" s="1">
        <v>280.98</v>
      </c>
      <c r="E1815" s="1">
        <v>57</v>
      </c>
      <c r="F1815" s="1">
        <v>3167</v>
      </c>
      <c r="G1815" s="6" t="str">
        <f>IF(COUNTIF(Table1[Customer ID],Table1[[#This Row],[Customer ID]])&gt;1,"Repeat Customer","One-Time Customer")</f>
        <v>Repeat Customer</v>
      </c>
      <c r="H1815" s="1" t="s">
        <v>2853</v>
      </c>
      <c r="I1815" s="1" t="s">
        <v>39</v>
      </c>
      <c r="J1815" s="1" t="s">
        <v>28</v>
      </c>
      <c r="K1815" s="1" t="s">
        <v>41</v>
      </c>
      <c r="L1815" s="1" t="s">
        <v>42</v>
      </c>
      <c r="M1815" s="1" t="s">
        <v>43</v>
      </c>
      <c r="N1815" s="1" t="s">
        <v>670</v>
      </c>
      <c r="O1815" s="1">
        <v>0.78</v>
      </c>
      <c r="P1815" s="6">
        <f>Table1[[#This Row],[Profit]]/Table1[[#This Row],[Sales]]</f>
        <v>-7.2141106180190567E-2</v>
      </c>
      <c r="Q1815" s="1" t="s">
        <v>33</v>
      </c>
      <c r="R1815" s="1" t="s">
        <v>136</v>
      </c>
      <c r="S1815" s="1" t="s">
        <v>362</v>
      </c>
      <c r="T1815" s="1" t="s">
        <v>2854</v>
      </c>
      <c r="U1815" s="1">
        <v>32004</v>
      </c>
      <c r="V1815" s="9">
        <v>42174</v>
      </c>
      <c r="W1815" s="13" t="str">
        <f>TEXT(Table1[[#This Row],[Order Date]],"mmmm")</f>
        <v>June</v>
      </c>
      <c r="X1815" s="7" t="str">
        <f>TEXT(Table1[[#This Row],[Order Date]],"yyyy")</f>
        <v>2015</v>
      </c>
      <c r="Y1815" s="9">
        <v>42175</v>
      </c>
      <c r="Z1815" s="1">
        <v>-283.9914</v>
      </c>
      <c r="AA1815" s="1">
        <v>14</v>
      </c>
      <c r="AB1815" s="1">
        <v>3936.61</v>
      </c>
      <c r="AC1815" s="1">
        <v>86491</v>
      </c>
      <c r="AD1815" s="6" t="str">
        <f>IF(COUNTIF(Returns!$A$2:$A$1635,Orders!AC1815)&gt;0,"Returned","Not Returned")</f>
        <v>Not Returned</v>
      </c>
    </row>
    <row r="1816" spans="1:30" ht="12.75" customHeight="1" thickTop="1" thickBot="1" x14ac:dyDescent="0.25">
      <c r="A1816" s="10">
        <v>19375</v>
      </c>
      <c r="B1816" s="11" t="s">
        <v>37</v>
      </c>
      <c r="C1816" s="11">
        <v>0</v>
      </c>
      <c r="D1816" s="11">
        <v>4.9800000000000004</v>
      </c>
      <c r="E1816" s="11">
        <v>7.44</v>
      </c>
      <c r="F1816" s="11">
        <v>3167</v>
      </c>
      <c r="G1816" s="6" t="str">
        <f>IF(COUNTIF(Table1[Customer ID],Table1[[#This Row],[Customer ID]])&gt;1,"Repeat Customer","One-Time Customer")</f>
        <v>Repeat Customer</v>
      </c>
      <c r="H1816" s="11" t="s">
        <v>2853</v>
      </c>
      <c r="I1816" s="11" t="s">
        <v>49</v>
      </c>
      <c r="J1816" s="11" t="s">
        <v>28</v>
      </c>
      <c r="K1816" s="11" t="s">
        <v>29</v>
      </c>
      <c r="L1816" s="11" t="s">
        <v>93</v>
      </c>
      <c r="M1816" s="11" t="s">
        <v>59</v>
      </c>
      <c r="N1816" s="11" t="s">
        <v>384</v>
      </c>
      <c r="O1816" s="11">
        <v>0.36</v>
      </c>
      <c r="P1816" s="6">
        <f>Table1[[#This Row],[Profit]]/Table1[[#This Row],[Sales]]</f>
        <v>-2.4944706933980334</v>
      </c>
      <c r="Q1816" s="11" t="s">
        <v>33</v>
      </c>
      <c r="R1816" s="11" t="s">
        <v>136</v>
      </c>
      <c r="S1816" s="11" t="s">
        <v>362</v>
      </c>
      <c r="T1816" s="11" t="s">
        <v>2854</v>
      </c>
      <c r="U1816" s="11">
        <v>32004</v>
      </c>
      <c r="V1816" s="12">
        <v>42174</v>
      </c>
      <c r="W1816" s="13" t="str">
        <f>TEXT(Table1[[#This Row],[Order Date]],"mmmm")</f>
        <v>June</v>
      </c>
      <c r="X1816" s="7" t="str">
        <f>TEXT(Table1[[#This Row],[Order Date]],"yyyy")</f>
        <v>2015</v>
      </c>
      <c r="Y1816" s="12">
        <v>42176</v>
      </c>
      <c r="Z1816" s="11">
        <v>-195.34200000000001</v>
      </c>
      <c r="AA1816" s="11">
        <v>15</v>
      </c>
      <c r="AB1816" s="11">
        <v>78.31</v>
      </c>
      <c r="AC1816" s="11">
        <v>86491</v>
      </c>
      <c r="AD1816" s="6" t="str">
        <f>IF(COUNTIF(Returns!$A$2:$A$1635,Orders!AC1816)&gt;0,"Returned","Not Returned")</f>
        <v>Not Returned</v>
      </c>
    </row>
    <row r="1817" spans="1:30" ht="12.75" customHeight="1" thickTop="1" thickBot="1" x14ac:dyDescent="0.25">
      <c r="A1817" s="8">
        <v>19376</v>
      </c>
      <c r="B1817" s="1" t="s">
        <v>37</v>
      </c>
      <c r="C1817" s="1">
        <v>0.1</v>
      </c>
      <c r="D1817" s="1">
        <v>3.98</v>
      </c>
      <c r="E1817" s="1">
        <v>0.83</v>
      </c>
      <c r="F1817" s="1">
        <v>3167</v>
      </c>
      <c r="G1817" s="6" t="str">
        <f>IF(COUNTIF(Table1[Customer ID],Table1[[#This Row],[Customer ID]])&gt;1,"Repeat Customer","One-Time Customer")</f>
        <v>Repeat Customer</v>
      </c>
      <c r="H1817" s="1" t="s">
        <v>2853</v>
      </c>
      <c r="I1817" s="1" t="s">
        <v>49</v>
      </c>
      <c r="J1817" s="1" t="s">
        <v>28</v>
      </c>
      <c r="K1817" s="1" t="s">
        <v>29</v>
      </c>
      <c r="L1817" s="1" t="s">
        <v>30</v>
      </c>
      <c r="M1817" s="1" t="s">
        <v>31</v>
      </c>
      <c r="N1817" s="1" t="s">
        <v>1404</v>
      </c>
      <c r="O1817" s="1">
        <v>0.51</v>
      </c>
      <c r="P1817" s="6">
        <f>Table1[[#This Row],[Profit]]/Table1[[#This Row],[Sales]]</f>
        <v>-2.112793217145549</v>
      </c>
      <c r="Q1817" s="1" t="s">
        <v>33</v>
      </c>
      <c r="R1817" s="1" t="s">
        <v>136</v>
      </c>
      <c r="S1817" s="1" t="s">
        <v>362</v>
      </c>
      <c r="T1817" s="1" t="s">
        <v>2854</v>
      </c>
      <c r="U1817" s="1">
        <v>32004</v>
      </c>
      <c r="V1817" s="9">
        <v>42174</v>
      </c>
      <c r="W1817" s="13" t="str">
        <f>TEXT(Table1[[#This Row],[Order Date]],"mmmm")</f>
        <v>June</v>
      </c>
      <c r="X1817" s="7" t="str">
        <f>TEXT(Table1[[#This Row],[Order Date]],"yyyy")</f>
        <v>2015</v>
      </c>
      <c r="Y1817" s="9">
        <v>42176</v>
      </c>
      <c r="Z1817" s="1">
        <v>-89.70920000000001</v>
      </c>
      <c r="AA1817" s="1">
        <v>11</v>
      </c>
      <c r="AB1817" s="1">
        <v>42.46</v>
      </c>
      <c r="AC1817" s="1">
        <v>86491</v>
      </c>
      <c r="AD1817" s="6" t="str">
        <f>IF(COUNTIF(Returns!$A$2:$A$1635,Orders!AC1817)&gt;0,"Returned","Not Returned")</f>
        <v>Not Returned</v>
      </c>
    </row>
    <row r="1818" spans="1:30" ht="12.75" customHeight="1" thickTop="1" thickBot="1" x14ac:dyDescent="0.25">
      <c r="A1818" s="10">
        <v>25683</v>
      </c>
      <c r="B1818" s="11" t="s">
        <v>47</v>
      </c>
      <c r="C1818" s="11">
        <v>0.08</v>
      </c>
      <c r="D1818" s="11">
        <v>7.28</v>
      </c>
      <c r="E1818" s="11">
        <v>11.15</v>
      </c>
      <c r="F1818" s="11">
        <v>3169</v>
      </c>
      <c r="G1818" s="6" t="str">
        <f>IF(COUNTIF(Table1[Customer ID],Table1[[#This Row],[Customer ID]])&gt;1,"Repeat Customer","One-Time Customer")</f>
        <v>One-Time Customer</v>
      </c>
      <c r="H1818" s="11" t="s">
        <v>2855</v>
      </c>
      <c r="I1818" s="11" t="s">
        <v>27</v>
      </c>
      <c r="J1818" s="11" t="s">
        <v>58</v>
      </c>
      <c r="K1818" s="11" t="s">
        <v>29</v>
      </c>
      <c r="L1818" s="11" t="s">
        <v>93</v>
      </c>
      <c r="M1818" s="11" t="s">
        <v>59</v>
      </c>
      <c r="N1818" s="11" t="s">
        <v>854</v>
      </c>
      <c r="O1818" s="11">
        <v>0.37</v>
      </c>
      <c r="P1818" s="6">
        <f>Table1[[#This Row],[Profit]]/Table1[[#This Row],[Sales]]</f>
        <v>-3.0296725784447478</v>
      </c>
      <c r="Q1818" s="11" t="s">
        <v>33</v>
      </c>
      <c r="R1818" s="11" t="s">
        <v>136</v>
      </c>
      <c r="S1818" s="11" t="s">
        <v>362</v>
      </c>
      <c r="T1818" s="11" t="s">
        <v>2856</v>
      </c>
      <c r="U1818" s="11">
        <v>32127</v>
      </c>
      <c r="V1818" s="12">
        <v>42107</v>
      </c>
      <c r="W1818" s="13" t="str">
        <f>TEXT(Table1[[#This Row],[Order Date]],"mmmm")</f>
        <v>April</v>
      </c>
      <c r="X1818" s="7" t="str">
        <f>TEXT(Table1[[#This Row],[Order Date]],"yyyy")</f>
        <v>2015</v>
      </c>
      <c r="Y1818" s="12">
        <v>42108</v>
      </c>
      <c r="Z1818" s="11">
        <v>-44.415000000000006</v>
      </c>
      <c r="AA1818" s="11">
        <v>1</v>
      </c>
      <c r="AB1818" s="11">
        <v>14.66</v>
      </c>
      <c r="AC1818" s="11">
        <v>86490</v>
      </c>
      <c r="AD1818" s="6" t="str">
        <f>IF(COUNTIF(Returns!$A$2:$A$1635,Orders!AC1818)&gt;0,"Returned","Not Returned")</f>
        <v>Not Returned</v>
      </c>
    </row>
    <row r="1819" spans="1:30" ht="12.75" customHeight="1" thickTop="1" thickBot="1" x14ac:dyDescent="0.25">
      <c r="A1819" s="8">
        <v>26055</v>
      </c>
      <c r="B1819" s="1" t="s">
        <v>56</v>
      </c>
      <c r="C1819" s="1">
        <v>0.1</v>
      </c>
      <c r="D1819" s="1">
        <v>7.28</v>
      </c>
      <c r="E1819" s="1">
        <v>5.47</v>
      </c>
      <c r="F1819" s="1">
        <v>3170</v>
      </c>
      <c r="G1819" s="6" t="str">
        <f>IF(COUNTIF(Table1[Customer ID],Table1[[#This Row],[Customer ID]])&gt;1,"Repeat Customer","One-Time Customer")</f>
        <v>One-Time Customer</v>
      </c>
      <c r="H1819" s="1" t="s">
        <v>2857</v>
      </c>
      <c r="I1819" s="1" t="s">
        <v>49</v>
      </c>
      <c r="J1819" s="1" t="s">
        <v>28</v>
      </c>
      <c r="K1819" s="1" t="s">
        <v>29</v>
      </c>
      <c r="L1819" s="1" t="s">
        <v>93</v>
      </c>
      <c r="M1819" s="1" t="s">
        <v>59</v>
      </c>
      <c r="N1819" s="1" t="s">
        <v>2858</v>
      </c>
      <c r="O1819" s="1">
        <v>0.35</v>
      </c>
      <c r="P1819" s="6">
        <f>Table1[[#This Row],[Profit]]/Table1[[#This Row],[Sales]]</f>
        <v>2.0126774115949</v>
      </c>
      <c r="Q1819" s="1" t="s">
        <v>33</v>
      </c>
      <c r="R1819" s="1" t="s">
        <v>136</v>
      </c>
      <c r="S1819" s="1" t="s">
        <v>362</v>
      </c>
      <c r="T1819" s="1" t="s">
        <v>2859</v>
      </c>
      <c r="U1819" s="1">
        <v>34952</v>
      </c>
      <c r="V1819" s="9">
        <v>42048</v>
      </c>
      <c r="W1819" s="13" t="str">
        <f>TEXT(Table1[[#This Row],[Order Date]],"mmmm")</f>
        <v>February</v>
      </c>
      <c r="X1819" s="7" t="str">
        <f>TEXT(Table1[[#This Row],[Order Date]],"yyyy")</f>
        <v>2015</v>
      </c>
      <c r="Y1819" s="9">
        <v>42048</v>
      </c>
      <c r="Z1819" s="1">
        <v>167.334</v>
      </c>
      <c r="AA1819" s="1">
        <v>12</v>
      </c>
      <c r="AB1819" s="1">
        <v>83.14</v>
      </c>
      <c r="AC1819" s="1">
        <v>86489</v>
      </c>
      <c r="AD1819" s="6" t="str">
        <f>IF(COUNTIF(Returns!$A$2:$A$1635,Orders!AC1819)&gt;0,"Returned","Not Returned")</f>
        <v>Not Returned</v>
      </c>
    </row>
    <row r="1820" spans="1:30" ht="12.75" customHeight="1" thickTop="1" thickBot="1" x14ac:dyDescent="0.25">
      <c r="A1820" s="10">
        <v>21961</v>
      </c>
      <c r="B1820" s="11" t="s">
        <v>25</v>
      </c>
      <c r="C1820" s="11">
        <v>0.06</v>
      </c>
      <c r="D1820" s="11">
        <v>10.97</v>
      </c>
      <c r="E1820" s="11">
        <v>6.5</v>
      </c>
      <c r="F1820" s="11">
        <v>3176</v>
      </c>
      <c r="G1820" s="6" t="str">
        <f>IF(COUNTIF(Table1[Customer ID],Table1[[#This Row],[Customer ID]])&gt;1,"Repeat Customer","One-Time Customer")</f>
        <v>Repeat Customer</v>
      </c>
      <c r="H1820" s="11" t="s">
        <v>2860</v>
      </c>
      <c r="I1820" s="11" t="s">
        <v>49</v>
      </c>
      <c r="J1820" s="11" t="s">
        <v>114</v>
      </c>
      <c r="K1820" s="11" t="s">
        <v>77</v>
      </c>
      <c r="L1820" s="11" t="s">
        <v>180</v>
      </c>
      <c r="M1820" s="11" t="s">
        <v>59</v>
      </c>
      <c r="N1820" s="11" t="s">
        <v>2861</v>
      </c>
      <c r="O1820" s="11">
        <v>0.64</v>
      </c>
      <c r="P1820" s="6">
        <f>Table1[[#This Row],[Profit]]/Table1[[#This Row],[Sales]]</f>
        <v>0.30475261324041814</v>
      </c>
      <c r="Q1820" s="11" t="s">
        <v>33</v>
      </c>
      <c r="R1820" s="11" t="s">
        <v>136</v>
      </c>
      <c r="S1820" s="11" t="s">
        <v>362</v>
      </c>
      <c r="T1820" s="11" t="s">
        <v>2862</v>
      </c>
      <c r="U1820" s="11">
        <v>32216</v>
      </c>
      <c r="V1820" s="12">
        <v>42128</v>
      </c>
      <c r="W1820" s="13" t="str">
        <f>TEXT(Table1[[#This Row],[Order Date]],"mmmm")</f>
        <v>May</v>
      </c>
      <c r="X1820" s="7" t="str">
        <f>TEXT(Table1[[#This Row],[Order Date]],"yyyy")</f>
        <v>2015</v>
      </c>
      <c r="Y1820" s="12">
        <v>42130</v>
      </c>
      <c r="Z1820" s="11">
        <v>65.597999999999999</v>
      </c>
      <c r="AA1820" s="11">
        <v>19</v>
      </c>
      <c r="AB1820" s="11">
        <v>215.25</v>
      </c>
      <c r="AC1820" s="11">
        <v>90820</v>
      </c>
      <c r="AD1820" s="6" t="str">
        <f>IF(COUNTIF(Returns!$A$2:$A$1635,Orders!AC1820)&gt;0,"Returned","Not Returned")</f>
        <v>Not Returned</v>
      </c>
    </row>
    <row r="1821" spans="1:30" ht="12.75" customHeight="1" thickTop="1" thickBot="1" x14ac:dyDescent="0.25">
      <c r="A1821" s="8">
        <v>20964</v>
      </c>
      <c r="B1821" s="1" t="s">
        <v>106</v>
      </c>
      <c r="C1821" s="1">
        <v>0.02</v>
      </c>
      <c r="D1821" s="1">
        <v>58.14</v>
      </c>
      <c r="E1821" s="1">
        <v>36.61</v>
      </c>
      <c r="F1821" s="1">
        <v>3176</v>
      </c>
      <c r="G1821" s="6" t="str">
        <f>IF(COUNTIF(Table1[Customer ID],Table1[[#This Row],[Customer ID]])&gt;1,"Repeat Customer","One-Time Customer")</f>
        <v>Repeat Customer</v>
      </c>
      <c r="H1821" s="1" t="s">
        <v>2860</v>
      </c>
      <c r="I1821" s="1" t="s">
        <v>39</v>
      </c>
      <c r="J1821" s="1" t="s">
        <v>114</v>
      </c>
      <c r="K1821" s="1" t="s">
        <v>41</v>
      </c>
      <c r="L1821" s="1" t="s">
        <v>191</v>
      </c>
      <c r="M1821" s="1" t="s">
        <v>121</v>
      </c>
      <c r="N1821" s="1" t="s">
        <v>1035</v>
      </c>
      <c r="O1821" s="1">
        <v>0.61</v>
      </c>
      <c r="P1821" s="6">
        <f>Table1[[#This Row],[Profit]]/Table1[[#This Row],[Sales]]</f>
        <v>1.8998247448491186E-4</v>
      </c>
      <c r="Q1821" s="1" t="s">
        <v>33</v>
      </c>
      <c r="R1821" s="1" t="s">
        <v>136</v>
      </c>
      <c r="S1821" s="1" t="s">
        <v>362</v>
      </c>
      <c r="T1821" s="1" t="s">
        <v>2862</v>
      </c>
      <c r="U1821" s="1">
        <v>32216</v>
      </c>
      <c r="V1821" s="9">
        <v>42180</v>
      </c>
      <c r="W1821" s="13" t="str">
        <f>TEXT(Table1[[#This Row],[Order Date]],"mmmm")</f>
        <v>June</v>
      </c>
      <c r="X1821" s="7" t="str">
        <f>TEXT(Table1[[#This Row],[Order Date]],"yyyy")</f>
        <v>2015</v>
      </c>
      <c r="Y1821" s="9">
        <v>42186</v>
      </c>
      <c r="Z1821" s="1">
        <v>0.25800000000000001</v>
      </c>
      <c r="AA1821" s="1">
        <v>22</v>
      </c>
      <c r="AB1821" s="1">
        <v>1358.02</v>
      </c>
      <c r="AC1821" s="1">
        <v>90821</v>
      </c>
      <c r="AD1821" s="6" t="str">
        <f>IF(COUNTIF(Returns!$A$2:$A$1635,Orders!AC1821)&gt;0,"Returned","Not Returned")</f>
        <v>Not Returned</v>
      </c>
    </row>
    <row r="1822" spans="1:30" ht="12.75" customHeight="1" thickTop="1" thickBot="1" x14ac:dyDescent="0.25">
      <c r="A1822" s="10">
        <v>20965</v>
      </c>
      <c r="B1822" s="11" t="s">
        <v>106</v>
      </c>
      <c r="C1822" s="11">
        <v>0.03</v>
      </c>
      <c r="D1822" s="11">
        <v>15.57</v>
      </c>
      <c r="E1822" s="11">
        <v>1.39</v>
      </c>
      <c r="F1822" s="11">
        <v>3176</v>
      </c>
      <c r="G1822" s="6" t="str">
        <f>IF(COUNTIF(Table1[Customer ID],Table1[[#This Row],[Customer ID]])&gt;1,"Repeat Customer","One-Time Customer")</f>
        <v>Repeat Customer</v>
      </c>
      <c r="H1822" s="11" t="s">
        <v>2860</v>
      </c>
      <c r="I1822" s="11" t="s">
        <v>49</v>
      </c>
      <c r="J1822" s="11" t="s">
        <v>114</v>
      </c>
      <c r="K1822" s="11" t="s">
        <v>29</v>
      </c>
      <c r="L1822" s="11" t="s">
        <v>69</v>
      </c>
      <c r="M1822" s="11" t="s">
        <v>59</v>
      </c>
      <c r="N1822" s="11" t="s">
        <v>723</v>
      </c>
      <c r="O1822" s="11">
        <v>0.38</v>
      </c>
      <c r="P1822" s="6">
        <f>Table1[[#This Row],[Profit]]/Table1[[#This Row],[Sales]]</f>
        <v>0.17618437186489802</v>
      </c>
      <c r="Q1822" s="11" t="s">
        <v>33</v>
      </c>
      <c r="R1822" s="11" t="s">
        <v>136</v>
      </c>
      <c r="S1822" s="11" t="s">
        <v>362</v>
      </c>
      <c r="T1822" s="11" t="s">
        <v>2862</v>
      </c>
      <c r="U1822" s="11">
        <v>32216</v>
      </c>
      <c r="V1822" s="12">
        <v>42180</v>
      </c>
      <c r="W1822" s="13" t="str">
        <f>TEXT(Table1[[#This Row],[Order Date]],"mmmm")</f>
        <v>June</v>
      </c>
      <c r="X1822" s="7" t="str">
        <f>TEXT(Table1[[#This Row],[Order Date]],"yyyy")</f>
        <v>2015</v>
      </c>
      <c r="Y1822" s="12">
        <v>42186</v>
      </c>
      <c r="Z1822" s="11">
        <v>63.222000000000001</v>
      </c>
      <c r="AA1822" s="11">
        <v>22</v>
      </c>
      <c r="AB1822" s="11">
        <v>358.84</v>
      </c>
      <c r="AC1822" s="11">
        <v>90821</v>
      </c>
      <c r="AD1822" s="6" t="str">
        <f>IF(COUNTIF(Returns!$A$2:$A$1635,Orders!AC1822)&gt;0,"Returned","Not Returned")</f>
        <v>Not Returned</v>
      </c>
    </row>
    <row r="1823" spans="1:30" ht="12.75" customHeight="1" thickTop="1" thickBot="1" x14ac:dyDescent="0.25">
      <c r="A1823" s="8">
        <v>24493</v>
      </c>
      <c r="B1823" s="1" t="s">
        <v>37</v>
      </c>
      <c r="C1823" s="1">
        <v>0.1</v>
      </c>
      <c r="D1823" s="1">
        <v>62.18</v>
      </c>
      <c r="E1823" s="1">
        <v>10.84</v>
      </c>
      <c r="F1823" s="1">
        <v>3177</v>
      </c>
      <c r="G1823" s="6" t="str">
        <f>IF(COUNTIF(Table1[Customer ID],Table1[[#This Row],[Customer ID]])&gt;1,"Repeat Customer","One-Time Customer")</f>
        <v>Repeat Customer</v>
      </c>
      <c r="H1823" s="1" t="s">
        <v>2863</v>
      </c>
      <c r="I1823" s="1" t="s">
        <v>49</v>
      </c>
      <c r="J1823" s="1" t="s">
        <v>114</v>
      </c>
      <c r="K1823" s="1" t="s">
        <v>41</v>
      </c>
      <c r="L1823" s="1" t="s">
        <v>50</v>
      </c>
      <c r="M1823" s="1" t="s">
        <v>86</v>
      </c>
      <c r="N1823" s="1" t="s">
        <v>1390</v>
      </c>
      <c r="O1823" s="1">
        <v>0.63</v>
      </c>
      <c r="P1823" s="6">
        <f>Table1[[#This Row],[Profit]]/Table1[[#This Row],[Sales]]</f>
        <v>-5.7990108880505119E-2</v>
      </c>
      <c r="Q1823" s="1" t="s">
        <v>33</v>
      </c>
      <c r="R1823" s="1" t="s">
        <v>136</v>
      </c>
      <c r="S1823" s="1" t="s">
        <v>362</v>
      </c>
      <c r="T1823" s="1" t="s">
        <v>2864</v>
      </c>
      <c r="U1823" s="1">
        <v>33458</v>
      </c>
      <c r="V1823" s="9">
        <v>42077</v>
      </c>
      <c r="W1823" s="13" t="str">
        <f>TEXT(Table1[[#This Row],[Order Date]],"mmmm")</f>
        <v>March</v>
      </c>
      <c r="X1823" s="7" t="str">
        <f>TEXT(Table1[[#This Row],[Order Date]],"yyyy")</f>
        <v>2015</v>
      </c>
      <c r="Y1823" s="9">
        <v>42079</v>
      </c>
      <c r="Z1823" s="1">
        <v>-29.666000000000004</v>
      </c>
      <c r="AA1823" s="1">
        <v>9</v>
      </c>
      <c r="AB1823" s="1">
        <v>511.57</v>
      </c>
      <c r="AC1823" s="1">
        <v>90818</v>
      </c>
      <c r="AD1823" s="6" t="str">
        <f>IF(COUNTIF(Returns!$A$2:$A$1635,Orders!AC1823)&gt;0,"Returned","Not Returned")</f>
        <v>Not Returned</v>
      </c>
    </row>
    <row r="1824" spans="1:30" ht="12.75" customHeight="1" thickTop="1" thickBot="1" x14ac:dyDescent="0.25">
      <c r="A1824" s="10">
        <v>22086</v>
      </c>
      <c r="B1824" s="11" t="s">
        <v>47</v>
      </c>
      <c r="C1824" s="11">
        <v>0.06</v>
      </c>
      <c r="D1824" s="11">
        <v>1.68</v>
      </c>
      <c r="E1824" s="11">
        <v>1</v>
      </c>
      <c r="F1824" s="11">
        <v>3177</v>
      </c>
      <c r="G1824" s="6" t="str">
        <f>IF(COUNTIF(Table1[Customer ID],Table1[[#This Row],[Customer ID]])&gt;1,"Repeat Customer","One-Time Customer")</f>
        <v>Repeat Customer</v>
      </c>
      <c r="H1824" s="11" t="s">
        <v>2863</v>
      </c>
      <c r="I1824" s="11" t="s">
        <v>49</v>
      </c>
      <c r="J1824" s="11" t="s">
        <v>114</v>
      </c>
      <c r="K1824" s="11" t="s">
        <v>29</v>
      </c>
      <c r="L1824" s="11" t="s">
        <v>30</v>
      </c>
      <c r="M1824" s="11" t="s">
        <v>31</v>
      </c>
      <c r="N1824" s="11" t="s">
        <v>2548</v>
      </c>
      <c r="O1824" s="11">
        <v>0.35</v>
      </c>
      <c r="P1824" s="6">
        <f>Table1[[#This Row],[Profit]]/Table1[[#This Row],[Sales]]</f>
        <v>-152.54335260115607</v>
      </c>
      <c r="Q1824" s="11" t="s">
        <v>33</v>
      </c>
      <c r="R1824" s="11" t="s">
        <v>136</v>
      </c>
      <c r="S1824" s="11" t="s">
        <v>362</v>
      </c>
      <c r="T1824" s="11" t="s">
        <v>2864</v>
      </c>
      <c r="U1824" s="11">
        <v>33458</v>
      </c>
      <c r="V1824" s="12">
        <v>42094</v>
      </c>
      <c r="W1824" s="13" t="str">
        <f>TEXT(Table1[[#This Row],[Order Date]],"mmmm")</f>
        <v>March</v>
      </c>
      <c r="X1824" s="7" t="str">
        <f>TEXT(Table1[[#This Row],[Order Date]],"yyyy")</f>
        <v>2015</v>
      </c>
      <c r="Y1824" s="12">
        <v>42096</v>
      </c>
      <c r="Z1824" s="11">
        <v>-1319.5</v>
      </c>
      <c r="AA1824" s="11">
        <v>5</v>
      </c>
      <c r="AB1824" s="11">
        <v>8.65</v>
      </c>
      <c r="AC1824" s="11">
        <v>90819</v>
      </c>
      <c r="AD1824" s="6" t="str">
        <f>IF(COUNTIF(Returns!$A$2:$A$1635,Orders!AC1824)&gt;0,"Returned","Not Returned")</f>
        <v>Not Returned</v>
      </c>
    </row>
    <row r="1825" spans="1:30" ht="12.75" customHeight="1" thickTop="1" thickBot="1" x14ac:dyDescent="0.25">
      <c r="A1825" s="8">
        <v>21554</v>
      </c>
      <c r="B1825" s="1" t="s">
        <v>106</v>
      </c>
      <c r="C1825" s="1">
        <v>7.0000000000000007E-2</v>
      </c>
      <c r="D1825" s="1">
        <v>35.44</v>
      </c>
      <c r="E1825" s="1">
        <v>7.5</v>
      </c>
      <c r="F1825" s="1">
        <v>3179</v>
      </c>
      <c r="G1825" s="6" t="str">
        <f>IF(COUNTIF(Table1[Customer ID],Table1[[#This Row],[Customer ID]])&gt;1,"Repeat Customer","One-Time Customer")</f>
        <v>One-Time Customer</v>
      </c>
      <c r="H1825" s="1" t="s">
        <v>2865</v>
      </c>
      <c r="I1825" s="1" t="s">
        <v>49</v>
      </c>
      <c r="J1825" s="1" t="s">
        <v>28</v>
      </c>
      <c r="K1825" s="1" t="s">
        <v>29</v>
      </c>
      <c r="L1825" s="1" t="s">
        <v>93</v>
      </c>
      <c r="M1825" s="1" t="s">
        <v>59</v>
      </c>
      <c r="N1825" s="1" t="s">
        <v>2746</v>
      </c>
      <c r="O1825" s="1">
        <v>0.38</v>
      </c>
      <c r="P1825" s="6">
        <f>Table1[[#This Row],[Profit]]/Table1[[#This Row],[Sales]]</f>
        <v>0.69</v>
      </c>
      <c r="Q1825" s="1" t="s">
        <v>33</v>
      </c>
      <c r="R1825" s="1" t="s">
        <v>61</v>
      </c>
      <c r="S1825" s="1" t="s">
        <v>62</v>
      </c>
      <c r="T1825" s="1" t="s">
        <v>2866</v>
      </c>
      <c r="U1825" s="1">
        <v>55060</v>
      </c>
      <c r="V1825" s="9">
        <v>42167</v>
      </c>
      <c r="W1825" s="13" t="str">
        <f>TEXT(Table1[[#This Row],[Order Date]],"mmmm")</f>
        <v>June</v>
      </c>
      <c r="X1825" s="7" t="str">
        <f>TEXT(Table1[[#This Row],[Order Date]],"yyyy")</f>
        <v>2015</v>
      </c>
      <c r="Y1825" s="9">
        <v>42174</v>
      </c>
      <c r="Z1825" s="1">
        <v>262.2</v>
      </c>
      <c r="AA1825" s="1">
        <v>11</v>
      </c>
      <c r="AB1825" s="1">
        <v>380</v>
      </c>
      <c r="AC1825" s="1">
        <v>86989</v>
      </c>
      <c r="AD1825" s="6" t="str">
        <f>IF(COUNTIF(Returns!$A$2:$A$1635,Orders!AC1825)&gt;0,"Returned","Not Returned")</f>
        <v>Not Returned</v>
      </c>
    </row>
    <row r="1826" spans="1:30" ht="12.75" customHeight="1" thickTop="1" thickBot="1" x14ac:dyDescent="0.25">
      <c r="A1826" s="10">
        <v>24464</v>
      </c>
      <c r="B1826" s="11" t="s">
        <v>25</v>
      </c>
      <c r="C1826" s="11">
        <v>0.08</v>
      </c>
      <c r="D1826" s="11">
        <v>170.98</v>
      </c>
      <c r="E1826" s="11">
        <v>35.89</v>
      </c>
      <c r="F1826" s="11">
        <v>3187</v>
      </c>
      <c r="G1826" s="6" t="str">
        <f>IF(COUNTIF(Table1[Customer ID],Table1[[#This Row],[Customer ID]])&gt;1,"Repeat Customer","One-Time Customer")</f>
        <v>One-Time Customer</v>
      </c>
      <c r="H1826" s="11" t="s">
        <v>2867</v>
      </c>
      <c r="I1826" s="11" t="s">
        <v>39</v>
      </c>
      <c r="J1826" s="11" t="s">
        <v>58</v>
      </c>
      <c r="K1826" s="11" t="s">
        <v>41</v>
      </c>
      <c r="L1826" s="11" t="s">
        <v>191</v>
      </c>
      <c r="M1826" s="11" t="s">
        <v>121</v>
      </c>
      <c r="N1826" s="11" t="s">
        <v>1047</v>
      </c>
      <c r="O1826" s="11">
        <v>0.66</v>
      </c>
      <c r="P1826" s="6">
        <f>Table1[[#This Row],[Profit]]/Table1[[#This Row],[Sales]]</f>
        <v>-0.60062161620212551</v>
      </c>
      <c r="Q1826" s="11" t="s">
        <v>33</v>
      </c>
      <c r="R1826" s="11" t="s">
        <v>136</v>
      </c>
      <c r="S1826" s="11" t="s">
        <v>362</v>
      </c>
      <c r="T1826" s="11" t="s">
        <v>2868</v>
      </c>
      <c r="U1826" s="11">
        <v>33569</v>
      </c>
      <c r="V1826" s="12">
        <v>42065</v>
      </c>
      <c r="W1826" s="13" t="str">
        <f>TEXT(Table1[[#This Row],[Order Date]],"mmmm")</f>
        <v>March</v>
      </c>
      <c r="X1826" s="7" t="str">
        <f>TEXT(Table1[[#This Row],[Order Date]],"yyyy")</f>
        <v>2015</v>
      </c>
      <c r="Y1826" s="12">
        <v>42067</v>
      </c>
      <c r="Z1826" s="11">
        <v>-119.812</v>
      </c>
      <c r="AA1826" s="11">
        <v>1</v>
      </c>
      <c r="AB1826" s="11">
        <v>199.48</v>
      </c>
      <c r="AC1826" s="11">
        <v>89025</v>
      </c>
      <c r="AD1826" s="6" t="str">
        <f>IF(COUNTIF(Returns!$A$2:$A$1635,Orders!AC1826)&gt;0,"Returned","Not Returned")</f>
        <v>Not Returned</v>
      </c>
    </row>
    <row r="1827" spans="1:30" ht="12.75" customHeight="1" thickTop="1" thickBot="1" x14ac:dyDescent="0.25">
      <c r="A1827" s="8">
        <v>20127</v>
      </c>
      <c r="B1827" s="1" t="s">
        <v>47</v>
      </c>
      <c r="C1827" s="1">
        <v>0.01</v>
      </c>
      <c r="D1827" s="1">
        <v>20.99</v>
      </c>
      <c r="E1827" s="1">
        <v>4.8099999999999996</v>
      </c>
      <c r="F1827" s="1">
        <v>3191</v>
      </c>
      <c r="G1827" s="6" t="str">
        <f>IF(COUNTIF(Table1[Customer ID],Table1[[#This Row],[Customer ID]])&gt;1,"Repeat Customer","One-Time Customer")</f>
        <v>Repeat Customer</v>
      </c>
      <c r="H1827" s="1" t="s">
        <v>2869</v>
      </c>
      <c r="I1827" s="1" t="s">
        <v>49</v>
      </c>
      <c r="J1827" s="1" t="s">
        <v>28</v>
      </c>
      <c r="K1827" s="1" t="s">
        <v>77</v>
      </c>
      <c r="L1827" s="1" t="s">
        <v>78</v>
      </c>
      <c r="M1827" s="1" t="s">
        <v>86</v>
      </c>
      <c r="N1827" s="1" t="s">
        <v>475</v>
      </c>
      <c r="O1827" s="1">
        <v>0.57999999999999996</v>
      </c>
      <c r="P1827" s="6">
        <f>Table1[[#This Row],[Profit]]/Table1[[#This Row],[Sales]]</f>
        <v>-9.7089862488007661E-2</v>
      </c>
      <c r="Q1827" s="1" t="s">
        <v>33</v>
      </c>
      <c r="R1827" s="1" t="s">
        <v>61</v>
      </c>
      <c r="S1827" s="1" t="s">
        <v>1858</v>
      </c>
      <c r="T1827" s="1" t="s">
        <v>2870</v>
      </c>
      <c r="U1827" s="1">
        <v>54481</v>
      </c>
      <c r="V1827" s="9">
        <v>42081</v>
      </c>
      <c r="W1827" s="13" t="str">
        <f>TEXT(Table1[[#This Row],[Order Date]],"mmmm")</f>
        <v>March</v>
      </c>
      <c r="X1827" s="7" t="str">
        <f>TEXT(Table1[[#This Row],[Order Date]],"yyyy")</f>
        <v>2015</v>
      </c>
      <c r="Y1827" s="9">
        <v>42081</v>
      </c>
      <c r="Z1827" s="1">
        <v>-9.1079999999999988</v>
      </c>
      <c r="AA1827" s="1">
        <v>5</v>
      </c>
      <c r="AB1827" s="1">
        <v>93.81</v>
      </c>
      <c r="AC1827" s="1">
        <v>86447</v>
      </c>
      <c r="AD1827" s="6" t="str">
        <f>IF(COUNTIF(Returns!$A$2:$A$1635,Orders!AC1827)&gt;0,"Returned","Not Returned")</f>
        <v>Not Returned</v>
      </c>
    </row>
    <row r="1828" spans="1:30" ht="12.75" customHeight="1" thickTop="1" thickBot="1" x14ac:dyDescent="0.25">
      <c r="A1828" s="10">
        <v>20303</v>
      </c>
      <c r="B1828" s="11" t="s">
        <v>25</v>
      </c>
      <c r="C1828" s="11">
        <v>0.09</v>
      </c>
      <c r="D1828" s="11">
        <v>35.94</v>
      </c>
      <c r="E1828" s="11">
        <v>6.66</v>
      </c>
      <c r="F1828" s="11">
        <v>3191</v>
      </c>
      <c r="G1828" s="6" t="str">
        <f>IF(COUNTIF(Table1[Customer ID],Table1[[#This Row],[Customer ID]])&gt;1,"Repeat Customer","One-Time Customer")</f>
        <v>Repeat Customer</v>
      </c>
      <c r="H1828" s="11" t="s">
        <v>2869</v>
      </c>
      <c r="I1828" s="11" t="s">
        <v>49</v>
      </c>
      <c r="J1828" s="11" t="s">
        <v>28</v>
      </c>
      <c r="K1828" s="11" t="s">
        <v>29</v>
      </c>
      <c r="L1828" s="11" t="s">
        <v>69</v>
      </c>
      <c r="M1828" s="11" t="s">
        <v>59</v>
      </c>
      <c r="N1828" s="11" t="s">
        <v>73</v>
      </c>
      <c r="O1828" s="11">
        <v>0.4</v>
      </c>
      <c r="P1828" s="6">
        <f>Table1[[#This Row],[Profit]]/Table1[[#This Row],[Sales]]</f>
        <v>0.55270130036512699</v>
      </c>
      <c r="Q1828" s="11" t="s">
        <v>33</v>
      </c>
      <c r="R1828" s="11" t="s">
        <v>61</v>
      </c>
      <c r="S1828" s="11" t="s">
        <v>1858</v>
      </c>
      <c r="T1828" s="11" t="s">
        <v>2870</v>
      </c>
      <c r="U1828" s="11">
        <v>54481</v>
      </c>
      <c r="V1828" s="12">
        <v>42104</v>
      </c>
      <c r="W1828" s="13" t="str">
        <f>TEXT(Table1[[#This Row],[Order Date]],"mmmm")</f>
        <v>April</v>
      </c>
      <c r="X1828" s="7" t="str">
        <f>TEXT(Table1[[#This Row],[Order Date]],"yyyy")</f>
        <v>2015</v>
      </c>
      <c r="Y1828" s="12">
        <v>42106</v>
      </c>
      <c r="Z1828" s="11">
        <v>172.56439999999998</v>
      </c>
      <c r="AA1828" s="11">
        <v>9</v>
      </c>
      <c r="AB1828" s="11">
        <v>312.22000000000003</v>
      </c>
      <c r="AC1828" s="11">
        <v>86448</v>
      </c>
      <c r="AD1828" s="6" t="str">
        <f>IF(COUNTIF(Returns!$A$2:$A$1635,Orders!AC1828)&gt;0,"Returned","Not Returned")</f>
        <v>Not Returned</v>
      </c>
    </row>
    <row r="1829" spans="1:30" ht="12.75" customHeight="1" thickTop="1" thickBot="1" x14ac:dyDescent="0.25">
      <c r="A1829" s="8">
        <v>22846</v>
      </c>
      <c r="B1829" s="1" t="s">
        <v>56</v>
      </c>
      <c r="C1829" s="1">
        <v>0.1</v>
      </c>
      <c r="D1829" s="1">
        <v>4.9800000000000004</v>
      </c>
      <c r="E1829" s="1">
        <v>7.54</v>
      </c>
      <c r="F1829" s="1">
        <v>3194</v>
      </c>
      <c r="G1829" s="6" t="str">
        <f>IF(COUNTIF(Table1[Customer ID],Table1[[#This Row],[Customer ID]])&gt;1,"Repeat Customer","One-Time Customer")</f>
        <v>Repeat Customer</v>
      </c>
      <c r="H1829" s="1" t="s">
        <v>2871</v>
      </c>
      <c r="I1829" s="1" t="s">
        <v>49</v>
      </c>
      <c r="J1829" s="1" t="s">
        <v>114</v>
      </c>
      <c r="K1829" s="1" t="s">
        <v>29</v>
      </c>
      <c r="L1829" s="1" t="s">
        <v>93</v>
      </c>
      <c r="M1829" s="1" t="s">
        <v>59</v>
      </c>
      <c r="N1829" s="1" t="s">
        <v>2872</v>
      </c>
      <c r="O1829" s="1">
        <v>0.38</v>
      </c>
      <c r="P1829" s="6">
        <f>Table1[[#This Row],[Profit]]/Table1[[#This Row],[Sales]]</f>
        <v>1.0282390510948904</v>
      </c>
      <c r="Q1829" s="1" t="s">
        <v>33</v>
      </c>
      <c r="R1829" s="1" t="s">
        <v>136</v>
      </c>
      <c r="S1829" s="1" t="s">
        <v>362</v>
      </c>
      <c r="T1829" s="1" t="s">
        <v>951</v>
      </c>
      <c r="U1829" s="1">
        <v>34609</v>
      </c>
      <c r="V1829" s="9">
        <v>42073</v>
      </c>
      <c r="W1829" s="13" t="str">
        <f>TEXT(Table1[[#This Row],[Order Date]],"mmmm")</f>
        <v>March</v>
      </c>
      <c r="X1829" s="7" t="str">
        <f>TEXT(Table1[[#This Row],[Order Date]],"yyyy")</f>
        <v>2015</v>
      </c>
      <c r="Y1829" s="9">
        <v>42074</v>
      </c>
      <c r="Z1829" s="1">
        <v>45.077999999999996</v>
      </c>
      <c r="AA1829" s="1">
        <v>9</v>
      </c>
      <c r="AB1829" s="1">
        <v>43.84</v>
      </c>
      <c r="AC1829" s="1">
        <v>89805</v>
      </c>
      <c r="AD1829" s="6" t="str">
        <f>IF(COUNTIF(Returns!$A$2:$A$1635,Orders!AC1829)&gt;0,"Returned","Not Returned")</f>
        <v>Not Returned</v>
      </c>
    </row>
    <row r="1830" spans="1:30" ht="12.75" customHeight="1" thickTop="1" thickBot="1" x14ac:dyDescent="0.25">
      <c r="A1830" s="10">
        <v>22847</v>
      </c>
      <c r="B1830" s="11" t="s">
        <v>56</v>
      </c>
      <c r="C1830" s="11">
        <v>0</v>
      </c>
      <c r="D1830" s="11">
        <v>22.84</v>
      </c>
      <c r="E1830" s="11">
        <v>8.18</v>
      </c>
      <c r="F1830" s="11">
        <v>3194</v>
      </c>
      <c r="G1830" s="6" t="str">
        <f>IF(COUNTIF(Table1[Customer ID],Table1[[#This Row],[Customer ID]])&gt;1,"Repeat Customer","One-Time Customer")</f>
        <v>Repeat Customer</v>
      </c>
      <c r="H1830" s="11" t="s">
        <v>2871</v>
      </c>
      <c r="I1830" s="11" t="s">
        <v>49</v>
      </c>
      <c r="J1830" s="11" t="s">
        <v>114</v>
      </c>
      <c r="K1830" s="11" t="s">
        <v>29</v>
      </c>
      <c r="L1830" s="11" t="s">
        <v>93</v>
      </c>
      <c r="M1830" s="11" t="s">
        <v>59</v>
      </c>
      <c r="N1830" s="11" t="s">
        <v>1842</v>
      </c>
      <c r="O1830" s="11">
        <v>0.39</v>
      </c>
      <c r="P1830" s="6">
        <f>Table1[[#This Row],[Profit]]/Table1[[#This Row],[Sales]]</f>
        <v>-0.7787216029349513</v>
      </c>
      <c r="Q1830" s="11" t="s">
        <v>33</v>
      </c>
      <c r="R1830" s="11" t="s">
        <v>136</v>
      </c>
      <c r="S1830" s="11" t="s">
        <v>362</v>
      </c>
      <c r="T1830" s="11" t="s">
        <v>951</v>
      </c>
      <c r="U1830" s="11">
        <v>34609</v>
      </c>
      <c r="V1830" s="12">
        <v>42073</v>
      </c>
      <c r="W1830" s="13" t="str">
        <f>TEXT(Table1[[#This Row],[Order Date]],"mmmm")</f>
        <v>March</v>
      </c>
      <c r="X1830" s="7" t="str">
        <f>TEXT(Table1[[#This Row],[Order Date]],"yyyy")</f>
        <v>2015</v>
      </c>
      <c r="Y1830" s="12">
        <v>42075</v>
      </c>
      <c r="Z1830" s="11">
        <v>-110.376</v>
      </c>
      <c r="AA1830" s="11">
        <v>6</v>
      </c>
      <c r="AB1830" s="11">
        <v>141.74</v>
      </c>
      <c r="AC1830" s="11">
        <v>89805</v>
      </c>
      <c r="AD1830" s="6" t="str">
        <f>IF(COUNTIF(Returns!$A$2:$A$1635,Orders!AC1830)&gt;0,"Returned","Not Returned")</f>
        <v>Not Returned</v>
      </c>
    </row>
    <row r="1831" spans="1:30" ht="12.75" customHeight="1" thickTop="1" thickBot="1" x14ac:dyDescent="0.25">
      <c r="A1831" s="8">
        <v>3406</v>
      </c>
      <c r="B1831" s="1" t="s">
        <v>37</v>
      </c>
      <c r="C1831" s="1">
        <v>0.03</v>
      </c>
      <c r="D1831" s="1">
        <v>200.97</v>
      </c>
      <c r="E1831" s="1">
        <v>15.59</v>
      </c>
      <c r="F1831" s="1">
        <v>3196</v>
      </c>
      <c r="G1831" s="6" t="str">
        <f>IF(COUNTIF(Table1[Customer ID],Table1[[#This Row],[Customer ID]])&gt;1,"Repeat Customer","One-Time Customer")</f>
        <v>One-Time Customer</v>
      </c>
      <c r="H1831" s="1" t="s">
        <v>2873</v>
      </c>
      <c r="I1831" s="1" t="s">
        <v>39</v>
      </c>
      <c r="J1831" s="1" t="s">
        <v>40</v>
      </c>
      <c r="K1831" s="1" t="s">
        <v>77</v>
      </c>
      <c r="L1831" s="1" t="s">
        <v>85</v>
      </c>
      <c r="M1831" s="1" t="s">
        <v>43</v>
      </c>
      <c r="N1831" s="1" t="s">
        <v>1333</v>
      </c>
      <c r="O1831" s="1">
        <v>0.36</v>
      </c>
      <c r="P1831" s="6">
        <f>Table1[[#This Row],[Profit]]/Table1[[#This Row],[Sales]]</f>
        <v>0.22383069025838087</v>
      </c>
      <c r="Q1831" s="1" t="s">
        <v>33</v>
      </c>
      <c r="R1831" s="1" t="s">
        <v>34</v>
      </c>
      <c r="S1831" s="1" t="s">
        <v>45</v>
      </c>
      <c r="T1831" s="1" t="s">
        <v>276</v>
      </c>
      <c r="U1831" s="1">
        <v>94109</v>
      </c>
      <c r="V1831" s="9">
        <v>42037</v>
      </c>
      <c r="W1831" s="13" t="str">
        <f>TEXT(Table1[[#This Row],[Order Date]],"mmmm")</f>
        <v>February</v>
      </c>
      <c r="X1831" s="7" t="str">
        <f>TEXT(Table1[[#This Row],[Order Date]],"yyyy")</f>
        <v>2015</v>
      </c>
      <c r="Y1831" s="9">
        <v>42038</v>
      </c>
      <c r="Z1831" s="1">
        <v>1951.3</v>
      </c>
      <c r="AA1831" s="1">
        <v>43</v>
      </c>
      <c r="AB1831" s="1">
        <v>8717.75</v>
      </c>
      <c r="AC1831" s="1">
        <v>24294</v>
      </c>
      <c r="AD1831" s="6" t="str">
        <f>IF(COUNTIF(Returns!$A$2:$A$1635,Orders!AC1831)&gt;0,"Returned","Not Returned")</f>
        <v>Not Returned</v>
      </c>
    </row>
    <row r="1832" spans="1:30" ht="12.75" customHeight="1" thickTop="1" thickBot="1" x14ac:dyDescent="0.25">
      <c r="A1832" s="10">
        <v>21406</v>
      </c>
      <c r="B1832" s="11" t="s">
        <v>37</v>
      </c>
      <c r="C1832" s="11">
        <v>0.03</v>
      </c>
      <c r="D1832" s="11">
        <v>200.97</v>
      </c>
      <c r="E1832" s="11">
        <v>15.59</v>
      </c>
      <c r="F1832" s="11">
        <v>3197</v>
      </c>
      <c r="G1832" s="6" t="str">
        <f>IF(COUNTIF(Table1[Customer ID],Table1[[#This Row],[Customer ID]])&gt;1,"Repeat Customer","One-Time Customer")</f>
        <v>One-Time Customer</v>
      </c>
      <c r="H1832" s="11" t="s">
        <v>2874</v>
      </c>
      <c r="I1832" s="11" t="s">
        <v>39</v>
      </c>
      <c r="J1832" s="11" t="s">
        <v>40</v>
      </c>
      <c r="K1832" s="11" t="s">
        <v>77</v>
      </c>
      <c r="L1832" s="11" t="s">
        <v>85</v>
      </c>
      <c r="M1832" s="11" t="s">
        <v>43</v>
      </c>
      <c r="N1832" s="11" t="s">
        <v>1333</v>
      </c>
      <c r="O1832" s="11">
        <v>0.36</v>
      </c>
      <c r="P1832" s="6">
        <f>Table1[[#This Row],[Profit]]/Table1[[#This Row],[Sales]]</f>
        <v>0.69</v>
      </c>
      <c r="Q1832" s="11" t="s">
        <v>33</v>
      </c>
      <c r="R1832" s="11" t="s">
        <v>61</v>
      </c>
      <c r="S1832" s="11" t="s">
        <v>178</v>
      </c>
      <c r="T1832" s="11" t="s">
        <v>2875</v>
      </c>
      <c r="U1832" s="11">
        <v>60062</v>
      </c>
      <c r="V1832" s="12">
        <v>42037</v>
      </c>
      <c r="W1832" s="13" t="str">
        <f>TEXT(Table1[[#This Row],[Order Date]],"mmmm")</f>
        <v>February</v>
      </c>
      <c r="X1832" s="7" t="str">
        <f>TEXT(Table1[[#This Row],[Order Date]],"yyyy")</f>
        <v>2015</v>
      </c>
      <c r="Y1832" s="12">
        <v>42038</v>
      </c>
      <c r="Z1832" s="11">
        <v>1538.7827999999997</v>
      </c>
      <c r="AA1832" s="11">
        <v>11</v>
      </c>
      <c r="AB1832" s="11">
        <v>2230.12</v>
      </c>
      <c r="AC1832" s="11">
        <v>90850</v>
      </c>
      <c r="AD1832" s="6" t="str">
        <f>IF(COUNTIF(Returns!$A$2:$A$1635,Orders!AC1832)&gt;0,"Returned","Not Returned")</f>
        <v>Not Returned</v>
      </c>
    </row>
    <row r="1833" spans="1:30" ht="12.75" customHeight="1" thickTop="1" thickBot="1" x14ac:dyDescent="0.25">
      <c r="A1833" s="8">
        <v>18437</v>
      </c>
      <c r="B1833" s="1" t="s">
        <v>106</v>
      </c>
      <c r="C1833" s="1">
        <v>7.0000000000000007E-2</v>
      </c>
      <c r="D1833" s="1">
        <v>5.98</v>
      </c>
      <c r="E1833" s="1">
        <v>0.96</v>
      </c>
      <c r="F1833" s="1">
        <v>3205</v>
      </c>
      <c r="G1833" s="6" t="str">
        <f>IF(COUNTIF(Table1[Customer ID],Table1[[#This Row],[Customer ID]])&gt;1,"Repeat Customer","One-Time Customer")</f>
        <v>One-Time Customer</v>
      </c>
      <c r="H1833" s="1" t="s">
        <v>2876</v>
      </c>
      <c r="I1833" s="1" t="s">
        <v>49</v>
      </c>
      <c r="J1833" s="1" t="s">
        <v>114</v>
      </c>
      <c r="K1833" s="1" t="s">
        <v>29</v>
      </c>
      <c r="L1833" s="1" t="s">
        <v>30</v>
      </c>
      <c r="M1833" s="1" t="s">
        <v>31</v>
      </c>
      <c r="N1833" s="1" t="s">
        <v>1819</v>
      </c>
      <c r="O1833" s="1">
        <v>0.6</v>
      </c>
      <c r="P1833" s="6">
        <f>Table1[[#This Row],[Profit]]/Table1[[#This Row],[Sales]]</f>
        <v>0.58209219858156025</v>
      </c>
      <c r="Q1833" s="1" t="s">
        <v>33</v>
      </c>
      <c r="R1833" s="1" t="s">
        <v>34</v>
      </c>
      <c r="S1833" s="1" t="s">
        <v>1741</v>
      </c>
      <c r="T1833" s="1" t="s">
        <v>2843</v>
      </c>
      <c r="U1833" s="1">
        <v>83440</v>
      </c>
      <c r="V1833" s="9">
        <v>42093</v>
      </c>
      <c r="W1833" s="13" t="str">
        <f>TEXT(Table1[[#This Row],[Order Date]],"mmmm")</f>
        <v>March</v>
      </c>
      <c r="X1833" s="7" t="str">
        <f>TEXT(Table1[[#This Row],[Order Date]],"yyyy")</f>
        <v>2015</v>
      </c>
      <c r="Y1833" s="9">
        <v>42097</v>
      </c>
      <c r="Z1833" s="1">
        <v>32.83</v>
      </c>
      <c r="AA1833" s="1">
        <v>10</v>
      </c>
      <c r="AB1833" s="1">
        <v>56.4</v>
      </c>
      <c r="AC1833" s="1">
        <v>87933</v>
      </c>
      <c r="AD1833" s="6" t="str">
        <f>IF(COUNTIF(Returns!$A$2:$A$1635,Orders!AC1833)&gt;0,"Returned","Not Returned")</f>
        <v>Not Returned</v>
      </c>
    </row>
    <row r="1834" spans="1:30" ht="12.75" customHeight="1" thickTop="1" thickBot="1" x14ac:dyDescent="0.25">
      <c r="A1834" s="10">
        <v>18438</v>
      </c>
      <c r="B1834" s="11" t="s">
        <v>106</v>
      </c>
      <c r="C1834" s="11">
        <v>0.01</v>
      </c>
      <c r="D1834" s="11">
        <v>39.979999999999997</v>
      </c>
      <c r="E1834" s="11">
        <v>4</v>
      </c>
      <c r="F1834" s="11">
        <v>3206</v>
      </c>
      <c r="G1834" s="6" t="str">
        <f>IF(COUNTIF(Table1[Customer ID],Table1[[#This Row],[Customer ID]])&gt;1,"Repeat Customer","One-Time Customer")</f>
        <v>Repeat Customer</v>
      </c>
      <c r="H1834" s="11" t="s">
        <v>2877</v>
      </c>
      <c r="I1834" s="11" t="s">
        <v>49</v>
      </c>
      <c r="J1834" s="11" t="s">
        <v>114</v>
      </c>
      <c r="K1834" s="11" t="s">
        <v>77</v>
      </c>
      <c r="L1834" s="11" t="s">
        <v>180</v>
      </c>
      <c r="M1834" s="11" t="s">
        <v>59</v>
      </c>
      <c r="N1834" s="11" t="s">
        <v>252</v>
      </c>
      <c r="O1834" s="11">
        <v>0.7</v>
      </c>
      <c r="P1834" s="6">
        <f>Table1[[#This Row],[Profit]]/Table1[[#This Row],[Sales]]</f>
        <v>0.20033395464429971</v>
      </c>
      <c r="Q1834" s="11" t="s">
        <v>33</v>
      </c>
      <c r="R1834" s="11" t="s">
        <v>34</v>
      </c>
      <c r="S1834" s="11" t="s">
        <v>1741</v>
      </c>
      <c r="T1834" s="11" t="s">
        <v>2878</v>
      </c>
      <c r="U1834" s="11">
        <v>83301</v>
      </c>
      <c r="V1834" s="12">
        <v>42093</v>
      </c>
      <c r="W1834" s="13" t="str">
        <f>TEXT(Table1[[#This Row],[Order Date]],"mmmm")</f>
        <v>March</v>
      </c>
      <c r="X1834" s="7" t="str">
        <f>TEXT(Table1[[#This Row],[Order Date]],"yyyy")</f>
        <v>2015</v>
      </c>
      <c r="Y1834" s="12">
        <v>42098</v>
      </c>
      <c r="Z1834" s="11">
        <v>51.590000000000053</v>
      </c>
      <c r="AA1834" s="11">
        <v>6</v>
      </c>
      <c r="AB1834" s="11">
        <v>257.52</v>
      </c>
      <c r="AC1834" s="11">
        <v>87933</v>
      </c>
      <c r="AD1834" s="6" t="str">
        <f>IF(COUNTIF(Returns!$A$2:$A$1635,Orders!AC1834)&gt;0,"Returned","Not Returned")</f>
        <v>Not Returned</v>
      </c>
    </row>
    <row r="1835" spans="1:30" ht="12.75" customHeight="1" thickTop="1" thickBot="1" x14ac:dyDescent="0.25">
      <c r="A1835" s="8">
        <v>21229</v>
      </c>
      <c r="B1835" s="1" t="s">
        <v>37</v>
      </c>
      <c r="C1835" s="1">
        <v>0.06</v>
      </c>
      <c r="D1835" s="1">
        <v>218.08</v>
      </c>
      <c r="E1835" s="1">
        <v>18.059999999999999</v>
      </c>
      <c r="F1835" s="1">
        <v>3206</v>
      </c>
      <c r="G1835" s="6" t="str">
        <f>IF(COUNTIF(Table1[Customer ID],Table1[[#This Row],[Customer ID]])&gt;1,"Repeat Customer","One-Time Customer")</f>
        <v>Repeat Customer</v>
      </c>
      <c r="H1835" s="1" t="s">
        <v>2877</v>
      </c>
      <c r="I1835" s="1" t="s">
        <v>27</v>
      </c>
      <c r="J1835" s="1" t="s">
        <v>114</v>
      </c>
      <c r="K1835" s="1" t="s">
        <v>41</v>
      </c>
      <c r="L1835" s="1" t="s">
        <v>42</v>
      </c>
      <c r="M1835" s="1" t="s">
        <v>236</v>
      </c>
      <c r="N1835" s="1" t="s">
        <v>1499</v>
      </c>
      <c r="O1835" s="1">
        <v>0.56999999999999995</v>
      </c>
      <c r="P1835" s="6">
        <f>Table1[[#This Row],[Profit]]/Table1[[#This Row],[Sales]]</f>
        <v>0.65126871838281231</v>
      </c>
      <c r="Q1835" s="1" t="s">
        <v>33</v>
      </c>
      <c r="R1835" s="1" t="s">
        <v>34</v>
      </c>
      <c r="S1835" s="1" t="s">
        <v>1741</v>
      </c>
      <c r="T1835" s="1" t="s">
        <v>2878</v>
      </c>
      <c r="U1835" s="1">
        <v>83301</v>
      </c>
      <c r="V1835" s="9">
        <v>42145</v>
      </c>
      <c r="W1835" s="13" t="str">
        <f>TEXT(Table1[[#This Row],[Order Date]],"mmmm")</f>
        <v>May</v>
      </c>
      <c r="X1835" s="7" t="str">
        <f>TEXT(Table1[[#This Row],[Order Date]],"yyyy")</f>
        <v>2015</v>
      </c>
      <c r="Y1835" s="9">
        <v>42147</v>
      </c>
      <c r="Z1835" s="1">
        <v>969.42</v>
      </c>
      <c r="AA1835" s="1">
        <v>7</v>
      </c>
      <c r="AB1835" s="1">
        <v>1488.51</v>
      </c>
      <c r="AC1835" s="1">
        <v>87934</v>
      </c>
      <c r="AD1835" s="6" t="str">
        <f>IF(COUNTIF(Returns!$A$2:$A$1635,Orders!AC1835)&gt;0,"Returned","Not Returned")</f>
        <v>Not Returned</v>
      </c>
    </row>
    <row r="1836" spans="1:30" ht="12.75" customHeight="1" thickTop="1" thickBot="1" x14ac:dyDescent="0.25">
      <c r="A1836" s="10">
        <v>20156</v>
      </c>
      <c r="B1836" s="11" t="s">
        <v>37</v>
      </c>
      <c r="C1836" s="11">
        <v>0.05</v>
      </c>
      <c r="D1836" s="11">
        <v>35.44</v>
      </c>
      <c r="E1836" s="11">
        <v>5.09</v>
      </c>
      <c r="F1836" s="11">
        <v>3206</v>
      </c>
      <c r="G1836" s="6" t="str">
        <f>IF(COUNTIF(Table1[Customer ID],Table1[[#This Row],[Customer ID]])&gt;1,"Repeat Customer","One-Time Customer")</f>
        <v>Repeat Customer</v>
      </c>
      <c r="H1836" s="11" t="s">
        <v>2877</v>
      </c>
      <c r="I1836" s="11" t="s">
        <v>49</v>
      </c>
      <c r="J1836" s="11" t="s">
        <v>114</v>
      </c>
      <c r="K1836" s="11" t="s">
        <v>29</v>
      </c>
      <c r="L1836" s="11" t="s">
        <v>93</v>
      </c>
      <c r="M1836" s="11" t="s">
        <v>59</v>
      </c>
      <c r="N1836" s="11" t="s">
        <v>2777</v>
      </c>
      <c r="O1836" s="11">
        <v>0.38</v>
      </c>
      <c r="P1836" s="6">
        <f>Table1[[#This Row],[Profit]]/Table1[[#This Row],[Sales]]</f>
        <v>0.69</v>
      </c>
      <c r="Q1836" s="11" t="s">
        <v>33</v>
      </c>
      <c r="R1836" s="11" t="s">
        <v>34</v>
      </c>
      <c r="S1836" s="11" t="s">
        <v>1741</v>
      </c>
      <c r="T1836" s="11" t="s">
        <v>2878</v>
      </c>
      <c r="U1836" s="11">
        <v>83301</v>
      </c>
      <c r="V1836" s="12">
        <v>42152</v>
      </c>
      <c r="W1836" s="13" t="str">
        <f>TEXT(Table1[[#This Row],[Order Date]],"mmmm")</f>
        <v>May</v>
      </c>
      <c r="X1836" s="7" t="str">
        <f>TEXT(Table1[[#This Row],[Order Date]],"yyyy")</f>
        <v>2015</v>
      </c>
      <c r="Y1836" s="12">
        <v>42153</v>
      </c>
      <c r="Z1836" s="11">
        <v>553.33169999999996</v>
      </c>
      <c r="AA1836" s="11">
        <v>23</v>
      </c>
      <c r="AB1836" s="11">
        <v>801.93</v>
      </c>
      <c r="AC1836" s="11">
        <v>87935</v>
      </c>
      <c r="AD1836" s="6" t="str">
        <f>IF(COUNTIF(Returns!$A$2:$A$1635,Orders!AC1836)&gt;0,"Returned","Not Returned")</f>
        <v>Not Returned</v>
      </c>
    </row>
    <row r="1837" spans="1:30" ht="12.75" customHeight="1" thickTop="1" thickBot="1" x14ac:dyDescent="0.25">
      <c r="A1837" s="8">
        <v>24637</v>
      </c>
      <c r="B1837" s="1" t="s">
        <v>47</v>
      </c>
      <c r="C1837" s="1">
        <v>0.03</v>
      </c>
      <c r="D1837" s="1">
        <v>4.9800000000000004</v>
      </c>
      <c r="E1837" s="1">
        <v>4.62</v>
      </c>
      <c r="F1837" s="1">
        <v>3209</v>
      </c>
      <c r="G1837" s="6" t="str">
        <f>IF(COUNTIF(Table1[Customer ID],Table1[[#This Row],[Customer ID]])&gt;1,"Repeat Customer","One-Time Customer")</f>
        <v>One-Time Customer</v>
      </c>
      <c r="H1837" s="1" t="s">
        <v>2879</v>
      </c>
      <c r="I1837" s="1" t="s">
        <v>27</v>
      </c>
      <c r="J1837" s="1" t="s">
        <v>28</v>
      </c>
      <c r="K1837" s="1" t="s">
        <v>77</v>
      </c>
      <c r="L1837" s="1" t="s">
        <v>180</v>
      </c>
      <c r="M1837" s="1" t="s">
        <v>51</v>
      </c>
      <c r="N1837" s="1" t="s">
        <v>411</v>
      </c>
      <c r="O1837" s="1">
        <v>0.64</v>
      </c>
      <c r="P1837" s="6">
        <f>Table1[[#This Row],[Profit]]/Table1[[#This Row],[Sales]]</f>
        <v>-0.68829113924050633</v>
      </c>
      <c r="Q1837" s="1" t="s">
        <v>33</v>
      </c>
      <c r="R1837" s="1" t="s">
        <v>34</v>
      </c>
      <c r="S1837" s="1" t="s">
        <v>45</v>
      </c>
      <c r="T1837" s="1" t="s">
        <v>2880</v>
      </c>
      <c r="U1837" s="1">
        <v>90210</v>
      </c>
      <c r="V1837" s="9">
        <v>42183</v>
      </c>
      <c r="W1837" s="13" t="str">
        <f>TEXT(Table1[[#This Row],[Order Date]],"mmmm")</f>
        <v>June</v>
      </c>
      <c r="X1837" s="7" t="str">
        <f>TEXT(Table1[[#This Row],[Order Date]],"yyyy")</f>
        <v>2015</v>
      </c>
      <c r="Y1837" s="9">
        <v>42184</v>
      </c>
      <c r="Z1837" s="1">
        <v>-30.45</v>
      </c>
      <c r="AA1837" s="1">
        <v>8</v>
      </c>
      <c r="AB1837" s="1">
        <v>44.24</v>
      </c>
      <c r="AC1837" s="1">
        <v>90739</v>
      </c>
      <c r="AD1837" s="6" t="str">
        <f>IF(COUNTIF(Returns!$A$2:$A$1635,Orders!AC1837)&gt;0,"Returned","Not Returned")</f>
        <v>Not Returned</v>
      </c>
    </row>
    <row r="1838" spans="1:30" ht="12.75" customHeight="1" thickTop="1" thickBot="1" x14ac:dyDescent="0.25">
      <c r="A1838" s="10">
        <v>22804</v>
      </c>
      <c r="B1838" s="11" t="s">
        <v>25</v>
      </c>
      <c r="C1838" s="11">
        <v>0.1</v>
      </c>
      <c r="D1838" s="11">
        <v>7.31</v>
      </c>
      <c r="E1838" s="11">
        <v>0.49</v>
      </c>
      <c r="F1838" s="11">
        <v>3211</v>
      </c>
      <c r="G1838" s="6" t="str">
        <f>IF(COUNTIF(Table1[Customer ID],Table1[[#This Row],[Customer ID]])&gt;1,"Repeat Customer","One-Time Customer")</f>
        <v>Repeat Customer</v>
      </c>
      <c r="H1838" s="11" t="s">
        <v>2881</v>
      </c>
      <c r="I1838" s="11" t="s">
        <v>49</v>
      </c>
      <c r="J1838" s="11" t="s">
        <v>28</v>
      </c>
      <c r="K1838" s="11" t="s">
        <v>29</v>
      </c>
      <c r="L1838" s="11" t="s">
        <v>134</v>
      </c>
      <c r="M1838" s="11" t="s">
        <v>59</v>
      </c>
      <c r="N1838" s="11" t="s">
        <v>1071</v>
      </c>
      <c r="O1838" s="11">
        <v>0.38</v>
      </c>
      <c r="P1838" s="6">
        <f>Table1[[#This Row],[Profit]]/Table1[[#This Row],[Sales]]</f>
        <v>0.69</v>
      </c>
      <c r="Q1838" s="11" t="s">
        <v>33</v>
      </c>
      <c r="R1838" s="11" t="s">
        <v>61</v>
      </c>
      <c r="S1838" s="11" t="s">
        <v>178</v>
      </c>
      <c r="T1838" s="11" t="s">
        <v>2882</v>
      </c>
      <c r="U1838" s="11">
        <v>60101</v>
      </c>
      <c r="V1838" s="12">
        <v>42050</v>
      </c>
      <c r="W1838" s="13" t="str">
        <f>TEXT(Table1[[#This Row],[Order Date]],"mmmm")</f>
        <v>February</v>
      </c>
      <c r="X1838" s="7" t="str">
        <f>TEXT(Table1[[#This Row],[Order Date]],"yyyy")</f>
        <v>2015</v>
      </c>
      <c r="Y1838" s="12">
        <v>42051</v>
      </c>
      <c r="Z1838" s="11">
        <v>55.020599999999995</v>
      </c>
      <c r="AA1838" s="11">
        <v>12</v>
      </c>
      <c r="AB1838" s="11">
        <v>79.739999999999995</v>
      </c>
      <c r="AC1838" s="11">
        <v>91522</v>
      </c>
      <c r="AD1838" s="6" t="str">
        <f>IF(COUNTIF(Returns!$A$2:$A$1635,Orders!AC1838)&gt;0,"Returned","Not Returned")</f>
        <v>Not Returned</v>
      </c>
    </row>
    <row r="1839" spans="1:30" ht="12.75" customHeight="1" thickTop="1" thickBot="1" x14ac:dyDescent="0.25">
      <c r="A1839" s="8">
        <v>22805</v>
      </c>
      <c r="B1839" s="1" t="s">
        <v>25</v>
      </c>
      <c r="C1839" s="1">
        <v>0.1</v>
      </c>
      <c r="D1839" s="1">
        <v>20.99</v>
      </c>
      <c r="E1839" s="1">
        <v>2.5</v>
      </c>
      <c r="F1839" s="1">
        <v>3211</v>
      </c>
      <c r="G1839" s="6" t="str">
        <f>IF(COUNTIF(Table1[Customer ID],Table1[[#This Row],[Customer ID]])&gt;1,"Repeat Customer","One-Time Customer")</f>
        <v>Repeat Customer</v>
      </c>
      <c r="H1839" s="1" t="s">
        <v>2881</v>
      </c>
      <c r="I1839" s="1" t="s">
        <v>49</v>
      </c>
      <c r="J1839" s="1" t="s">
        <v>28</v>
      </c>
      <c r="K1839" s="1" t="s">
        <v>77</v>
      </c>
      <c r="L1839" s="1" t="s">
        <v>78</v>
      </c>
      <c r="M1839" s="1" t="s">
        <v>31</v>
      </c>
      <c r="N1839" s="1" t="s">
        <v>1170</v>
      </c>
      <c r="O1839" s="1">
        <v>0.81</v>
      </c>
      <c r="P1839" s="6">
        <f>Table1[[#This Row],[Profit]]/Table1[[#This Row],[Sales]]</f>
        <v>-0.11123720219136196</v>
      </c>
      <c r="Q1839" s="1" t="s">
        <v>33</v>
      </c>
      <c r="R1839" s="1" t="s">
        <v>61</v>
      </c>
      <c r="S1839" s="1" t="s">
        <v>178</v>
      </c>
      <c r="T1839" s="1" t="s">
        <v>2882</v>
      </c>
      <c r="U1839" s="1">
        <v>60101</v>
      </c>
      <c r="V1839" s="9">
        <v>42050</v>
      </c>
      <c r="W1839" s="13" t="str">
        <f>TEXT(Table1[[#This Row],[Order Date]],"mmmm")</f>
        <v>February</v>
      </c>
      <c r="X1839" s="7" t="str">
        <f>TEXT(Table1[[#This Row],[Order Date]],"yyyy")</f>
        <v>2015</v>
      </c>
      <c r="Y1839" s="9">
        <v>42051</v>
      </c>
      <c r="Z1839" s="1">
        <v>-43.65504</v>
      </c>
      <c r="AA1839" s="1">
        <v>23</v>
      </c>
      <c r="AB1839" s="1">
        <v>392.45</v>
      </c>
      <c r="AC1839" s="1">
        <v>91522</v>
      </c>
      <c r="AD1839" s="6" t="str">
        <f>IF(COUNTIF(Returns!$A$2:$A$1635,Orders!AC1839)&gt;0,"Returned","Not Returned")</f>
        <v>Not Returned</v>
      </c>
    </row>
    <row r="1840" spans="1:30" ht="12.75" customHeight="1" thickTop="1" thickBot="1" x14ac:dyDescent="0.25">
      <c r="A1840" s="10">
        <v>23736</v>
      </c>
      <c r="B1840" s="11" t="s">
        <v>37</v>
      </c>
      <c r="C1840" s="11">
        <v>0.03</v>
      </c>
      <c r="D1840" s="11">
        <v>6.68</v>
      </c>
      <c r="E1840" s="11">
        <v>1.5</v>
      </c>
      <c r="F1840" s="11">
        <v>3221</v>
      </c>
      <c r="G1840" s="6" t="str">
        <f>IF(COUNTIF(Table1[Customer ID],Table1[[#This Row],[Customer ID]])&gt;1,"Repeat Customer","One-Time Customer")</f>
        <v>One-Time Customer</v>
      </c>
      <c r="H1840" s="11" t="s">
        <v>2883</v>
      </c>
      <c r="I1840" s="11" t="s">
        <v>49</v>
      </c>
      <c r="J1840" s="11" t="s">
        <v>28</v>
      </c>
      <c r="K1840" s="11" t="s">
        <v>29</v>
      </c>
      <c r="L1840" s="11" t="s">
        <v>30</v>
      </c>
      <c r="M1840" s="11" t="s">
        <v>31</v>
      </c>
      <c r="N1840" s="11" t="s">
        <v>2023</v>
      </c>
      <c r="O1840" s="11">
        <v>0.48</v>
      </c>
      <c r="P1840" s="6">
        <f>Table1[[#This Row],[Profit]]/Table1[[#This Row],[Sales]]</f>
        <v>-11.947516556291392</v>
      </c>
      <c r="Q1840" s="11" t="s">
        <v>33</v>
      </c>
      <c r="R1840" s="11" t="s">
        <v>136</v>
      </c>
      <c r="S1840" s="11" t="s">
        <v>362</v>
      </c>
      <c r="T1840" s="11" t="s">
        <v>2884</v>
      </c>
      <c r="U1840" s="11">
        <v>33322</v>
      </c>
      <c r="V1840" s="12">
        <v>42106</v>
      </c>
      <c r="W1840" s="13" t="str">
        <f>TEXT(Table1[[#This Row],[Order Date]],"mmmm")</f>
        <v>April</v>
      </c>
      <c r="X1840" s="7" t="str">
        <f>TEXT(Table1[[#This Row],[Order Date]],"yyyy")</f>
        <v>2015</v>
      </c>
      <c r="Y1840" s="12">
        <v>42107</v>
      </c>
      <c r="Z1840" s="11">
        <v>-577.30400000000009</v>
      </c>
      <c r="AA1840" s="11">
        <v>7</v>
      </c>
      <c r="AB1840" s="11">
        <v>48.32</v>
      </c>
      <c r="AC1840" s="11">
        <v>90815</v>
      </c>
      <c r="AD1840" s="6" t="str">
        <f>IF(COUNTIF(Returns!$A$2:$A$1635,Orders!AC1840)&gt;0,"Returned","Not Returned")</f>
        <v>Not Returned</v>
      </c>
    </row>
    <row r="1841" spans="1:30" ht="12.75" customHeight="1" thickTop="1" thickBot="1" x14ac:dyDescent="0.25">
      <c r="A1841" s="8">
        <v>25605</v>
      </c>
      <c r="B1841" s="1" t="s">
        <v>25</v>
      </c>
      <c r="C1841" s="1">
        <v>0.04</v>
      </c>
      <c r="D1841" s="1">
        <v>39.479999999999997</v>
      </c>
      <c r="E1841" s="1">
        <v>1.99</v>
      </c>
      <c r="F1841" s="1">
        <v>3222</v>
      </c>
      <c r="G1841" s="6" t="str">
        <f>IF(COUNTIF(Table1[Customer ID],Table1[[#This Row],[Customer ID]])&gt;1,"Repeat Customer","One-Time Customer")</f>
        <v>Repeat Customer</v>
      </c>
      <c r="H1841" s="1" t="s">
        <v>2885</v>
      </c>
      <c r="I1841" s="1" t="s">
        <v>27</v>
      </c>
      <c r="J1841" s="1" t="s">
        <v>28</v>
      </c>
      <c r="K1841" s="1" t="s">
        <v>77</v>
      </c>
      <c r="L1841" s="1" t="s">
        <v>180</v>
      </c>
      <c r="M1841" s="1" t="s">
        <v>51</v>
      </c>
      <c r="N1841" s="1" t="s">
        <v>705</v>
      </c>
      <c r="O1841" s="1">
        <v>0.54</v>
      </c>
      <c r="P1841" s="6">
        <f>Table1[[#This Row],[Profit]]/Table1[[#This Row],[Sales]]</f>
        <v>-4.6227312138728331</v>
      </c>
      <c r="Q1841" s="1" t="s">
        <v>33</v>
      </c>
      <c r="R1841" s="1" t="s">
        <v>136</v>
      </c>
      <c r="S1841" s="1" t="s">
        <v>362</v>
      </c>
      <c r="T1841" s="1" t="s">
        <v>2886</v>
      </c>
      <c r="U1841" s="1">
        <v>32303</v>
      </c>
      <c r="V1841" s="9">
        <v>42082</v>
      </c>
      <c r="W1841" s="13" t="str">
        <f>TEXT(Table1[[#This Row],[Order Date]],"mmmm")</f>
        <v>March</v>
      </c>
      <c r="X1841" s="7" t="str">
        <f>TEXT(Table1[[#This Row],[Order Date]],"yyyy")</f>
        <v>2015</v>
      </c>
      <c r="Y1841" s="9">
        <v>42082</v>
      </c>
      <c r="Z1841" s="1">
        <v>-1535.4864000000002</v>
      </c>
      <c r="AA1841" s="1">
        <v>8</v>
      </c>
      <c r="AB1841" s="1">
        <v>332.16</v>
      </c>
      <c r="AC1841" s="1">
        <v>90814</v>
      </c>
      <c r="AD1841" s="6" t="str">
        <f>IF(COUNTIF(Returns!$A$2:$A$1635,Orders!AC1841)&gt;0,"Returned","Not Returned")</f>
        <v>Not Returned</v>
      </c>
    </row>
    <row r="1842" spans="1:30" ht="12.75" customHeight="1" thickTop="1" thickBot="1" x14ac:dyDescent="0.25">
      <c r="A1842" s="10">
        <v>25606</v>
      </c>
      <c r="B1842" s="11" t="s">
        <v>25</v>
      </c>
      <c r="C1842" s="11">
        <v>0</v>
      </c>
      <c r="D1842" s="11">
        <v>8.1199999999999992</v>
      </c>
      <c r="E1842" s="11">
        <v>2.83</v>
      </c>
      <c r="F1842" s="11">
        <v>3222</v>
      </c>
      <c r="G1842" s="6" t="str">
        <f>IF(COUNTIF(Table1[Customer ID],Table1[[#This Row],[Customer ID]])&gt;1,"Repeat Customer","One-Time Customer")</f>
        <v>Repeat Customer</v>
      </c>
      <c r="H1842" s="11" t="s">
        <v>2885</v>
      </c>
      <c r="I1842" s="11" t="s">
        <v>49</v>
      </c>
      <c r="J1842" s="11" t="s">
        <v>28</v>
      </c>
      <c r="K1842" s="11" t="s">
        <v>77</v>
      </c>
      <c r="L1842" s="11" t="s">
        <v>180</v>
      </c>
      <c r="M1842" s="11" t="s">
        <v>51</v>
      </c>
      <c r="N1842" s="11" t="s">
        <v>827</v>
      </c>
      <c r="O1842" s="11">
        <v>0.77</v>
      </c>
      <c r="P1842" s="6">
        <f>Table1[[#This Row],[Profit]]/Table1[[#This Row],[Sales]]</f>
        <v>-1.0792575531770763</v>
      </c>
      <c r="Q1842" s="11" t="s">
        <v>33</v>
      </c>
      <c r="R1842" s="11" t="s">
        <v>136</v>
      </c>
      <c r="S1842" s="11" t="s">
        <v>362</v>
      </c>
      <c r="T1842" s="11" t="s">
        <v>2886</v>
      </c>
      <c r="U1842" s="11">
        <v>32303</v>
      </c>
      <c r="V1842" s="12">
        <v>42082</v>
      </c>
      <c r="W1842" s="13" t="str">
        <f>TEXT(Table1[[#This Row],[Order Date]],"mmmm")</f>
        <v>March</v>
      </c>
      <c r="X1842" s="7" t="str">
        <f>TEXT(Table1[[#This Row],[Order Date]],"yyyy")</f>
        <v>2015</v>
      </c>
      <c r="Y1842" s="12">
        <v>42083</v>
      </c>
      <c r="Z1842" s="11">
        <v>-159.32</v>
      </c>
      <c r="AA1842" s="11">
        <v>17</v>
      </c>
      <c r="AB1842" s="11">
        <v>147.62</v>
      </c>
      <c r="AC1842" s="11">
        <v>90814</v>
      </c>
      <c r="AD1842" s="6" t="str">
        <f>IF(COUNTIF(Returns!$A$2:$A$1635,Orders!AC1842)&gt;0,"Returned","Not Returned")</f>
        <v>Not Returned</v>
      </c>
    </row>
    <row r="1843" spans="1:30" ht="12.75" customHeight="1" thickTop="1" thickBot="1" x14ac:dyDescent="0.25">
      <c r="A1843" s="8">
        <v>19517</v>
      </c>
      <c r="B1843" s="1" t="s">
        <v>47</v>
      </c>
      <c r="C1843" s="1">
        <v>0.06</v>
      </c>
      <c r="D1843" s="1">
        <v>60.98</v>
      </c>
      <c r="E1843" s="1">
        <v>30</v>
      </c>
      <c r="F1843" s="1">
        <v>3224</v>
      </c>
      <c r="G1843" s="6" t="str">
        <f>IF(COUNTIF(Table1[Customer ID],Table1[[#This Row],[Customer ID]])&gt;1,"Repeat Customer","One-Time Customer")</f>
        <v>One-Time Customer</v>
      </c>
      <c r="H1843" s="1" t="s">
        <v>2887</v>
      </c>
      <c r="I1843" s="1" t="s">
        <v>39</v>
      </c>
      <c r="J1843" s="1" t="s">
        <v>58</v>
      </c>
      <c r="K1843" s="1" t="s">
        <v>41</v>
      </c>
      <c r="L1843" s="1" t="s">
        <v>42</v>
      </c>
      <c r="M1843" s="1" t="s">
        <v>43</v>
      </c>
      <c r="N1843" s="1" t="s">
        <v>2888</v>
      </c>
      <c r="O1843" s="1">
        <v>0.7</v>
      </c>
      <c r="P1843" s="6">
        <f>Table1[[#This Row],[Profit]]/Table1[[#This Row],[Sales]]</f>
        <v>-0.5884670373312153</v>
      </c>
      <c r="Q1843" s="1" t="s">
        <v>33</v>
      </c>
      <c r="R1843" s="1" t="s">
        <v>136</v>
      </c>
      <c r="S1843" s="1" t="s">
        <v>244</v>
      </c>
      <c r="T1843" s="1" t="s">
        <v>2889</v>
      </c>
      <c r="U1843" s="1">
        <v>37066</v>
      </c>
      <c r="V1843" s="9">
        <v>42095</v>
      </c>
      <c r="W1843" s="13" t="str">
        <f>TEXT(Table1[[#This Row],[Order Date]],"mmmm")</f>
        <v>April</v>
      </c>
      <c r="X1843" s="7" t="str">
        <f>TEXT(Table1[[#This Row],[Order Date]],"yyyy")</f>
        <v>2015</v>
      </c>
      <c r="Y1843" s="9">
        <v>42096</v>
      </c>
      <c r="Z1843" s="1">
        <v>-74.088000000000008</v>
      </c>
      <c r="AA1843" s="1">
        <v>2</v>
      </c>
      <c r="AB1843" s="1">
        <v>125.9</v>
      </c>
      <c r="AC1843" s="1">
        <v>86508</v>
      </c>
      <c r="AD1843" s="6" t="str">
        <f>IF(COUNTIF(Returns!$A$2:$A$1635,Orders!AC1843)&gt;0,"Returned","Not Returned")</f>
        <v>Not Returned</v>
      </c>
    </row>
    <row r="1844" spans="1:30" ht="12.75" customHeight="1" thickTop="1" thickBot="1" x14ac:dyDescent="0.25">
      <c r="A1844" s="10">
        <v>22291</v>
      </c>
      <c r="B1844" s="11" t="s">
        <v>37</v>
      </c>
      <c r="C1844" s="11">
        <v>0.1</v>
      </c>
      <c r="D1844" s="11">
        <v>208.16</v>
      </c>
      <c r="E1844" s="11">
        <v>68.02</v>
      </c>
      <c r="F1844" s="11">
        <v>3225</v>
      </c>
      <c r="G1844" s="6" t="str">
        <f>IF(COUNTIF(Table1[Customer ID],Table1[[#This Row],[Customer ID]])&gt;1,"Repeat Customer","One-Time Customer")</f>
        <v>One-Time Customer</v>
      </c>
      <c r="H1844" s="11" t="s">
        <v>2890</v>
      </c>
      <c r="I1844" s="11" t="s">
        <v>39</v>
      </c>
      <c r="J1844" s="11" t="s">
        <v>58</v>
      </c>
      <c r="K1844" s="11" t="s">
        <v>29</v>
      </c>
      <c r="L1844" s="11" t="s">
        <v>257</v>
      </c>
      <c r="M1844" s="11" t="s">
        <v>43</v>
      </c>
      <c r="N1844" s="11" t="s">
        <v>2891</v>
      </c>
      <c r="O1844" s="11">
        <v>0.57999999999999996</v>
      </c>
      <c r="P1844" s="6">
        <f>Table1[[#This Row],[Profit]]/Table1[[#This Row],[Sales]]</f>
        <v>-0.17887644541564235</v>
      </c>
      <c r="Q1844" s="11" t="s">
        <v>33</v>
      </c>
      <c r="R1844" s="11" t="s">
        <v>136</v>
      </c>
      <c r="S1844" s="11" t="s">
        <v>244</v>
      </c>
      <c r="T1844" s="11" t="s">
        <v>2892</v>
      </c>
      <c r="U1844" s="11">
        <v>38138</v>
      </c>
      <c r="V1844" s="12">
        <v>42018</v>
      </c>
      <c r="W1844" s="13" t="str">
        <f>TEXT(Table1[[#This Row],[Order Date]],"mmmm")</f>
        <v>January</v>
      </c>
      <c r="X1844" s="7" t="str">
        <f>TEXT(Table1[[#This Row],[Order Date]],"yyyy")</f>
        <v>2015</v>
      </c>
      <c r="Y1844" s="12">
        <v>42018</v>
      </c>
      <c r="Z1844" s="11">
        <v>-137.52199999999999</v>
      </c>
      <c r="AA1844" s="11">
        <v>4</v>
      </c>
      <c r="AB1844" s="11">
        <v>768.81</v>
      </c>
      <c r="AC1844" s="11">
        <v>86507</v>
      </c>
      <c r="AD1844" s="6" t="str">
        <f>IF(COUNTIF(Returns!$A$2:$A$1635,Orders!AC1844)&gt;0,"Returned","Not Returned")</f>
        <v>Not Returned</v>
      </c>
    </row>
    <row r="1845" spans="1:30" ht="12.75" customHeight="1" thickTop="1" thickBot="1" x14ac:dyDescent="0.25">
      <c r="A1845" s="8">
        <v>22292</v>
      </c>
      <c r="B1845" s="1" t="s">
        <v>37</v>
      </c>
      <c r="C1845" s="1">
        <v>7.0000000000000007E-2</v>
      </c>
      <c r="D1845" s="1">
        <v>90.48</v>
      </c>
      <c r="E1845" s="1">
        <v>19.989999999999998</v>
      </c>
      <c r="F1845" s="1">
        <v>3226</v>
      </c>
      <c r="G1845" s="6" t="str">
        <f>IF(COUNTIF(Table1[Customer ID],Table1[[#This Row],[Customer ID]])&gt;1,"Repeat Customer","One-Time Customer")</f>
        <v>Repeat Customer</v>
      </c>
      <c r="H1845" s="1" t="s">
        <v>2893</v>
      </c>
      <c r="I1845" s="1" t="s">
        <v>49</v>
      </c>
      <c r="J1845" s="1" t="s">
        <v>58</v>
      </c>
      <c r="K1845" s="1" t="s">
        <v>29</v>
      </c>
      <c r="L1845" s="1" t="s">
        <v>69</v>
      </c>
      <c r="M1845" s="1" t="s">
        <v>59</v>
      </c>
      <c r="N1845" s="1" t="s">
        <v>1840</v>
      </c>
      <c r="O1845" s="1">
        <v>0.4</v>
      </c>
      <c r="P1845" s="6">
        <f>Table1[[#This Row],[Profit]]/Table1[[#This Row],[Sales]]</f>
        <v>-6.4430994056382571E-2</v>
      </c>
      <c r="Q1845" s="1" t="s">
        <v>33</v>
      </c>
      <c r="R1845" s="1" t="s">
        <v>136</v>
      </c>
      <c r="S1845" s="1" t="s">
        <v>244</v>
      </c>
      <c r="T1845" s="1" t="s">
        <v>2894</v>
      </c>
      <c r="U1845" s="1">
        <v>37075</v>
      </c>
      <c r="V1845" s="9">
        <v>42018</v>
      </c>
      <c r="W1845" s="13" t="str">
        <f>TEXT(Table1[[#This Row],[Order Date]],"mmmm")</f>
        <v>January</v>
      </c>
      <c r="X1845" s="7" t="str">
        <f>TEXT(Table1[[#This Row],[Order Date]],"yyyy")</f>
        <v>2015</v>
      </c>
      <c r="Y1845" s="9">
        <v>42019</v>
      </c>
      <c r="Z1845" s="1">
        <v>-11.815999999999999</v>
      </c>
      <c r="AA1845" s="1">
        <v>2</v>
      </c>
      <c r="AB1845" s="1">
        <v>183.39</v>
      </c>
      <c r="AC1845" s="1">
        <v>86507</v>
      </c>
      <c r="AD1845" s="6" t="str">
        <f>IF(COUNTIF(Returns!$A$2:$A$1635,Orders!AC1845)&gt;0,"Returned","Not Returned")</f>
        <v>Not Returned</v>
      </c>
    </row>
    <row r="1846" spans="1:30" ht="12.75" customHeight="1" thickTop="1" thickBot="1" x14ac:dyDescent="0.25">
      <c r="A1846" s="10">
        <v>22293</v>
      </c>
      <c r="B1846" s="11" t="s">
        <v>37</v>
      </c>
      <c r="C1846" s="11">
        <v>0.01</v>
      </c>
      <c r="D1846" s="11">
        <v>9.48</v>
      </c>
      <c r="E1846" s="11">
        <v>7.29</v>
      </c>
      <c r="F1846" s="11">
        <v>3226</v>
      </c>
      <c r="G1846" s="6" t="str">
        <f>IF(COUNTIF(Table1[Customer ID],Table1[[#This Row],[Customer ID]])&gt;1,"Repeat Customer","One-Time Customer")</f>
        <v>Repeat Customer</v>
      </c>
      <c r="H1846" s="11" t="s">
        <v>2893</v>
      </c>
      <c r="I1846" s="11" t="s">
        <v>27</v>
      </c>
      <c r="J1846" s="11" t="s">
        <v>58</v>
      </c>
      <c r="K1846" s="11" t="s">
        <v>41</v>
      </c>
      <c r="L1846" s="11" t="s">
        <v>50</v>
      </c>
      <c r="M1846" s="11" t="s">
        <v>51</v>
      </c>
      <c r="N1846" s="11" t="s">
        <v>52</v>
      </c>
      <c r="O1846" s="11">
        <v>0.45</v>
      </c>
      <c r="P1846" s="6">
        <f>Table1[[#This Row],[Profit]]/Table1[[#This Row],[Sales]]</f>
        <v>18.521999999999998</v>
      </c>
      <c r="Q1846" s="11" t="s">
        <v>33</v>
      </c>
      <c r="R1846" s="11" t="s">
        <v>136</v>
      </c>
      <c r="S1846" s="11" t="s">
        <v>244</v>
      </c>
      <c r="T1846" s="11" t="s">
        <v>2894</v>
      </c>
      <c r="U1846" s="11">
        <v>37075</v>
      </c>
      <c r="V1846" s="12">
        <v>42018</v>
      </c>
      <c r="W1846" s="13" t="str">
        <f>TEXT(Table1[[#This Row],[Order Date]],"mmmm")</f>
        <v>January</v>
      </c>
      <c r="X1846" s="7" t="str">
        <f>TEXT(Table1[[#This Row],[Order Date]],"yyyy")</f>
        <v>2015</v>
      </c>
      <c r="Y1846" s="12">
        <v>42020</v>
      </c>
      <c r="Z1846" s="11">
        <v>238.93379999999999</v>
      </c>
      <c r="AA1846" s="11">
        <v>1</v>
      </c>
      <c r="AB1846" s="11">
        <v>12.9</v>
      </c>
      <c r="AC1846" s="11">
        <v>86507</v>
      </c>
      <c r="AD1846" s="6" t="str">
        <f>IF(COUNTIF(Returns!$A$2:$A$1635,Orders!AC1846)&gt;0,"Returned","Not Returned")</f>
        <v>Not Returned</v>
      </c>
    </row>
    <row r="1847" spans="1:30" ht="12.75" customHeight="1" thickTop="1" thickBot="1" x14ac:dyDescent="0.25">
      <c r="A1847" s="8">
        <v>22294</v>
      </c>
      <c r="B1847" s="1" t="s">
        <v>37</v>
      </c>
      <c r="C1847" s="1">
        <v>0.02</v>
      </c>
      <c r="D1847" s="1">
        <v>4.28</v>
      </c>
      <c r="E1847" s="1">
        <v>0.94</v>
      </c>
      <c r="F1847" s="1">
        <v>3226</v>
      </c>
      <c r="G1847" s="6" t="str">
        <f>IF(COUNTIF(Table1[Customer ID],Table1[[#This Row],[Customer ID]])&gt;1,"Repeat Customer","One-Time Customer")</f>
        <v>Repeat Customer</v>
      </c>
      <c r="H1847" s="1" t="s">
        <v>2893</v>
      </c>
      <c r="I1847" s="1" t="s">
        <v>49</v>
      </c>
      <c r="J1847" s="1" t="s">
        <v>58</v>
      </c>
      <c r="K1847" s="1" t="s">
        <v>29</v>
      </c>
      <c r="L1847" s="1" t="s">
        <v>30</v>
      </c>
      <c r="M1847" s="1" t="s">
        <v>31</v>
      </c>
      <c r="N1847" s="1" t="s">
        <v>1647</v>
      </c>
      <c r="O1847" s="1">
        <v>0.56000000000000005</v>
      </c>
      <c r="P1847" s="6">
        <f>Table1[[#This Row],[Profit]]/Table1[[#This Row],[Sales]]</f>
        <v>-5.8762437115707096</v>
      </c>
      <c r="Q1847" s="1" t="s">
        <v>33</v>
      </c>
      <c r="R1847" s="1" t="s">
        <v>136</v>
      </c>
      <c r="S1847" s="1" t="s">
        <v>244</v>
      </c>
      <c r="T1847" s="1" t="s">
        <v>2894</v>
      </c>
      <c r="U1847" s="1">
        <v>37075</v>
      </c>
      <c r="V1847" s="9">
        <v>42018</v>
      </c>
      <c r="W1847" s="13" t="str">
        <f>TEXT(Table1[[#This Row],[Order Date]],"mmmm")</f>
        <v>January</v>
      </c>
      <c r="X1847" s="7" t="str">
        <f>TEXT(Table1[[#This Row],[Order Date]],"yyyy")</f>
        <v>2015</v>
      </c>
      <c r="Y1847" s="9">
        <v>42019</v>
      </c>
      <c r="Z1847" s="1">
        <v>-105.126</v>
      </c>
      <c r="AA1847" s="1">
        <v>4</v>
      </c>
      <c r="AB1847" s="1">
        <v>17.89</v>
      </c>
      <c r="AC1847" s="1">
        <v>86507</v>
      </c>
      <c r="AD1847" s="6" t="str">
        <f>IF(COUNTIF(Returns!$A$2:$A$1635,Orders!AC1847)&gt;0,"Returned","Not Returned")</f>
        <v>Not Returned</v>
      </c>
    </row>
    <row r="1848" spans="1:30" ht="12.75" customHeight="1" thickTop="1" thickBot="1" x14ac:dyDescent="0.25">
      <c r="A1848" s="10">
        <v>24343</v>
      </c>
      <c r="B1848" s="11" t="s">
        <v>56</v>
      </c>
      <c r="C1848" s="11">
        <v>0.06</v>
      </c>
      <c r="D1848" s="11">
        <v>22.24</v>
      </c>
      <c r="E1848" s="11">
        <v>1.99</v>
      </c>
      <c r="F1848" s="11">
        <v>3226</v>
      </c>
      <c r="G1848" s="6" t="str">
        <f>IF(COUNTIF(Table1[Customer ID],Table1[[#This Row],[Customer ID]])&gt;1,"Repeat Customer","One-Time Customer")</f>
        <v>Repeat Customer</v>
      </c>
      <c r="H1848" s="11" t="s">
        <v>2893</v>
      </c>
      <c r="I1848" s="11" t="s">
        <v>49</v>
      </c>
      <c r="J1848" s="11" t="s">
        <v>58</v>
      </c>
      <c r="K1848" s="11" t="s">
        <v>77</v>
      </c>
      <c r="L1848" s="11" t="s">
        <v>180</v>
      </c>
      <c r="M1848" s="11" t="s">
        <v>51</v>
      </c>
      <c r="N1848" s="11" t="s">
        <v>2895</v>
      </c>
      <c r="O1848" s="11">
        <v>0.43</v>
      </c>
      <c r="P1848" s="6">
        <f>Table1[[#This Row],[Profit]]/Table1[[#This Row],[Sales]]</f>
        <v>0.37278411755510393</v>
      </c>
      <c r="Q1848" s="11" t="s">
        <v>33</v>
      </c>
      <c r="R1848" s="11" t="s">
        <v>136</v>
      </c>
      <c r="S1848" s="11" t="s">
        <v>244</v>
      </c>
      <c r="T1848" s="11" t="s">
        <v>2894</v>
      </c>
      <c r="U1848" s="11">
        <v>37075</v>
      </c>
      <c r="V1848" s="12">
        <v>42183</v>
      </c>
      <c r="W1848" s="13" t="str">
        <f>TEXT(Table1[[#This Row],[Order Date]],"mmmm")</f>
        <v>June</v>
      </c>
      <c r="X1848" s="7" t="str">
        <f>TEXT(Table1[[#This Row],[Order Date]],"yyyy")</f>
        <v>2015</v>
      </c>
      <c r="Y1848" s="12">
        <v>42185</v>
      </c>
      <c r="Z1848" s="11">
        <v>95.387999999999991</v>
      </c>
      <c r="AA1848" s="11">
        <v>12</v>
      </c>
      <c r="AB1848" s="11">
        <v>255.88</v>
      </c>
      <c r="AC1848" s="11">
        <v>86509</v>
      </c>
      <c r="AD1848" s="6" t="str">
        <f>IF(COUNTIF(Returns!$A$2:$A$1635,Orders!AC1848)&gt;0,"Returned","Not Returned")</f>
        <v>Not Returned</v>
      </c>
    </row>
    <row r="1849" spans="1:30" ht="12.75" customHeight="1" thickTop="1" thickBot="1" x14ac:dyDescent="0.25">
      <c r="A1849" s="8">
        <v>18940</v>
      </c>
      <c r="B1849" s="1" t="s">
        <v>37</v>
      </c>
      <c r="C1849" s="1">
        <v>0.01</v>
      </c>
      <c r="D1849" s="1">
        <v>24.95</v>
      </c>
      <c r="E1849" s="1">
        <v>2.99</v>
      </c>
      <c r="F1849" s="1">
        <v>3229</v>
      </c>
      <c r="G1849" s="6" t="str">
        <f>IF(COUNTIF(Table1[Customer ID],Table1[[#This Row],[Customer ID]])&gt;1,"Repeat Customer","One-Time Customer")</f>
        <v>One-Time Customer</v>
      </c>
      <c r="H1849" s="1" t="s">
        <v>2896</v>
      </c>
      <c r="I1849" s="1" t="s">
        <v>49</v>
      </c>
      <c r="J1849" s="1" t="s">
        <v>58</v>
      </c>
      <c r="K1849" s="1" t="s">
        <v>29</v>
      </c>
      <c r="L1849" s="1" t="s">
        <v>109</v>
      </c>
      <c r="M1849" s="1" t="s">
        <v>59</v>
      </c>
      <c r="N1849" s="1" t="s">
        <v>2897</v>
      </c>
      <c r="O1849" s="1">
        <v>0.39</v>
      </c>
      <c r="P1849" s="6">
        <f>Table1[[#This Row],[Profit]]/Table1[[#This Row],[Sales]]</f>
        <v>0.69</v>
      </c>
      <c r="Q1849" s="1" t="s">
        <v>33</v>
      </c>
      <c r="R1849" s="1" t="s">
        <v>61</v>
      </c>
      <c r="S1849" s="1" t="s">
        <v>1858</v>
      </c>
      <c r="T1849" s="1" t="s">
        <v>2898</v>
      </c>
      <c r="U1849" s="1">
        <v>54880</v>
      </c>
      <c r="V1849" s="9">
        <v>42025</v>
      </c>
      <c r="W1849" s="13" t="str">
        <f>TEXT(Table1[[#This Row],[Order Date]],"mmmm")</f>
        <v>January</v>
      </c>
      <c r="X1849" s="7" t="str">
        <f>TEXT(Table1[[#This Row],[Order Date]],"yyyy")</f>
        <v>2015</v>
      </c>
      <c r="Y1849" s="9">
        <v>42026</v>
      </c>
      <c r="Z1849" s="1">
        <v>261.38579999999996</v>
      </c>
      <c r="AA1849" s="1">
        <v>15</v>
      </c>
      <c r="AB1849" s="1">
        <v>378.82</v>
      </c>
      <c r="AC1849" s="1">
        <v>87435</v>
      </c>
      <c r="AD1849" s="6" t="str">
        <f>IF(COUNTIF(Returns!$A$2:$A$1635,Orders!AC1849)&gt;0,"Returned","Not Returned")</f>
        <v>Not Returned</v>
      </c>
    </row>
    <row r="1850" spans="1:30" ht="12.75" customHeight="1" thickTop="1" thickBot="1" x14ac:dyDescent="0.25">
      <c r="A1850" s="10">
        <v>18941</v>
      </c>
      <c r="B1850" s="11" t="s">
        <v>37</v>
      </c>
      <c r="C1850" s="11">
        <v>0</v>
      </c>
      <c r="D1850" s="11">
        <v>15.98</v>
      </c>
      <c r="E1850" s="11">
        <v>8.99</v>
      </c>
      <c r="F1850" s="11">
        <v>3230</v>
      </c>
      <c r="G1850" s="6" t="str">
        <f>IF(COUNTIF(Table1[Customer ID],Table1[[#This Row],[Customer ID]])&gt;1,"Repeat Customer","One-Time Customer")</f>
        <v>Repeat Customer</v>
      </c>
      <c r="H1850" s="11" t="s">
        <v>2899</v>
      </c>
      <c r="I1850" s="11" t="s">
        <v>49</v>
      </c>
      <c r="J1850" s="11" t="s">
        <v>58</v>
      </c>
      <c r="K1850" s="11" t="s">
        <v>77</v>
      </c>
      <c r="L1850" s="11" t="s">
        <v>180</v>
      </c>
      <c r="M1850" s="11" t="s">
        <v>51</v>
      </c>
      <c r="N1850" s="11" t="s">
        <v>2900</v>
      </c>
      <c r="O1850" s="11">
        <v>0.64</v>
      </c>
      <c r="P1850" s="6">
        <f>Table1[[#This Row],[Profit]]/Table1[[#This Row],[Sales]]</f>
        <v>-0.89013010908135104</v>
      </c>
      <c r="Q1850" s="11" t="s">
        <v>33</v>
      </c>
      <c r="R1850" s="11" t="s">
        <v>61</v>
      </c>
      <c r="S1850" s="11" t="s">
        <v>1858</v>
      </c>
      <c r="T1850" s="11" t="s">
        <v>2901</v>
      </c>
      <c r="U1850" s="11">
        <v>53186</v>
      </c>
      <c r="V1850" s="12">
        <v>42025</v>
      </c>
      <c r="W1850" s="13" t="str">
        <f>TEXT(Table1[[#This Row],[Order Date]],"mmmm")</f>
        <v>January</v>
      </c>
      <c r="X1850" s="7" t="str">
        <f>TEXT(Table1[[#This Row],[Order Date]],"yyyy")</f>
        <v>2015</v>
      </c>
      <c r="Y1850" s="12">
        <v>42027</v>
      </c>
      <c r="Z1850" s="11">
        <v>-135.46</v>
      </c>
      <c r="AA1850" s="11">
        <v>9</v>
      </c>
      <c r="AB1850" s="11">
        <v>152.18</v>
      </c>
      <c r="AC1850" s="11">
        <v>87435</v>
      </c>
      <c r="AD1850" s="6" t="str">
        <f>IF(COUNTIF(Returns!$A$2:$A$1635,Orders!AC1850)&gt;0,"Returned","Not Returned")</f>
        <v>Not Returned</v>
      </c>
    </row>
    <row r="1851" spans="1:30" ht="12.75" customHeight="1" thickTop="1" thickBot="1" x14ac:dyDescent="0.25">
      <c r="A1851" s="8">
        <v>19062</v>
      </c>
      <c r="B1851" s="1" t="s">
        <v>47</v>
      </c>
      <c r="C1851" s="1">
        <v>0.06</v>
      </c>
      <c r="D1851" s="1">
        <v>4.91</v>
      </c>
      <c r="E1851" s="1">
        <v>5.68</v>
      </c>
      <c r="F1851" s="1">
        <v>3230</v>
      </c>
      <c r="G1851" s="6" t="str">
        <f>IF(COUNTIF(Table1[Customer ID],Table1[[#This Row],[Customer ID]])&gt;1,"Repeat Customer","One-Time Customer")</f>
        <v>Repeat Customer</v>
      </c>
      <c r="H1851" s="1" t="s">
        <v>2899</v>
      </c>
      <c r="I1851" s="1" t="s">
        <v>27</v>
      </c>
      <c r="J1851" s="1" t="s">
        <v>58</v>
      </c>
      <c r="K1851" s="1" t="s">
        <v>29</v>
      </c>
      <c r="L1851" s="1" t="s">
        <v>109</v>
      </c>
      <c r="M1851" s="1" t="s">
        <v>59</v>
      </c>
      <c r="N1851" s="1" t="s">
        <v>1396</v>
      </c>
      <c r="O1851" s="1">
        <v>0.36</v>
      </c>
      <c r="P1851" s="6">
        <f>Table1[[#This Row],[Profit]]/Table1[[#This Row],[Sales]]</f>
        <v>-0.58801725737613653</v>
      </c>
      <c r="Q1851" s="1" t="s">
        <v>33</v>
      </c>
      <c r="R1851" s="1" t="s">
        <v>61</v>
      </c>
      <c r="S1851" s="1" t="s">
        <v>1858</v>
      </c>
      <c r="T1851" s="1" t="s">
        <v>2901</v>
      </c>
      <c r="U1851" s="1">
        <v>53186</v>
      </c>
      <c r="V1851" s="9">
        <v>42168</v>
      </c>
      <c r="W1851" s="13" t="str">
        <f>TEXT(Table1[[#This Row],[Order Date]],"mmmm")</f>
        <v>June</v>
      </c>
      <c r="X1851" s="7" t="str">
        <f>TEXT(Table1[[#This Row],[Order Date]],"yyyy")</f>
        <v>2015</v>
      </c>
      <c r="Y1851" s="9">
        <v>42168</v>
      </c>
      <c r="Z1851" s="1">
        <v>-31.68825</v>
      </c>
      <c r="AA1851" s="1">
        <v>10</v>
      </c>
      <c r="AB1851" s="1">
        <v>53.89</v>
      </c>
      <c r="AC1851" s="1">
        <v>87436</v>
      </c>
      <c r="AD1851" s="6" t="str">
        <f>IF(COUNTIF(Returns!$A$2:$A$1635,Orders!AC1851)&gt;0,"Returned","Not Returned")</f>
        <v>Not Returned</v>
      </c>
    </row>
    <row r="1852" spans="1:30" ht="12.75" customHeight="1" thickTop="1" thickBot="1" x14ac:dyDescent="0.25">
      <c r="A1852" s="10">
        <v>19063</v>
      </c>
      <c r="B1852" s="11" t="s">
        <v>47</v>
      </c>
      <c r="C1852" s="11">
        <v>7.0000000000000007E-2</v>
      </c>
      <c r="D1852" s="11">
        <v>48.94</v>
      </c>
      <c r="E1852" s="11">
        <v>5.86</v>
      </c>
      <c r="F1852" s="11">
        <v>3230</v>
      </c>
      <c r="G1852" s="6" t="str">
        <f>IF(COUNTIF(Table1[Customer ID],Table1[[#This Row],[Customer ID]])&gt;1,"Repeat Customer","One-Time Customer")</f>
        <v>Repeat Customer</v>
      </c>
      <c r="H1852" s="11" t="s">
        <v>2899</v>
      </c>
      <c r="I1852" s="11" t="s">
        <v>27</v>
      </c>
      <c r="J1852" s="11" t="s">
        <v>58</v>
      </c>
      <c r="K1852" s="11" t="s">
        <v>29</v>
      </c>
      <c r="L1852" s="11" t="s">
        <v>93</v>
      </c>
      <c r="M1852" s="11" t="s">
        <v>59</v>
      </c>
      <c r="N1852" s="11" t="s">
        <v>2902</v>
      </c>
      <c r="O1852" s="11">
        <v>0.35</v>
      </c>
      <c r="P1852" s="6">
        <f>Table1[[#This Row],[Profit]]/Table1[[#This Row],[Sales]]</f>
        <v>0.69</v>
      </c>
      <c r="Q1852" s="11" t="s">
        <v>33</v>
      </c>
      <c r="R1852" s="11" t="s">
        <v>61</v>
      </c>
      <c r="S1852" s="11" t="s">
        <v>1858</v>
      </c>
      <c r="T1852" s="11" t="s">
        <v>2901</v>
      </c>
      <c r="U1852" s="11">
        <v>53186</v>
      </c>
      <c r="V1852" s="12">
        <v>42168</v>
      </c>
      <c r="W1852" s="13" t="str">
        <f>TEXT(Table1[[#This Row],[Order Date]],"mmmm")</f>
        <v>June</v>
      </c>
      <c r="X1852" s="7" t="str">
        <f>TEXT(Table1[[#This Row],[Order Date]],"yyyy")</f>
        <v>2015</v>
      </c>
      <c r="Y1852" s="12">
        <v>42169</v>
      </c>
      <c r="Z1852" s="11">
        <v>690.70379999999989</v>
      </c>
      <c r="AA1852" s="11">
        <v>21</v>
      </c>
      <c r="AB1852" s="11">
        <v>1001.02</v>
      </c>
      <c r="AC1852" s="11">
        <v>87436</v>
      </c>
      <c r="AD1852" s="6" t="str">
        <f>IF(COUNTIF(Returns!$A$2:$A$1635,Orders!AC1852)&gt;0,"Returned","Not Returned")</f>
        <v>Not Returned</v>
      </c>
    </row>
    <row r="1853" spans="1:30" ht="12.75" customHeight="1" thickTop="1" thickBot="1" x14ac:dyDescent="0.25">
      <c r="A1853" s="8">
        <v>19179</v>
      </c>
      <c r="B1853" s="1" t="s">
        <v>106</v>
      </c>
      <c r="C1853" s="1">
        <v>0.06</v>
      </c>
      <c r="D1853" s="1">
        <v>115.99</v>
      </c>
      <c r="E1853" s="1">
        <v>5.92</v>
      </c>
      <c r="F1853" s="1">
        <v>3238</v>
      </c>
      <c r="G1853" s="6" t="str">
        <f>IF(COUNTIF(Table1[Customer ID],Table1[[#This Row],[Customer ID]])&gt;1,"Repeat Customer","One-Time Customer")</f>
        <v>One-Time Customer</v>
      </c>
      <c r="H1853" s="1" t="s">
        <v>2903</v>
      </c>
      <c r="I1853" s="1" t="s">
        <v>49</v>
      </c>
      <c r="J1853" s="1" t="s">
        <v>28</v>
      </c>
      <c r="K1853" s="1" t="s">
        <v>77</v>
      </c>
      <c r="L1853" s="1" t="s">
        <v>78</v>
      </c>
      <c r="M1853" s="1" t="s">
        <v>59</v>
      </c>
      <c r="N1853" s="1" t="s">
        <v>1772</v>
      </c>
      <c r="O1853" s="1">
        <v>0.57999999999999996</v>
      </c>
      <c r="P1853" s="6">
        <f>Table1[[#This Row],[Profit]]/Table1[[#This Row],[Sales]]</f>
        <v>-2.6356338993989759E-2</v>
      </c>
      <c r="Q1853" s="1" t="s">
        <v>33</v>
      </c>
      <c r="R1853" s="1" t="s">
        <v>34</v>
      </c>
      <c r="S1853" s="1" t="s">
        <v>102</v>
      </c>
      <c r="T1853" s="1" t="s">
        <v>2904</v>
      </c>
      <c r="U1853" s="1">
        <v>97330</v>
      </c>
      <c r="V1853" s="9">
        <v>42159</v>
      </c>
      <c r="W1853" s="13" t="str">
        <f>TEXT(Table1[[#This Row],[Order Date]],"mmmm")</f>
        <v>June</v>
      </c>
      <c r="X1853" s="7" t="str">
        <f>TEXT(Table1[[#This Row],[Order Date]],"yyyy")</f>
        <v>2015</v>
      </c>
      <c r="Y1853" s="9">
        <v>42161</v>
      </c>
      <c r="Z1853" s="1">
        <v>-13.068000000000001</v>
      </c>
      <c r="AA1853" s="1">
        <v>5</v>
      </c>
      <c r="AB1853" s="1">
        <v>495.82</v>
      </c>
      <c r="AC1853" s="1">
        <v>89564</v>
      </c>
      <c r="AD1853" s="6" t="str">
        <f>IF(COUNTIF(Returns!$A$2:$A$1635,Orders!AC1853)&gt;0,"Returned","Not Returned")</f>
        <v>Not Returned</v>
      </c>
    </row>
    <row r="1854" spans="1:30" ht="12.75" customHeight="1" thickTop="1" thickBot="1" x14ac:dyDescent="0.25">
      <c r="A1854" s="10">
        <v>23084</v>
      </c>
      <c r="B1854" s="11" t="s">
        <v>25</v>
      </c>
      <c r="C1854" s="11">
        <v>0</v>
      </c>
      <c r="D1854" s="11">
        <v>7.28</v>
      </c>
      <c r="E1854" s="11">
        <v>3.52</v>
      </c>
      <c r="F1854" s="11">
        <v>3243</v>
      </c>
      <c r="G1854" s="6" t="str">
        <f>IF(COUNTIF(Table1[Customer ID],Table1[[#This Row],[Customer ID]])&gt;1,"Repeat Customer","One-Time Customer")</f>
        <v>One-Time Customer</v>
      </c>
      <c r="H1854" s="11" t="s">
        <v>2905</v>
      </c>
      <c r="I1854" s="11" t="s">
        <v>49</v>
      </c>
      <c r="J1854" s="11" t="s">
        <v>58</v>
      </c>
      <c r="K1854" s="11" t="s">
        <v>77</v>
      </c>
      <c r="L1854" s="11" t="s">
        <v>180</v>
      </c>
      <c r="M1854" s="11" t="s">
        <v>51</v>
      </c>
      <c r="N1854" s="11" t="s">
        <v>2906</v>
      </c>
      <c r="O1854" s="11">
        <v>0.68</v>
      </c>
      <c r="P1854" s="6">
        <f>Table1[[#This Row],[Profit]]/Table1[[#This Row],[Sales]]</f>
        <v>-1.0271685761047462</v>
      </c>
      <c r="Q1854" s="11" t="s">
        <v>33</v>
      </c>
      <c r="R1854" s="11" t="s">
        <v>53</v>
      </c>
      <c r="S1854" s="11" t="s">
        <v>228</v>
      </c>
      <c r="T1854" s="11" t="s">
        <v>916</v>
      </c>
      <c r="U1854" s="11">
        <v>6010</v>
      </c>
      <c r="V1854" s="12">
        <v>42165</v>
      </c>
      <c r="W1854" s="13" t="str">
        <f>TEXT(Table1[[#This Row],[Order Date]],"mmmm")</f>
        <v>June</v>
      </c>
      <c r="X1854" s="7" t="str">
        <f>TEXT(Table1[[#This Row],[Order Date]],"yyyy")</f>
        <v>2015</v>
      </c>
      <c r="Y1854" s="12">
        <v>42165</v>
      </c>
      <c r="Z1854" s="11">
        <v>-25.103999999999999</v>
      </c>
      <c r="AA1854" s="11">
        <v>3</v>
      </c>
      <c r="AB1854" s="11">
        <v>24.44</v>
      </c>
      <c r="AC1854" s="11">
        <v>88329</v>
      </c>
      <c r="AD1854" s="6" t="str">
        <f>IF(COUNTIF(Returns!$A$2:$A$1635,Orders!AC1854)&gt;0,"Returned","Not Returned")</f>
        <v>Not Returned</v>
      </c>
    </row>
    <row r="1855" spans="1:30" ht="12.75" customHeight="1" thickTop="1" thickBot="1" x14ac:dyDescent="0.25">
      <c r="A1855" s="8">
        <v>23267</v>
      </c>
      <c r="B1855" s="1" t="s">
        <v>106</v>
      </c>
      <c r="C1855" s="1">
        <v>0.06</v>
      </c>
      <c r="D1855" s="1">
        <v>5.18</v>
      </c>
      <c r="E1855" s="1">
        <v>2.04</v>
      </c>
      <c r="F1855" s="1">
        <v>3246</v>
      </c>
      <c r="G1855" s="6" t="str">
        <f>IF(COUNTIF(Table1[Customer ID],Table1[[#This Row],[Customer ID]])&gt;1,"Repeat Customer","One-Time Customer")</f>
        <v>One-Time Customer</v>
      </c>
      <c r="H1855" s="1" t="s">
        <v>2907</v>
      </c>
      <c r="I1855" s="1" t="s">
        <v>49</v>
      </c>
      <c r="J1855" s="1" t="s">
        <v>58</v>
      </c>
      <c r="K1855" s="1" t="s">
        <v>29</v>
      </c>
      <c r="L1855" s="1" t="s">
        <v>93</v>
      </c>
      <c r="M1855" s="1" t="s">
        <v>31</v>
      </c>
      <c r="N1855" s="1" t="s">
        <v>167</v>
      </c>
      <c r="O1855" s="1">
        <v>0.36</v>
      </c>
      <c r="P1855" s="6">
        <f>Table1[[#This Row],[Profit]]/Table1[[#This Row],[Sales]]</f>
        <v>8.9222323879231485E-2</v>
      </c>
      <c r="Q1855" s="1" t="s">
        <v>33</v>
      </c>
      <c r="R1855" s="1" t="s">
        <v>53</v>
      </c>
      <c r="S1855" s="1" t="s">
        <v>197</v>
      </c>
      <c r="T1855" s="1" t="s">
        <v>2908</v>
      </c>
      <c r="U1855" s="1">
        <v>3051</v>
      </c>
      <c r="V1855" s="9">
        <v>42095</v>
      </c>
      <c r="W1855" s="13" t="str">
        <f>TEXT(Table1[[#This Row],[Order Date]],"mmmm")</f>
        <v>April</v>
      </c>
      <c r="X1855" s="7" t="str">
        <f>TEXT(Table1[[#This Row],[Order Date]],"yyyy")</f>
        <v>2015</v>
      </c>
      <c r="Y1855" s="9">
        <v>42095</v>
      </c>
      <c r="Z1855" s="1">
        <v>1.9504000000000001</v>
      </c>
      <c r="AA1855" s="1">
        <v>4</v>
      </c>
      <c r="AB1855" s="1">
        <v>21.86</v>
      </c>
      <c r="AC1855" s="1">
        <v>88330</v>
      </c>
      <c r="AD1855" s="6" t="str">
        <f>IF(COUNTIF(Returns!$A$2:$A$1635,Orders!AC1855)&gt;0,"Returned","Not Returned")</f>
        <v>Not Returned</v>
      </c>
    </row>
    <row r="1856" spans="1:30" ht="12.75" customHeight="1" thickTop="1" thickBot="1" x14ac:dyDescent="0.25">
      <c r="A1856" s="10">
        <v>18265</v>
      </c>
      <c r="B1856" s="11" t="s">
        <v>25</v>
      </c>
      <c r="C1856" s="11">
        <v>7.0000000000000007E-2</v>
      </c>
      <c r="D1856" s="11">
        <v>2.78</v>
      </c>
      <c r="E1856" s="11">
        <v>1.49</v>
      </c>
      <c r="F1856" s="11">
        <v>3248</v>
      </c>
      <c r="G1856" s="6" t="str">
        <f>IF(COUNTIF(Table1[Customer ID],Table1[[#This Row],[Customer ID]])&gt;1,"Repeat Customer","One-Time Customer")</f>
        <v>One-Time Customer</v>
      </c>
      <c r="H1856" s="11" t="s">
        <v>2909</v>
      </c>
      <c r="I1856" s="11" t="s">
        <v>49</v>
      </c>
      <c r="J1856" s="11" t="s">
        <v>58</v>
      </c>
      <c r="K1856" s="11" t="s">
        <v>29</v>
      </c>
      <c r="L1856" s="11" t="s">
        <v>109</v>
      </c>
      <c r="M1856" s="11" t="s">
        <v>59</v>
      </c>
      <c r="N1856" s="11" t="s">
        <v>772</v>
      </c>
      <c r="O1856" s="11">
        <v>0.36</v>
      </c>
      <c r="P1856" s="6">
        <f>Table1[[#This Row],[Profit]]/Table1[[#This Row],[Sales]]</f>
        <v>-7.2268909168081494</v>
      </c>
      <c r="Q1856" s="11" t="s">
        <v>33</v>
      </c>
      <c r="R1856" s="11" t="s">
        <v>136</v>
      </c>
      <c r="S1856" s="11" t="s">
        <v>171</v>
      </c>
      <c r="T1856" s="11" t="s">
        <v>2910</v>
      </c>
      <c r="U1856" s="11">
        <v>70458</v>
      </c>
      <c r="V1856" s="12">
        <v>42131</v>
      </c>
      <c r="W1856" s="13" t="str">
        <f>TEXT(Table1[[#This Row],[Order Date]],"mmmm")</f>
        <v>May</v>
      </c>
      <c r="X1856" s="7" t="str">
        <f>TEXT(Table1[[#This Row],[Order Date]],"yyyy")</f>
        <v>2015</v>
      </c>
      <c r="Y1856" s="12">
        <v>42132</v>
      </c>
      <c r="Z1856" s="11">
        <v>-340.53109999999998</v>
      </c>
      <c r="AA1856" s="11">
        <v>17</v>
      </c>
      <c r="AB1856" s="11">
        <v>47.12</v>
      </c>
      <c r="AC1856" s="11">
        <v>87297</v>
      </c>
      <c r="AD1856" s="6" t="str">
        <f>IF(COUNTIF(Returns!$A$2:$A$1635,Orders!AC1856)&gt;0,"Returned","Not Returned")</f>
        <v>Not Returned</v>
      </c>
    </row>
    <row r="1857" spans="1:30" ht="12.75" customHeight="1" thickTop="1" thickBot="1" x14ac:dyDescent="0.25">
      <c r="A1857" s="8">
        <v>25820</v>
      </c>
      <c r="B1857" s="1" t="s">
        <v>25</v>
      </c>
      <c r="C1857" s="1">
        <v>0.03</v>
      </c>
      <c r="D1857" s="1">
        <v>42.8</v>
      </c>
      <c r="E1857" s="1">
        <v>2.99</v>
      </c>
      <c r="F1857" s="1">
        <v>3249</v>
      </c>
      <c r="G1857" s="6" t="str">
        <f>IF(COUNTIF(Table1[Customer ID],Table1[[#This Row],[Customer ID]])&gt;1,"Repeat Customer","One-Time Customer")</f>
        <v>One-Time Customer</v>
      </c>
      <c r="H1857" s="1" t="s">
        <v>2911</v>
      </c>
      <c r="I1857" s="1" t="s">
        <v>49</v>
      </c>
      <c r="J1857" s="1" t="s">
        <v>28</v>
      </c>
      <c r="K1857" s="1" t="s">
        <v>29</v>
      </c>
      <c r="L1857" s="1" t="s">
        <v>109</v>
      </c>
      <c r="M1857" s="1" t="s">
        <v>59</v>
      </c>
      <c r="N1857" s="1" t="s">
        <v>2912</v>
      </c>
      <c r="O1857" s="1">
        <v>0.36</v>
      </c>
      <c r="P1857" s="6">
        <f>Table1[[#This Row],[Profit]]/Table1[[#This Row],[Sales]]</f>
        <v>0.69</v>
      </c>
      <c r="Q1857" s="1" t="s">
        <v>33</v>
      </c>
      <c r="R1857" s="1" t="s">
        <v>53</v>
      </c>
      <c r="S1857" s="1" t="s">
        <v>415</v>
      </c>
      <c r="T1857" s="1" t="s">
        <v>2913</v>
      </c>
      <c r="U1857" s="1">
        <v>21403</v>
      </c>
      <c r="V1857" s="9">
        <v>42147</v>
      </c>
      <c r="W1857" s="13" t="str">
        <f>TEXT(Table1[[#This Row],[Order Date]],"mmmm")</f>
        <v>May</v>
      </c>
      <c r="X1857" s="7" t="str">
        <f>TEXT(Table1[[#This Row],[Order Date]],"yyyy")</f>
        <v>2015</v>
      </c>
      <c r="Y1857" s="9">
        <v>42148</v>
      </c>
      <c r="Z1857" s="1">
        <v>462.92099999999994</v>
      </c>
      <c r="AA1857" s="1">
        <v>16</v>
      </c>
      <c r="AB1857" s="1">
        <v>670.9</v>
      </c>
      <c r="AC1857" s="1">
        <v>87298</v>
      </c>
      <c r="AD1857" s="6" t="str">
        <f>IF(COUNTIF(Returns!$A$2:$A$1635,Orders!AC1857)&gt;0,"Returned","Not Returned")</f>
        <v>Not Returned</v>
      </c>
    </row>
    <row r="1858" spans="1:30" ht="12.75" customHeight="1" thickTop="1" thickBot="1" x14ac:dyDescent="0.25">
      <c r="A1858" s="10">
        <v>5511</v>
      </c>
      <c r="B1858" s="11" t="s">
        <v>47</v>
      </c>
      <c r="C1858" s="11">
        <v>0.02</v>
      </c>
      <c r="D1858" s="11">
        <v>5.28</v>
      </c>
      <c r="E1858" s="11">
        <v>6.26</v>
      </c>
      <c r="F1858" s="11">
        <v>3251</v>
      </c>
      <c r="G1858" s="6" t="str">
        <f>IF(COUNTIF(Table1[Customer ID],Table1[[#This Row],[Customer ID]])&gt;1,"Repeat Customer","One-Time Customer")</f>
        <v>One-Time Customer</v>
      </c>
      <c r="H1858" s="11" t="s">
        <v>2914</v>
      </c>
      <c r="I1858" s="11" t="s">
        <v>49</v>
      </c>
      <c r="J1858" s="11" t="s">
        <v>28</v>
      </c>
      <c r="K1858" s="11" t="s">
        <v>29</v>
      </c>
      <c r="L1858" s="11" t="s">
        <v>93</v>
      </c>
      <c r="M1858" s="11" t="s">
        <v>59</v>
      </c>
      <c r="N1858" s="11" t="s">
        <v>1363</v>
      </c>
      <c r="O1858" s="11">
        <v>0.4</v>
      </c>
      <c r="P1858" s="6">
        <f>Table1[[#This Row],[Profit]]/Table1[[#This Row],[Sales]]</f>
        <v>-0.31779414615235507</v>
      </c>
      <c r="Q1858" s="11" t="s">
        <v>33</v>
      </c>
      <c r="R1858" s="11" t="s">
        <v>53</v>
      </c>
      <c r="S1858" s="11" t="s">
        <v>71</v>
      </c>
      <c r="T1858" s="11" t="s">
        <v>90</v>
      </c>
      <c r="U1858" s="11">
        <v>10112</v>
      </c>
      <c r="V1858" s="12">
        <v>42166</v>
      </c>
      <c r="W1858" s="13" t="str">
        <f>TEXT(Table1[[#This Row],[Order Date]],"mmmm")</f>
        <v>June</v>
      </c>
      <c r="X1858" s="7" t="str">
        <f>TEXT(Table1[[#This Row],[Order Date]],"yyyy")</f>
        <v>2015</v>
      </c>
      <c r="Y1858" s="12">
        <v>42167</v>
      </c>
      <c r="Z1858" s="11">
        <v>-131.16</v>
      </c>
      <c r="AA1858" s="11">
        <v>76</v>
      </c>
      <c r="AB1858" s="11">
        <v>412.72</v>
      </c>
      <c r="AC1858" s="11">
        <v>39076</v>
      </c>
      <c r="AD1858" s="6" t="str">
        <f>IF(COUNTIF(Returns!$A$2:$A$1635,Orders!AC1858)&gt;0,"Returned","Not Returned")</f>
        <v>Not Returned</v>
      </c>
    </row>
    <row r="1859" spans="1:30" ht="12.75" customHeight="1" thickTop="1" thickBot="1" x14ac:dyDescent="0.25">
      <c r="A1859" s="8">
        <v>23324</v>
      </c>
      <c r="B1859" s="1" t="s">
        <v>47</v>
      </c>
      <c r="C1859" s="1">
        <v>0.01</v>
      </c>
      <c r="D1859" s="1">
        <v>11.34</v>
      </c>
      <c r="E1859" s="1">
        <v>5.01</v>
      </c>
      <c r="F1859" s="1">
        <v>3252</v>
      </c>
      <c r="G1859" s="6" t="str">
        <f>IF(COUNTIF(Table1[Customer ID],Table1[[#This Row],[Customer ID]])&gt;1,"Repeat Customer","One-Time Customer")</f>
        <v>Repeat Customer</v>
      </c>
      <c r="H1859" s="1" t="s">
        <v>2915</v>
      </c>
      <c r="I1859" s="1" t="s">
        <v>49</v>
      </c>
      <c r="J1859" s="1" t="s">
        <v>58</v>
      </c>
      <c r="K1859" s="1" t="s">
        <v>29</v>
      </c>
      <c r="L1859" s="1" t="s">
        <v>93</v>
      </c>
      <c r="M1859" s="1" t="s">
        <v>59</v>
      </c>
      <c r="N1859" s="1" t="s">
        <v>576</v>
      </c>
      <c r="O1859" s="1">
        <v>0.36</v>
      </c>
      <c r="P1859" s="6">
        <f>Table1[[#This Row],[Profit]]/Table1[[#This Row],[Sales]]</f>
        <v>-0.81473829201101933</v>
      </c>
      <c r="Q1859" s="1" t="s">
        <v>33</v>
      </c>
      <c r="R1859" s="1" t="s">
        <v>53</v>
      </c>
      <c r="S1859" s="1" t="s">
        <v>71</v>
      </c>
      <c r="T1859" s="1" t="s">
        <v>2916</v>
      </c>
      <c r="U1859" s="1">
        <v>12306</v>
      </c>
      <c r="V1859" s="9">
        <v>42093</v>
      </c>
      <c r="W1859" s="13" t="str">
        <f>TEXT(Table1[[#This Row],[Order Date]],"mmmm")</f>
        <v>March</v>
      </c>
      <c r="X1859" s="7" t="str">
        <f>TEXT(Table1[[#This Row],[Order Date]],"yyyy")</f>
        <v>2015</v>
      </c>
      <c r="Y1859" s="9">
        <v>42095</v>
      </c>
      <c r="Z1859" s="1">
        <v>-11.83</v>
      </c>
      <c r="AA1859" s="1">
        <v>1</v>
      </c>
      <c r="AB1859" s="1">
        <v>14.52</v>
      </c>
      <c r="AC1859" s="1">
        <v>87296</v>
      </c>
      <c r="AD1859" s="6" t="str">
        <f>IF(COUNTIF(Returns!$A$2:$A$1635,Orders!AC1859)&gt;0,"Returned","Not Returned")</f>
        <v>Not Returned</v>
      </c>
    </row>
    <row r="1860" spans="1:30" ht="12.75" customHeight="1" thickTop="1" thickBot="1" x14ac:dyDescent="0.25">
      <c r="A1860" s="10">
        <v>23511</v>
      </c>
      <c r="B1860" s="11" t="s">
        <v>47</v>
      </c>
      <c r="C1860" s="11">
        <v>0.02</v>
      </c>
      <c r="D1860" s="11">
        <v>5.28</v>
      </c>
      <c r="E1860" s="11">
        <v>6.26</v>
      </c>
      <c r="F1860" s="11">
        <v>3252</v>
      </c>
      <c r="G1860" s="6" t="str">
        <f>IF(COUNTIF(Table1[Customer ID],Table1[[#This Row],[Customer ID]])&gt;1,"Repeat Customer","One-Time Customer")</f>
        <v>Repeat Customer</v>
      </c>
      <c r="H1860" s="11" t="s">
        <v>2915</v>
      </c>
      <c r="I1860" s="11" t="s">
        <v>49</v>
      </c>
      <c r="J1860" s="11" t="s">
        <v>28</v>
      </c>
      <c r="K1860" s="11" t="s">
        <v>29</v>
      </c>
      <c r="L1860" s="11" t="s">
        <v>93</v>
      </c>
      <c r="M1860" s="11" t="s">
        <v>59</v>
      </c>
      <c r="N1860" s="11" t="s">
        <v>1363</v>
      </c>
      <c r="O1860" s="11">
        <v>0.4</v>
      </c>
      <c r="P1860" s="6">
        <f>Table1[[#This Row],[Profit]]/Table1[[#This Row],[Sales]]</f>
        <v>-0.63558829230471015</v>
      </c>
      <c r="Q1860" s="11" t="s">
        <v>33</v>
      </c>
      <c r="R1860" s="11" t="s">
        <v>53</v>
      </c>
      <c r="S1860" s="11" t="s">
        <v>71</v>
      </c>
      <c r="T1860" s="11" t="s">
        <v>2916</v>
      </c>
      <c r="U1860" s="11">
        <v>12306</v>
      </c>
      <c r="V1860" s="12">
        <v>42166</v>
      </c>
      <c r="W1860" s="13" t="str">
        <f>TEXT(Table1[[#This Row],[Order Date]],"mmmm")</f>
        <v>June</v>
      </c>
      <c r="X1860" s="7" t="str">
        <f>TEXT(Table1[[#This Row],[Order Date]],"yyyy")</f>
        <v>2015</v>
      </c>
      <c r="Y1860" s="12">
        <v>42167</v>
      </c>
      <c r="Z1860" s="11">
        <v>-65.58</v>
      </c>
      <c r="AA1860" s="11">
        <v>19</v>
      </c>
      <c r="AB1860" s="11">
        <v>103.18</v>
      </c>
      <c r="AC1860" s="11">
        <v>87299</v>
      </c>
      <c r="AD1860" s="6" t="str">
        <f>IF(COUNTIF(Returns!$A$2:$A$1635,Orders!AC1860)&gt;0,"Returned","Not Returned")</f>
        <v>Not Returned</v>
      </c>
    </row>
    <row r="1861" spans="1:30" ht="12.75" customHeight="1" thickTop="1" thickBot="1" x14ac:dyDescent="0.25">
      <c r="A1861" s="8">
        <v>21046</v>
      </c>
      <c r="B1861" s="1" t="s">
        <v>47</v>
      </c>
      <c r="C1861" s="1">
        <v>0.06</v>
      </c>
      <c r="D1861" s="1">
        <v>47.98</v>
      </c>
      <c r="E1861" s="1">
        <v>3.61</v>
      </c>
      <c r="F1861" s="1">
        <v>3255</v>
      </c>
      <c r="G1861" s="6" t="str">
        <f>IF(COUNTIF(Table1[Customer ID],Table1[[#This Row],[Customer ID]])&gt;1,"Repeat Customer","One-Time Customer")</f>
        <v>One-Time Customer</v>
      </c>
      <c r="H1861" s="1" t="s">
        <v>2917</v>
      </c>
      <c r="I1861" s="1" t="s">
        <v>49</v>
      </c>
      <c r="J1861" s="1" t="s">
        <v>40</v>
      </c>
      <c r="K1861" s="1" t="s">
        <v>77</v>
      </c>
      <c r="L1861" s="1" t="s">
        <v>180</v>
      </c>
      <c r="M1861" s="1" t="s">
        <v>51</v>
      </c>
      <c r="N1861" s="1" t="s">
        <v>1013</v>
      </c>
      <c r="O1861" s="1">
        <v>0.71</v>
      </c>
      <c r="P1861" s="6">
        <f>Table1[[#This Row],[Profit]]/Table1[[#This Row],[Sales]]</f>
        <v>6.0923642302980809</v>
      </c>
      <c r="Q1861" s="1" t="s">
        <v>33</v>
      </c>
      <c r="R1861" s="1" t="s">
        <v>136</v>
      </c>
      <c r="S1861" s="1" t="s">
        <v>362</v>
      </c>
      <c r="T1861" s="1" t="s">
        <v>2918</v>
      </c>
      <c r="U1861" s="1">
        <v>33319</v>
      </c>
      <c r="V1861" s="9">
        <v>42053</v>
      </c>
      <c r="W1861" s="13" t="str">
        <f>TEXT(Table1[[#This Row],[Order Date]],"mmmm")</f>
        <v>February</v>
      </c>
      <c r="X1861" s="7" t="str">
        <f>TEXT(Table1[[#This Row],[Order Date]],"yyyy")</f>
        <v>2015</v>
      </c>
      <c r="Y1861" s="9">
        <v>42055</v>
      </c>
      <c r="Z1861" s="1">
        <v>596.80799999999999</v>
      </c>
      <c r="AA1861" s="1">
        <v>2</v>
      </c>
      <c r="AB1861" s="1">
        <v>97.96</v>
      </c>
      <c r="AC1861" s="1">
        <v>90488</v>
      </c>
      <c r="AD1861" s="6" t="str">
        <f>IF(COUNTIF(Returns!$A$2:$A$1635,Orders!AC1861)&gt;0,"Returned","Not Returned")</f>
        <v>Not Returned</v>
      </c>
    </row>
    <row r="1862" spans="1:30" ht="12.75" customHeight="1" thickTop="1" thickBot="1" x14ac:dyDescent="0.25">
      <c r="A1862" s="10">
        <v>18728</v>
      </c>
      <c r="B1862" s="11" t="s">
        <v>37</v>
      </c>
      <c r="C1862" s="11">
        <v>0.01</v>
      </c>
      <c r="D1862" s="11">
        <v>349.45</v>
      </c>
      <c r="E1862" s="11">
        <v>60</v>
      </c>
      <c r="F1862" s="11">
        <v>3257</v>
      </c>
      <c r="G1862" s="6" t="str">
        <f>IF(COUNTIF(Table1[Customer ID],Table1[[#This Row],[Customer ID]])&gt;1,"Repeat Customer","One-Time Customer")</f>
        <v>Repeat Customer</v>
      </c>
      <c r="H1862" s="11" t="s">
        <v>2919</v>
      </c>
      <c r="I1862" s="11" t="s">
        <v>39</v>
      </c>
      <c r="J1862" s="11" t="s">
        <v>114</v>
      </c>
      <c r="K1862" s="11" t="s">
        <v>41</v>
      </c>
      <c r="L1862" s="11" t="s">
        <v>152</v>
      </c>
      <c r="M1862" s="11" t="s">
        <v>43</v>
      </c>
      <c r="N1862" s="11" t="s">
        <v>989</v>
      </c>
      <c r="O1862" s="11"/>
      <c r="P1862" s="6">
        <f>Table1[[#This Row],[Profit]]/Table1[[#This Row],[Sales]]</f>
        <v>0.69</v>
      </c>
      <c r="Q1862" s="11" t="s">
        <v>33</v>
      </c>
      <c r="R1862" s="11" t="s">
        <v>34</v>
      </c>
      <c r="S1862" s="11" t="s">
        <v>35</v>
      </c>
      <c r="T1862" s="11" t="s">
        <v>2920</v>
      </c>
      <c r="U1862" s="11">
        <v>98632</v>
      </c>
      <c r="V1862" s="12">
        <v>42150</v>
      </c>
      <c r="W1862" s="13" t="str">
        <f>TEXT(Table1[[#This Row],[Order Date]],"mmmm")</f>
        <v>May</v>
      </c>
      <c r="X1862" s="7" t="str">
        <f>TEXT(Table1[[#This Row],[Order Date]],"yyyy")</f>
        <v>2015</v>
      </c>
      <c r="Y1862" s="12">
        <v>42151</v>
      </c>
      <c r="Z1862" s="11">
        <v>3739.3928999999998</v>
      </c>
      <c r="AA1862" s="11">
        <v>15</v>
      </c>
      <c r="AB1862" s="11">
        <v>5419.41</v>
      </c>
      <c r="AC1862" s="11">
        <v>88825</v>
      </c>
      <c r="AD1862" s="6" t="str">
        <f>IF(COUNTIF(Returns!$A$2:$A$1635,Orders!AC1862)&gt;0,"Returned","Not Returned")</f>
        <v>Not Returned</v>
      </c>
    </row>
    <row r="1863" spans="1:30" ht="12.75" customHeight="1" thickTop="1" thickBot="1" x14ac:dyDescent="0.25">
      <c r="A1863" s="8">
        <v>21852</v>
      </c>
      <c r="B1863" s="1" t="s">
        <v>56</v>
      </c>
      <c r="C1863" s="1">
        <v>0</v>
      </c>
      <c r="D1863" s="1">
        <v>25.38</v>
      </c>
      <c r="E1863" s="1">
        <v>8.99</v>
      </c>
      <c r="F1863" s="1">
        <v>3257</v>
      </c>
      <c r="G1863" s="6" t="str">
        <f>IF(COUNTIF(Table1[Customer ID],Table1[[#This Row],[Customer ID]])&gt;1,"Repeat Customer","One-Time Customer")</f>
        <v>Repeat Customer</v>
      </c>
      <c r="H1863" s="1" t="s">
        <v>2919</v>
      </c>
      <c r="I1863" s="1" t="s">
        <v>49</v>
      </c>
      <c r="J1863" s="1" t="s">
        <v>114</v>
      </c>
      <c r="K1863" s="1" t="s">
        <v>41</v>
      </c>
      <c r="L1863" s="1" t="s">
        <v>50</v>
      </c>
      <c r="M1863" s="1" t="s">
        <v>51</v>
      </c>
      <c r="N1863" s="1" t="s">
        <v>762</v>
      </c>
      <c r="O1863" s="1">
        <v>0.5</v>
      </c>
      <c r="P1863" s="6">
        <f>Table1[[#This Row],[Profit]]/Table1[[#This Row],[Sales]]</f>
        <v>0.67151811082080493</v>
      </c>
      <c r="Q1863" s="1" t="s">
        <v>33</v>
      </c>
      <c r="R1863" s="1" t="s">
        <v>34</v>
      </c>
      <c r="S1863" s="1" t="s">
        <v>35</v>
      </c>
      <c r="T1863" s="1" t="s">
        <v>2920</v>
      </c>
      <c r="U1863" s="1">
        <v>98632</v>
      </c>
      <c r="V1863" s="9">
        <v>42137</v>
      </c>
      <c r="W1863" s="13" t="str">
        <f>TEXT(Table1[[#This Row],[Order Date]],"mmmm")</f>
        <v>May</v>
      </c>
      <c r="X1863" s="7" t="str">
        <f>TEXT(Table1[[#This Row],[Order Date]],"yyyy")</f>
        <v>2015</v>
      </c>
      <c r="Y1863" s="9">
        <v>42139</v>
      </c>
      <c r="Z1863" s="1">
        <v>470.33799999999997</v>
      </c>
      <c r="AA1863" s="1">
        <v>26</v>
      </c>
      <c r="AB1863" s="1">
        <v>700.41</v>
      </c>
      <c r="AC1863" s="1">
        <v>88826</v>
      </c>
      <c r="AD1863" s="6" t="str">
        <f>IF(COUNTIF(Returns!$A$2:$A$1635,Orders!AC1863)&gt;0,"Returned","Not Returned")</f>
        <v>Not Returned</v>
      </c>
    </row>
    <row r="1864" spans="1:30" ht="12.75" customHeight="1" thickTop="1" thickBot="1" x14ac:dyDescent="0.25">
      <c r="A1864" s="10">
        <v>23010</v>
      </c>
      <c r="B1864" s="11" t="s">
        <v>37</v>
      </c>
      <c r="C1864" s="11">
        <v>0.02</v>
      </c>
      <c r="D1864" s="11">
        <v>55.94</v>
      </c>
      <c r="E1864" s="11">
        <v>6.55</v>
      </c>
      <c r="F1864" s="11">
        <v>3258</v>
      </c>
      <c r="G1864" s="6" t="str">
        <f>IF(COUNTIF(Table1[Customer ID],Table1[[#This Row],[Customer ID]])&gt;1,"Repeat Customer","One-Time Customer")</f>
        <v>One-Time Customer</v>
      </c>
      <c r="H1864" s="11" t="s">
        <v>2921</v>
      </c>
      <c r="I1864" s="11" t="s">
        <v>49</v>
      </c>
      <c r="J1864" s="11" t="s">
        <v>114</v>
      </c>
      <c r="K1864" s="11" t="s">
        <v>77</v>
      </c>
      <c r="L1864" s="11" t="s">
        <v>180</v>
      </c>
      <c r="M1864" s="11" t="s">
        <v>59</v>
      </c>
      <c r="N1864" s="11" t="s">
        <v>1156</v>
      </c>
      <c r="O1864" s="11">
        <v>0.68</v>
      </c>
      <c r="P1864" s="6">
        <f>Table1[[#This Row],[Profit]]/Table1[[#This Row],[Sales]]</f>
        <v>0.62121258966114279</v>
      </c>
      <c r="Q1864" s="11" t="s">
        <v>33</v>
      </c>
      <c r="R1864" s="11" t="s">
        <v>34</v>
      </c>
      <c r="S1864" s="11" t="s">
        <v>35</v>
      </c>
      <c r="T1864" s="11" t="s">
        <v>2922</v>
      </c>
      <c r="U1864" s="11">
        <v>98037</v>
      </c>
      <c r="V1864" s="12">
        <v>42084</v>
      </c>
      <c r="W1864" s="13" t="str">
        <f>TEXT(Table1[[#This Row],[Order Date]],"mmmm")</f>
        <v>March</v>
      </c>
      <c r="X1864" s="7" t="str">
        <f>TEXT(Table1[[#This Row],[Order Date]],"yyyy")</f>
        <v>2015</v>
      </c>
      <c r="Y1864" s="12">
        <v>42086</v>
      </c>
      <c r="Z1864" s="11">
        <v>401.85</v>
      </c>
      <c r="AA1864" s="11">
        <v>11</v>
      </c>
      <c r="AB1864" s="11">
        <v>646.88</v>
      </c>
      <c r="AC1864" s="11">
        <v>88824</v>
      </c>
      <c r="AD1864" s="6" t="str">
        <f>IF(COUNTIF(Returns!$A$2:$A$1635,Orders!AC1864)&gt;0,"Returned","Not Returned")</f>
        <v>Not Returned</v>
      </c>
    </row>
    <row r="1865" spans="1:30" ht="12.75" customHeight="1" thickTop="1" thickBot="1" x14ac:dyDescent="0.25">
      <c r="A1865" s="8">
        <v>22576</v>
      </c>
      <c r="B1865" s="1" t="s">
        <v>37</v>
      </c>
      <c r="C1865" s="1">
        <v>7.0000000000000007E-2</v>
      </c>
      <c r="D1865" s="1">
        <v>105.34</v>
      </c>
      <c r="E1865" s="1">
        <v>24.49</v>
      </c>
      <c r="F1865" s="1">
        <v>3261</v>
      </c>
      <c r="G1865" s="6" t="str">
        <f>IF(COUNTIF(Table1[Customer ID],Table1[[#This Row],[Customer ID]])&gt;1,"Repeat Customer","One-Time Customer")</f>
        <v>One-Time Customer</v>
      </c>
      <c r="H1865" s="1" t="s">
        <v>2923</v>
      </c>
      <c r="I1865" s="1" t="s">
        <v>27</v>
      </c>
      <c r="J1865" s="1" t="s">
        <v>114</v>
      </c>
      <c r="K1865" s="1" t="s">
        <v>41</v>
      </c>
      <c r="L1865" s="1" t="s">
        <v>50</v>
      </c>
      <c r="M1865" s="1" t="s">
        <v>236</v>
      </c>
      <c r="N1865" s="1" t="s">
        <v>2608</v>
      </c>
      <c r="O1865" s="1">
        <v>0.61</v>
      </c>
      <c r="P1865" s="6">
        <f>Table1[[#This Row],[Profit]]/Table1[[#This Row],[Sales]]</f>
        <v>0.69</v>
      </c>
      <c r="Q1865" s="1" t="s">
        <v>33</v>
      </c>
      <c r="R1865" s="1" t="s">
        <v>61</v>
      </c>
      <c r="S1865" s="1" t="s">
        <v>300</v>
      </c>
      <c r="T1865" s="1" t="s">
        <v>2924</v>
      </c>
      <c r="U1865" s="1">
        <v>49221</v>
      </c>
      <c r="V1865" s="9">
        <v>42180</v>
      </c>
      <c r="W1865" s="13" t="str">
        <f>TEXT(Table1[[#This Row],[Order Date]],"mmmm")</f>
        <v>June</v>
      </c>
      <c r="X1865" s="7" t="str">
        <f>TEXT(Table1[[#This Row],[Order Date]],"yyyy")</f>
        <v>2015</v>
      </c>
      <c r="Y1865" s="9">
        <v>42181</v>
      </c>
      <c r="Z1865" s="1">
        <v>710.67239999999993</v>
      </c>
      <c r="AA1865" s="1">
        <v>10</v>
      </c>
      <c r="AB1865" s="1">
        <v>1029.96</v>
      </c>
      <c r="AC1865" s="1">
        <v>90296</v>
      </c>
      <c r="AD1865" s="6" t="str">
        <f>IF(COUNTIF(Returns!$A$2:$A$1635,Orders!AC1865)&gt;0,"Returned","Not Returned")</f>
        <v>Not Returned</v>
      </c>
    </row>
    <row r="1866" spans="1:30" ht="12.75" customHeight="1" thickTop="1" thickBot="1" x14ac:dyDescent="0.25">
      <c r="A1866" s="10">
        <v>19214</v>
      </c>
      <c r="B1866" s="11" t="s">
        <v>56</v>
      </c>
      <c r="C1866" s="11">
        <v>0.04</v>
      </c>
      <c r="D1866" s="11">
        <v>9.99</v>
      </c>
      <c r="E1866" s="11">
        <v>11.59</v>
      </c>
      <c r="F1866" s="11">
        <v>3264</v>
      </c>
      <c r="G1866" s="6" t="str">
        <f>IF(COUNTIF(Table1[Customer ID],Table1[[#This Row],[Customer ID]])&gt;1,"Repeat Customer","One-Time Customer")</f>
        <v>One-Time Customer</v>
      </c>
      <c r="H1866" s="11" t="s">
        <v>2925</v>
      </c>
      <c r="I1866" s="11" t="s">
        <v>49</v>
      </c>
      <c r="J1866" s="11" t="s">
        <v>28</v>
      </c>
      <c r="K1866" s="11" t="s">
        <v>29</v>
      </c>
      <c r="L1866" s="11" t="s">
        <v>93</v>
      </c>
      <c r="M1866" s="11" t="s">
        <v>59</v>
      </c>
      <c r="N1866" s="11" t="s">
        <v>1911</v>
      </c>
      <c r="O1866" s="11">
        <v>0.4</v>
      </c>
      <c r="P1866" s="6">
        <f>Table1[[#This Row],[Profit]]/Table1[[#This Row],[Sales]]</f>
        <v>-1.7723171434056437</v>
      </c>
      <c r="Q1866" s="11" t="s">
        <v>33</v>
      </c>
      <c r="R1866" s="11" t="s">
        <v>34</v>
      </c>
      <c r="S1866" s="11" t="s">
        <v>45</v>
      </c>
      <c r="T1866" s="11" t="s">
        <v>2926</v>
      </c>
      <c r="U1866" s="11">
        <v>95501</v>
      </c>
      <c r="V1866" s="12">
        <v>42143</v>
      </c>
      <c r="W1866" s="13" t="str">
        <f>TEXT(Table1[[#This Row],[Order Date]],"mmmm")</f>
        <v>May</v>
      </c>
      <c r="X1866" s="7" t="str">
        <f>TEXT(Table1[[#This Row],[Order Date]],"yyyy")</f>
        <v>2015</v>
      </c>
      <c r="Y1866" s="12">
        <v>42145</v>
      </c>
      <c r="Z1866" s="11">
        <v>-92.32</v>
      </c>
      <c r="AA1866" s="11">
        <v>5</v>
      </c>
      <c r="AB1866" s="11">
        <v>52.09</v>
      </c>
      <c r="AC1866" s="11">
        <v>89835</v>
      </c>
      <c r="AD1866" s="6" t="str">
        <f>IF(COUNTIF(Returns!$A$2:$A$1635,Orders!AC1866)&gt;0,"Returned","Not Returned")</f>
        <v>Not Returned</v>
      </c>
    </row>
    <row r="1867" spans="1:30" ht="12.75" customHeight="1" thickTop="1" thickBot="1" x14ac:dyDescent="0.25">
      <c r="A1867" s="8">
        <v>21459</v>
      </c>
      <c r="B1867" s="1" t="s">
        <v>47</v>
      </c>
      <c r="C1867" s="1">
        <v>0</v>
      </c>
      <c r="D1867" s="1">
        <v>122.99</v>
      </c>
      <c r="E1867" s="1">
        <v>70.2</v>
      </c>
      <c r="F1867" s="1">
        <v>3266</v>
      </c>
      <c r="G1867" s="6" t="str">
        <f>IF(COUNTIF(Table1[Customer ID],Table1[[#This Row],[Customer ID]])&gt;1,"Repeat Customer","One-Time Customer")</f>
        <v>One-Time Customer</v>
      </c>
      <c r="H1867" s="1" t="s">
        <v>2927</v>
      </c>
      <c r="I1867" s="1" t="s">
        <v>39</v>
      </c>
      <c r="J1867" s="1" t="s">
        <v>28</v>
      </c>
      <c r="K1867" s="1" t="s">
        <v>41</v>
      </c>
      <c r="L1867" s="1" t="s">
        <v>42</v>
      </c>
      <c r="M1867" s="1" t="s">
        <v>43</v>
      </c>
      <c r="N1867" s="1" t="s">
        <v>147</v>
      </c>
      <c r="O1867" s="1">
        <v>0.74</v>
      </c>
      <c r="P1867" s="6">
        <f>Table1[[#This Row],[Profit]]/Table1[[#This Row],[Sales]]</f>
        <v>-0.98295707791050091</v>
      </c>
      <c r="Q1867" s="1" t="s">
        <v>33</v>
      </c>
      <c r="R1867" s="1" t="s">
        <v>53</v>
      </c>
      <c r="S1867" s="1" t="s">
        <v>188</v>
      </c>
      <c r="T1867" s="1" t="s">
        <v>433</v>
      </c>
      <c r="U1867" s="1">
        <v>4073</v>
      </c>
      <c r="V1867" s="9">
        <v>42032</v>
      </c>
      <c r="W1867" s="13" t="str">
        <f>TEXT(Table1[[#This Row],[Order Date]],"mmmm")</f>
        <v>January</v>
      </c>
      <c r="X1867" s="7" t="str">
        <f>TEXT(Table1[[#This Row],[Order Date]],"yyyy")</f>
        <v>2015</v>
      </c>
      <c r="Y1867" s="9">
        <v>42033</v>
      </c>
      <c r="Z1867" s="1">
        <v>-1764.29</v>
      </c>
      <c r="AA1867" s="1">
        <v>14</v>
      </c>
      <c r="AB1867" s="1">
        <v>1794.88</v>
      </c>
      <c r="AC1867" s="1">
        <v>89836</v>
      </c>
      <c r="AD1867" s="6" t="str">
        <f>IF(COUNTIF(Returns!$A$2:$A$1635,Orders!AC1867)&gt;0,"Returned","Not Returned")</f>
        <v>Not Returned</v>
      </c>
    </row>
    <row r="1868" spans="1:30" ht="12.75" customHeight="1" thickTop="1" thickBot="1" x14ac:dyDescent="0.25">
      <c r="A1868" s="10">
        <v>21458</v>
      </c>
      <c r="B1868" s="11" t="s">
        <v>47</v>
      </c>
      <c r="C1868" s="11">
        <v>0.01</v>
      </c>
      <c r="D1868" s="11">
        <v>60.97</v>
      </c>
      <c r="E1868" s="11">
        <v>4.5</v>
      </c>
      <c r="F1868" s="11">
        <v>3269</v>
      </c>
      <c r="G1868" s="6" t="str">
        <f>IF(COUNTIF(Table1[Customer ID],Table1[[#This Row],[Customer ID]])&gt;1,"Repeat Customer","One-Time Customer")</f>
        <v>One-Time Customer</v>
      </c>
      <c r="H1868" s="11" t="s">
        <v>2928</v>
      </c>
      <c r="I1868" s="11" t="s">
        <v>27</v>
      </c>
      <c r="J1868" s="11" t="s">
        <v>28</v>
      </c>
      <c r="K1868" s="11" t="s">
        <v>29</v>
      </c>
      <c r="L1868" s="11" t="s">
        <v>257</v>
      </c>
      <c r="M1868" s="11" t="s">
        <v>59</v>
      </c>
      <c r="N1868" s="11" t="s">
        <v>2132</v>
      </c>
      <c r="O1868" s="11">
        <v>0.56000000000000005</v>
      </c>
      <c r="P1868" s="6">
        <f>Table1[[#This Row],[Profit]]/Table1[[#This Row],[Sales]]</f>
        <v>0.69</v>
      </c>
      <c r="Q1868" s="11" t="s">
        <v>33</v>
      </c>
      <c r="R1868" s="11" t="s">
        <v>53</v>
      </c>
      <c r="S1868" s="11" t="s">
        <v>54</v>
      </c>
      <c r="T1868" s="11" t="s">
        <v>2929</v>
      </c>
      <c r="U1868" s="11">
        <v>7060</v>
      </c>
      <c r="V1868" s="12">
        <v>42032</v>
      </c>
      <c r="W1868" s="13" t="str">
        <f>TEXT(Table1[[#This Row],[Order Date]],"mmmm")</f>
        <v>January</v>
      </c>
      <c r="X1868" s="7" t="str">
        <f>TEXT(Table1[[#This Row],[Order Date]],"yyyy")</f>
        <v>2015</v>
      </c>
      <c r="Y1868" s="12">
        <v>42034</v>
      </c>
      <c r="Z1868" s="11">
        <v>527.87759999999992</v>
      </c>
      <c r="AA1868" s="11">
        <v>12</v>
      </c>
      <c r="AB1868" s="11">
        <v>765.04</v>
      </c>
      <c r="AC1868" s="11">
        <v>89836</v>
      </c>
      <c r="AD1868" s="6" t="str">
        <f>IF(COUNTIF(Returns!$A$2:$A$1635,Orders!AC1868)&gt;0,"Returned","Not Returned")</f>
        <v>Not Returned</v>
      </c>
    </row>
    <row r="1869" spans="1:30" ht="12.75" customHeight="1" thickTop="1" thickBot="1" x14ac:dyDescent="0.25">
      <c r="A1869" s="8">
        <v>19047</v>
      </c>
      <c r="B1869" s="1" t="s">
        <v>106</v>
      </c>
      <c r="C1869" s="1">
        <v>0.02</v>
      </c>
      <c r="D1869" s="1">
        <v>13.48</v>
      </c>
      <c r="E1869" s="1">
        <v>4.51</v>
      </c>
      <c r="F1869" s="1">
        <v>3275</v>
      </c>
      <c r="G1869" s="6" t="str">
        <f>IF(COUNTIF(Table1[Customer ID],Table1[[#This Row],[Customer ID]])&gt;1,"Repeat Customer","One-Time Customer")</f>
        <v>Repeat Customer</v>
      </c>
      <c r="H1869" s="1" t="s">
        <v>2930</v>
      </c>
      <c r="I1869" s="1" t="s">
        <v>49</v>
      </c>
      <c r="J1869" s="1" t="s">
        <v>40</v>
      </c>
      <c r="K1869" s="1" t="s">
        <v>29</v>
      </c>
      <c r="L1869" s="1" t="s">
        <v>141</v>
      </c>
      <c r="M1869" s="1" t="s">
        <v>59</v>
      </c>
      <c r="N1869" s="1" t="s">
        <v>2503</v>
      </c>
      <c r="O1869" s="1">
        <v>0.59</v>
      </c>
      <c r="P1869" s="6">
        <f>Table1[[#This Row],[Profit]]/Table1[[#This Row],[Sales]]</f>
        <v>0.27155443675267465</v>
      </c>
      <c r="Q1869" s="1" t="s">
        <v>33</v>
      </c>
      <c r="R1869" s="1" t="s">
        <v>34</v>
      </c>
      <c r="S1869" s="1" t="s">
        <v>35</v>
      </c>
      <c r="T1869" s="1" t="s">
        <v>1961</v>
      </c>
      <c r="U1869" s="1">
        <v>98273</v>
      </c>
      <c r="V1869" s="9">
        <v>42084</v>
      </c>
      <c r="W1869" s="13" t="str">
        <f>TEXT(Table1[[#This Row],[Order Date]],"mmmm")</f>
        <v>March</v>
      </c>
      <c r="X1869" s="7" t="str">
        <f>TEXT(Table1[[#This Row],[Order Date]],"yyyy")</f>
        <v>2015</v>
      </c>
      <c r="Y1869" s="9">
        <v>42086</v>
      </c>
      <c r="Z1869" s="1">
        <v>34.520000000000003</v>
      </c>
      <c r="AA1869" s="1">
        <v>9</v>
      </c>
      <c r="AB1869" s="1">
        <v>127.12</v>
      </c>
      <c r="AC1869" s="1">
        <v>86233</v>
      </c>
      <c r="AD1869" s="6" t="str">
        <f>IF(COUNTIF(Returns!$A$2:$A$1635,Orders!AC1869)&gt;0,"Returned","Not Returned")</f>
        <v>Not Returned</v>
      </c>
    </row>
    <row r="1870" spans="1:30" ht="12.75" customHeight="1" thickTop="1" thickBot="1" x14ac:dyDescent="0.25">
      <c r="A1870" s="10">
        <v>19232</v>
      </c>
      <c r="B1870" s="11" t="s">
        <v>106</v>
      </c>
      <c r="C1870" s="11">
        <v>0.04</v>
      </c>
      <c r="D1870" s="11">
        <v>449.99</v>
      </c>
      <c r="E1870" s="11">
        <v>24.49</v>
      </c>
      <c r="F1870" s="11">
        <v>3275</v>
      </c>
      <c r="G1870" s="6" t="str">
        <f>IF(COUNTIF(Table1[Customer ID],Table1[[#This Row],[Customer ID]])&gt;1,"Repeat Customer","One-Time Customer")</f>
        <v>Repeat Customer</v>
      </c>
      <c r="H1870" s="11" t="s">
        <v>2930</v>
      </c>
      <c r="I1870" s="11" t="s">
        <v>49</v>
      </c>
      <c r="J1870" s="11" t="s">
        <v>58</v>
      </c>
      <c r="K1870" s="11" t="s">
        <v>77</v>
      </c>
      <c r="L1870" s="11" t="s">
        <v>587</v>
      </c>
      <c r="M1870" s="11" t="s">
        <v>236</v>
      </c>
      <c r="N1870" s="11" t="s">
        <v>2931</v>
      </c>
      <c r="O1870" s="11">
        <v>0.52</v>
      </c>
      <c r="P1870" s="6">
        <f>Table1[[#This Row],[Profit]]/Table1[[#This Row],[Sales]]</f>
        <v>0.69</v>
      </c>
      <c r="Q1870" s="11" t="s">
        <v>33</v>
      </c>
      <c r="R1870" s="11" t="s">
        <v>34</v>
      </c>
      <c r="S1870" s="11" t="s">
        <v>35</v>
      </c>
      <c r="T1870" s="11" t="s">
        <v>1961</v>
      </c>
      <c r="U1870" s="11">
        <v>98273</v>
      </c>
      <c r="V1870" s="12">
        <v>42005</v>
      </c>
      <c r="W1870" s="13" t="str">
        <f>TEXT(Table1[[#This Row],[Order Date]],"mmmm")</f>
        <v>January</v>
      </c>
      <c r="X1870" s="7" t="str">
        <f>TEXT(Table1[[#This Row],[Order Date]],"yyyy")</f>
        <v>2015</v>
      </c>
      <c r="Y1870" s="12">
        <v>42009</v>
      </c>
      <c r="Z1870" s="11">
        <v>3576.8840999999998</v>
      </c>
      <c r="AA1870" s="11">
        <v>12</v>
      </c>
      <c r="AB1870" s="11">
        <v>5183.8900000000003</v>
      </c>
      <c r="AC1870" s="11">
        <v>86234</v>
      </c>
      <c r="AD1870" s="6" t="str">
        <f>IF(COUNTIF(Returns!$A$2:$A$1635,Orders!AC1870)&gt;0,"Returned","Not Returned")</f>
        <v>Not Returned</v>
      </c>
    </row>
    <row r="1871" spans="1:30" ht="12.75" customHeight="1" thickTop="1" thickBot="1" x14ac:dyDescent="0.25">
      <c r="A1871" s="8">
        <v>19233</v>
      </c>
      <c r="B1871" s="1" t="s">
        <v>106</v>
      </c>
      <c r="C1871" s="1">
        <v>0.01</v>
      </c>
      <c r="D1871" s="1">
        <v>5.84</v>
      </c>
      <c r="E1871" s="1">
        <v>1.2</v>
      </c>
      <c r="F1871" s="1">
        <v>3275</v>
      </c>
      <c r="G1871" s="6" t="str">
        <f>IF(COUNTIF(Table1[Customer ID],Table1[[#This Row],[Customer ID]])&gt;1,"Repeat Customer","One-Time Customer")</f>
        <v>Repeat Customer</v>
      </c>
      <c r="H1871" s="1" t="s">
        <v>2930</v>
      </c>
      <c r="I1871" s="1" t="s">
        <v>49</v>
      </c>
      <c r="J1871" s="1" t="s">
        <v>58</v>
      </c>
      <c r="K1871" s="1" t="s">
        <v>29</v>
      </c>
      <c r="L1871" s="1" t="s">
        <v>30</v>
      </c>
      <c r="M1871" s="1" t="s">
        <v>31</v>
      </c>
      <c r="N1871" s="1" t="s">
        <v>1313</v>
      </c>
      <c r="O1871" s="1">
        <v>0.55000000000000004</v>
      </c>
      <c r="P1871" s="6">
        <f>Table1[[#This Row],[Profit]]/Table1[[#This Row],[Sales]]</f>
        <v>0.56469936270435017</v>
      </c>
      <c r="Q1871" s="1" t="s">
        <v>33</v>
      </c>
      <c r="R1871" s="1" t="s">
        <v>34</v>
      </c>
      <c r="S1871" s="1" t="s">
        <v>35</v>
      </c>
      <c r="T1871" s="1" t="s">
        <v>1961</v>
      </c>
      <c r="U1871" s="1">
        <v>98273</v>
      </c>
      <c r="V1871" s="9">
        <v>42005</v>
      </c>
      <c r="W1871" s="13" t="str">
        <f>TEXT(Table1[[#This Row],[Order Date]],"mmmm")</f>
        <v>January</v>
      </c>
      <c r="X1871" s="7" t="str">
        <f>TEXT(Table1[[#This Row],[Order Date]],"yyyy")</f>
        <v>2015</v>
      </c>
      <c r="Y1871" s="9">
        <v>42014</v>
      </c>
      <c r="Z1871" s="1">
        <v>20.38</v>
      </c>
      <c r="AA1871" s="1">
        <v>6</v>
      </c>
      <c r="AB1871" s="1">
        <v>36.090000000000003</v>
      </c>
      <c r="AC1871" s="1">
        <v>86234</v>
      </c>
      <c r="AD1871" s="6" t="str">
        <f>IF(COUNTIF(Returns!$A$2:$A$1635,Orders!AC1871)&gt;0,"Returned","Not Returned")</f>
        <v>Not Returned</v>
      </c>
    </row>
    <row r="1872" spans="1:30" ht="12.75" customHeight="1" thickTop="1" thickBot="1" x14ac:dyDescent="0.25">
      <c r="A1872" s="10">
        <v>20039</v>
      </c>
      <c r="B1872" s="11" t="s">
        <v>25</v>
      </c>
      <c r="C1872" s="11">
        <v>0.06</v>
      </c>
      <c r="D1872" s="11">
        <v>89.83</v>
      </c>
      <c r="E1872" s="11">
        <v>35</v>
      </c>
      <c r="F1872" s="11">
        <v>3279</v>
      </c>
      <c r="G1872" s="6" t="str">
        <f>IF(COUNTIF(Table1[Customer ID],Table1[[#This Row],[Customer ID]])&gt;1,"Repeat Customer","One-Time Customer")</f>
        <v>Repeat Customer</v>
      </c>
      <c r="H1872" s="11" t="s">
        <v>2932</v>
      </c>
      <c r="I1872" s="11" t="s">
        <v>49</v>
      </c>
      <c r="J1872" s="11" t="s">
        <v>40</v>
      </c>
      <c r="K1872" s="11" t="s">
        <v>29</v>
      </c>
      <c r="L1872" s="11" t="s">
        <v>141</v>
      </c>
      <c r="M1872" s="11" t="s">
        <v>236</v>
      </c>
      <c r="N1872" s="11" t="s">
        <v>2933</v>
      </c>
      <c r="O1872" s="11">
        <v>0.83</v>
      </c>
      <c r="P1872" s="6">
        <f>Table1[[#This Row],[Profit]]/Table1[[#This Row],[Sales]]</f>
        <v>8.4939660350570628E-2</v>
      </c>
      <c r="Q1872" s="11" t="s">
        <v>33</v>
      </c>
      <c r="R1872" s="11" t="s">
        <v>136</v>
      </c>
      <c r="S1872" s="11" t="s">
        <v>932</v>
      </c>
      <c r="T1872" s="11" t="s">
        <v>2603</v>
      </c>
      <c r="U1872" s="11">
        <v>29203</v>
      </c>
      <c r="V1872" s="12">
        <v>42100</v>
      </c>
      <c r="W1872" s="13" t="str">
        <f>TEXT(Table1[[#This Row],[Order Date]],"mmmm")</f>
        <v>April</v>
      </c>
      <c r="X1872" s="7" t="str">
        <f>TEXT(Table1[[#This Row],[Order Date]],"yyyy")</f>
        <v>2015</v>
      </c>
      <c r="Y1872" s="12">
        <v>42102</v>
      </c>
      <c r="Z1872" s="11">
        <v>31.11</v>
      </c>
      <c r="AA1872" s="11">
        <v>4</v>
      </c>
      <c r="AB1872" s="11">
        <v>366.26</v>
      </c>
      <c r="AC1872" s="11">
        <v>90766</v>
      </c>
      <c r="AD1872" s="6" t="str">
        <f>IF(COUNTIF(Returns!$A$2:$A$1635,Orders!AC1872)&gt;0,"Returned","Not Returned")</f>
        <v>Not Returned</v>
      </c>
    </row>
    <row r="1873" spans="1:30" ht="12.75" customHeight="1" thickTop="1" thickBot="1" x14ac:dyDescent="0.25">
      <c r="A1873" s="8">
        <v>20040</v>
      </c>
      <c r="B1873" s="1" t="s">
        <v>25</v>
      </c>
      <c r="C1873" s="1">
        <v>0.1</v>
      </c>
      <c r="D1873" s="1">
        <v>13.43</v>
      </c>
      <c r="E1873" s="1">
        <v>5.5</v>
      </c>
      <c r="F1873" s="1">
        <v>3279</v>
      </c>
      <c r="G1873" s="6" t="str">
        <f>IF(COUNTIF(Table1[Customer ID],Table1[[#This Row],[Customer ID]])&gt;1,"Repeat Customer","One-Time Customer")</f>
        <v>Repeat Customer</v>
      </c>
      <c r="H1873" s="1" t="s">
        <v>2932</v>
      </c>
      <c r="I1873" s="1" t="s">
        <v>49</v>
      </c>
      <c r="J1873" s="1" t="s">
        <v>40</v>
      </c>
      <c r="K1873" s="1" t="s">
        <v>29</v>
      </c>
      <c r="L1873" s="1" t="s">
        <v>141</v>
      </c>
      <c r="M1873" s="1" t="s">
        <v>59</v>
      </c>
      <c r="N1873" s="1" t="s">
        <v>1702</v>
      </c>
      <c r="O1873" s="1">
        <v>0.56999999999999995</v>
      </c>
      <c r="P1873" s="6">
        <f>Table1[[#This Row],[Profit]]/Table1[[#This Row],[Sales]]</f>
        <v>2.2678359389834797</v>
      </c>
      <c r="Q1873" s="1" t="s">
        <v>33</v>
      </c>
      <c r="R1873" s="1" t="s">
        <v>136</v>
      </c>
      <c r="S1873" s="1" t="s">
        <v>932</v>
      </c>
      <c r="T1873" s="1" t="s">
        <v>2603</v>
      </c>
      <c r="U1873" s="1">
        <v>29203</v>
      </c>
      <c r="V1873" s="9">
        <v>42100</v>
      </c>
      <c r="W1873" s="13" t="str">
        <f>TEXT(Table1[[#This Row],[Order Date]],"mmmm")</f>
        <v>April</v>
      </c>
      <c r="X1873" s="7" t="str">
        <f>TEXT(Table1[[#This Row],[Order Date]],"yyyy")</f>
        <v>2015</v>
      </c>
      <c r="Y1873" s="9">
        <v>42102</v>
      </c>
      <c r="Z1873" s="1">
        <v>358.29539999999997</v>
      </c>
      <c r="AA1873" s="1">
        <v>12</v>
      </c>
      <c r="AB1873" s="1">
        <v>157.99</v>
      </c>
      <c r="AC1873" s="1">
        <v>90766</v>
      </c>
      <c r="AD1873" s="6" t="str">
        <f>IF(COUNTIF(Returns!$A$2:$A$1635,Orders!AC1873)&gt;0,"Returned","Not Returned")</f>
        <v>Not Returned</v>
      </c>
    </row>
    <row r="1874" spans="1:30" ht="12.75" customHeight="1" thickTop="1" thickBot="1" x14ac:dyDescent="0.25">
      <c r="A1874" s="10">
        <v>20041</v>
      </c>
      <c r="B1874" s="11" t="s">
        <v>25</v>
      </c>
      <c r="C1874" s="11">
        <v>0.01</v>
      </c>
      <c r="D1874" s="11">
        <v>125.99</v>
      </c>
      <c r="E1874" s="11">
        <v>7.69</v>
      </c>
      <c r="F1874" s="11">
        <v>3279</v>
      </c>
      <c r="G1874" s="6" t="str">
        <f>IF(COUNTIF(Table1[Customer ID],Table1[[#This Row],[Customer ID]])&gt;1,"Repeat Customer","One-Time Customer")</f>
        <v>Repeat Customer</v>
      </c>
      <c r="H1874" s="11" t="s">
        <v>2932</v>
      </c>
      <c r="I1874" s="11" t="s">
        <v>49</v>
      </c>
      <c r="J1874" s="11" t="s">
        <v>40</v>
      </c>
      <c r="K1874" s="11" t="s">
        <v>77</v>
      </c>
      <c r="L1874" s="11" t="s">
        <v>78</v>
      </c>
      <c r="M1874" s="11" t="s">
        <v>59</v>
      </c>
      <c r="N1874" s="11" t="s">
        <v>1225</v>
      </c>
      <c r="O1874" s="11">
        <v>0.57999999999999996</v>
      </c>
      <c r="P1874" s="6">
        <f>Table1[[#This Row],[Profit]]/Table1[[#This Row],[Sales]]</f>
        <v>6.8613547919002694E-3</v>
      </c>
      <c r="Q1874" s="11" t="s">
        <v>33</v>
      </c>
      <c r="R1874" s="11" t="s">
        <v>136</v>
      </c>
      <c r="S1874" s="11" t="s">
        <v>932</v>
      </c>
      <c r="T1874" s="11" t="s">
        <v>2603</v>
      </c>
      <c r="U1874" s="11">
        <v>29203</v>
      </c>
      <c r="V1874" s="12">
        <v>42100</v>
      </c>
      <c r="W1874" s="13" t="str">
        <f>TEXT(Table1[[#This Row],[Order Date]],"mmmm")</f>
        <v>April</v>
      </c>
      <c r="X1874" s="7" t="str">
        <f>TEXT(Table1[[#This Row],[Order Date]],"yyyy")</f>
        <v>2015</v>
      </c>
      <c r="Y1874" s="12">
        <v>42100</v>
      </c>
      <c r="Z1874" s="11">
        <v>8.3219999999999992</v>
      </c>
      <c r="AA1874" s="11">
        <v>11</v>
      </c>
      <c r="AB1874" s="11">
        <v>1212.8800000000001</v>
      </c>
      <c r="AC1874" s="11">
        <v>90766</v>
      </c>
      <c r="AD1874" s="6" t="str">
        <f>IF(COUNTIF(Returns!$A$2:$A$1635,Orders!AC1874)&gt;0,"Returned","Not Returned")</f>
        <v>Not Returned</v>
      </c>
    </row>
    <row r="1875" spans="1:30" ht="12.75" customHeight="1" thickTop="1" thickBot="1" x14ac:dyDescent="0.25">
      <c r="A1875" s="8">
        <v>21620</v>
      </c>
      <c r="B1875" s="1" t="s">
        <v>56</v>
      </c>
      <c r="C1875" s="1">
        <v>0.01</v>
      </c>
      <c r="D1875" s="1">
        <v>45.99</v>
      </c>
      <c r="E1875" s="1">
        <v>4.99</v>
      </c>
      <c r="F1875" s="1">
        <v>3279</v>
      </c>
      <c r="G1875" s="6" t="str">
        <f>IF(COUNTIF(Table1[Customer ID],Table1[[#This Row],[Customer ID]])&gt;1,"Repeat Customer","One-Time Customer")</f>
        <v>Repeat Customer</v>
      </c>
      <c r="H1875" s="1" t="s">
        <v>2932</v>
      </c>
      <c r="I1875" s="1" t="s">
        <v>49</v>
      </c>
      <c r="J1875" s="1" t="s">
        <v>40</v>
      </c>
      <c r="K1875" s="1" t="s">
        <v>77</v>
      </c>
      <c r="L1875" s="1" t="s">
        <v>78</v>
      </c>
      <c r="M1875" s="1" t="s">
        <v>59</v>
      </c>
      <c r="N1875" s="1" t="s">
        <v>1115</v>
      </c>
      <c r="O1875" s="1">
        <v>0.56000000000000005</v>
      </c>
      <c r="P1875" s="6">
        <f>Table1[[#This Row],[Profit]]/Table1[[#This Row],[Sales]]</f>
        <v>0.19185238437574886</v>
      </c>
      <c r="Q1875" s="1" t="s">
        <v>33</v>
      </c>
      <c r="R1875" s="1" t="s">
        <v>136</v>
      </c>
      <c r="S1875" s="1" t="s">
        <v>932</v>
      </c>
      <c r="T1875" s="1" t="s">
        <v>2603</v>
      </c>
      <c r="U1875" s="1">
        <v>29203</v>
      </c>
      <c r="V1875" s="9">
        <v>42077</v>
      </c>
      <c r="W1875" s="13" t="str">
        <f>TEXT(Table1[[#This Row],[Order Date]],"mmmm")</f>
        <v>March</v>
      </c>
      <c r="X1875" s="7" t="str">
        <f>TEXT(Table1[[#This Row],[Order Date]],"yyyy")</f>
        <v>2015</v>
      </c>
      <c r="Y1875" s="9">
        <v>42079</v>
      </c>
      <c r="Z1875" s="1">
        <v>24.018000000000001</v>
      </c>
      <c r="AA1875" s="1">
        <v>3</v>
      </c>
      <c r="AB1875" s="1">
        <v>125.19</v>
      </c>
      <c r="AC1875" s="1">
        <v>90767</v>
      </c>
      <c r="AD1875" s="6" t="str">
        <f>IF(COUNTIF(Returns!$A$2:$A$1635,Orders!AC1875)&gt;0,"Returned","Not Returned")</f>
        <v>Not Returned</v>
      </c>
    </row>
    <row r="1876" spans="1:30" ht="12.75" customHeight="1" thickTop="1" thickBot="1" x14ac:dyDescent="0.25">
      <c r="A1876" s="10">
        <v>23022</v>
      </c>
      <c r="B1876" s="11" t="s">
        <v>47</v>
      </c>
      <c r="C1876" s="11">
        <v>0.05</v>
      </c>
      <c r="D1876" s="11">
        <v>363.25</v>
      </c>
      <c r="E1876" s="11">
        <v>19.989999999999998</v>
      </c>
      <c r="F1876" s="11">
        <v>3283</v>
      </c>
      <c r="G1876" s="6" t="str">
        <f>IF(COUNTIF(Table1[Customer ID],Table1[[#This Row],[Customer ID]])&gt;1,"Repeat Customer","One-Time Customer")</f>
        <v>Repeat Customer</v>
      </c>
      <c r="H1876" s="11" t="s">
        <v>2934</v>
      </c>
      <c r="I1876" s="11" t="s">
        <v>27</v>
      </c>
      <c r="J1876" s="11" t="s">
        <v>28</v>
      </c>
      <c r="K1876" s="11" t="s">
        <v>29</v>
      </c>
      <c r="L1876" s="11" t="s">
        <v>257</v>
      </c>
      <c r="M1876" s="11" t="s">
        <v>59</v>
      </c>
      <c r="N1876" s="11" t="s">
        <v>1253</v>
      </c>
      <c r="O1876" s="11">
        <v>0.56999999999999995</v>
      </c>
      <c r="P1876" s="6">
        <f>Table1[[#This Row],[Profit]]/Table1[[#This Row],[Sales]]</f>
        <v>-0.14448297840431912</v>
      </c>
      <c r="Q1876" s="11" t="s">
        <v>33</v>
      </c>
      <c r="R1876" s="11" t="s">
        <v>136</v>
      </c>
      <c r="S1876" s="11" t="s">
        <v>362</v>
      </c>
      <c r="T1876" s="11" t="s">
        <v>2935</v>
      </c>
      <c r="U1876" s="11">
        <v>33156</v>
      </c>
      <c r="V1876" s="12">
        <v>42115</v>
      </c>
      <c r="W1876" s="13" t="str">
        <f>TEXT(Table1[[#This Row],[Order Date]],"mmmm")</f>
        <v>April</v>
      </c>
      <c r="X1876" s="7" t="str">
        <f>TEXT(Table1[[#This Row],[Order Date]],"yyyy")</f>
        <v>2015</v>
      </c>
      <c r="Y1876" s="12">
        <v>42115</v>
      </c>
      <c r="Z1876" s="11">
        <v>-269.75549999999998</v>
      </c>
      <c r="AA1876" s="11">
        <v>5</v>
      </c>
      <c r="AB1876" s="11">
        <v>1867.04</v>
      </c>
      <c r="AC1876" s="11">
        <v>90752</v>
      </c>
      <c r="AD1876" s="6" t="str">
        <f>IF(COUNTIF(Returns!$A$2:$A$1635,Orders!AC1876)&gt;0,"Returned","Not Returned")</f>
        <v>Not Returned</v>
      </c>
    </row>
    <row r="1877" spans="1:30" ht="12.75" customHeight="1" thickTop="1" thickBot="1" x14ac:dyDescent="0.25">
      <c r="A1877" s="8">
        <v>23211</v>
      </c>
      <c r="B1877" s="1" t="s">
        <v>25</v>
      </c>
      <c r="C1877" s="1">
        <v>0.03</v>
      </c>
      <c r="D1877" s="1">
        <v>17.48</v>
      </c>
      <c r="E1877" s="1">
        <v>1.99</v>
      </c>
      <c r="F1877" s="1">
        <v>3283</v>
      </c>
      <c r="G1877" s="6" t="str">
        <f>IF(COUNTIF(Table1[Customer ID],Table1[[#This Row],[Customer ID]])&gt;1,"Repeat Customer","One-Time Customer")</f>
        <v>Repeat Customer</v>
      </c>
      <c r="H1877" s="1" t="s">
        <v>2934</v>
      </c>
      <c r="I1877" s="1" t="s">
        <v>49</v>
      </c>
      <c r="J1877" s="1" t="s">
        <v>28</v>
      </c>
      <c r="K1877" s="1" t="s">
        <v>77</v>
      </c>
      <c r="L1877" s="1" t="s">
        <v>180</v>
      </c>
      <c r="M1877" s="1" t="s">
        <v>51</v>
      </c>
      <c r="N1877" s="1" t="s">
        <v>361</v>
      </c>
      <c r="O1877" s="1">
        <v>0.45</v>
      </c>
      <c r="P1877" s="6">
        <f>Table1[[#This Row],[Profit]]/Table1[[#This Row],[Sales]]</f>
        <v>1.3216946820379323</v>
      </c>
      <c r="Q1877" s="1" t="s">
        <v>33</v>
      </c>
      <c r="R1877" s="1" t="s">
        <v>136</v>
      </c>
      <c r="S1877" s="1" t="s">
        <v>362</v>
      </c>
      <c r="T1877" s="1" t="s">
        <v>2935</v>
      </c>
      <c r="U1877" s="1">
        <v>33156</v>
      </c>
      <c r="V1877" s="9">
        <v>42134</v>
      </c>
      <c r="W1877" s="13" t="str">
        <f>TEXT(Table1[[#This Row],[Order Date]],"mmmm")</f>
        <v>May</v>
      </c>
      <c r="X1877" s="7" t="str">
        <f>TEXT(Table1[[#This Row],[Order Date]],"yyyy")</f>
        <v>2015</v>
      </c>
      <c r="Y1877" s="9">
        <v>42135</v>
      </c>
      <c r="Z1877" s="1">
        <v>710.80739999999992</v>
      </c>
      <c r="AA1877" s="1">
        <v>31</v>
      </c>
      <c r="AB1877" s="1">
        <v>537.79999999999995</v>
      </c>
      <c r="AC1877" s="1">
        <v>90753</v>
      </c>
      <c r="AD1877" s="6" t="str">
        <f>IF(COUNTIF(Returns!$A$2:$A$1635,Orders!AC1877)&gt;0,"Returned","Not Returned")</f>
        <v>Not Returned</v>
      </c>
    </row>
    <row r="1878" spans="1:30" ht="12.75" customHeight="1" thickTop="1" thickBot="1" x14ac:dyDescent="0.25">
      <c r="A1878" s="10">
        <v>26141</v>
      </c>
      <c r="B1878" s="11" t="s">
        <v>25</v>
      </c>
      <c r="C1878" s="11">
        <v>0.05</v>
      </c>
      <c r="D1878" s="11">
        <v>19.23</v>
      </c>
      <c r="E1878" s="11">
        <v>6.15</v>
      </c>
      <c r="F1878" s="11">
        <v>3284</v>
      </c>
      <c r="G1878" s="6" t="str">
        <f>IF(COUNTIF(Table1[Customer ID],Table1[[#This Row],[Customer ID]])&gt;1,"Repeat Customer","One-Time Customer")</f>
        <v>One-Time Customer</v>
      </c>
      <c r="H1878" s="11" t="s">
        <v>2936</v>
      </c>
      <c r="I1878" s="11" t="s">
        <v>27</v>
      </c>
      <c r="J1878" s="11" t="s">
        <v>28</v>
      </c>
      <c r="K1878" s="11" t="s">
        <v>41</v>
      </c>
      <c r="L1878" s="11" t="s">
        <v>50</v>
      </c>
      <c r="M1878" s="11" t="s">
        <v>51</v>
      </c>
      <c r="N1878" s="11" t="s">
        <v>472</v>
      </c>
      <c r="O1878" s="11">
        <v>0.44</v>
      </c>
      <c r="P1878" s="6">
        <f>Table1[[#This Row],[Profit]]/Table1[[#This Row],[Sales]]</f>
        <v>-17.809968275171148</v>
      </c>
      <c r="Q1878" s="11" t="s">
        <v>33</v>
      </c>
      <c r="R1878" s="11" t="s">
        <v>136</v>
      </c>
      <c r="S1878" s="11" t="s">
        <v>362</v>
      </c>
      <c r="T1878" s="11" t="s">
        <v>2937</v>
      </c>
      <c r="U1878" s="11">
        <v>34741</v>
      </c>
      <c r="V1878" s="12">
        <v>42055</v>
      </c>
      <c r="W1878" s="13" t="str">
        <f>TEXT(Table1[[#This Row],[Order Date]],"mmmm")</f>
        <v>February</v>
      </c>
      <c r="X1878" s="7" t="str">
        <f>TEXT(Table1[[#This Row],[Order Date]],"yyyy")</f>
        <v>2015</v>
      </c>
      <c r="Y1878" s="12">
        <v>42057</v>
      </c>
      <c r="Z1878" s="11">
        <v>-2133.2780000000002</v>
      </c>
      <c r="AA1878" s="11">
        <v>6</v>
      </c>
      <c r="AB1878" s="11">
        <v>119.78</v>
      </c>
      <c r="AC1878" s="11">
        <v>90751</v>
      </c>
      <c r="AD1878" s="6" t="str">
        <f>IF(COUNTIF(Returns!$A$2:$A$1635,Orders!AC1878)&gt;0,"Returned","Not Returned")</f>
        <v>Not Returned</v>
      </c>
    </row>
    <row r="1879" spans="1:30" ht="12.75" customHeight="1" thickTop="1" thickBot="1" x14ac:dyDescent="0.25">
      <c r="A1879" s="8">
        <v>20350</v>
      </c>
      <c r="B1879" s="1" t="s">
        <v>37</v>
      </c>
      <c r="C1879" s="1">
        <v>0.06</v>
      </c>
      <c r="D1879" s="1">
        <v>1.7</v>
      </c>
      <c r="E1879" s="1">
        <v>1.99</v>
      </c>
      <c r="F1879" s="1">
        <v>3285</v>
      </c>
      <c r="G1879" s="6" t="str">
        <f>IF(COUNTIF(Table1[Customer ID],Table1[[#This Row],[Customer ID]])&gt;1,"Repeat Customer","One-Time Customer")</f>
        <v>Repeat Customer</v>
      </c>
      <c r="H1879" s="1" t="s">
        <v>2938</v>
      </c>
      <c r="I1879" s="1" t="s">
        <v>49</v>
      </c>
      <c r="J1879" s="1" t="s">
        <v>114</v>
      </c>
      <c r="K1879" s="1" t="s">
        <v>77</v>
      </c>
      <c r="L1879" s="1" t="s">
        <v>180</v>
      </c>
      <c r="M1879" s="1" t="s">
        <v>51</v>
      </c>
      <c r="N1879" s="1" t="s">
        <v>814</v>
      </c>
      <c r="O1879" s="1">
        <v>0.51</v>
      </c>
      <c r="P1879" s="6">
        <f>Table1[[#This Row],[Profit]]/Table1[[#This Row],[Sales]]</f>
        <v>6.5902222222222226</v>
      </c>
      <c r="Q1879" s="1" t="s">
        <v>33</v>
      </c>
      <c r="R1879" s="1" t="s">
        <v>136</v>
      </c>
      <c r="S1879" s="1" t="s">
        <v>137</v>
      </c>
      <c r="T1879" s="1" t="s">
        <v>2939</v>
      </c>
      <c r="U1879" s="1">
        <v>20170</v>
      </c>
      <c r="V1879" s="9">
        <v>42010</v>
      </c>
      <c r="W1879" s="13" t="str">
        <f>TEXT(Table1[[#This Row],[Order Date]],"mmmm")</f>
        <v>January</v>
      </c>
      <c r="X1879" s="7" t="str">
        <f>TEXT(Table1[[#This Row],[Order Date]],"yyyy")</f>
        <v>2015</v>
      </c>
      <c r="Y1879" s="9">
        <v>42011</v>
      </c>
      <c r="Z1879" s="1">
        <v>80.071200000000005</v>
      </c>
      <c r="AA1879" s="1">
        <v>7</v>
      </c>
      <c r="AB1879" s="1">
        <v>12.15</v>
      </c>
      <c r="AC1879" s="1">
        <v>90750</v>
      </c>
      <c r="AD1879" s="6" t="str">
        <f>IF(COUNTIF(Returns!$A$2:$A$1635,Orders!AC1879)&gt;0,"Returned","Not Returned")</f>
        <v>Not Returned</v>
      </c>
    </row>
    <row r="1880" spans="1:30" ht="12.75" customHeight="1" thickTop="1" thickBot="1" x14ac:dyDescent="0.25">
      <c r="A1880" s="10">
        <v>20351</v>
      </c>
      <c r="B1880" s="11" t="s">
        <v>37</v>
      </c>
      <c r="C1880" s="11">
        <v>0.01</v>
      </c>
      <c r="D1880" s="11">
        <v>30.98</v>
      </c>
      <c r="E1880" s="11">
        <v>5.09</v>
      </c>
      <c r="F1880" s="11">
        <v>3285</v>
      </c>
      <c r="G1880" s="6" t="str">
        <f>IF(COUNTIF(Table1[Customer ID],Table1[[#This Row],[Customer ID]])&gt;1,"Repeat Customer","One-Time Customer")</f>
        <v>Repeat Customer</v>
      </c>
      <c r="H1880" s="11" t="s">
        <v>2938</v>
      </c>
      <c r="I1880" s="11" t="s">
        <v>49</v>
      </c>
      <c r="J1880" s="11" t="s">
        <v>114</v>
      </c>
      <c r="K1880" s="11" t="s">
        <v>29</v>
      </c>
      <c r="L1880" s="11" t="s">
        <v>93</v>
      </c>
      <c r="M1880" s="11" t="s">
        <v>59</v>
      </c>
      <c r="N1880" s="11" t="s">
        <v>2940</v>
      </c>
      <c r="O1880" s="11">
        <v>0.4</v>
      </c>
      <c r="P1880" s="6">
        <f>Table1[[#This Row],[Profit]]/Table1[[#This Row],[Sales]]</f>
        <v>3.1079883503224459</v>
      </c>
      <c r="Q1880" s="11" t="s">
        <v>33</v>
      </c>
      <c r="R1880" s="11" t="s">
        <v>136</v>
      </c>
      <c r="S1880" s="11" t="s">
        <v>137</v>
      </c>
      <c r="T1880" s="11" t="s">
        <v>2939</v>
      </c>
      <c r="U1880" s="11">
        <v>20170</v>
      </c>
      <c r="V1880" s="12">
        <v>42010</v>
      </c>
      <c r="W1880" s="13" t="str">
        <f>TEXT(Table1[[#This Row],[Order Date]],"mmmm")</f>
        <v>January</v>
      </c>
      <c r="X1880" s="7" t="str">
        <f>TEXT(Table1[[#This Row],[Order Date]],"yyyy")</f>
        <v>2015</v>
      </c>
      <c r="Y1880" s="12">
        <v>42012</v>
      </c>
      <c r="Z1880" s="11">
        <v>896.40599999999995</v>
      </c>
      <c r="AA1880" s="11">
        <v>9</v>
      </c>
      <c r="AB1880" s="11">
        <v>288.42</v>
      </c>
      <c r="AC1880" s="11">
        <v>90750</v>
      </c>
      <c r="AD1880" s="6" t="str">
        <f>IF(COUNTIF(Returns!$A$2:$A$1635,Orders!AC1880)&gt;0,"Returned","Not Returned")</f>
        <v>Not Returned</v>
      </c>
    </row>
    <row r="1881" spans="1:30" ht="12.75" customHeight="1" thickTop="1" thickBot="1" x14ac:dyDescent="0.25">
      <c r="A1881" s="8">
        <v>21567</v>
      </c>
      <c r="B1881" s="1" t="s">
        <v>106</v>
      </c>
      <c r="C1881" s="1">
        <v>0.08</v>
      </c>
      <c r="D1881" s="1">
        <v>30.56</v>
      </c>
      <c r="E1881" s="1">
        <v>2.99</v>
      </c>
      <c r="F1881" s="1">
        <v>3287</v>
      </c>
      <c r="G1881" s="6" t="str">
        <f>IF(COUNTIF(Table1[Customer ID],Table1[[#This Row],[Customer ID]])&gt;1,"Repeat Customer","One-Time Customer")</f>
        <v>One-Time Customer</v>
      </c>
      <c r="H1881" s="1" t="s">
        <v>2941</v>
      </c>
      <c r="I1881" s="1" t="s">
        <v>49</v>
      </c>
      <c r="J1881" s="1" t="s">
        <v>58</v>
      </c>
      <c r="K1881" s="1" t="s">
        <v>29</v>
      </c>
      <c r="L1881" s="1" t="s">
        <v>109</v>
      </c>
      <c r="M1881" s="1" t="s">
        <v>59</v>
      </c>
      <c r="N1881" s="1" t="s">
        <v>2580</v>
      </c>
      <c r="O1881" s="1">
        <v>0.35</v>
      </c>
      <c r="P1881" s="6">
        <f>Table1[[#This Row],[Profit]]/Table1[[#This Row],[Sales]]</f>
        <v>0.69</v>
      </c>
      <c r="Q1881" s="1" t="s">
        <v>33</v>
      </c>
      <c r="R1881" s="1" t="s">
        <v>34</v>
      </c>
      <c r="S1881" s="1" t="s">
        <v>45</v>
      </c>
      <c r="T1881" s="1" t="s">
        <v>2942</v>
      </c>
      <c r="U1881" s="1">
        <v>95746</v>
      </c>
      <c r="V1881" s="9">
        <v>42149</v>
      </c>
      <c r="W1881" s="13" t="str">
        <f>TEXT(Table1[[#This Row],[Order Date]],"mmmm")</f>
        <v>May</v>
      </c>
      <c r="X1881" s="7" t="str">
        <f>TEXT(Table1[[#This Row],[Order Date]],"yyyy")</f>
        <v>2015</v>
      </c>
      <c r="Y1881" s="9">
        <v>42151</v>
      </c>
      <c r="Z1881" s="1">
        <v>352.87979999999999</v>
      </c>
      <c r="AA1881" s="1">
        <v>17</v>
      </c>
      <c r="AB1881" s="1">
        <v>511.42</v>
      </c>
      <c r="AC1881" s="1">
        <v>89897</v>
      </c>
      <c r="AD1881" s="6" t="str">
        <f>IF(COUNTIF(Returns!$A$2:$A$1635,Orders!AC1881)&gt;0,"Returned","Not Returned")</f>
        <v>Not Returned</v>
      </c>
    </row>
    <row r="1882" spans="1:30" ht="12.75" customHeight="1" thickTop="1" thickBot="1" x14ac:dyDescent="0.25">
      <c r="A1882" s="10">
        <v>23198</v>
      </c>
      <c r="B1882" s="11" t="s">
        <v>106</v>
      </c>
      <c r="C1882" s="11">
        <v>0.04</v>
      </c>
      <c r="D1882" s="11">
        <v>33.89</v>
      </c>
      <c r="E1882" s="11">
        <v>5.0999999999999996</v>
      </c>
      <c r="F1882" s="11">
        <v>3303</v>
      </c>
      <c r="G1882" s="6" t="str">
        <f>IF(COUNTIF(Table1[Customer ID],Table1[[#This Row],[Customer ID]])&gt;1,"Repeat Customer","One-Time Customer")</f>
        <v>One-Time Customer</v>
      </c>
      <c r="H1882" s="11" t="s">
        <v>2943</v>
      </c>
      <c r="I1882" s="11" t="s">
        <v>49</v>
      </c>
      <c r="J1882" s="11" t="s">
        <v>40</v>
      </c>
      <c r="K1882" s="11" t="s">
        <v>29</v>
      </c>
      <c r="L1882" s="11" t="s">
        <v>141</v>
      </c>
      <c r="M1882" s="11" t="s">
        <v>59</v>
      </c>
      <c r="N1882" s="11" t="s">
        <v>2792</v>
      </c>
      <c r="O1882" s="11">
        <v>0.6</v>
      </c>
      <c r="P1882" s="6">
        <f>Table1[[#This Row],[Profit]]/Table1[[#This Row],[Sales]]</f>
        <v>0.34228468899521525</v>
      </c>
      <c r="Q1882" s="11" t="s">
        <v>33</v>
      </c>
      <c r="R1882" s="11" t="s">
        <v>136</v>
      </c>
      <c r="S1882" s="11" t="s">
        <v>362</v>
      </c>
      <c r="T1882" s="11" t="s">
        <v>2944</v>
      </c>
      <c r="U1882" s="11">
        <v>33461</v>
      </c>
      <c r="V1882" s="12">
        <v>42011</v>
      </c>
      <c r="W1882" s="13" t="str">
        <f>TEXT(Table1[[#This Row],[Order Date]],"mmmm")</f>
        <v>January</v>
      </c>
      <c r="X1882" s="7" t="str">
        <f>TEXT(Table1[[#This Row],[Order Date]],"yyyy")</f>
        <v>2015</v>
      </c>
      <c r="Y1882" s="12">
        <v>42016</v>
      </c>
      <c r="Z1882" s="11">
        <v>68.675999999999988</v>
      </c>
      <c r="AA1882" s="11">
        <v>6</v>
      </c>
      <c r="AB1882" s="11">
        <v>200.64</v>
      </c>
      <c r="AC1882" s="11">
        <v>87795</v>
      </c>
      <c r="AD1882" s="6" t="str">
        <f>IF(COUNTIF(Returns!$A$2:$A$1635,Orders!AC1882)&gt;0,"Returned","Not Returned")</f>
        <v>Not Returned</v>
      </c>
    </row>
    <row r="1883" spans="1:30" ht="12.75" customHeight="1" thickTop="1" thickBot="1" x14ac:dyDescent="0.25">
      <c r="A1883" s="8">
        <v>20447</v>
      </c>
      <c r="B1883" s="1" t="s">
        <v>56</v>
      </c>
      <c r="C1883" s="1">
        <v>0.06</v>
      </c>
      <c r="D1883" s="1">
        <v>11.33</v>
      </c>
      <c r="E1883" s="1">
        <v>6.12</v>
      </c>
      <c r="F1883" s="1">
        <v>3306</v>
      </c>
      <c r="G1883" s="6" t="str">
        <f>IF(COUNTIF(Table1[Customer ID],Table1[[#This Row],[Customer ID]])&gt;1,"Repeat Customer","One-Time Customer")</f>
        <v>One-Time Customer</v>
      </c>
      <c r="H1883" s="1" t="s">
        <v>2945</v>
      </c>
      <c r="I1883" s="1" t="s">
        <v>49</v>
      </c>
      <c r="J1883" s="1" t="s">
        <v>58</v>
      </c>
      <c r="K1883" s="1" t="s">
        <v>29</v>
      </c>
      <c r="L1883" s="1" t="s">
        <v>257</v>
      </c>
      <c r="M1883" s="1" t="s">
        <v>86</v>
      </c>
      <c r="N1883" s="1" t="s">
        <v>2149</v>
      </c>
      <c r="O1883" s="1">
        <v>0.42</v>
      </c>
      <c r="P1883" s="6">
        <f>Table1[[#This Row],[Profit]]/Table1[[#This Row],[Sales]]</f>
        <v>-0.9035187287173666</v>
      </c>
      <c r="Q1883" s="1" t="s">
        <v>33</v>
      </c>
      <c r="R1883" s="1" t="s">
        <v>53</v>
      </c>
      <c r="S1883" s="1" t="s">
        <v>228</v>
      </c>
      <c r="T1883" s="1" t="s">
        <v>2946</v>
      </c>
      <c r="U1883" s="1">
        <v>6320</v>
      </c>
      <c r="V1883" s="9">
        <v>42095</v>
      </c>
      <c r="W1883" s="13" t="str">
        <f>TEXT(Table1[[#This Row],[Order Date]],"mmmm")</f>
        <v>April</v>
      </c>
      <c r="X1883" s="7" t="str">
        <f>TEXT(Table1[[#This Row],[Order Date]],"yyyy")</f>
        <v>2015</v>
      </c>
      <c r="Y1883" s="9">
        <v>42097</v>
      </c>
      <c r="Z1883" s="1">
        <v>-15.92</v>
      </c>
      <c r="AA1883" s="1">
        <v>1</v>
      </c>
      <c r="AB1883" s="1">
        <v>17.62</v>
      </c>
      <c r="AC1883" s="1">
        <v>90461</v>
      </c>
      <c r="AD1883" s="6" t="str">
        <f>IF(COUNTIF(Returns!$A$2:$A$1635,Orders!AC1883)&gt;0,"Returned","Not Returned")</f>
        <v>Not Returned</v>
      </c>
    </row>
    <row r="1884" spans="1:30" ht="12.75" customHeight="1" thickTop="1" thickBot="1" x14ac:dyDescent="0.25">
      <c r="A1884" s="10">
        <v>22732</v>
      </c>
      <c r="B1884" s="11" t="s">
        <v>106</v>
      </c>
      <c r="C1884" s="11">
        <v>7.0000000000000007E-2</v>
      </c>
      <c r="D1884" s="11">
        <v>16.739999999999998</v>
      </c>
      <c r="E1884" s="11">
        <v>7.04</v>
      </c>
      <c r="F1884" s="11">
        <v>3307</v>
      </c>
      <c r="G1884" s="6" t="str">
        <f>IF(COUNTIF(Table1[Customer ID],Table1[[#This Row],[Customer ID]])&gt;1,"Repeat Customer","One-Time Customer")</f>
        <v>One-Time Customer</v>
      </c>
      <c r="H1884" s="11" t="s">
        <v>2947</v>
      </c>
      <c r="I1884" s="11" t="s">
        <v>49</v>
      </c>
      <c r="J1884" s="11" t="s">
        <v>58</v>
      </c>
      <c r="K1884" s="11" t="s">
        <v>29</v>
      </c>
      <c r="L1884" s="11" t="s">
        <v>141</v>
      </c>
      <c r="M1884" s="11" t="s">
        <v>59</v>
      </c>
      <c r="N1884" s="11" t="s">
        <v>2948</v>
      </c>
      <c r="O1884" s="11">
        <v>0.81</v>
      </c>
      <c r="P1884" s="6">
        <f>Table1[[#This Row],[Profit]]/Table1[[#This Row],[Sales]]</f>
        <v>-1.4172251178952595</v>
      </c>
      <c r="Q1884" s="11" t="s">
        <v>33</v>
      </c>
      <c r="R1884" s="11" t="s">
        <v>53</v>
      </c>
      <c r="S1884" s="11" t="s">
        <v>193</v>
      </c>
      <c r="T1884" s="11" t="s">
        <v>2949</v>
      </c>
      <c r="U1884" s="11">
        <v>1001</v>
      </c>
      <c r="V1884" s="12">
        <v>42030</v>
      </c>
      <c r="W1884" s="13" t="str">
        <f>TEXT(Table1[[#This Row],[Order Date]],"mmmm")</f>
        <v>January</v>
      </c>
      <c r="X1884" s="7" t="str">
        <f>TEXT(Table1[[#This Row],[Order Date]],"yyyy")</f>
        <v>2015</v>
      </c>
      <c r="Y1884" s="12">
        <v>42037</v>
      </c>
      <c r="Z1884" s="11">
        <v>-114.2</v>
      </c>
      <c r="AA1884" s="11">
        <v>5</v>
      </c>
      <c r="AB1884" s="11">
        <v>80.58</v>
      </c>
      <c r="AC1884" s="11">
        <v>90462</v>
      </c>
      <c r="AD1884" s="6" t="str">
        <f>IF(COUNTIF(Returns!$A$2:$A$1635,Orders!AC1884)&gt;0,"Returned","Not Returned")</f>
        <v>Not Returned</v>
      </c>
    </row>
    <row r="1885" spans="1:30" ht="12.75" customHeight="1" thickTop="1" thickBot="1" x14ac:dyDescent="0.25">
      <c r="A1885" s="8">
        <v>23451</v>
      </c>
      <c r="B1885" s="1" t="s">
        <v>47</v>
      </c>
      <c r="C1885" s="1">
        <v>0.1</v>
      </c>
      <c r="D1885" s="1">
        <v>6.64</v>
      </c>
      <c r="E1885" s="1">
        <v>54.95</v>
      </c>
      <c r="F1885" s="1">
        <v>3309</v>
      </c>
      <c r="G1885" s="6" t="str">
        <f>IF(COUNTIF(Table1[Customer ID],Table1[[#This Row],[Customer ID]])&gt;1,"Repeat Customer","One-Time Customer")</f>
        <v>One-Time Customer</v>
      </c>
      <c r="H1885" s="1" t="s">
        <v>2950</v>
      </c>
      <c r="I1885" s="1" t="s">
        <v>49</v>
      </c>
      <c r="J1885" s="1" t="s">
        <v>58</v>
      </c>
      <c r="K1885" s="1" t="s">
        <v>41</v>
      </c>
      <c r="L1885" s="1" t="s">
        <v>50</v>
      </c>
      <c r="M1885" s="1" t="s">
        <v>51</v>
      </c>
      <c r="N1885" s="1" t="s">
        <v>2951</v>
      </c>
      <c r="O1885" s="1">
        <v>0.37</v>
      </c>
      <c r="P1885" s="6">
        <f>Table1[[#This Row],[Profit]]/Table1[[#This Row],[Sales]]</f>
        <v>-0.98775187672856579</v>
      </c>
      <c r="Q1885" s="1" t="s">
        <v>33</v>
      </c>
      <c r="R1885" s="1" t="s">
        <v>53</v>
      </c>
      <c r="S1885" s="1" t="s">
        <v>193</v>
      </c>
      <c r="T1885" s="1" t="s">
        <v>2952</v>
      </c>
      <c r="U1885" s="1">
        <v>1760</v>
      </c>
      <c r="V1885" s="9">
        <v>42087</v>
      </c>
      <c r="W1885" s="13" t="str">
        <f>TEXT(Table1[[#This Row],[Order Date]],"mmmm")</f>
        <v>March</v>
      </c>
      <c r="X1885" s="7" t="str">
        <f>TEXT(Table1[[#This Row],[Order Date]],"yyyy")</f>
        <v>2015</v>
      </c>
      <c r="Y1885" s="9">
        <v>42089</v>
      </c>
      <c r="Z1885" s="1">
        <v>-25</v>
      </c>
      <c r="AA1885" s="1">
        <v>4</v>
      </c>
      <c r="AB1885" s="1">
        <v>25.31</v>
      </c>
      <c r="AC1885" s="1">
        <v>90460</v>
      </c>
      <c r="AD1885" s="6" t="str">
        <f>IF(COUNTIF(Returns!$A$2:$A$1635,Orders!AC1885)&gt;0,"Returned","Not Returned")</f>
        <v>Not Returned</v>
      </c>
    </row>
    <row r="1886" spans="1:30" ht="12.75" customHeight="1" thickTop="1" thickBot="1" x14ac:dyDescent="0.25">
      <c r="A1886" s="10">
        <v>23452</v>
      </c>
      <c r="B1886" s="11" t="s">
        <v>47</v>
      </c>
      <c r="C1886" s="11">
        <v>0.05</v>
      </c>
      <c r="D1886" s="11">
        <v>90.48</v>
      </c>
      <c r="E1886" s="11">
        <v>19.989999999999998</v>
      </c>
      <c r="F1886" s="11">
        <v>3310</v>
      </c>
      <c r="G1886" s="6" t="str">
        <f>IF(COUNTIF(Table1[Customer ID],Table1[[#This Row],[Customer ID]])&gt;1,"Repeat Customer","One-Time Customer")</f>
        <v>One-Time Customer</v>
      </c>
      <c r="H1886" s="11" t="s">
        <v>2953</v>
      </c>
      <c r="I1886" s="11" t="s">
        <v>49</v>
      </c>
      <c r="J1886" s="11" t="s">
        <v>58</v>
      </c>
      <c r="K1886" s="11" t="s">
        <v>29</v>
      </c>
      <c r="L1886" s="11" t="s">
        <v>69</v>
      </c>
      <c r="M1886" s="11" t="s">
        <v>59</v>
      </c>
      <c r="N1886" s="11" t="s">
        <v>1840</v>
      </c>
      <c r="O1886" s="11">
        <v>0.4</v>
      </c>
      <c r="P1886" s="6">
        <f>Table1[[#This Row],[Profit]]/Table1[[#This Row],[Sales]]</f>
        <v>0.69</v>
      </c>
      <c r="Q1886" s="11" t="s">
        <v>33</v>
      </c>
      <c r="R1886" s="11" t="s">
        <v>53</v>
      </c>
      <c r="S1886" s="11" t="s">
        <v>193</v>
      </c>
      <c r="T1886" s="11" t="s">
        <v>2954</v>
      </c>
      <c r="U1886" s="11">
        <v>2563</v>
      </c>
      <c r="V1886" s="12">
        <v>42087</v>
      </c>
      <c r="W1886" s="13" t="str">
        <f>TEXT(Table1[[#This Row],[Order Date]],"mmmm")</f>
        <v>March</v>
      </c>
      <c r="X1886" s="7" t="str">
        <f>TEXT(Table1[[#This Row],[Order Date]],"yyyy")</f>
        <v>2015</v>
      </c>
      <c r="Y1886" s="12">
        <v>42088</v>
      </c>
      <c r="Z1886" s="11">
        <v>255.14819999999997</v>
      </c>
      <c r="AA1886" s="11">
        <v>4</v>
      </c>
      <c r="AB1886" s="11">
        <v>369.78</v>
      </c>
      <c r="AC1886" s="11">
        <v>90460</v>
      </c>
      <c r="AD1886" s="6" t="str">
        <f>IF(COUNTIF(Returns!$A$2:$A$1635,Orders!AC1886)&gt;0,"Returned","Not Returned")</f>
        <v>Not Returned</v>
      </c>
    </row>
    <row r="1887" spans="1:30" ht="12.75" customHeight="1" thickTop="1" thickBot="1" x14ac:dyDescent="0.25">
      <c r="A1887" s="8">
        <v>22734</v>
      </c>
      <c r="B1887" s="1" t="s">
        <v>106</v>
      </c>
      <c r="C1887" s="1">
        <v>0.06</v>
      </c>
      <c r="D1887" s="1">
        <v>6.45</v>
      </c>
      <c r="E1887" s="1">
        <v>1.34</v>
      </c>
      <c r="F1887" s="1">
        <v>3311</v>
      </c>
      <c r="G1887" s="6" t="str">
        <f>IF(COUNTIF(Table1[Customer ID],Table1[[#This Row],[Customer ID]])&gt;1,"Repeat Customer","One-Time Customer")</f>
        <v>One-Time Customer</v>
      </c>
      <c r="H1887" s="1" t="s">
        <v>2955</v>
      </c>
      <c r="I1887" s="1" t="s">
        <v>49</v>
      </c>
      <c r="J1887" s="1" t="s">
        <v>58</v>
      </c>
      <c r="K1887" s="1" t="s">
        <v>29</v>
      </c>
      <c r="L1887" s="1" t="s">
        <v>93</v>
      </c>
      <c r="M1887" s="1" t="s">
        <v>31</v>
      </c>
      <c r="N1887" s="1" t="s">
        <v>2763</v>
      </c>
      <c r="O1887" s="1">
        <v>0.36</v>
      </c>
      <c r="P1887" s="6">
        <f>Table1[[#This Row],[Profit]]/Table1[[#This Row],[Sales]]</f>
        <v>0.69000000000000006</v>
      </c>
      <c r="Q1887" s="1" t="s">
        <v>33</v>
      </c>
      <c r="R1887" s="1" t="s">
        <v>53</v>
      </c>
      <c r="S1887" s="1" t="s">
        <v>193</v>
      </c>
      <c r="T1887" s="1" t="s">
        <v>2482</v>
      </c>
      <c r="U1887" s="1">
        <v>1890</v>
      </c>
      <c r="V1887" s="9">
        <v>42030</v>
      </c>
      <c r="W1887" s="13" t="str">
        <f>TEXT(Table1[[#This Row],[Order Date]],"mmmm")</f>
        <v>January</v>
      </c>
      <c r="X1887" s="7" t="str">
        <f>TEXT(Table1[[#This Row],[Order Date]],"yyyy")</f>
        <v>2015</v>
      </c>
      <c r="Y1887" s="9">
        <v>42035</v>
      </c>
      <c r="Z1887" s="1">
        <v>39.426600000000001</v>
      </c>
      <c r="AA1887" s="1">
        <v>9</v>
      </c>
      <c r="AB1887" s="1">
        <v>57.14</v>
      </c>
      <c r="AC1887" s="1">
        <v>90462</v>
      </c>
      <c r="AD1887" s="6" t="str">
        <f>IF(COUNTIF(Returns!$A$2:$A$1635,Orders!AC1887)&gt;0,"Returned","Not Returned")</f>
        <v>Not Returned</v>
      </c>
    </row>
    <row r="1888" spans="1:30" ht="12.75" customHeight="1" thickTop="1" thickBot="1" x14ac:dyDescent="0.25">
      <c r="A1888" s="10">
        <v>22733</v>
      </c>
      <c r="B1888" s="11" t="s">
        <v>106</v>
      </c>
      <c r="C1888" s="11">
        <v>0.05</v>
      </c>
      <c r="D1888" s="11">
        <v>122.99</v>
      </c>
      <c r="E1888" s="11">
        <v>70.2</v>
      </c>
      <c r="F1888" s="11">
        <v>3314</v>
      </c>
      <c r="G1888" s="6" t="str">
        <f>IF(COUNTIF(Table1[Customer ID],Table1[[#This Row],[Customer ID]])&gt;1,"Repeat Customer","One-Time Customer")</f>
        <v>One-Time Customer</v>
      </c>
      <c r="H1888" s="11" t="s">
        <v>2956</v>
      </c>
      <c r="I1888" s="11" t="s">
        <v>39</v>
      </c>
      <c r="J1888" s="11" t="s">
        <v>58</v>
      </c>
      <c r="K1888" s="11" t="s">
        <v>41</v>
      </c>
      <c r="L1888" s="11" t="s">
        <v>42</v>
      </c>
      <c r="M1888" s="11" t="s">
        <v>43</v>
      </c>
      <c r="N1888" s="11" t="s">
        <v>147</v>
      </c>
      <c r="O1888" s="11">
        <v>0.74</v>
      </c>
      <c r="P1888" s="6">
        <f>Table1[[#This Row],[Profit]]/Table1[[#This Row],[Sales]]</f>
        <v>-1.4493588328550502</v>
      </c>
      <c r="Q1888" s="11" t="s">
        <v>33</v>
      </c>
      <c r="R1888" s="11" t="s">
        <v>53</v>
      </c>
      <c r="S1888" s="11" t="s">
        <v>54</v>
      </c>
      <c r="T1888" s="11" t="s">
        <v>273</v>
      </c>
      <c r="U1888" s="11">
        <v>7024</v>
      </c>
      <c r="V1888" s="12">
        <v>42030</v>
      </c>
      <c r="W1888" s="13" t="str">
        <f>TEXT(Table1[[#This Row],[Order Date]],"mmmm")</f>
        <v>January</v>
      </c>
      <c r="X1888" s="7" t="str">
        <f>TEXT(Table1[[#This Row],[Order Date]],"yyyy")</f>
        <v>2015</v>
      </c>
      <c r="Y1888" s="12">
        <v>42034</v>
      </c>
      <c r="Z1888" s="11">
        <v>-722.23</v>
      </c>
      <c r="AA1888" s="11">
        <v>4</v>
      </c>
      <c r="AB1888" s="11">
        <v>498.31</v>
      </c>
      <c r="AC1888" s="11">
        <v>90462</v>
      </c>
      <c r="AD1888" s="6" t="str">
        <f>IF(COUNTIF(Returns!$A$2:$A$1635,Orders!AC1888)&gt;0,"Returned","Not Returned")</f>
        <v>Not Returned</v>
      </c>
    </row>
    <row r="1889" spans="1:30" ht="12.75" customHeight="1" thickTop="1" thickBot="1" x14ac:dyDescent="0.25">
      <c r="A1889" s="8">
        <v>19422</v>
      </c>
      <c r="B1889" s="1" t="s">
        <v>106</v>
      </c>
      <c r="C1889" s="1">
        <v>0.03</v>
      </c>
      <c r="D1889" s="1">
        <v>20.98</v>
      </c>
      <c r="E1889" s="1">
        <v>1.49</v>
      </c>
      <c r="F1889" s="1">
        <v>3319</v>
      </c>
      <c r="G1889" s="6" t="str">
        <f>IF(COUNTIF(Table1[Customer ID],Table1[[#This Row],[Customer ID]])&gt;1,"Repeat Customer","One-Time Customer")</f>
        <v>One-Time Customer</v>
      </c>
      <c r="H1889" s="1" t="s">
        <v>2957</v>
      </c>
      <c r="I1889" s="1" t="s">
        <v>49</v>
      </c>
      <c r="J1889" s="1" t="s">
        <v>58</v>
      </c>
      <c r="K1889" s="1" t="s">
        <v>29</v>
      </c>
      <c r="L1889" s="1" t="s">
        <v>109</v>
      </c>
      <c r="M1889" s="1" t="s">
        <v>59</v>
      </c>
      <c r="N1889" s="1" t="s">
        <v>1546</v>
      </c>
      <c r="O1889" s="1">
        <v>0.35</v>
      </c>
      <c r="P1889" s="6">
        <f>Table1[[#This Row],[Profit]]/Table1[[#This Row],[Sales]]</f>
        <v>6.9591822543633955E-2</v>
      </c>
      <c r="Q1889" s="1" t="s">
        <v>33</v>
      </c>
      <c r="R1889" s="1" t="s">
        <v>136</v>
      </c>
      <c r="S1889" s="1" t="s">
        <v>244</v>
      </c>
      <c r="T1889" s="1" t="s">
        <v>2894</v>
      </c>
      <c r="U1889" s="1">
        <v>37075</v>
      </c>
      <c r="V1889" s="9">
        <v>42145</v>
      </c>
      <c r="W1889" s="13" t="str">
        <f>TEXT(Table1[[#This Row],[Order Date]],"mmmm")</f>
        <v>May</v>
      </c>
      <c r="X1889" s="7" t="str">
        <f>TEXT(Table1[[#This Row],[Order Date]],"yyyy")</f>
        <v>2015</v>
      </c>
      <c r="Y1889" s="9">
        <v>42145</v>
      </c>
      <c r="Z1889" s="1">
        <v>30.023999999999997</v>
      </c>
      <c r="AA1889" s="1">
        <v>20</v>
      </c>
      <c r="AB1889" s="1">
        <v>431.43</v>
      </c>
      <c r="AC1889" s="1">
        <v>90104</v>
      </c>
      <c r="AD1889" s="6" t="str">
        <f>IF(COUNTIF(Returns!$A$2:$A$1635,Orders!AC1889)&gt;0,"Returned","Not Returned")</f>
        <v>Not Returned</v>
      </c>
    </row>
    <row r="1890" spans="1:30" ht="12.75" customHeight="1" thickTop="1" thickBot="1" x14ac:dyDescent="0.25">
      <c r="A1890" s="10">
        <v>20203</v>
      </c>
      <c r="B1890" s="11" t="s">
        <v>37</v>
      </c>
      <c r="C1890" s="11">
        <v>0.08</v>
      </c>
      <c r="D1890" s="11">
        <v>3.28</v>
      </c>
      <c r="E1890" s="11">
        <v>3.97</v>
      </c>
      <c r="F1890" s="11">
        <v>3320</v>
      </c>
      <c r="G1890" s="6" t="str">
        <f>IF(COUNTIF(Table1[Customer ID],Table1[[#This Row],[Customer ID]])&gt;1,"Repeat Customer","One-Time Customer")</f>
        <v>Repeat Customer</v>
      </c>
      <c r="H1890" s="11" t="s">
        <v>2958</v>
      </c>
      <c r="I1890" s="11" t="s">
        <v>49</v>
      </c>
      <c r="J1890" s="11" t="s">
        <v>58</v>
      </c>
      <c r="K1890" s="11" t="s">
        <v>29</v>
      </c>
      <c r="L1890" s="11" t="s">
        <v>30</v>
      </c>
      <c r="M1890" s="11" t="s">
        <v>31</v>
      </c>
      <c r="N1890" s="11" t="s">
        <v>1793</v>
      </c>
      <c r="O1890" s="11">
        <v>0.56000000000000005</v>
      </c>
      <c r="P1890" s="6">
        <f>Table1[[#This Row],[Profit]]/Table1[[#This Row],[Sales]]</f>
        <v>7.4528301886793036E-3</v>
      </c>
      <c r="Q1890" s="11" t="s">
        <v>33</v>
      </c>
      <c r="R1890" s="11" t="s">
        <v>136</v>
      </c>
      <c r="S1890" s="11" t="s">
        <v>244</v>
      </c>
      <c r="T1890" s="11" t="s">
        <v>1644</v>
      </c>
      <c r="U1890" s="11">
        <v>38301</v>
      </c>
      <c r="V1890" s="12">
        <v>42121</v>
      </c>
      <c r="W1890" s="13" t="str">
        <f>TEXT(Table1[[#This Row],[Order Date]],"mmmm")</f>
        <v>April</v>
      </c>
      <c r="X1890" s="7" t="str">
        <f>TEXT(Table1[[#This Row],[Order Date]],"yyyy")</f>
        <v>2015</v>
      </c>
      <c r="Y1890" s="12">
        <v>42122</v>
      </c>
      <c r="Z1890" s="11">
        <v>0.42660000000000337</v>
      </c>
      <c r="AA1890" s="11">
        <v>18</v>
      </c>
      <c r="AB1890" s="11">
        <v>57.24</v>
      </c>
      <c r="AC1890" s="11">
        <v>90103</v>
      </c>
      <c r="AD1890" s="6" t="str">
        <f>IF(COUNTIF(Returns!$A$2:$A$1635,Orders!AC1890)&gt;0,"Returned","Not Returned")</f>
        <v>Not Returned</v>
      </c>
    </row>
    <row r="1891" spans="1:30" ht="12.75" customHeight="1" thickTop="1" thickBot="1" x14ac:dyDescent="0.25">
      <c r="A1891" s="8">
        <v>20204</v>
      </c>
      <c r="B1891" s="1" t="s">
        <v>37</v>
      </c>
      <c r="C1891" s="1">
        <v>0.09</v>
      </c>
      <c r="D1891" s="1">
        <v>40.97</v>
      </c>
      <c r="E1891" s="1">
        <v>8.99</v>
      </c>
      <c r="F1891" s="1">
        <v>3320</v>
      </c>
      <c r="G1891" s="6" t="str">
        <f>IF(COUNTIF(Table1[Customer ID],Table1[[#This Row],[Customer ID]])&gt;1,"Repeat Customer","One-Time Customer")</f>
        <v>Repeat Customer</v>
      </c>
      <c r="H1891" s="1" t="s">
        <v>2958</v>
      </c>
      <c r="I1891" s="1" t="s">
        <v>27</v>
      </c>
      <c r="J1891" s="1" t="s">
        <v>58</v>
      </c>
      <c r="K1891" s="1" t="s">
        <v>29</v>
      </c>
      <c r="L1891" s="1" t="s">
        <v>30</v>
      </c>
      <c r="M1891" s="1" t="s">
        <v>51</v>
      </c>
      <c r="N1891" s="1" t="s">
        <v>2445</v>
      </c>
      <c r="O1891" s="1">
        <v>0.59</v>
      </c>
      <c r="P1891" s="6">
        <f>Table1[[#This Row],[Profit]]/Table1[[#This Row],[Sales]]</f>
        <v>8.0291014914514361E-2</v>
      </c>
      <c r="Q1891" s="1" t="s">
        <v>33</v>
      </c>
      <c r="R1891" s="1" t="s">
        <v>136</v>
      </c>
      <c r="S1891" s="1" t="s">
        <v>244</v>
      </c>
      <c r="T1891" s="1" t="s">
        <v>1644</v>
      </c>
      <c r="U1891" s="1">
        <v>38301</v>
      </c>
      <c r="V1891" s="9">
        <v>42121</v>
      </c>
      <c r="W1891" s="13" t="str">
        <f>TEXT(Table1[[#This Row],[Order Date]],"mmmm")</f>
        <v>April</v>
      </c>
      <c r="X1891" s="7" t="str">
        <f>TEXT(Table1[[#This Row],[Order Date]],"yyyy")</f>
        <v>2015</v>
      </c>
      <c r="Y1891" s="9">
        <v>42123</v>
      </c>
      <c r="Z1891" s="1">
        <v>66.215999999999994</v>
      </c>
      <c r="AA1891" s="1">
        <v>22</v>
      </c>
      <c r="AB1891" s="1">
        <v>824.7</v>
      </c>
      <c r="AC1891" s="1">
        <v>90103</v>
      </c>
      <c r="AD1891" s="6" t="str">
        <f>IF(COUNTIF(Returns!$A$2:$A$1635,Orders!AC1891)&gt;0,"Returned","Not Returned")</f>
        <v>Not Returned</v>
      </c>
    </row>
    <row r="1892" spans="1:30" ht="14.25" thickTop="1" thickBot="1" x14ac:dyDescent="0.25">
      <c r="A1892" s="10">
        <v>25330</v>
      </c>
      <c r="B1892" s="11" t="s">
        <v>56</v>
      </c>
      <c r="C1892" s="11">
        <v>0.05</v>
      </c>
      <c r="D1892" s="11">
        <v>6.48</v>
      </c>
      <c r="E1892" s="11">
        <v>8.19</v>
      </c>
      <c r="F1892" s="11">
        <v>3324</v>
      </c>
      <c r="G1892" s="6" t="str">
        <f>IF(COUNTIF(Table1[Customer ID],Table1[[#This Row],[Customer ID]])&gt;1,"Repeat Customer","One-Time Customer")</f>
        <v>One-Time Customer</v>
      </c>
      <c r="H1892" s="11" t="s">
        <v>2959</v>
      </c>
      <c r="I1892" s="11" t="s">
        <v>49</v>
      </c>
      <c r="J1892" s="11" t="s">
        <v>114</v>
      </c>
      <c r="K1892" s="11" t="s">
        <v>29</v>
      </c>
      <c r="L1892" s="11" t="s">
        <v>93</v>
      </c>
      <c r="M1892" s="11" t="s">
        <v>59</v>
      </c>
      <c r="N1892" s="11" t="s">
        <v>2556</v>
      </c>
      <c r="O1892" s="11">
        <v>0.37</v>
      </c>
      <c r="P1892" s="6">
        <f>Table1[[#This Row],[Profit]]/Table1[[#This Row],[Sales]]</f>
        <v>-2.8064957264957267</v>
      </c>
      <c r="Q1892" s="11" t="s">
        <v>33</v>
      </c>
      <c r="R1892" s="11" t="s">
        <v>34</v>
      </c>
      <c r="S1892" s="11" t="s">
        <v>378</v>
      </c>
      <c r="T1892" s="11" t="s">
        <v>2960</v>
      </c>
      <c r="U1892" s="11">
        <v>85335</v>
      </c>
      <c r="V1892" s="12">
        <v>42047</v>
      </c>
      <c r="W1892" s="13" t="str">
        <f>TEXT(Table1[[#This Row],[Order Date]],"mmmm")</f>
        <v>February</v>
      </c>
      <c r="X1892" s="7" t="str">
        <f>TEXT(Table1[[#This Row],[Order Date]],"yyyy")</f>
        <v>2015</v>
      </c>
      <c r="Y1892" s="12">
        <v>42050</v>
      </c>
      <c r="Z1892" s="11">
        <v>-164.18</v>
      </c>
      <c r="AA1892" s="11">
        <v>9</v>
      </c>
      <c r="AB1892" s="11">
        <v>58.5</v>
      </c>
      <c r="AC1892" s="11">
        <v>90985</v>
      </c>
      <c r="AD1892" s="6" t="str">
        <f>IF(COUNTIF(Returns!$A$2:$A$1635,Orders!AC1892)&gt;0,"Returned","Not Returned")</f>
        <v>Not Returned</v>
      </c>
    </row>
    <row r="1893" spans="1:30" ht="12.75" customHeight="1" thickTop="1" thickBot="1" x14ac:dyDescent="0.25">
      <c r="A1893" s="8">
        <v>20488</v>
      </c>
      <c r="B1893" s="1" t="s">
        <v>106</v>
      </c>
      <c r="C1893" s="1">
        <v>0</v>
      </c>
      <c r="D1893" s="1">
        <v>8.74</v>
      </c>
      <c r="E1893" s="1">
        <v>8.2899999999999991</v>
      </c>
      <c r="F1893" s="1">
        <v>3325</v>
      </c>
      <c r="G1893" s="6" t="str">
        <f>IF(COUNTIF(Table1[Customer ID],Table1[[#This Row],[Customer ID]])&gt;1,"Repeat Customer","One-Time Customer")</f>
        <v>Repeat Customer</v>
      </c>
      <c r="H1893" s="1" t="s">
        <v>2961</v>
      </c>
      <c r="I1893" s="1" t="s">
        <v>49</v>
      </c>
      <c r="J1893" s="1" t="s">
        <v>114</v>
      </c>
      <c r="K1893" s="1" t="s">
        <v>29</v>
      </c>
      <c r="L1893" s="1" t="s">
        <v>69</v>
      </c>
      <c r="M1893" s="1" t="s">
        <v>59</v>
      </c>
      <c r="N1893" s="1" t="s">
        <v>1482</v>
      </c>
      <c r="O1893" s="1">
        <v>0.38</v>
      </c>
      <c r="P1893" s="6">
        <f>Table1[[#This Row],[Profit]]/Table1[[#This Row],[Sales]]</f>
        <v>-0.60325178544294178</v>
      </c>
      <c r="Q1893" s="1" t="s">
        <v>33</v>
      </c>
      <c r="R1893" s="1" t="s">
        <v>34</v>
      </c>
      <c r="S1893" s="1" t="s">
        <v>102</v>
      </c>
      <c r="T1893" s="1" t="s">
        <v>1393</v>
      </c>
      <c r="U1893" s="1">
        <v>97420</v>
      </c>
      <c r="V1893" s="9">
        <v>42179</v>
      </c>
      <c r="W1893" s="13" t="str">
        <f>TEXT(Table1[[#This Row],[Order Date]],"mmmm")</f>
        <v>June</v>
      </c>
      <c r="X1893" s="7" t="str">
        <f>TEXT(Table1[[#This Row],[Order Date]],"yyyy")</f>
        <v>2015</v>
      </c>
      <c r="Y1893" s="9">
        <v>42181</v>
      </c>
      <c r="Z1893" s="1">
        <v>-79.400000000000006</v>
      </c>
      <c r="AA1893" s="1">
        <v>14</v>
      </c>
      <c r="AB1893" s="1">
        <v>131.62</v>
      </c>
      <c r="AC1893" s="1">
        <v>90986</v>
      </c>
      <c r="AD1893" s="6" t="str">
        <f>IF(COUNTIF(Returns!$A$2:$A$1635,Orders!AC1893)&gt;0,"Returned","Not Returned")</f>
        <v>Not Returned</v>
      </c>
    </row>
    <row r="1894" spans="1:30" ht="12.75" customHeight="1" thickTop="1" thickBot="1" x14ac:dyDescent="0.25">
      <c r="A1894" s="10">
        <v>23476</v>
      </c>
      <c r="B1894" s="11" t="s">
        <v>47</v>
      </c>
      <c r="C1894" s="11">
        <v>7.0000000000000007E-2</v>
      </c>
      <c r="D1894" s="11">
        <v>5.58</v>
      </c>
      <c r="E1894" s="11">
        <v>1.99</v>
      </c>
      <c r="F1894" s="11">
        <v>3325</v>
      </c>
      <c r="G1894" s="6" t="str">
        <f>IF(COUNTIF(Table1[Customer ID],Table1[[#This Row],[Customer ID]])&gt;1,"Repeat Customer","One-Time Customer")</f>
        <v>Repeat Customer</v>
      </c>
      <c r="H1894" s="11" t="s">
        <v>2961</v>
      </c>
      <c r="I1894" s="11" t="s">
        <v>49</v>
      </c>
      <c r="J1894" s="11" t="s">
        <v>114</v>
      </c>
      <c r="K1894" s="11" t="s">
        <v>29</v>
      </c>
      <c r="L1894" s="11" t="s">
        <v>30</v>
      </c>
      <c r="M1894" s="11" t="s">
        <v>31</v>
      </c>
      <c r="N1894" s="11" t="s">
        <v>2962</v>
      </c>
      <c r="O1894" s="11">
        <v>0.46</v>
      </c>
      <c r="P1894" s="6">
        <f>Table1[[#This Row],[Profit]]/Table1[[#This Row],[Sales]]</f>
        <v>0.18974147867610736</v>
      </c>
      <c r="Q1894" s="11" t="s">
        <v>33</v>
      </c>
      <c r="R1894" s="11" t="s">
        <v>34</v>
      </c>
      <c r="S1894" s="11" t="s">
        <v>102</v>
      </c>
      <c r="T1894" s="11" t="s">
        <v>1393</v>
      </c>
      <c r="U1894" s="11">
        <v>97420</v>
      </c>
      <c r="V1894" s="12">
        <v>42118</v>
      </c>
      <c r="W1894" s="13" t="str">
        <f>TEXT(Table1[[#This Row],[Order Date]],"mmmm")</f>
        <v>April</v>
      </c>
      <c r="X1894" s="7" t="str">
        <f>TEXT(Table1[[#This Row],[Order Date]],"yyyy")</f>
        <v>2015</v>
      </c>
      <c r="Y1894" s="12">
        <v>42120</v>
      </c>
      <c r="Z1894" s="11">
        <v>23.045999999999999</v>
      </c>
      <c r="AA1894" s="11">
        <v>23</v>
      </c>
      <c r="AB1894" s="11">
        <v>121.46</v>
      </c>
      <c r="AC1894" s="11">
        <v>90987</v>
      </c>
      <c r="AD1894" s="6" t="str">
        <f>IF(COUNTIF(Returns!$A$2:$A$1635,Orders!AC1894)&gt;0,"Returned","Not Returned")</f>
        <v>Not Returned</v>
      </c>
    </row>
    <row r="1895" spans="1:30" ht="12.75" customHeight="1" thickTop="1" thickBot="1" x14ac:dyDescent="0.25">
      <c r="A1895" s="8">
        <v>18259</v>
      </c>
      <c r="B1895" s="1" t="s">
        <v>37</v>
      </c>
      <c r="C1895" s="1">
        <v>0.06</v>
      </c>
      <c r="D1895" s="1">
        <v>113.98</v>
      </c>
      <c r="E1895" s="1">
        <v>30</v>
      </c>
      <c r="F1895" s="1">
        <v>3327</v>
      </c>
      <c r="G1895" s="6" t="str">
        <f>IF(COUNTIF(Table1[Customer ID],Table1[[#This Row],[Customer ID]])&gt;1,"Repeat Customer","One-Time Customer")</f>
        <v>Repeat Customer</v>
      </c>
      <c r="H1895" s="1" t="s">
        <v>2963</v>
      </c>
      <c r="I1895" s="1" t="s">
        <v>39</v>
      </c>
      <c r="J1895" s="1" t="s">
        <v>58</v>
      </c>
      <c r="K1895" s="1" t="s">
        <v>41</v>
      </c>
      <c r="L1895" s="1" t="s">
        <v>42</v>
      </c>
      <c r="M1895" s="1" t="s">
        <v>43</v>
      </c>
      <c r="N1895" s="1" t="s">
        <v>2964</v>
      </c>
      <c r="O1895" s="1">
        <v>0.69</v>
      </c>
      <c r="P1895" s="6">
        <f>Table1[[#This Row],[Profit]]/Table1[[#This Row],[Sales]]</f>
        <v>-0.35744370191497726</v>
      </c>
      <c r="Q1895" s="1" t="s">
        <v>33</v>
      </c>
      <c r="R1895" s="1" t="s">
        <v>61</v>
      </c>
      <c r="S1895" s="1" t="s">
        <v>300</v>
      </c>
      <c r="T1895" s="1" t="s">
        <v>2722</v>
      </c>
      <c r="U1895" s="1">
        <v>48060</v>
      </c>
      <c r="V1895" s="9">
        <v>42069</v>
      </c>
      <c r="W1895" s="13" t="str">
        <f>TEXT(Table1[[#This Row],[Order Date]],"mmmm")</f>
        <v>March</v>
      </c>
      <c r="X1895" s="7" t="str">
        <f>TEXT(Table1[[#This Row],[Order Date]],"yyyy")</f>
        <v>2015</v>
      </c>
      <c r="Y1895" s="9">
        <v>42071</v>
      </c>
      <c r="Z1895" s="1">
        <v>-127.3</v>
      </c>
      <c r="AA1895" s="1">
        <v>3</v>
      </c>
      <c r="AB1895" s="1">
        <v>356.14</v>
      </c>
      <c r="AC1895" s="1">
        <v>87272</v>
      </c>
      <c r="AD1895" s="6" t="str">
        <f>IF(COUNTIF(Returns!$A$2:$A$1635,Orders!AC1895)&gt;0,"Returned","Not Returned")</f>
        <v>Not Returned</v>
      </c>
    </row>
    <row r="1896" spans="1:30" ht="12.75" customHeight="1" thickTop="1" thickBot="1" x14ac:dyDescent="0.25">
      <c r="A1896" s="10">
        <v>18260</v>
      </c>
      <c r="B1896" s="11" t="s">
        <v>37</v>
      </c>
      <c r="C1896" s="11">
        <v>0.05</v>
      </c>
      <c r="D1896" s="11">
        <v>6.48</v>
      </c>
      <c r="E1896" s="11">
        <v>6.86</v>
      </c>
      <c r="F1896" s="11">
        <v>3327</v>
      </c>
      <c r="G1896" s="6" t="str">
        <f>IF(COUNTIF(Table1[Customer ID],Table1[[#This Row],[Customer ID]])&gt;1,"Repeat Customer","One-Time Customer")</f>
        <v>Repeat Customer</v>
      </c>
      <c r="H1896" s="11" t="s">
        <v>2963</v>
      </c>
      <c r="I1896" s="11" t="s">
        <v>49</v>
      </c>
      <c r="J1896" s="11" t="s">
        <v>58</v>
      </c>
      <c r="K1896" s="11" t="s">
        <v>29</v>
      </c>
      <c r="L1896" s="11" t="s">
        <v>93</v>
      </c>
      <c r="M1896" s="11" t="s">
        <v>59</v>
      </c>
      <c r="N1896" s="11" t="s">
        <v>929</v>
      </c>
      <c r="O1896" s="11">
        <v>0.37</v>
      </c>
      <c r="P1896" s="6">
        <f>Table1[[#This Row],[Profit]]/Table1[[#This Row],[Sales]]</f>
        <v>-1.9486706056129988</v>
      </c>
      <c r="Q1896" s="11" t="s">
        <v>33</v>
      </c>
      <c r="R1896" s="11" t="s">
        <v>61</v>
      </c>
      <c r="S1896" s="11" t="s">
        <v>300</v>
      </c>
      <c r="T1896" s="11" t="s">
        <v>2722</v>
      </c>
      <c r="U1896" s="11">
        <v>48060</v>
      </c>
      <c r="V1896" s="12">
        <v>42069</v>
      </c>
      <c r="W1896" s="13" t="str">
        <f>TEXT(Table1[[#This Row],[Order Date]],"mmmm")</f>
        <v>March</v>
      </c>
      <c r="X1896" s="7" t="str">
        <f>TEXT(Table1[[#This Row],[Order Date]],"yyyy")</f>
        <v>2015</v>
      </c>
      <c r="Y1896" s="12">
        <v>42071</v>
      </c>
      <c r="Z1896" s="11">
        <v>-52.77</v>
      </c>
      <c r="AA1896" s="11">
        <v>4</v>
      </c>
      <c r="AB1896" s="11">
        <v>27.08</v>
      </c>
      <c r="AC1896" s="11">
        <v>87272</v>
      </c>
      <c r="AD1896" s="6" t="str">
        <f>IF(COUNTIF(Returns!$A$2:$A$1635,Orders!AC1896)&gt;0,"Returned","Not Returned")</f>
        <v>Not Returned</v>
      </c>
    </row>
    <row r="1897" spans="1:30" ht="12.75" customHeight="1" thickTop="1" thickBot="1" x14ac:dyDescent="0.25">
      <c r="A1897" s="8">
        <v>21588</v>
      </c>
      <c r="B1897" s="1" t="s">
        <v>56</v>
      </c>
      <c r="C1897" s="1">
        <v>0.09</v>
      </c>
      <c r="D1897" s="1">
        <v>5.98</v>
      </c>
      <c r="E1897" s="1">
        <v>4.6900000000000004</v>
      </c>
      <c r="F1897" s="1">
        <v>3331</v>
      </c>
      <c r="G1897" s="6" t="str">
        <f>IF(COUNTIF(Table1[Customer ID],Table1[[#This Row],[Customer ID]])&gt;1,"Repeat Customer","One-Time Customer")</f>
        <v>Repeat Customer</v>
      </c>
      <c r="H1897" s="1" t="s">
        <v>2965</v>
      </c>
      <c r="I1897" s="1" t="s">
        <v>49</v>
      </c>
      <c r="J1897" s="1" t="s">
        <v>28</v>
      </c>
      <c r="K1897" s="1" t="s">
        <v>29</v>
      </c>
      <c r="L1897" s="1" t="s">
        <v>141</v>
      </c>
      <c r="M1897" s="1" t="s">
        <v>59</v>
      </c>
      <c r="N1897" s="1" t="s">
        <v>1403</v>
      </c>
      <c r="O1897" s="1">
        <v>0.68</v>
      </c>
      <c r="P1897" s="6">
        <f>Table1[[#This Row],[Profit]]/Table1[[#This Row],[Sales]]</f>
        <v>-11.86232649962035</v>
      </c>
      <c r="Q1897" s="1" t="s">
        <v>33</v>
      </c>
      <c r="R1897" s="1" t="s">
        <v>136</v>
      </c>
      <c r="S1897" s="1" t="s">
        <v>362</v>
      </c>
      <c r="T1897" s="1" t="s">
        <v>2966</v>
      </c>
      <c r="U1897" s="1">
        <v>32174</v>
      </c>
      <c r="V1897" s="9">
        <v>42009</v>
      </c>
      <c r="W1897" s="13" t="str">
        <f>TEXT(Table1[[#This Row],[Order Date]],"mmmm")</f>
        <v>January</v>
      </c>
      <c r="X1897" s="7" t="str">
        <f>TEXT(Table1[[#This Row],[Order Date]],"yyyy")</f>
        <v>2015</v>
      </c>
      <c r="Y1897" s="9">
        <v>42010</v>
      </c>
      <c r="Z1897" s="1">
        <v>-781.13419999999996</v>
      </c>
      <c r="AA1897" s="1">
        <v>11</v>
      </c>
      <c r="AB1897" s="1">
        <v>65.849999999999994</v>
      </c>
      <c r="AC1897" s="1">
        <v>86283</v>
      </c>
      <c r="AD1897" s="6" t="str">
        <f>IF(COUNTIF(Returns!$A$2:$A$1635,Orders!AC1897)&gt;0,"Returned","Not Returned")</f>
        <v>Not Returned</v>
      </c>
    </row>
    <row r="1898" spans="1:30" ht="12.75" customHeight="1" thickTop="1" thickBot="1" x14ac:dyDescent="0.25">
      <c r="A1898" s="10">
        <v>23294</v>
      </c>
      <c r="B1898" s="11" t="s">
        <v>37</v>
      </c>
      <c r="C1898" s="11">
        <v>0.02</v>
      </c>
      <c r="D1898" s="11">
        <v>4</v>
      </c>
      <c r="E1898" s="11">
        <v>1.3</v>
      </c>
      <c r="F1898" s="11">
        <v>3331</v>
      </c>
      <c r="G1898" s="6" t="str">
        <f>IF(COUNTIF(Table1[Customer ID],Table1[[#This Row],[Customer ID]])&gt;1,"Repeat Customer","One-Time Customer")</f>
        <v>Repeat Customer</v>
      </c>
      <c r="H1898" s="11" t="s">
        <v>2965</v>
      </c>
      <c r="I1898" s="11" t="s">
        <v>49</v>
      </c>
      <c r="J1898" s="11" t="s">
        <v>28</v>
      </c>
      <c r="K1898" s="11" t="s">
        <v>29</v>
      </c>
      <c r="L1898" s="11" t="s">
        <v>93</v>
      </c>
      <c r="M1898" s="11" t="s">
        <v>31</v>
      </c>
      <c r="N1898" s="11" t="s">
        <v>204</v>
      </c>
      <c r="O1898" s="11">
        <v>0.37</v>
      </c>
      <c r="P1898" s="6">
        <f>Table1[[#This Row],[Profit]]/Table1[[#This Row],[Sales]]</f>
        <v>-0.45939656872411749</v>
      </c>
      <c r="Q1898" s="11" t="s">
        <v>33</v>
      </c>
      <c r="R1898" s="11" t="s">
        <v>136</v>
      </c>
      <c r="S1898" s="11" t="s">
        <v>362</v>
      </c>
      <c r="T1898" s="11" t="s">
        <v>2966</v>
      </c>
      <c r="U1898" s="11">
        <v>32174</v>
      </c>
      <c r="V1898" s="12">
        <v>42013</v>
      </c>
      <c r="W1898" s="13" t="str">
        <f>TEXT(Table1[[#This Row],[Order Date]],"mmmm")</f>
        <v>January</v>
      </c>
      <c r="X1898" s="7" t="str">
        <f>TEXT(Table1[[#This Row],[Order Date]],"yyyy")</f>
        <v>2015</v>
      </c>
      <c r="Y1898" s="12">
        <v>42013</v>
      </c>
      <c r="Z1898" s="11">
        <v>-23.295999999999999</v>
      </c>
      <c r="AA1898" s="11">
        <v>12</v>
      </c>
      <c r="AB1898" s="11">
        <v>50.71</v>
      </c>
      <c r="AC1898" s="11">
        <v>86284</v>
      </c>
      <c r="AD1898" s="6" t="str">
        <f>IF(COUNTIF(Returns!$A$2:$A$1635,Orders!AC1898)&gt;0,"Returned","Not Returned")</f>
        <v>Not Returned</v>
      </c>
    </row>
    <row r="1899" spans="1:30" ht="12.75" customHeight="1" thickTop="1" thickBot="1" x14ac:dyDescent="0.25">
      <c r="A1899" s="8">
        <v>21429</v>
      </c>
      <c r="B1899" s="1" t="s">
        <v>25</v>
      </c>
      <c r="C1899" s="1">
        <v>0.08</v>
      </c>
      <c r="D1899" s="1">
        <v>6.48</v>
      </c>
      <c r="E1899" s="1">
        <v>8.4</v>
      </c>
      <c r="F1899" s="1">
        <v>3338</v>
      </c>
      <c r="G1899" s="6" t="str">
        <f>IF(COUNTIF(Table1[Customer ID],Table1[[#This Row],[Customer ID]])&gt;1,"Repeat Customer","One-Time Customer")</f>
        <v>One-Time Customer</v>
      </c>
      <c r="H1899" s="1" t="s">
        <v>2967</v>
      </c>
      <c r="I1899" s="1" t="s">
        <v>49</v>
      </c>
      <c r="J1899" s="1" t="s">
        <v>114</v>
      </c>
      <c r="K1899" s="1" t="s">
        <v>29</v>
      </c>
      <c r="L1899" s="1" t="s">
        <v>93</v>
      </c>
      <c r="M1899" s="1" t="s">
        <v>59</v>
      </c>
      <c r="N1899" s="1" t="s">
        <v>736</v>
      </c>
      <c r="O1899" s="1">
        <v>0.37</v>
      </c>
      <c r="P1899" s="6">
        <f>Table1[[#This Row],[Profit]]/Table1[[#This Row],[Sales]]</f>
        <v>1.3069333333333333</v>
      </c>
      <c r="Q1899" s="1" t="s">
        <v>33</v>
      </c>
      <c r="R1899" s="1" t="s">
        <v>136</v>
      </c>
      <c r="S1899" s="1" t="s">
        <v>362</v>
      </c>
      <c r="T1899" s="1" t="s">
        <v>2968</v>
      </c>
      <c r="U1899" s="1">
        <v>33614</v>
      </c>
      <c r="V1899" s="9">
        <v>42131</v>
      </c>
      <c r="W1899" s="13" t="str">
        <f>TEXT(Table1[[#This Row],[Order Date]],"mmmm")</f>
        <v>May</v>
      </c>
      <c r="X1899" s="7" t="str">
        <f>TEXT(Table1[[#This Row],[Order Date]],"yyyy")</f>
        <v>2015</v>
      </c>
      <c r="Y1899" s="9">
        <v>42131</v>
      </c>
      <c r="Z1899" s="1">
        <v>58.811999999999998</v>
      </c>
      <c r="AA1899" s="1">
        <v>7</v>
      </c>
      <c r="AB1899" s="1">
        <v>45</v>
      </c>
      <c r="AC1899" s="1">
        <v>85979</v>
      </c>
      <c r="AD1899" s="6" t="str">
        <f>IF(COUNTIF(Returns!$A$2:$A$1635,Orders!AC1899)&gt;0,"Returned","Not Returned")</f>
        <v>Not Returned</v>
      </c>
    </row>
    <row r="1900" spans="1:30" ht="12.75" customHeight="1" thickTop="1" thickBot="1" x14ac:dyDescent="0.25">
      <c r="A1900" s="10">
        <v>25613</v>
      </c>
      <c r="B1900" s="11" t="s">
        <v>25</v>
      </c>
      <c r="C1900" s="11">
        <v>0.03</v>
      </c>
      <c r="D1900" s="11">
        <v>2.61</v>
      </c>
      <c r="E1900" s="11">
        <v>0.5</v>
      </c>
      <c r="F1900" s="11">
        <v>3339</v>
      </c>
      <c r="G1900" s="6" t="str">
        <f>IF(COUNTIF(Table1[Customer ID],Table1[[#This Row],[Customer ID]])&gt;1,"Repeat Customer","One-Time Customer")</f>
        <v>Repeat Customer</v>
      </c>
      <c r="H1900" s="11" t="s">
        <v>2969</v>
      </c>
      <c r="I1900" s="11" t="s">
        <v>49</v>
      </c>
      <c r="J1900" s="11" t="s">
        <v>114</v>
      </c>
      <c r="K1900" s="11" t="s">
        <v>29</v>
      </c>
      <c r="L1900" s="11" t="s">
        <v>134</v>
      </c>
      <c r="M1900" s="11" t="s">
        <v>59</v>
      </c>
      <c r="N1900" s="11" t="s">
        <v>1138</v>
      </c>
      <c r="O1900" s="11">
        <v>0.39</v>
      </c>
      <c r="P1900" s="6">
        <f>Table1[[#This Row],[Profit]]/Table1[[#This Row],[Sales]]</f>
        <v>0.2126340694006309</v>
      </c>
      <c r="Q1900" s="11" t="s">
        <v>33</v>
      </c>
      <c r="R1900" s="11" t="s">
        <v>136</v>
      </c>
      <c r="S1900" s="11" t="s">
        <v>362</v>
      </c>
      <c r="T1900" s="11" t="s">
        <v>2970</v>
      </c>
      <c r="U1900" s="11">
        <v>32780</v>
      </c>
      <c r="V1900" s="12">
        <v>42169</v>
      </c>
      <c r="W1900" s="13" t="str">
        <f>TEXT(Table1[[#This Row],[Order Date]],"mmmm")</f>
        <v>June</v>
      </c>
      <c r="X1900" s="7" t="str">
        <f>TEXT(Table1[[#This Row],[Order Date]],"yyyy")</f>
        <v>2015</v>
      </c>
      <c r="Y1900" s="12">
        <v>42170</v>
      </c>
      <c r="Z1900" s="11">
        <v>4.0442999999999998</v>
      </c>
      <c r="AA1900" s="11">
        <v>7</v>
      </c>
      <c r="AB1900" s="11">
        <v>19.02</v>
      </c>
      <c r="AC1900" s="11">
        <v>85981</v>
      </c>
      <c r="AD1900" s="6" t="str">
        <f>IF(COUNTIF(Returns!$A$2:$A$1635,Orders!AC1900)&gt;0,"Returned","Not Returned")</f>
        <v>Not Returned</v>
      </c>
    </row>
    <row r="1901" spans="1:30" ht="12.75" customHeight="1" thickTop="1" thickBot="1" x14ac:dyDescent="0.25">
      <c r="A1901" s="8">
        <v>25614</v>
      </c>
      <c r="B1901" s="1" t="s">
        <v>25</v>
      </c>
      <c r="C1901" s="1">
        <v>0.01</v>
      </c>
      <c r="D1901" s="1">
        <v>11.66</v>
      </c>
      <c r="E1901" s="1">
        <v>7.95</v>
      </c>
      <c r="F1901" s="1">
        <v>3339</v>
      </c>
      <c r="G1901" s="6" t="str">
        <f>IF(COUNTIF(Table1[Customer ID],Table1[[#This Row],[Customer ID]])&gt;1,"Repeat Customer","One-Time Customer")</f>
        <v>Repeat Customer</v>
      </c>
      <c r="H1901" s="1" t="s">
        <v>2969</v>
      </c>
      <c r="I1901" s="1" t="s">
        <v>49</v>
      </c>
      <c r="J1901" s="1" t="s">
        <v>114</v>
      </c>
      <c r="K1901" s="1" t="s">
        <v>29</v>
      </c>
      <c r="L1901" s="1" t="s">
        <v>30</v>
      </c>
      <c r="M1901" s="1" t="s">
        <v>51</v>
      </c>
      <c r="N1901" s="1" t="s">
        <v>1718</v>
      </c>
      <c r="O1901" s="1">
        <v>0.57999999999999996</v>
      </c>
      <c r="P1901" s="6">
        <f>Table1[[#This Row],[Profit]]/Table1[[#This Row],[Sales]]</f>
        <v>-5.3481198741424672E-2</v>
      </c>
      <c r="Q1901" s="1" t="s">
        <v>33</v>
      </c>
      <c r="R1901" s="1" t="s">
        <v>136</v>
      </c>
      <c r="S1901" s="1" t="s">
        <v>362</v>
      </c>
      <c r="T1901" s="1" t="s">
        <v>2970</v>
      </c>
      <c r="U1901" s="1">
        <v>32780</v>
      </c>
      <c r="V1901" s="9">
        <v>42169</v>
      </c>
      <c r="W1901" s="13" t="str">
        <f>TEXT(Table1[[#This Row],[Order Date]],"mmmm")</f>
        <v>June</v>
      </c>
      <c r="X1901" s="7" t="str">
        <f>TEXT(Table1[[#This Row],[Order Date]],"yyyy")</f>
        <v>2015</v>
      </c>
      <c r="Y1901" s="9">
        <v>42170</v>
      </c>
      <c r="Z1901" s="1">
        <v>-10.368400000000001</v>
      </c>
      <c r="AA1901" s="1">
        <v>16</v>
      </c>
      <c r="AB1901" s="1">
        <v>193.87</v>
      </c>
      <c r="AC1901" s="1">
        <v>85981</v>
      </c>
      <c r="AD1901" s="6" t="str">
        <f>IF(COUNTIF(Returns!$A$2:$A$1635,Orders!AC1901)&gt;0,"Returned","Not Returned")</f>
        <v>Not Returned</v>
      </c>
    </row>
    <row r="1902" spans="1:30" ht="12.75" customHeight="1" thickTop="1" thickBot="1" x14ac:dyDescent="0.25">
      <c r="A1902" s="10">
        <v>22857</v>
      </c>
      <c r="B1902" s="11" t="s">
        <v>56</v>
      </c>
      <c r="C1902" s="11">
        <v>0.08</v>
      </c>
      <c r="D1902" s="11">
        <v>125.99</v>
      </c>
      <c r="E1902" s="11">
        <v>4.2</v>
      </c>
      <c r="F1902" s="11">
        <v>3340</v>
      </c>
      <c r="G1902" s="6" t="str">
        <f>IF(COUNTIF(Table1[Customer ID],Table1[[#This Row],[Customer ID]])&gt;1,"Repeat Customer","One-Time Customer")</f>
        <v>One-Time Customer</v>
      </c>
      <c r="H1902" s="11" t="s">
        <v>2971</v>
      </c>
      <c r="I1902" s="11" t="s">
        <v>49</v>
      </c>
      <c r="J1902" s="11" t="s">
        <v>114</v>
      </c>
      <c r="K1902" s="11" t="s">
        <v>77</v>
      </c>
      <c r="L1902" s="11" t="s">
        <v>78</v>
      </c>
      <c r="M1902" s="11" t="s">
        <v>59</v>
      </c>
      <c r="N1902" s="11" t="s">
        <v>2972</v>
      </c>
      <c r="O1902" s="11">
        <v>0.56999999999999995</v>
      </c>
      <c r="P1902" s="6">
        <f>Table1[[#This Row],[Profit]]/Table1[[#This Row],[Sales]]</f>
        <v>0.69</v>
      </c>
      <c r="Q1902" s="11" t="s">
        <v>33</v>
      </c>
      <c r="R1902" s="11" t="s">
        <v>34</v>
      </c>
      <c r="S1902" s="11" t="s">
        <v>102</v>
      </c>
      <c r="T1902" s="11" t="s">
        <v>2973</v>
      </c>
      <c r="U1902" s="11">
        <v>97060</v>
      </c>
      <c r="V1902" s="12">
        <v>42017</v>
      </c>
      <c r="W1902" s="13" t="str">
        <f>TEXT(Table1[[#This Row],[Order Date]],"mmmm")</f>
        <v>January</v>
      </c>
      <c r="X1902" s="7" t="str">
        <f>TEXT(Table1[[#This Row],[Order Date]],"yyyy")</f>
        <v>2015</v>
      </c>
      <c r="Y1902" s="12">
        <v>42018</v>
      </c>
      <c r="Z1902" s="11">
        <v>989.81189999999992</v>
      </c>
      <c r="AA1902" s="11">
        <v>14</v>
      </c>
      <c r="AB1902" s="11">
        <v>1434.51</v>
      </c>
      <c r="AC1902" s="11">
        <v>85980</v>
      </c>
      <c r="AD1902" s="6" t="str">
        <f>IF(COUNTIF(Returns!$A$2:$A$1635,Orders!AC1902)&gt;0,"Returned","Not Returned")</f>
        <v>Not Returned</v>
      </c>
    </row>
    <row r="1903" spans="1:30" ht="12.75" customHeight="1" thickTop="1" thickBot="1" x14ac:dyDescent="0.25">
      <c r="A1903" s="8">
        <v>2986</v>
      </c>
      <c r="B1903" s="1" t="s">
        <v>47</v>
      </c>
      <c r="C1903" s="1">
        <v>0.03</v>
      </c>
      <c r="D1903" s="1">
        <v>194.3</v>
      </c>
      <c r="E1903" s="1">
        <v>11.54</v>
      </c>
      <c r="F1903" s="1">
        <v>3342</v>
      </c>
      <c r="G1903" s="6" t="str">
        <f>IF(COUNTIF(Table1[Customer ID],Table1[[#This Row],[Customer ID]])&gt;1,"Repeat Customer","One-Time Customer")</f>
        <v>One-Time Customer</v>
      </c>
      <c r="H1903" s="1" t="s">
        <v>2974</v>
      </c>
      <c r="I1903" s="1" t="s">
        <v>49</v>
      </c>
      <c r="J1903" s="1" t="s">
        <v>40</v>
      </c>
      <c r="K1903" s="1" t="s">
        <v>41</v>
      </c>
      <c r="L1903" s="1" t="s">
        <v>50</v>
      </c>
      <c r="M1903" s="1" t="s">
        <v>236</v>
      </c>
      <c r="N1903" s="1" t="s">
        <v>1163</v>
      </c>
      <c r="O1903" s="1">
        <v>0.59</v>
      </c>
      <c r="P1903" s="6">
        <f>Table1[[#This Row],[Profit]]/Table1[[#This Row],[Sales]]</f>
        <v>0.33465862833721682</v>
      </c>
      <c r="Q1903" s="1" t="s">
        <v>33</v>
      </c>
      <c r="R1903" s="1" t="s">
        <v>53</v>
      </c>
      <c r="S1903" s="1" t="s">
        <v>1008</v>
      </c>
      <c r="T1903" s="1" t="s">
        <v>35</v>
      </c>
      <c r="U1903" s="1">
        <v>20006</v>
      </c>
      <c r="V1903" s="9">
        <v>42048</v>
      </c>
      <c r="W1903" s="13" t="str">
        <f>TEXT(Table1[[#This Row],[Order Date]],"mmmm")</f>
        <v>February</v>
      </c>
      <c r="X1903" s="7" t="str">
        <f>TEXT(Table1[[#This Row],[Order Date]],"yyyy")</f>
        <v>2015</v>
      </c>
      <c r="Y1903" s="9">
        <v>42050</v>
      </c>
      <c r="Z1903" s="1">
        <v>2861.01</v>
      </c>
      <c r="AA1903" s="1">
        <v>42</v>
      </c>
      <c r="AB1903" s="1">
        <v>8549.0400000000009</v>
      </c>
      <c r="AC1903" s="1">
        <v>21572</v>
      </c>
      <c r="AD1903" s="6" t="str">
        <f>IF(COUNTIF(Returns!$A$2:$A$1635,Orders!AC1903)&gt;0,"Returned","Not Returned")</f>
        <v>Not Returned</v>
      </c>
    </row>
    <row r="1904" spans="1:30" ht="12.75" customHeight="1" thickTop="1" thickBot="1" x14ac:dyDescent="0.25">
      <c r="A1904" s="10">
        <v>20986</v>
      </c>
      <c r="B1904" s="11" t="s">
        <v>47</v>
      </c>
      <c r="C1904" s="11">
        <v>0.03</v>
      </c>
      <c r="D1904" s="11">
        <v>194.3</v>
      </c>
      <c r="E1904" s="11">
        <v>11.54</v>
      </c>
      <c r="F1904" s="11">
        <v>3344</v>
      </c>
      <c r="G1904" s="6" t="str">
        <f>IF(COUNTIF(Table1[Customer ID],Table1[[#This Row],[Customer ID]])&gt;1,"Repeat Customer","One-Time Customer")</f>
        <v>One-Time Customer</v>
      </c>
      <c r="H1904" s="11" t="s">
        <v>2975</v>
      </c>
      <c r="I1904" s="11" t="s">
        <v>49</v>
      </c>
      <c r="J1904" s="11" t="s">
        <v>40</v>
      </c>
      <c r="K1904" s="11" t="s">
        <v>41</v>
      </c>
      <c r="L1904" s="11" t="s">
        <v>50</v>
      </c>
      <c r="M1904" s="11" t="s">
        <v>236</v>
      </c>
      <c r="N1904" s="11" t="s">
        <v>1163</v>
      </c>
      <c r="O1904" s="11">
        <v>0.59</v>
      </c>
      <c r="P1904" s="6">
        <f>Table1[[#This Row],[Profit]]/Table1[[#This Row],[Sales]]</f>
        <v>0.69</v>
      </c>
      <c r="Q1904" s="11" t="s">
        <v>33</v>
      </c>
      <c r="R1904" s="11" t="s">
        <v>61</v>
      </c>
      <c r="S1904" s="11" t="s">
        <v>300</v>
      </c>
      <c r="T1904" s="11" t="s">
        <v>2976</v>
      </c>
      <c r="U1904" s="11">
        <v>48307</v>
      </c>
      <c r="V1904" s="12">
        <v>42048</v>
      </c>
      <c r="W1904" s="13" t="str">
        <f>TEXT(Table1[[#This Row],[Order Date]],"mmmm")</f>
        <v>February</v>
      </c>
      <c r="X1904" s="7" t="str">
        <f>TEXT(Table1[[#This Row],[Order Date]],"yyyy")</f>
        <v>2015</v>
      </c>
      <c r="Y1904" s="12">
        <v>42050</v>
      </c>
      <c r="Z1904" s="11">
        <v>1544.9307000000001</v>
      </c>
      <c r="AA1904" s="11">
        <v>11</v>
      </c>
      <c r="AB1904" s="11">
        <v>2239.0300000000002</v>
      </c>
      <c r="AC1904" s="11">
        <v>89928</v>
      </c>
      <c r="AD1904" s="6" t="str">
        <f>IF(COUNTIF(Returns!$A$2:$A$1635,Orders!AC1904)&gt;0,"Returned","Not Returned")</f>
        <v>Not Returned</v>
      </c>
    </row>
    <row r="1905" spans="1:30" ht="12.75" customHeight="1" thickTop="1" thickBot="1" x14ac:dyDescent="0.25">
      <c r="A1905" s="8">
        <v>18947</v>
      </c>
      <c r="B1905" s="1" t="s">
        <v>56</v>
      </c>
      <c r="C1905" s="1">
        <v>7.0000000000000007E-2</v>
      </c>
      <c r="D1905" s="1">
        <v>7.68</v>
      </c>
      <c r="E1905" s="1">
        <v>6.16</v>
      </c>
      <c r="F1905" s="1">
        <v>3347</v>
      </c>
      <c r="G1905" s="6" t="str">
        <f>IF(COUNTIF(Table1[Customer ID],Table1[[#This Row],[Customer ID]])&gt;1,"Repeat Customer","One-Time Customer")</f>
        <v>Repeat Customer</v>
      </c>
      <c r="H1905" s="1" t="s">
        <v>2977</v>
      </c>
      <c r="I1905" s="1" t="s">
        <v>27</v>
      </c>
      <c r="J1905" s="1" t="s">
        <v>114</v>
      </c>
      <c r="K1905" s="1" t="s">
        <v>29</v>
      </c>
      <c r="L1905" s="1" t="s">
        <v>109</v>
      </c>
      <c r="M1905" s="1" t="s">
        <v>59</v>
      </c>
      <c r="N1905" s="1" t="s">
        <v>2978</v>
      </c>
      <c r="O1905" s="1">
        <v>0.35</v>
      </c>
      <c r="P1905" s="6">
        <f>Table1[[#This Row],[Profit]]/Table1[[#This Row],[Sales]]</f>
        <v>5.6935472209670133</v>
      </c>
      <c r="Q1905" s="1" t="s">
        <v>33</v>
      </c>
      <c r="R1905" s="1" t="s">
        <v>136</v>
      </c>
      <c r="S1905" s="1" t="s">
        <v>362</v>
      </c>
      <c r="T1905" s="1" t="s">
        <v>2979</v>
      </c>
      <c r="U1905" s="1">
        <v>33411</v>
      </c>
      <c r="V1905" s="9">
        <v>42010</v>
      </c>
      <c r="W1905" s="13" t="str">
        <f>TEXT(Table1[[#This Row],[Order Date]],"mmmm")</f>
        <v>January</v>
      </c>
      <c r="X1905" s="7" t="str">
        <f>TEXT(Table1[[#This Row],[Order Date]],"yyyy")</f>
        <v>2015</v>
      </c>
      <c r="Y1905" s="9">
        <v>42012</v>
      </c>
      <c r="Z1905" s="1">
        <v>125.9982</v>
      </c>
      <c r="AA1905" s="1">
        <v>1</v>
      </c>
      <c r="AB1905" s="1">
        <v>22.13</v>
      </c>
      <c r="AC1905" s="1">
        <v>89355</v>
      </c>
      <c r="AD1905" s="6" t="str">
        <f>IF(COUNTIF(Returns!$A$2:$A$1635,Orders!AC1905)&gt;0,"Returned","Not Returned")</f>
        <v>Not Returned</v>
      </c>
    </row>
    <row r="1906" spans="1:30" ht="12.75" customHeight="1" thickTop="1" thickBot="1" x14ac:dyDescent="0.25">
      <c r="A1906" s="10">
        <v>18948</v>
      </c>
      <c r="B1906" s="11" t="s">
        <v>56</v>
      </c>
      <c r="C1906" s="11">
        <v>0.05</v>
      </c>
      <c r="D1906" s="11">
        <v>6.64</v>
      </c>
      <c r="E1906" s="11">
        <v>4.95</v>
      </c>
      <c r="F1906" s="11">
        <v>3347</v>
      </c>
      <c r="G1906" s="6" t="str">
        <f>IF(COUNTIF(Table1[Customer ID],Table1[[#This Row],[Customer ID]])&gt;1,"Repeat Customer","One-Time Customer")</f>
        <v>Repeat Customer</v>
      </c>
      <c r="H1906" s="11" t="s">
        <v>2977</v>
      </c>
      <c r="I1906" s="11" t="s">
        <v>27</v>
      </c>
      <c r="J1906" s="11" t="s">
        <v>114</v>
      </c>
      <c r="K1906" s="11" t="s">
        <v>41</v>
      </c>
      <c r="L1906" s="11" t="s">
        <v>50</v>
      </c>
      <c r="M1906" s="11" t="s">
        <v>51</v>
      </c>
      <c r="N1906" s="11" t="s">
        <v>2951</v>
      </c>
      <c r="O1906" s="11">
        <v>0.37</v>
      </c>
      <c r="P1906" s="6">
        <f>Table1[[#This Row],[Profit]]/Table1[[#This Row],[Sales]]</f>
        <v>-2.7196136962247586</v>
      </c>
      <c r="Q1906" s="11" t="s">
        <v>33</v>
      </c>
      <c r="R1906" s="11" t="s">
        <v>136</v>
      </c>
      <c r="S1906" s="11" t="s">
        <v>362</v>
      </c>
      <c r="T1906" s="11" t="s">
        <v>2979</v>
      </c>
      <c r="U1906" s="11">
        <v>33411</v>
      </c>
      <c r="V1906" s="12">
        <v>42010</v>
      </c>
      <c r="W1906" s="13" t="str">
        <f>TEXT(Table1[[#This Row],[Order Date]],"mmmm")</f>
        <v>January</v>
      </c>
      <c r="X1906" s="7" t="str">
        <f>TEXT(Table1[[#This Row],[Order Date]],"yyyy")</f>
        <v>2015</v>
      </c>
      <c r="Y1906" s="12">
        <v>42012</v>
      </c>
      <c r="Z1906" s="11">
        <v>-92.929200000000009</v>
      </c>
      <c r="AA1906" s="11">
        <v>5</v>
      </c>
      <c r="AB1906" s="11">
        <v>34.17</v>
      </c>
      <c r="AC1906" s="11">
        <v>89355</v>
      </c>
      <c r="AD1906" s="6" t="str">
        <f>IF(COUNTIF(Returns!$A$2:$A$1635,Orders!AC1906)&gt;0,"Returned","Not Returned")</f>
        <v>Not Returned</v>
      </c>
    </row>
    <row r="1907" spans="1:30" ht="12.75" customHeight="1" thickTop="1" thickBot="1" x14ac:dyDescent="0.25">
      <c r="A1907" s="8">
        <v>19461</v>
      </c>
      <c r="B1907" s="1" t="s">
        <v>56</v>
      </c>
      <c r="C1907" s="1">
        <v>0.02</v>
      </c>
      <c r="D1907" s="1">
        <v>110.99</v>
      </c>
      <c r="E1907" s="1">
        <v>2.5</v>
      </c>
      <c r="F1907" s="1">
        <v>3347</v>
      </c>
      <c r="G1907" s="6" t="str">
        <f>IF(COUNTIF(Table1[Customer ID],Table1[[#This Row],[Customer ID]])&gt;1,"Repeat Customer","One-Time Customer")</f>
        <v>Repeat Customer</v>
      </c>
      <c r="H1907" s="1" t="s">
        <v>2977</v>
      </c>
      <c r="I1907" s="1" t="s">
        <v>49</v>
      </c>
      <c r="J1907" s="1" t="s">
        <v>114</v>
      </c>
      <c r="K1907" s="1" t="s">
        <v>77</v>
      </c>
      <c r="L1907" s="1" t="s">
        <v>78</v>
      </c>
      <c r="M1907" s="1" t="s">
        <v>59</v>
      </c>
      <c r="N1907" s="1" t="s">
        <v>501</v>
      </c>
      <c r="O1907" s="1">
        <v>0.56999999999999995</v>
      </c>
      <c r="P1907" s="6">
        <f>Table1[[#This Row],[Profit]]/Table1[[#This Row],[Sales]]</f>
        <v>-0.42215270413573702</v>
      </c>
      <c r="Q1907" s="1" t="s">
        <v>33</v>
      </c>
      <c r="R1907" s="1" t="s">
        <v>136</v>
      </c>
      <c r="S1907" s="1" t="s">
        <v>362</v>
      </c>
      <c r="T1907" s="1" t="s">
        <v>2979</v>
      </c>
      <c r="U1907" s="1">
        <v>33411</v>
      </c>
      <c r="V1907" s="9">
        <v>42031</v>
      </c>
      <c r="W1907" s="13" t="str">
        <f>TEXT(Table1[[#This Row],[Order Date]],"mmmm")</f>
        <v>January</v>
      </c>
      <c r="X1907" s="7" t="str">
        <f>TEXT(Table1[[#This Row],[Order Date]],"yyyy")</f>
        <v>2015</v>
      </c>
      <c r="Y1907" s="9">
        <v>42033</v>
      </c>
      <c r="Z1907" s="1">
        <v>-39.808999999999997</v>
      </c>
      <c r="AA1907" s="1">
        <v>1</v>
      </c>
      <c r="AB1907" s="1">
        <v>94.3</v>
      </c>
      <c r="AC1907" s="1">
        <v>89356</v>
      </c>
      <c r="AD1907" s="6" t="str">
        <f>IF(COUNTIF(Returns!$A$2:$A$1635,Orders!AC1907)&gt;0,"Returned","Not Returned")</f>
        <v>Not Returned</v>
      </c>
    </row>
    <row r="1908" spans="1:30" ht="12.75" customHeight="1" thickTop="1" thickBot="1" x14ac:dyDescent="0.25">
      <c r="A1908" s="10">
        <v>21485</v>
      </c>
      <c r="B1908" s="11" t="s">
        <v>56</v>
      </c>
      <c r="C1908" s="11">
        <v>0.01</v>
      </c>
      <c r="D1908" s="11">
        <v>73.98</v>
      </c>
      <c r="E1908" s="11">
        <v>12.14</v>
      </c>
      <c r="F1908" s="11">
        <v>3350</v>
      </c>
      <c r="G1908" s="6" t="str">
        <f>IF(COUNTIF(Table1[Customer ID],Table1[[#This Row],[Customer ID]])&gt;1,"Repeat Customer","One-Time Customer")</f>
        <v>One-Time Customer</v>
      </c>
      <c r="H1908" s="11" t="s">
        <v>2980</v>
      </c>
      <c r="I1908" s="11" t="s">
        <v>49</v>
      </c>
      <c r="J1908" s="11" t="s">
        <v>58</v>
      </c>
      <c r="K1908" s="11" t="s">
        <v>77</v>
      </c>
      <c r="L1908" s="11" t="s">
        <v>180</v>
      </c>
      <c r="M1908" s="11" t="s">
        <v>59</v>
      </c>
      <c r="N1908" s="11" t="s">
        <v>372</v>
      </c>
      <c r="O1908" s="11">
        <v>0.67</v>
      </c>
      <c r="P1908" s="6">
        <f>Table1[[#This Row],[Profit]]/Table1[[#This Row],[Sales]]</f>
        <v>-7.5648326479621053E-2</v>
      </c>
      <c r="Q1908" s="11" t="s">
        <v>33</v>
      </c>
      <c r="R1908" s="11" t="s">
        <v>34</v>
      </c>
      <c r="S1908" s="11" t="s">
        <v>35</v>
      </c>
      <c r="T1908" s="11" t="s">
        <v>2981</v>
      </c>
      <c r="U1908" s="11">
        <v>98444</v>
      </c>
      <c r="V1908" s="12">
        <v>42027</v>
      </c>
      <c r="W1908" s="13" t="str">
        <f>TEXT(Table1[[#This Row],[Order Date]],"mmmm")</f>
        <v>January</v>
      </c>
      <c r="X1908" s="7" t="str">
        <f>TEXT(Table1[[#This Row],[Order Date]],"yyyy")</f>
        <v>2015</v>
      </c>
      <c r="Y1908" s="12">
        <v>42029</v>
      </c>
      <c r="Z1908" s="11">
        <v>-29.065600000000003</v>
      </c>
      <c r="AA1908" s="11">
        <v>5</v>
      </c>
      <c r="AB1908" s="11">
        <v>384.22</v>
      </c>
      <c r="AC1908" s="11">
        <v>91296</v>
      </c>
      <c r="AD1908" s="6" t="str">
        <f>IF(COUNTIF(Returns!$A$2:$A$1635,Orders!AC1908)&gt;0,"Returned","Not Returned")</f>
        <v>Not Returned</v>
      </c>
    </row>
    <row r="1909" spans="1:30" ht="12.75" customHeight="1" thickTop="1" thickBot="1" x14ac:dyDescent="0.25">
      <c r="A1909" s="8">
        <v>23248</v>
      </c>
      <c r="B1909" s="1" t="s">
        <v>47</v>
      </c>
      <c r="C1909" s="1">
        <v>0.1</v>
      </c>
      <c r="D1909" s="1">
        <v>10.89</v>
      </c>
      <c r="E1909" s="1">
        <v>4.5</v>
      </c>
      <c r="F1909" s="1">
        <v>3351</v>
      </c>
      <c r="G1909" s="6" t="str">
        <f>IF(COUNTIF(Table1[Customer ID],Table1[[#This Row],[Customer ID]])&gt;1,"Repeat Customer","One-Time Customer")</f>
        <v>Repeat Customer</v>
      </c>
      <c r="H1909" s="1" t="s">
        <v>2982</v>
      </c>
      <c r="I1909" s="1" t="s">
        <v>49</v>
      </c>
      <c r="J1909" s="1" t="s">
        <v>58</v>
      </c>
      <c r="K1909" s="1" t="s">
        <v>29</v>
      </c>
      <c r="L1909" s="1" t="s">
        <v>257</v>
      </c>
      <c r="M1909" s="1" t="s">
        <v>59</v>
      </c>
      <c r="N1909" s="1" t="s">
        <v>258</v>
      </c>
      <c r="O1909" s="1">
        <v>0.59</v>
      </c>
      <c r="P1909" s="6">
        <f>Table1[[#This Row],[Profit]]/Table1[[#This Row],[Sales]]</f>
        <v>-0.10799865681665546</v>
      </c>
      <c r="Q1909" s="1" t="s">
        <v>33</v>
      </c>
      <c r="R1909" s="1" t="s">
        <v>34</v>
      </c>
      <c r="S1909" s="1" t="s">
        <v>35</v>
      </c>
      <c r="T1909" s="1" t="s">
        <v>2983</v>
      </c>
      <c r="U1909" s="1">
        <v>99301</v>
      </c>
      <c r="V1909" s="9">
        <v>42039</v>
      </c>
      <c r="W1909" s="13" t="str">
        <f>TEXT(Table1[[#This Row],[Order Date]],"mmmm")</f>
        <v>February</v>
      </c>
      <c r="X1909" s="7" t="str">
        <f>TEXT(Table1[[#This Row],[Order Date]],"yyyy")</f>
        <v>2015</v>
      </c>
      <c r="Y1909" s="9">
        <v>42041</v>
      </c>
      <c r="Z1909" s="1">
        <v>-19.2972</v>
      </c>
      <c r="AA1909" s="1">
        <v>17</v>
      </c>
      <c r="AB1909" s="1">
        <v>178.68</v>
      </c>
      <c r="AC1909" s="1">
        <v>91297</v>
      </c>
      <c r="AD1909" s="6" t="str">
        <f>IF(COUNTIF(Returns!$A$2:$A$1635,Orders!AC1909)&gt;0,"Returned","Not Returned")</f>
        <v>Not Returned</v>
      </c>
    </row>
    <row r="1910" spans="1:30" ht="12.75" customHeight="1" thickTop="1" thickBot="1" x14ac:dyDescent="0.25">
      <c r="A1910" s="10">
        <v>23474</v>
      </c>
      <c r="B1910" s="11" t="s">
        <v>25</v>
      </c>
      <c r="C1910" s="11">
        <v>0.06</v>
      </c>
      <c r="D1910" s="11">
        <v>6.7</v>
      </c>
      <c r="E1910" s="11">
        <v>1.56</v>
      </c>
      <c r="F1910" s="11">
        <v>3351</v>
      </c>
      <c r="G1910" s="6" t="str">
        <f>IF(COUNTIF(Table1[Customer ID],Table1[[#This Row],[Customer ID]])&gt;1,"Repeat Customer","One-Time Customer")</f>
        <v>Repeat Customer</v>
      </c>
      <c r="H1910" s="11" t="s">
        <v>2982</v>
      </c>
      <c r="I1910" s="11" t="s">
        <v>27</v>
      </c>
      <c r="J1910" s="11" t="s">
        <v>58</v>
      </c>
      <c r="K1910" s="11" t="s">
        <v>29</v>
      </c>
      <c r="L1910" s="11" t="s">
        <v>30</v>
      </c>
      <c r="M1910" s="11" t="s">
        <v>31</v>
      </c>
      <c r="N1910" s="11" t="s">
        <v>1073</v>
      </c>
      <c r="O1910" s="11">
        <v>0.52</v>
      </c>
      <c r="P1910" s="6">
        <f>Table1[[#This Row],[Profit]]/Table1[[#This Row],[Sales]]</f>
        <v>0.51209976067514795</v>
      </c>
      <c r="Q1910" s="11" t="s">
        <v>33</v>
      </c>
      <c r="R1910" s="11" t="s">
        <v>34</v>
      </c>
      <c r="S1910" s="11" t="s">
        <v>35</v>
      </c>
      <c r="T1910" s="11" t="s">
        <v>2983</v>
      </c>
      <c r="U1910" s="11">
        <v>99301</v>
      </c>
      <c r="V1910" s="12">
        <v>42042</v>
      </c>
      <c r="W1910" s="13" t="str">
        <f>TEXT(Table1[[#This Row],[Order Date]],"mmmm")</f>
        <v>February</v>
      </c>
      <c r="X1910" s="7" t="str">
        <f>TEXT(Table1[[#This Row],[Order Date]],"yyyy")</f>
        <v>2015</v>
      </c>
      <c r="Y1910" s="12">
        <v>42044</v>
      </c>
      <c r="Z1910" s="11">
        <v>40.6556</v>
      </c>
      <c r="AA1910" s="11">
        <v>12</v>
      </c>
      <c r="AB1910" s="11">
        <v>79.39</v>
      </c>
      <c r="AC1910" s="11">
        <v>91298</v>
      </c>
      <c r="AD1910" s="6" t="str">
        <f>IF(COUNTIF(Returns!$A$2:$A$1635,Orders!AC1910)&gt;0,"Returned","Not Returned")</f>
        <v>Not Returned</v>
      </c>
    </row>
    <row r="1911" spans="1:30" ht="12.75" customHeight="1" thickTop="1" thickBot="1" x14ac:dyDescent="0.25">
      <c r="A1911" s="8">
        <v>19838</v>
      </c>
      <c r="B1911" s="1" t="s">
        <v>25</v>
      </c>
      <c r="C1911" s="1">
        <v>0.03</v>
      </c>
      <c r="D1911" s="1">
        <v>28.53</v>
      </c>
      <c r="E1911" s="1">
        <v>1.49</v>
      </c>
      <c r="F1911" s="1">
        <v>3354</v>
      </c>
      <c r="G1911" s="6" t="str">
        <f>IF(COUNTIF(Table1[Customer ID],Table1[[#This Row],[Customer ID]])&gt;1,"Repeat Customer","One-Time Customer")</f>
        <v>Repeat Customer</v>
      </c>
      <c r="H1911" s="1" t="s">
        <v>2984</v>
      </c>
      <c r="I1911" s="1" t="s">
        <v>49</v>
      </c>
      <c r="J1911" s="1" t="s">
        <v>28</v>
      </c>
      <c r="K1911" s="1" t="s">
        <v>29</v>
      </c>
      <c r="L1911" s="1" t="s">
        <v>109</v>
      </c>
      <c r="M1911" s="1" t="s">
        <v>59</v>
      </c>
      <c r="N1911" s="1" t="s">
        <v>332</v>
      </c>
      <c r="O1911" s="1">
        <v>0.38</v>
      </c>
      <c r="P1911" s="6">
        <f>Table1[[#This Row],[Profit]]/Table1[[#This Row],[Sales]]</f>
        <v>0.68999999999999984</v>
      </c>
      <c r="Q1911" s="1" t="s">
        <v>33</v>
      </c>
      <c r="R1911" s="1" t="s">
        <v>34</v>
      </c>
      <c r="S1911" s="1" t="s">
        <v>45</v>
      </c>
      <c r="T1911" s="1" t="s">
        <v>2985</v>
      </c>
      <c r="U1911" s="1">
        <v>92231</v>
      </c>
      <c r="V1911" s="9">
        <v>42140</v>
      </c>
      <c r="W1911" s="13" t="str">
        <f>TEXT(Table1[[#This Row],[Order Date]],"mmmm")</f>
        <v>May</v>
      </c>
      <c r="X1911" s="7" t="str">
        <f>TEXT(Table1[[#This Row],[Order Date]],"yyyy")</f>
        <v>2015</v>
      </c>
      <c r="Y1911" s="9">
        <v>42141</v>
      </c>
      <c r="Z1911" s="1">
        <v>137.67569999999998</v>
      </c>
      <c r="AA1911" s="1">
        <v>7</v>
      </c>
      <c r="AB1911" s="1">
        <v>199.53</v>
      </c>
      <c r="AC1911" s="1">
        <v>88589</v>
      </c>
      <c r="AD1911" s="6" t="str">
        <f>IF(COUNTIF(Returns!$A$2:$A$1635,Orders!AC1911)&gt;0,"Returned","Not Returned")</f>
        <v>Not Returned</v>
      </c>
    </row>
    <row r="1912" spans="1:30" ht="12.75" customHeight="1" thickTop="1" thickBot="1" x14ac:dyDescent="0.25">
      <c r="A1912" s="10">
        <v>19839</v>
      </c>
      <c r="B1912" s="11" t="s">
        <v>25</v>
      </c>
      <c r="C1912" s="11">
        <v>7.0000000000000007E-2</v>
      </c>
      <c r="D1912" s="11">
        <v>5.98</v>
      </c>
      <c r="E1912" s="11">
        <v>7.15</v>
      </c>
      <c r="F1912" s="11">
        <v>3354</v>
      </c>
      <c r="G1912" s="6" t="str">
        <f>IF(COUNTIF(Table1[Customer ID],Table1[[#This Row],[Customer ID]])&gt;1,"Repeat Customer","One-Time Customer")</f>
        <v>Repeat Customer</v>
      </c>
      <c r="H1912" s="11" t="s">
        <v>2984</v>
      </c>
      <c r="I1912" s="11" t="s">
        <v>49</v>
      </c>
      <c r="J1912" s="11" t="s">
        <v>28</v>
      </c>
      <c r="K1912" s="11" t="s">
        <v>29</v>
      </c>
      <c r="L1912" s="11" t="s">
        <v>93</v>
      </c>
      <c r="M1912" s="11" t="s">
        <v>59</v>
      </c>
      <c r="N1912" s="11" t="s">
        <v>2986</v>
      </c>
      <c r="O1912" s="11">
        <v>0.36</v>
      </c>
      <c r="P1912" s="6">
        <f>Table1[[#This Row],[Profit]]/Table1[[#This Row],[Sales]]</f>
        <v>-1.6734143049932524</v>
      </c>
      <c r="Q1912" s="11" t="s">
        <v>33</v>
      </c>
      <c r="R1912" s="11" t="s">
        <v>34</v>
      </c>
      <c r="S1912" s="11" t="s">
        <v>45</v>
      </c>
      <c r="T1912" s="11" t="s">
        <v>2985</v>
      </c>
      <c r="U1912" s="11">
        <v>92231</v>
      </c>
      <c r="V1912" s="12">
        <v>42140</v>
      </c>
      <c r="W1912" s="13" t="str">
        <f>TEXT(Table1[[#This Row],[Order Date]],"mmmm")</f>
        <v>May</v>
      </c>
      <c r="X1912" s="7" t="str">
        <f>TEXT(Table1[[#This Row],[Order Date]],"yyyy")</f>
        <v>2015</v>
      </c>
      <c r="Y1912" s="12">
        <v>42142</v>
      </c>
      <c r="Z1912" s="11">
        <v>-62</v>
      </c>
      <c r="AA1912" s="11">
        <v>6</v>
      </c>
      <c r="AB1912" s="11">
        <v>37.049999999999997</v>
      </c>
      <c r="AC1912" s="11">
        <v>88589</v>
      </c>
      <c r="AD1912" s="6" t="str">
        <f>IF(COUNTIF(Returns!$A$2:$A$1635,Orders!AC1912)&gt;0,"Returned","Not Returned")</f>
        <v>Not Returned</v>
      </c>
    </row>
    <row r="1913" spans="1:30" ht="12.75" customHeight="1" thickTop="1" thickBot="1" x14ac:dyDescent="0.25">
      <c r="A1913" s="8">
        <v>19666</v>
      </c>
      <c r="B1913" s="1" t="s">
        <v>37</v>
      </c>
      <c r="C1913" s="1">
        <v>0.04</v>
      </c>
      <c r="D1913" s="1">
        <v>3.69</v>
      </c>
      <c r="E1913" s="1">
        <v>0.5</v>
      </c>
      <c r="F1913" s="1">
        <v>3354</v>
      </c>
      <c r="G1913" s="6" t="str">
        <f>IF(COUNTIF(Table1[Customer ID],Table1[[#This Row],[Customer ID]])&gt;1,"Repeat Customer","One-Time Customer")</f>
        <v>Repeat Customer</v>
      </c>
      <c r="H1913" s="1" t="s">
        <v>2984</v>
      </c>
      <c r="I1913" s="1" t="s">
        <v>49</v>
      </c>
      <c r="J1913" s="1" t="s">
        <v>28</v>
      </c>
      <c r="K1913" s="1" t="s">
        <v>29</v>
      </c>
      <c r="L1913" s="1" t="s">
        <v>134</v>
      </c>
      <c r="M1913" s="1" t="s">
        <v>59</v>
      </c>
      <c r="N1913" s="1" t="s">
        <v>1539</v>
      </c>
      <c r="O1913" s="1">
        <v>0.38</v>
      </c>
      <c r="P1913" s="6">
        <f>Table1[[#This Row],[Profit]]/Table1[[#This Row],[Sales]]</f>
        <v>0.69</v>
      </c>
      <c r="Q1913" s="1" t="s">
        <v>33</v>
      </c>
      <c r="R1913" s="1" t="s">
        <v>34</v>
      </c>
      <c r="S1913" s="1" t="s">
        <v>45</v>
      </c>
      <c r="T1913" s="1" t="s">
        <v>2985</v>
      </c>
      <c r="U1913" s="1">
        <v>92231</v>
      </c>
      <c r="V1913" s="9">
        <v>42090</v>
      </c>
      <c r="W1913" s="13" t="str">
        <f>TEXT(Table1[[#This Row],[Order Date]],"mmmm")</f>
        <v>March</v>
      </c>
      <c r="X1913" s="7" t="str">
        <f>TEXT(Table1[[#This Row],[Order Date]],"yyyy")</f>
        <v>2015</v>
      </c>
      <c r="Y1913" s="9">
        <v>42092</v>
      </c>
      <c r="Z1913" s="1">
        <v>47.527199999999993</v>
      </c>
      <c r="AA1913" s="1">
        <v>19</v>
      </c>
      <c r="AB1913" s="1">
        <v>68.88</v>
      </c>
      <c r="AC1913" s="1">
        <v>88590</v>
      </c>
      <c r="AD1913" s="6" t="str">
        <f>IF(COUNTIF(Returns!$A$2:$A$1635,Orders!AC1913)&gt;0,"Returned","Not Returned")</f>
        <v>Not Returned</v>
      </c>
    </row>
    <row r="1914" spans="1:30" ht="12.75" customHeight="1" thickTop="1" thickBot="1" x14ac:dyDescent="0.25">
      <c r="A1914" s="10">
        <v>23906</v>
      </c>
      <c r="B1914" s="11" t="s">
        <v>106</v>
      </c>
      <c r="C1914" s="11">
        <v>0.1</v>
      </c>
      <c r="D1914" s="11">
        <v>120.98</v>
      </c>
      <c r="E1914" s="11">
        <v>9.07</v>
      </c>
      <c r="F1914" s="11">
        <v>3355</v>
      </c>
      <c r="G1914" s="6" t="str">
        <f>IF(COUNTIF(Table1[Customer ID],Table1[[#This Row],[Customer ID]])&gt;1,"Repeat Customer","One-Time Customer")</f>
        <v>Repeat Customer</v>
      </c>
      <c r="H1914" s="11" t="s">
        <v>2987</v>
      </c>
      <c r="I1914" s="11" t="s">
        <v>49</v>
      </c>
      <c r="J1914" s="11" t="s">
        <v>28</v>
      </c>
      <c r="K1914" s="11" t="s">
        <v>29</v>
      </c>
      <c r="L1914" s="11" t="s">
        <v>109</v>
      </c>
      <c r="M1914" s="11" t="s">
        <v>59</v>
      </c>
      <c r="N1914" s="11" t="s">
        <v>1323</v>
      </c>
      <c r="O1914" s="11">
        <v>0.35</v>
      </c>
      <c r="P1914" s="6">
        <f>Table1[[#This Row],[Profit]]/Table1[[#This Row],[Sales]]</f>
        <v>0.69</v>
      </c>
      <c r="Q1914" s="11" t="s">
        <v>33</v>
      </c>
      <c r="R1914" s="11" t="s">
        <v>34</v>
      </c>
      <c r="S1914" s="11" t="s">
        <v>45</v>
      </c>
      <c r="T1914" s="11" t="s">
        <v>2988</v>
      </c>
      <c r="U1914" s="11">
        <v>93010</v>
      </c>
      <c r="V1914" s="12">
        <v>42063</v>
      </c>
      <c r="W1914" s="13" t="str">
        <f>TEXT(Table1[[#This Row],[Order Date]],"mmmm")</f>
        <v>February</v>
      </c>
      <c r="X1914" s="7" t="str">
        <f>TEXT(Table1[[#This Row],[Order Date]],"yyyy")</f>
        <v>2015</v>
      </c>
      <c r="Y1914" s="12">
        <v>42072</v>
      </c>
      <c r="Z1914" s="11">
        <v>379.3965</v>
      </c>
      <c r="AA1914" s="11">
        <v>5</v>
      </c>
      <c r="AB1914" s="11">
        <v>549.85</v>
      </c>
      <c r="AC1914" s="11">
        <v>88587</v>
      </c>
      <c r="AD1914" s="6" t="str">
        <f>IF(COUNTIF(Returns!$A$2:$A$1635,Orders!AC1914)&gt;0,"Returned","Not Returned")</f>
        <v>Not Returned</v>
      </c>
    </row>
    <row r="1915" spans="1:30" ht="12.75" customHeight="1" thickTop="1" thickBot="1" x14ac:dyDescent="0.25">
      <c r="A1915" s="8">
        <v>23907</v>
      </c>
      <c r="B1915" s="1" t="s">
        <v>106</v>
      </c>
      <c r="C1915" s="1">
        <v>0.08</v>
      </c>
      <c r="D1915" s="1">
        <v>8.32</v>
      </c>
      <c r="E1915" s="1">
        <v>2.38</v>
      </c>
      <c r="F1915" s="1">
        <v>3355</v>
      </c>
      <c r="G1915" s="6" t="str">
        <f>IF(COUNTIF(Table1[Customer ID],Table1[[#This Row],[Customer ID]])&gt;1,"Repeat Customer","One-Time Customer")</f>
        <v>Repeat Customer</v>
      </c>
      <c r="H1915" s="1" t="s">
        <v>2987</v>
      </c>
      <c r="I1915" s="1" t="s">
        <v>27</v>
      </c>
      <c r="J1915" s="1" t="s">
        <v>28</v>
      </c>
      <c r="K1915" s="1" t="s">
        <v>77</v>
      </c>
      <c r="L1915" s="1" t="s">
        <v>180</v>
      </c>
      <c r="M1915" s="1" t="s">
        <v>51</v>
      </c>
      <c r="N1915" s="1" t="s">
        <v>607</v>
      </c>
      <c r="O1915" s="1">
        <v>0.74</v>
      </c>
      <c r="P1915" s="6">
        <f>Table1[[#This Row],[Profit]]/Table1[[#This Row],[Sales]]</f>
        <v>-0.85384772402531117</v>
      </c>
      <c r="Q1915" s="1" t="s">
        <v>33</v>
      </c>
      <c r="R1915" s="1" t="s">
        <v>34</v>
      </c>
      <c r="S1915" s="1" t="s">
        <v>45</v>
      </c>
      <c r="T1915" s="1" t="s">
        <v>2988</v>
      </c>
      <c r="U1915" s="1">
        <v>93010</v>
      </c>
      <c r="V1915" s="9">
        <v>42063</v>
      </c>
      <c r="W1915" s="13" t="str">
        <f>TEXT(Table1[[#This Row],[Order Date]],"mmmm")</f>
        <v>February</v>
      </c>
      <c r="X1915" s="7" t="str">
        <f>TEXT(Table1[[#This Row],[Order Date]],"yyyy")</f>
        <v>2015</v>
      </c>
      <c r="Y1915" s="9">
        <v>42067</v>
      </c>
      <c r="Z1915" s="1">
        <v>-41.83</v>
      </c>
      <c r="AA1915" s="1">
        <v>6</v>
      </c>
      <c r="AB1915" s="1">
        <v>48.99</v>
      </c>
      <c r="AC1915" s="1">
        <v>88587</v>
      </c>
      <c r="AD1915" s="6" t="str">
        <f>IF(COUNTIF(Returns!$A$2:$A$1635,Orders!AC1915)&gt;0,"Returned","Not Returned")</f>
        <v>Not Returned</v>
      </c>
    </row>
    <row r="1916" spans="1:30" ht="12.75" customHeight="1" thickTop="1" thickBot="1" x14ac:dyDescent="0.25">
      <c r="A1916" s="10">
        <v>23908</v>
      </c>
      <c r="B1916" s="11" t="s">
        <v>106</v>
      </c>
      <c r="C1916" s="11">
        <v>0.1</v>
      </c>
      <c r="D1916" s="11">
        <v>125.99</v>
      </c>
      <c r="E1916" s="11">
        <v>4.2</v>
      </c>
      <c r="F1916" s="11">
        <v>3355</v>
      </c>
      <c r="G1916" s="6" t="str">
        <f>IF(COUNTIF(Table1[Customer ID],Table1[[#This Row],[Customer ID]])&gt;1,"Repeat Customer","One-Time Customer")</f>
        <v>Repeat Customer</v>
      </c>
      <c r="H1916" s="11" t="s">
        <v>2987</v>
      </c>
      <c r="I1916" s="11" t="s">
        <v>49</v>
      </c>
      <c r="J1916" s="11" t="s">
        <v>28</v>
      </c>
      <c r="K1916" s="11" t="s">
        <v>77</v>
      </c>
      <c r="L1916" s="11" t="s">
        <v>78</v>
      </c>
      <c r="M1916" s="11" t="s">
        <v>59</v>
      </c>
      <c r="N1916" s="11" t="s">
        <v>2798</v>
      </c>
      <c r="O1916" s="11">
        <v>0.59</v>
      </c>
      <c r="P1916" s="6">
        <f>Table1[[#This Row],[Profit]]/Table1[[#This Row],[Sales]]</f>
        <v>0.54650876111649205</v>
      </c>
      <c r="Q1916" s="11" t="s">
        <v>33</v>
      </c>
      <c r="R1916" s="11" t="s">
        <v>34</v>
      </c>
      <c r="S1916" s="11" t="s">
        <v>45</v>
      </c>
      <c r="T1916" s="11" t="s">
        <v>2988</v>
      </c>
      <c r="U1916" s="11">
        <v>93010</v>
      </c>
      <c r="V1916" s="12">
        <v>42063</v>
      </c>
      <c r="W1916" s="13" t="str">
        <f>TEXT(Table1[[#This Row],[Order Date]],"mmmm")</f>
        <v>February</v>
      </c>
      <c r="X1916" s="7" t="str">
        <f>TEXT(Table1[[#This Row],[Order Date]],"yyyy")</f>
        <v>2015</v>
      </c>
      <c r="Y1916" s="12">
        <v>42063</v>
      </c>
      <c r="Z1916" s="11">
        <v>372.40199999999999</v>
      </c>
      <c r="AA1916" s="11">
        <v>7</v>
      </c>
      <c r="AB1916" s="11">
        <v>681.42</v>
      </c>
      <c r="AC1916" s="11">
        <v>88587</v>
      </c>
      <c r="AD1916" s="6" t="str">
        <f>IF(COUNTIF(Returns!$A$2:$A$1635,Orders!AC1916)&gt;0,"Returned","Not Returned")</f>
        <v>Not Returned</v>
      </c>
    </row>
    <row r="1917" spans="1:30" ht="12.75" customHeight="1" thickTop="1" thickBot="1" x14ac:dyDescent="0.25">
      <c r="A1917" s="8">
        <v>18628</v>
      </c>
      <c r="B1917" s="1" t="s">
        <v>56</v>
      </c>
      <c r="C1917" s="1">
        <v>7.0000000000000007E-2</v>
      </c>
      <c r="D1917" s="1">
        <v>5.34</v>
      </c>
      <c r="E1917" s="1">
        <v>5.63</v>
      </c>
      <c r="F1917" s="1">
        <v>3356</v>
      </c>
      <c r="G1917" s="6" t="str">
        <f>IF(COUNTIF(Table1[Customer ID],Table1[[#This Row],[Customer ID]])&gt;1,"Repeat Customer","One-Time Customer")</f>
        <v>Repeat Customer</v>
      </c>
      <c r="H1917" s="1" t="s">
        <v>2989</v>
      </c>
      <c r="I1917" s="1" t="s">
        <v>49</v>
      </c>
      <c r="J1917" s="1" t="s">
        <v>28</v>
      </c>
      <c r="K1917" s="1" t="s">
        <v>29</v>
      </c>
      <c r="L1917" s="1" t="s">
        <v>109</v>
      </c>
      <c r="M1917" s="1" t="s">
        <v>59</v>
      </c>
      <c r="N1917" s="1" t="s">
        <v>491</v>
      </c>
      <c r="O1917" s="1">
        <v>0.39</v>
      </c>
      <c r="P1917" s="6">
        <f>Table1[[#This Row],[Profit]]/Table1[[#This Row],[Sales]]</f>
        <v>-1.7456189047261814</v>
      </c>
      <c r="Q1917" s="1" t="s">
        <v>33</v>
      </c>
      <c r="R1917" s="1" t="s">
        <v>34</v>
      </c>
      <c r="S1917" s="1" t="s">
        <v>1741</v>
      </c>
      <c r="T1917" s="1" t="s">
        <v>2990</v>
      </c>
      <c r="U1917" s="1">
        <v>83616</v>
      </c>
      <c r="V1917" s="9">
        <v>42128</v>
      </c>
      <c r="W1917" s="13" t="str">
        <f>TEXT(Table1[[#This Row],[Order Date]],"mmmm")</f>
        <v>May</v>
      </c>
      <c r="X1917" s="7" t="str">
        <f>TEXT(Table1[[#This Row],[Order Date]],"yyyy")</f>
        <v>2015</v>
      </c>
      <c r="Y1917" s="9">
        <v>42130</v>
      </c>
      <c r="Z1917" s="1">
        <v>-116.3455</v>
      </c>
      <c r="AA1917" s="1">
        <v>13</v>
      </c>
      <c r="AB1917" s="1">
        <v>66.650000000000006</v>
      </c>
      <c r="AC1917" s="1">
        <v>88588</v>
      </c>
      <c r="AD1917" s="6" t="str">
        <f>IF(COUNTIF(Returns!$A$2:$A$1635,Orders!AC1917)&gt;0,"Returned","Not Returned")</f>
        <v>Not Returned</v>
      </c>
    </row>
    <row r="1918" spans="1:30" ht="12.75" customHeight="1" thickTop="1" thickBot="1" x14ac:dyDescent="0.25">
      <c r="A1918" s="10">
        <v>18629</v>
      </c>
      <c r="B1918" s="11" t="s">
        <v>56</v>
      </c>
      <c r="C1918" s="11">
        <v>0.03</v>
      </c>
      <c r="D1918" s="11">
        <v>160.97999999999999</v>
      </c>
      <c r="E1918" s="11">
        <v>30</v>
      </c>
      <c r="F1918" s="11">
        <v>3356</v>
      </c>
      <c r="G1918" s="6" t="str">
        <f>IF(COUNTIF(Table1[Customer ID],Table1[[#This Row],[Customer ID]])&gt;1,"Repeat Customer","One-Time Customer")</f>
        <v>Repeat Customer</v>
      </c>
      <c r="H1918" s="11" t="s">
        <v>2989</v>
      </c>
      <c r="I1918" s="11" t="s">
        <v>39</v>
      </c>
      <c r="J1918" s="11" t="s">
        <v>28</v>
      </c>
      <c r="K1918" s="11" t="s">
        <v>41</v>
      </c>
      <c r="L1918" s="11" t="s">
        <v>42</v>
      </c>
      <c r="M1918" s="11" t="s">
        <v>43</v>
      </c>
      <c r="N1918" s="11" t="s">
        <v>177</v>
      </c>
      <c r="O1918" s="11">
        <v>0.62</v>
      </c>
      <c r="P1918" s="6">
        <f>Table1[[#This Row],[Profit]]/Table1[[#This Row],[Sales]]</f>
        <v>0.44472694058947032</v>
      </c>
      <c r="Q1918" s="11" t="s">
        <v>33</v>
      </c>
      <c r="R1918" s="11" t="s">
        <v>34</v>
      </c>
      <c r="S1918" s="11" t="s">
        <v>1741</v>
      </c>
      <c r="T1918" s="11" t="s">
        <v>2990</v>
      </c>
      <c r="U1918" s="11">
        <v>83616</v>
      </c>
      <c r="V1918" s="12">
        <v>42128</v>
      </c>
      <c r="W1918" s="13" t="str">
        <f>TEXT(Table1[[#This Row],[Order Date]],"mmmm")</f>
        <v>May</v>
      </c>
      <c r="X1918" s="7" t="str">
        <f>TEXT(Table1[[#This Row],[Order Date]],"yyyy")</f>
        <v>2015</v>
      </c>
      <c r="Y1918" s="12">
        <v>42129</v>
      </c>
      <c r="Z1918" s="11">
        <v>1304.9000000000001</v>
      </c>
      <c r="AA1918" s="11">
        <v>18</v>
      </c>
      <c r="AB1918" s="11">
        <v>2934.16</v>
      </c>
      <c r="AC1918" s="11">
        <v>88588</v>
      </c>
      <c r="AD1918" s="6" t="str">
        <f>IF(COUNTIF(Returns!$A$2:$A$1635,Orders!AC1918)&gt;0,"Returned","Not Returned")</f>
        <v>Not Returned</v>
      </c>
    </row>
    <row r="1919" spans="1:30" ht="12.75" customHeight="1" thickTop="1" thickBot="1" x14ac:dyDescent="0.25">
      <c r="A1919" s="8">
        <v>18630</v>
      </c>
      <c r="B1919" s="1" t="s">
        <v>56</v>
      </c>
      <c r="C1919" s="1">
        <v>0.04</v>
      </c>
      <c r="D1919" s="1">
        <v>65.989999999999995</v>
      </c>
      <c r="E1919" s="1">
        <v>5.63</v>
      </c>
      <c r="F1919" s="1">
        <v>3356</v>
      </c>
      <c r="G1919" s="6" t="str">
        <f>IF(COUNTIF(Table1[Customer ID],Table1[[#This Row],[Customer ID]])&gt;1,"Repeat Customer","One-Time Customer")</f>
        <v>Repeat Customer</v>
      </c>
      <c r="H1919" s="1" t="s">
        <v>2989</v>
      </c>
      <c r="I1919" s="1" t="s">
        <v>27</v>
      </c>
      <c r="J1919" s="1" t="s">
        <v>28</v>
      </c>
      <c r="K1919" s="1" t="s">
        <v>77</v>
      </c>
      <c r="L1919" s="1" t="s">
        <v>78</v>
      </c>
      <c r="M1919" s="1" t="s">
        <v>59</v>
      </c>
      <c r="N1919" s="1" t="s">
        <v>2991</v>
      </c>
      <c r="O1919" s="1">
        <v>0.56000000000000005</v>
      </c>
      <c r="P1919" s="6">
        <f>Table1[[#This Row],[Profit]]/Table1[[#This Row],[Sales]]</f>
        <v>0.69</v>
      </c>
      <c r="Q1919" s="1" t="s">
        <v>33</v>
      </c>
      <c r="R1919" s="1" t="s">
        <v>34</v>
      </c>
      <c r="S1919" s="1" t="s">
        <v>1741</v>
      </c>
      <c r="T1919" s="1" t="s">
        <v>2990</v>
      </c>
      <c r="U1919" s="1">
        <v>83616</v>
      </c>
      <c r="V1919" s="9">
        <v>42128</v>
      </c>
      <c r="W1919" s="13" t="str">
        <f>TEXT(Table1[[#This Row],[Order Date]],"mmmm")</f>
        <v>May</v>
      </c>
      <c r="X1919" s="7" t="str">
        <f>TEXT(Table1[[#This Row],[Order Date]],"yyyy")</f>
        <v>2015</v>
      </c>
      <c r="Y1919" s="9">
        <v>42128</v>
      </c>
      <c r="Z1919" s="1">
        <v>605.04719999999998</v>
      </c>
      <c r="AA1919" s="1">
        <v>15</v>
      </c>
      <c r="AB1919" s="1">
        <v>876.88</v>
      </c>
      <c r="AC1919" s="1">
        <v>88588</v>
      </c>
      <c r="AD1919" s="6" t="str">
        <f>IF(COUNTIF(Returns!$A$2:$A$1635,Orders!AC1919)&gt;0,"Returned","Not Returned")</f>
        <v>Not Returned</v>
      </c>
    </row>
    <row r="1920" spans="1:30" ht="12.75" customHeight="1" thickTop="1" thickBot="1" x14ac:dyDescent="0.25">
      <c r="A1920" s="10">
        <v>22597</v>
      </c>
      <c r="B1920" s="11" t="s">
        <v>25</v>
      </c>
      <c r="C1920" s="11">
        <v>0.09</v>
      </c>
      <c r="D1920" s="11">
        <v>28.53</v>
      </c>
      <c r="E1920" s="11">
        <v>1.49</v>
      </c>
      <c r="F1920" s="11">
        <v>3359</v>
      </c>
      <c r="G1920" s="6" t="str">
        <f>IF(COUNTIF(Table1[Customer ID],Table1[[#This Row],[Customer ID]])&gt;1,"Repeat Customer","One-Time Customer")</f>
        <v>One-Time Customer</v>
      </c>
      <c r="H1920" s="11" t="s">
        <v>2992</v>
      </c>
      <c r="I1920" s="11" t="s">
        <v>49</v>
      </c>
      <c r="J1920" s="11" t="s">
        <v>40</v>
      </c>
      <c r="K1920" s="11" t="s">
        <v>29</v>
      </c>
      <c r="L1920" s="11" t="s">
        <v>109</v>
      </c>
      <c r="M1920" s="11" t="s">
        <v>59</v>
      </c>
      <c r="N1920" s="11" t="s">
        <v>332</v>
      </c>
      <c r="O1920" s="11">
        <v>0.38</v>
      </c>
      <c r="P1920" s="6">
        <f>Table1[[#This Row],[Profit]]/Table1[[#This Row],[Sales]]</f>
        <v>0.68298874976164736</v>
      </c>
      <c r="Q1920" s="11" t="s">
        <v>33</v>
      </c>
      <c r="R1920" s="11" t="s">
        <v>61</v>
      </c>
      <c r="S1920" s="11" t="s">
        <v>1858</v>
      </c>
      <c r="T1920" s="11" t="s">
        <v>2993</v>
      </c>
      <c r="U1920" s="11">
        <v>53213</v>
      </c>
      <c r="V1920" s="12">
        <v>42122</v>
      </c>
      <c r="W1920" s="13" t="str">
        <f>TEXT(Table1[[#This Row],[Order Date]],"mmmm")</f>
        <v>April</v>
      </c>
      <c r="X1920" s="7" t="str">
        <f>TEXT(Table1[[#This Row],[Order Date]],"yyyy")</f>
        <v>2015</v>
      </c>
      <c r="Y1920" s="12">
        <v>42124</v>
      </c>
      <c r="Z1920" s="11">
        <v>107.45461999999999</v>
      </c>
      <c r="AA1920" s="11">
        <v>6</v>
      </c>
      <c r="AB1920" s="11">
        <v>157.33000000000001</v>
      </c>
      <c r="AC1920" s="11">
        <v>91437</v>
      </c>
      <c r="AD1920" s="6" t="str">
        <f>IF(COUNTIF(Returns!$A$2:$A$1635,Orders!AC1920)&gt;0,"Returned","Not Returned")</f>
        <v>Not Returned</v>
      </c>
    </row>
    <row r="1921" spans="1:30" ht="12.75" customHeight="1" thickTop="1" thickBot="1" x14ac:dyDescent="0.25">
      <c r="A1921" s="8">
        <v>23359</v>
      </c>
      <c r="B1921" s="1" t="s">
        <v>37</v>
      </c>
      <c r="C1921" s="1">
        <v>0.02</v>
      </c>
      <c r="D1921" s="1">
        <v>9.11</v>
      </c>
      <c r="E1921" s="1">
        <v>2.15</v>
      </c>
      <c r="F1921" s="1">
        <v>3360</v>
      </c>
      <c r="G1921" s="6" t="str">
        <f>IF(COUNTIF(Table1[Customer ID],Table1[[#This Row],[Customer ID]])&gt;1,"Repeat Customer","One-Time Customer")</f>
        <v>One-Time Customer</v>
      </c>
      <c r="H1921" s="1" t="s">
        <v>2994</v>
      </c>
      <c r="I1921" s="1" t="s">
        <v>49</v>
      </c>
      <c r="J1921" s="1" t="s">
        <v>40</v>
      </c>
      <c r="K1921" s="1" t="s">
        <v>29</v>
      </c>
      <c r="L1921" s="1" t="s">
        <v>93</v>
      </c>
      <c r="M1921" s="1" t="s">
        <v>31</v>
      </c>
      <c r="N1921" s="1" t="s">
        <v>1258</v>
      </c>
      <c r="O1921" s="1">
        <v>0.4</v>
      </c>
      <c r="P1921" s="6">
        <f>Table1[[#This Row],[Profit]]/Table1[[#This Row],[Sales]]</f>
        <v>0.67263427109974427</v>
      </c>
      <c r="Q1921" s="1" t="s">
        <v>33</v>
      </c>
      <c r="R1921" s="1" t="s">
        <v>61</v>
      </c>
      <c r="S1921" s="1" t="s">
        <v>1858</v>
      </c>
      <c r="T1921" s="1" t="s">
        <v>2995</v>
      </c>
      <c r="U1921" s="1">
        <v>53214</v>
      </c>
      <c r="V1921" s="9">
        <v>42083</v>
      </c>
      <c r="W1921" s="13" t="str">
        <f>TEXT(Table1[[#This Row],[Order Date]],"mmmm")</f>
        <v>March</v>
      </c>
      <c r="X1921" s="7" t="str">
        <f>TEXT(Table1[[#This Row],[Order Date]],"yyyy")</f>
        <v>2015</v>
      </c>
      <c r="Y1921" s="9">
        <v>42085</v>
      </c>
      <c r="Z1921" s="1">
        <v>18.41</v>
      </c>
      <c r="AA1921" s="1">
        <v>3</v>
      </c>
      <c r="AB1921" s="1">
        <v>27.37</v>
      </c>
      <c r="AC1921" s="1">
        <v>91435</v>
      </c>
      <c r="AD1921" s="6" t="str">
        <f>IF(COUNTIF(Returns!$A$2:$A$1635,Orders!AC1921)&gt;0,"Returned","Not Returned")</f>
        <v>Not Returned</v>
      </c>
    </row>
    <row r="1922" spans="1:30" ht="12.75" customHeight="1" thickTop="1" thickBot="1" x14ac:dyDescent="0.25">
      <c r="A1922" s="10">
        <v>23360</v>
      </c>
      <c r="B1922" s="11" t="s">
        <v>37</v>
      </c>
      <c r="C1922" s="11">
        <v>0.06</v>
      </c>
      <c r="D1922" s="11">
        <v>12.64</v>
      </c>
      <c r="E1922" s="11">
        <v>4.9800000000000004</v>
      </c>
      <c r="F1922" s="11">
        <v>3361</v>
      </c>
      <c r="G1922" s="6" t="str">
        <f>IF(COUNTIF(Table1[Customer ID],Table1[[#This Row],[Customer ID]])&gt;1,"Repeat Customer","One-Time Customer")</f>
        <v>Repeat Customer</v>
      </c>
      <c r="H1922" s="11" t="s">
        <v>2996</v>
      </c>
      <c r="I1922" s="11" t="s">
        <v>49</v>
      </c>
      <c r="J1922" s="11" t="s">
        <v>40</v>
      </c>
      <c r="K1922" s="11" t="s">
        <v>41</v>
      </c>
      <c r="L1922" s="11" t="s">
        <v>50</v>
      </c>
      <c r="M1922" s="11" t="s">
        <v>51</v>
      </c>
      <c r="N1922" s="11" t="s">
        <v>625</v>
      </c>
      <c r="O1922" s="11">
        <v>0.48</v>
      </c>
      <c r="P1922" s="6">
        <f>Table1[[#This Row],[Profit]]/Table1[[#This Row],[Sales]]</f>
        <v>0.66860228198859006</v>
      </c>
      <c r="Q1922" s="11" t="s">
        <v>33</v>
      </c>
      <c r="R1922" s="11" t="s">
        <v>61</v>
      </c>
      <c r="S1922" s="11" t="s">
        <v>1858</v>
      </c>
      <c r="T1922" s="11" t="s">
        <v>2997</v>
      </c>
      <c r="U1922" s="11">
        <v>53095</v>
      </c>
      <c r="V1922" s="12">
        <v>42083</v>
      </c>
      <c r="W1922" s="13" t="str">
        <f>TEXT(Table1[[#This Row],[Order Date]],"mmmm")</f>
        <v>March</v>
      </c>
      <c r="X1922" s="7" t="str">
        <f>TEXT(Table1[[#This Row],[Order Date]],"yyyy")</f>
        <v>2015</v>
      </c>
      <c r="Y1922" s="12">
        <v>42085</v>
      </c>
      <c r="Z1922" s="11">
        <v>65.63</v>
      </c>
      <c r="AA1922" s="11">
        <v>8</v>
      </c>
      <c r="AB1922" s="11">
        <v>98.16</v>
      </c>
      <c r="AC1922" s="11">
        <v>91435</v>
      </c>
      <c r="AD1922" s="6" t="str">
        <f>IF(COUNTIF(Returns!$A$2:$A$1635,Orders!AC1922)&gt;0,"Returned","Not Returned")</f>
        <v>Not Returned</v>
      </c>
    </row>
    <row r="1923" spans="1:30" ht="12.75" customHeight="1" thickTop="1" thickBot="1" x14ac:dyDescent="0.25">
      <c r="A1923" s="8">
        <v>24802</v>
      </c>
      <c r="B1923" s="1" t="s">
        <v>56</v>
      </c>
      <c r="C1923" s="1">
        <v>0.04</v>
      </c>
      <c r="D1923" s="1">
        <v>7.96</v>
      </c>
      <c r="E1923" s="1">
        <v>4.95</v>
      </c>
      <c r="F1923" s="1">
        <v>3361</v>
      </c>
      <c r="G1923" s="6" t="str">
        <f>IF(COUNTIF(Table1[Customer ID],Table1[[#This Row],[Customer ID]])&gt;1,"Repeat Customer","One-Time Customer")</f>
        <v>Repeat Customer</v>
      </c>
      <c r="H1923" s="1" t="s">
        <v>2996</v>
      </c>
      <c r="I1923" s="1" t="s">
        <v>49</v>
      </c>
      <c r="J1923" s="1" t="s">
        <v>40</v>
      </c>
      <c r="K1923" s="1" t="s">
        <v>41</v>
      </c>
      <c r="L1923" s="1" t="s">
        <v>50</v>
      </c>
      <c r="M1923" s="1" t="s">
        <v>59</v>
      </c>
      <c r="N1923" s="1" t="s">
        <v>1285</v>
      </c>
      <c r="O1923" s="1">
        <v>0.41</v>
      </c>
      <c r="P1923" s="6">
        <f>Table1[[#This Row],[Profit]]/Table1[[#This Row],[Sales]]</f>
        <v>-6.6574799758849376E-2</v>
      </c>
      <c r="Q1923" s="1" t="s">
        <v>33</v>
      </c>
      <c r="R1923" s="1" t="s">
        <v>61</v>
      </c>
      <c r="S1923" s="1" t="s">
        <v>1858</v>
      </c>
      <c r="T1923" s="1" t="s">
        <v>2997</v>
      </c>
      <c r="U1923" s="1">
        <v>53095</v>
      </c>
      <c r="V1923" s="9">
        <v>42030</v>
      </c>
      <c r="W1923" s="13" t="str">
        <f>TEXT(Table1[[#This Row],[Order Date]],"mmmm")</f>
        <v>January</v>
      </c>
      <c r="X1923" s="7" t="str">
        <f>TEXT(Table1[[#This Row],[Order Date]],"yyyy")</f>
        <v>2015</v>
      </c>
      <c r="Y1923" s="9">
        <v>42030</v>
      </c>
      <c r="Z1923" s="1">
        <v>-7.73</v>
      </c>
      <c r="AA1923" s="1">
        <v>15</v>
      </c>
      <c r="AB1923" s="1">
        <v>116.11</v>
      </c>
      <c r="AC1923" s="1">
        <v>91436</v>
      </c>
      <c r="AD1923" s="6" t="str">
        <f>IF(COUNTIF(Returns!$A$2:$A$1635,Orders!AC1923)&gt;0,"Returned","Not Returned")</f>
        <v>Not Returned</v>
      </c>
    </row>
    <row r="1924" spans="1:30" ht="12.75" customHeight="1" thickTop="1" thickBot="1" x14ac:dyDescent="0.25">
      <c r="A1924" s="10">
        <v>23887</v>
      </c>
      <c r="B1924" s="11" t="s">
        <v>56</v>
      </c>
      <c r="C1924" s="11">
        <v>0.03</v>
      </c>
      <c r="D1924" s="11">
        <v>4.9800000000000004</v>
      </c>
      <c r="E1924" s="11">
        <v>4.95</v>
      </c>
      <c r="F1924" s="11">
        <v>3361</v>
      </c>
      <c r="G1924" s="6" t="str">
        <f>IF(COUNTIF(Table1[Customer ID],Table1[[#This Row],[Customer ID]])&gt;1,"Repeat Customer","One-Time Customer")</f>
        <v>Repeat Customer</v>
      </c>
      <c r="H1924" s="11" t="s">
        <v>2996</v>
      </c>
      <c r="I1924" s="11" t="s">
        <v>49</v>
      </c>
      <c r="J1924" s="11" t="s">
        <v>40</v>
      </c>
      <c r="K1924" s="11" t="s">
        <v>29</v>
      </c>
      <c r="L1924" s="11" t="s">
        <v>109</v>
      </c>
      <c r="M1924" s="11" t="s">
        <v>59</v>
      </c>
      <c r="N1924" s="11" t="s">
        <v>2498</v>
      </c>
      <c r="O1924" s="11">
        <v>0.37</v>
      </c>
      <c r="P1924" s="6">
        <f>Table1[[#This Row],[Profit]]/Table1[[#This Row],[Sales]]</f>
        <v>-0.50521315789473686</v>
      </c>
      <c r="Q1924" s="11" t="s">
        <v>33</v>
      </c>
      <c r="R1924" s="11" t="s">
        <v>61</v>
      </c>
      <c r="S1924" s="11" t="s">
        <v>1858</v>
      </c>
      <c r="T1924" s="11" t="s">
        <v>2997</v>
      </c>
      <c r="U1924" s="11">
        <v>53095</v>
      </c>
      <c r="V1924" s="12">
        <v>42164</v>
      </c>
      <c r="W1924" s="13" t="str">
        <f>TEXT(Table1[[#This Row],[Order Date]],"mmmm")</f>
        <v>June</v>
      </c>
      <c r="X1924" s="7" t="str">
        <f>TEXT(Table1[[#This Row],[Order Date]],"yyyy")</f>
        <v>2015</v>
      </c>
      <c r="Y1924" s="12">
        <v>42166</v>
      </c>
      <c r="Z1924" s="11">
        <v>-47.995249999999999</v>
      </c>
      <c r="AA1924" s="11">
        <v>19</v>
      </c>
      <c r="AB1924" s="11">
        <v>95</v>
      </c>
      <c r="AC1924" s="11">
        <v>91438</v>
      </c>
      <c r="AD1924" s="6" t="str">
        <f>IF(COUNTIF(Returns!$A$2:$A$1635,Orders!AC1924)&gt;0,"Returned","Not Returned")</f>
        <v>Not Returned</v>
      </c>
    </row>
    <row r="1925" spans="1:30" ht="12.75" customHeight="1" thickTop="1" thickBot="1" x14ac:dyDescent="0.25">
      <c r="A1925" s="8">
        <v>19749</v>
      </c>
      <c r="B1925" s="1" t="s">
        <v>106</v>
      </c>
      <c r="C1925" s="1">
        <v>0.1</v>
      </c>
      <c r="D1925" s="1">
        <v>80.97</v>
      </c>
      <c r="E1925" s="1">
        <v>33.6</v>
      </c>
      <c r="F1925" s="1">
        <v>3366</v>
      </c>
      <c r="G1925" s="6" t="str">
        <f>IF(COUNTIF(Table1[Customer ID],Table1[[#This Row],[Customer ID]])&gt;1,"Repeat Customer","One-Time Customer")</f>
        <v>Repeat Customer</v>
      </c>
      <c r="H1925" s="1" t="s">
        <v>2998</v>
      </c>
      <c r="I1925" s="1" t="s">
        <v>39</v>
      </c>
      <c r="J1925" s="1" t="s">
        <v>40</v>
      </c>
      <c r="K1925" s="1" t="s">
        <v>77</v>
      </c>
      <c r="L1925" s="1" t="s">
        <v>85</v>
      </c>
      <c r="M1925" s="1" t="s">
        <v>43</v>
      </c>
      <c r="N1925" s="1" t="s">
        <v>2032</v>
      </c>
      <c r="O1925" s="1">
        <v>0.37</v>
      </c>
      <c r="P1925" s="6">
        <f>Table1[[#This Row],[Profit]]/Table1[[#This Row],[Sales]]</f>
        <v>7.9062048545196217E-2</v>
      </c>
      <c r="Q1925" s="1" t="s">
        <v>33</v>
      </c>
      <c r="R1925" s="1" t="s">
        <v>53</v>
      </c>
      <c r="S1925" s="1" t="s">
        <v>154</v>
      </c>
      <c r="T1925" s="1" t="s">
        <v>309</v>
      </c>
      <c r="U1925" s="1">
        <v>45373</v>
      </c>
      <c r="V1925" s="9">
        <v>42148</v>
      </c>
      <c r="W1925" s="13" t="str">
        <f>TEXT(Table1[[#This Row],[Order Date]],"mmmm")</f>
        <v>May</v>
      </c>
      <c r="X1925" s="7" t="str">
        <f>TEXT(Table1[[#This Row],[Order Date]],"yyyy")</f>
        <v>2015</v>
      </c>
      <c r="Y1925" s="9">
        <v>42153</v>
      </c>
      <c r="Z1925" s="1">
        <v>66.22</v>
      </c>
      <c r="AA1925" s="1">
        <v>11</v>
      </c>
      <c r="AB1925" s="1">
        <v>837.57</v>
      </c>
      <c r="AC1925" s="1">
        <v>90501</v>
      </c>
      <c r="AD1925" s="6" t="str">
        <f>IF(COUNTIF(Returns!$A$2:$A$1635,Orders!AC1925)&gt;0,"Returned","Not Returned")</f>
        <v>Not Returned</v>
      </c>
    </row>
    <row r="1926" spans="1:30" ht="12.75" customHeight="1" thickTop="1" thickBot="1" x14ac:dyDescent="0.25">
      <c r="A1926" s="10">
        <v>19750</v>
      </c>
      <c r="B1926" s="11" t="s">
        <v>106</v>
      </c>
      <c r="C1926" s="11">
        <v>0.02</v>
      </c>
      <c r="D1926" s="11">
        <v>6.48</v>
      </c>
      <c r="E1926" s="11">
        <v>5.1100000000000003</v>
      </c>
      <c r="F1926" s="11">
        <v>3366</v>
      </c>
      <c r="G1926" s="6" t="str">
        <f>IF(COUNTIF(Table1[Customer ID],Table1[[#This Row],[Customer ID]])&gt;1,"Repeat Customer","One-Time Customer")</f>
        <v>Repeat Customer</v>
      </c>
      <c r="H1926" s="11" t="s">
        <v>2998</v>
      </c>
      <c r="I1926" s="11" t="s">
        <v>49</v>
      </c>
      <c r="J1926" s="11" t="s">
        <v>40</v>
      </c>
      <c r="K1926" s="11" t="s">
        <v>29</v>
      </c>
      <c r="L1926" s="11" t="s">
        <v>93</v>
      </c>
      <c r="M1926" s="11" t="s">
        <v>59</v>
      </c>
      <c r="N1926" s="11" t="s">
        <v>992</v>
      </c>
      <c r="O1926" s="11">
        <v>0.37</v>
      </c>
      <c r="P1926" s="6">
        <f>Table1[[#This Row],[Profit]]/Table1[[#This Row],[Sales]]</f>
        <v>-0.41853432942013519</v>
      </c>
      <c r="Q1926" s="11" t="s">
        <v>33</v>
      </c>
      <c r="R1926" s="11" t="s">
        <v>53</v>
      </c>
      <c r="S1926" s="11" t="s">
        <v>154</v>
      </c>
      <c r="T1926" s="11" t="s">
        <v>309</v>
      </c>
      <c r="U1926" s="11">
        <v>45373</v>
      </c>
      <c r="V1926" s="12">
        <v>42148</v>
      </c>
      <c r="W1926" s="13" t="str">
        <f>TEXT(Table1[[#This Row],[Order Date]],"mmmm")</f>
        <v>May</v>
      </c>
      <c r="X1926" s="7" t="str">
        <f>TEXT(Table1[[#This Row],[Order Date]],"yyyy")</f>
        <v>2015</v>
      </c>
      <c r="Y1926" s="12">
        <v>42152</v>
      </c>
      <c r="Z1926" s="11">
        <v>-23.53</v>
      </c>
      <c r="AA1926" s="11">
        <v>8</v>
      </c>
      <c r="AB1926" s="11">
        <v>56.22</v>
      </c>
      <c r="AC1926" s="11">
        <v>90501</v>
      </c>
      <c r="AD1926" s="6" t="str">
        <f>IF(COUNTIF(Returns!$A$2:$A$1635,Orders!AC1926)&gt;0,"Returned","Not Returned")</f>
        <v>Not Returned</v>
      </c>
    </row>
    <row r="1927" spans="1:30" ht="12.75" customHeight="1" thickTop="1" thickBot="1" x14ac:dyDescent="0.25">
      <c r="A1927" s="8">
        <v>23428</v>
      </c>
      <c r="B1927" s="1" t="s">
        <v>47</v>
      </c>
      <c r="C1927" s="1">
        <v>0.08</v>
      </c>
      <c r="D1927" s="1">
        <v>30.97</v>
      </c>
      <c r="E1927" s="1">
        <v>4</v>
      </c>
      <c r="F1927" s="1">
        <v>3367</v>
      </c>
      <c r="G1927" s="6" t="str">
        <f>IF(COUNTIF(Table1[Customer ID],Table1[[#This Row],[Customer ID]])&gt;1,"Repeat Customer","One-Time Customer")</f>
        <v>Repeat Customer</v>
      </c>
      <c r="H1927" s="1" t="s">
        <v>2999</v>
      </c>
      <c r="I1927" s="1" t="s">
        <v>49</v>
      </c>
      <c r="J1927" s="1" t="s">
        <v>40</v>
      </c>
      <c r="K1927" s="1" t="s">
        <v>77</v>
      </c>
      <c r="L1927" s="1" t="s">
        <v>180</v>
      </c>
      <c r="M1927" s="1" t="s">
        <v>59</v>
      </c>
      <c r="N1927" s="1" t="s">
        <v>2702</v>
      </c>
      <c r="O1927" s="1">
        <v>0.74</v>
      </c>
      <c r="P1927" s="6">
        <f>Table1[[#This Row],[Profit]]/Table1[[#This Row],[Sales]]</f>
        <v>1.4071702438831593E-2</v>
      </c>
      <c r="Q1927" s="1" t="s">
        <v>33</v>
      </c>
      <c r="R1927" s="1" t="s">
        <v>53</v>
      </c>
      <c r="S1927" s="1" t="s">
        <v>154</v>
      </c>
      <c r="T1927" s="1" t="s">
        <v>3000</v>
      </c>
      <c r="U1927" s="1">
        <v>43221</v>
      </c>
      <c r="V1927" s="9">
        <v>42126</v>
      </c>
      <c r="W1927" s="13" t="str">
        <f>TEXT(Table1[[#This Row],[Order Date]],"mmmm")</f>
        <v>May</v>
      </c>
      <c r="X1927" s="7" t="str">
        <f>TEXT(Table1[[#This Row],[Order Date]],"yyyy")</f>
        <v>2015</v>
      </c>
      <c r="Y1927" s="9">
        <v>42127</v>
      </c>
      <c r="Z1927" s="1">
        <v>10.680000000000014</v>
      </c>
      <c r="AA1927" s="1">
        <v>26</v>
      </c>
      <c r="AB1927" s="1">
        <v>758.97</v>
      </c>
      <c r="AC1927" s="1">
        <v>90502</v>
      </c>
      <c r="AD1927" s="6" t="str">
        <f>IF(COUNTIF(Returns!$A$2:$A$1635,Orders!AC1927)&gt;0,"Returned","Not Returned")</f>
        <v>Not Returned</v>
      </c>
    </row>
    <row r="1928" spans="1:30" ht="12.75" customHeight="1" thickTop="1" thickBot="1" x14ac:dyDescent="0.25">
      <c r="A1928" s="10">
        <v>23429</v>
      </c>
      <c r="B1928" s="11" t="s">
        <v>47</v>
      </c>
      <c r="C1928" s="11">
        <v>0.1</v>
      </c>
      <c r="D1928" s="11">
        <v>4.13</v>
      </c>
      <c r="E1928" s="11">
        <v>0.5</v>
      </c>
      <c r="F1928" s="11">
        <v>3367</v>
      </c>
      <c r="G1928" s="6" t="str">
        <f>IF(COUNTIF(Table1[Customer ID],Table1[[#This Row],[Customer ID]])&gt;1,"Repeat Customer","One-Time Customer")</f>
        <v>Repeat Customer</v>
      </c>
      <c r="H1928" s="11" t="s">
        <v>2999</v>
      </c>
      <c r="I1928" s="11" t="s">
        <v>27</v>
      </c>
      <c r="J1928" s="11" t="s">
        <v>40</v>
      </c>
      <c r="K1928" s="11" t="s">
        <v>29</v>
      </c>
      <c r="L1928" s="11" t="s">
        <v>134</v>
      </c>
      <c r="M1928" s="11" t="s">
        <v>59</v>
      </c>
      <c r="N1928" s="11" t="s">
        <v>3001</v>
      </c>
      <c r="O1928" s="11">
        <v>0.39</v>
      </c>
      <c r="P1928" s="6">
        <f>Table1[[#This Row],[Profit]]/Table1[[#This Row],[Sales]]</f>
        <v>0.69</v>
      </c>
      <c r="Q1928" s="11" t="s">
        <v>33</v>
      </c>
      <c r="R1928" s="11" t="s">
        <v>53</v>
      </c>
      <c r="S1928" s="11" t="s">
        <v>154</v>
      </c>
      <c r="T1928" s="11" t="s">
        <v>3000</v>
      </c>
      <c r="U1928" s="11">
        <v>43221</v>
      </c>
      <c r="V1928" s="12">
        <v>42126</v>
      </c>
      <c r="W1928" s="13" t="str">
        <f>TEXT(Table1[[#This Row],[Order Date]],"mmmm")</f>
        <v>May</v>
      </c>
      <c r="X1928" s="7" t="str">
        <f>TEXT(Table1[[#This Row],[Order Date]],"yyyy")</f>
        <v>2015</v>
      </c>
      <c r="Y1928" s="12">
        <v>42128</v>
      </c>
      <c r="Z1928" s="11">
        <v>58.263599999999997</v>
      </c>
      <c r="AA1928" s="11">
        <v>18</v>
      </c>
      <c r="AB1928" s="11">
        <v>84.44</v>
      </c>
      <c r="AC1928" s="11">
        <v>90502</v>
      </c>
      <c r="AD1928" s="6" t="str">
        <f>IF(COUNTIF(Returns!$A$2:$A$1635,Orders!AC1928)&gt;0,"Returned","Not Returned")</f>
        <v>Not Returned</v>
      </c>
    </row>
    <row r="1929" spans="1:30" ht="12.75" customHeight="1" thickTop="1" thickBot="1" x14ac:dyDescent="0.25">
      <c r="A1929" s="8">
        <v>26104</v>
      </c>
      <c r="B1929" s="1" t="s">
        <v>56</v>
      </c>
      <c r="C1929" s="1">
        <v>0.06</v>
      </c>
      <c r="D1929" s="1">
        <v>7.1</v>
      </c>
      <c r="E1929" s="1">
        <v>6.05</v>
      </c>
      <c r="F1929" s="1">
        <v>3369</v>
      </c>
      <c r="G1929" s="6" t="str">
        <f>IF(COUNTIF(Table1[Customer ID],Table1[[#This Row],[Customer ID]])&gt;1,"Repeat Customer","One-Time Customer")</f>
        <v>One-Time Customer</v>
      </c>
      <c r="H1929" s="1" t="s">
        <v>3002</v>
      </c>
      <c r="I1929" s="1" t="s">
        <v>49</v>
      </c>
      <c r="J1929" s="1" t="s">
        <v>40</v>
      </c>
      <c r="K1929" s="1" t="s">
        <v>29</v>
      </c>
      <c r="L1929" s="1" t="s">
        <v>109</v>
      </c>
      <c r="M1929" s="1" t="s">
        <v>59</v>
      </c>
      <c r="N1929" s="1" t="s">
        <v>651</v>
      </c>
      <c r="O1929" s="1">
        <v>0.39</v>
      </c>
      <c r="P1929" s="6">
        <f>Table1[[#This Row],[Profit]]/Table1[[#This Row],[Sales]]</f>
        <v>-1.4061520506835614</v>
      </c>
      <c r="Q1929" s="1" t="s">
        <v>33</v>
      </c>
      <c r="R1929" s="1" t="s">
        <v>53</v>
      </c>
      <c r="S1929" s="1" t="s">
        <v>154</v>
      </c>
      <c r="T1929" s="1" t="s">
        <v>1511</v>
      </c>
      <c r="U1929" s="1">
        <v>43081</v>
      </c>
      <c r="V1929" s="9">
        <v>42047</v>
      </c>
      <c r="W1929" s="13" t="str">
        <f>TEXT(Table1[[#This Row],[Order Date]],"mmmm")</f>
        <v>February</v>
      </c>
      <c r="X1929" s="7" t="str">
        <f>TEXT(Table1[[#This Row],[Order Date]],"yyyy")</f>
        <v>2015</v>
      </c>
      <c r="Y1929" s="9">
        <v>42048</v>
      </c>
      <c r="Z1929" s="1">
        <v>-42.170500000000004</v>
      </c>
      <c r="AA1929" s="1">
        <v>4</v>
      </c>
      <c r="AB1929" s="1">
        <v>29.99</v>
      </c>
      <c r="AC1929" s="1">
        <v>90500</v>
      </c>
      <c r="AD1929" s="6" t="str">
        <f>IF(COUNTIF(Returns!$A$2:$A$1635,Orders!AC1929)&gt;0,"Returned","Not Returned")</f>
        <v>Not Returned</v>
      </c>
    </row>
    <row r="1930" spans="1:30" ht="12.75" customHeight="1" thickTop="1" thickBot="1" x14ac:dyDescent="0.25">
      <c r="A1930" s="10">
        <v>18311</v>
      </c>
      <c r="B1930" s="11" t="s">
        <v>56</v>
      </c>
      <c r="C1930" s="11">
        <v>0.01</v>
      </c>
      <c r="D1930" s="11">
        <v>179.29</v>
      </c>
      <c r="E1930" s="11">
        <v>29.21</v>
      </c>
      <c r="F1930" s="11">
        <v>3374</v>
      </c>
      <c r="G1930" s="6" t="str">
        <f>IF(COUNTIF(Table1[Customer ID],Table1[[#This Row],[Customer ID]])&gt;1,"Repeat Customer","One-Time Customer")</f>
        <v>Repeat Customer</v>
      </c>
      <c r="H1930" s="11" t="s">
        <v>3003</v>
      </c>
      <c r="I1930" s="11" t="s">
        <v>39</v>
      </c>
      <c r="J1930" s="11" t="s">
        <v>28</v>
      </c>
      <c r="K1930" s="11" t="s">
        <v>41</v>
      </c>
      <c r="L1930" s="11" t="s">
        <v>152</v>
      </c>
      <c r="M1930" s="11" t="s">
        <v>121</v>
      </c>
      <c r="N1930" s="11" t="s">
        <v>629</v>
      </c>
      <c r="O1930" s="11">
        <v>0.76</v>
      </c>
      <c r="P1930" s="6">
        <f>Table1[[#This Row],[Profit]]/Table1[[#This Row],[Sales]]</f>
        <v>4.4601263525774586E-2</v>
      </c>
      <c r="Q1930" s="11" t="s">
        <v>33</v>
      </c>
      <c r="R1930" s="11" t="s">
        <v>53</v>
      </c>
      <c r="S1930" s="11" t="s">
        <v>415</v>
      </c>
      <c r="T1930" s="11" t="s">
        <v>3004</v>
      </c>
      <c r="U1930" s="11">
        <v>21113</v>
      </c>
      <c r="V1930" s="12">
        <v>42157</v>
      </c>
      <c r="W1930" s="13" t="str">
        <f>TEXT(Table1[[#This Row],[Order Date]],"mmmm")</f>
        <v>June</v>
      </c>
      <c r="X1930" s="7" t="str">
        <f>TEXT(Table1[[#This Row],[Order Date]],"yyyy")</f>
        <v>2015</v>
      </c>
      <c r="Y1930" s="12">
        <v>42159</v>
      </c>
      <c r="Z1930" s="11">
        <v>66.362220000000008</v>
      </c>
      <c r="AA1930" s="11">
        <v>8</v>
      </c>
      <c r="AB1930" s="11">
        <v>1487.9</v>
      </c>
      <c r="AC1930" s="11">
        <v>87473</v>
      </c>
      <c r="AD1930" s="6" t="str">
        <f>IF(COUNTIF(Returns!$A$2:$A$1635,Orders!AC1930)&gt;0,"Returned","Not Returned")</f>
        <v>Not Returned</v>
      </c>
    </row>
    <row r="1931" spans="1:30" ht="12.75" customHeight="1" thickTop="1" thickBot="1" x14ac:dyDescent="0.25">
      <c r="A1931" s="8">
        <v>18320</v>
      </c>
      <c r="B1931" s="1" t="s">
        <v>25</v>
      </c>
      <c r="C1931" s="1">
        <v>0.05</v>
      </c>
      <c r="D1931" s="1">
        <v>73.98</v>
      </c>
      <c r="E1931" s="1">
        <v>12.14</v>
      </c>
      <c r="F1931" s="1">
        <v>3374</v>
      </c>
      <c r="G1931" s="6" t="str">
        <f>IF(COUNTIF(Table1[Customer ID],Table1[[#This Row],[Customer ID]])&gt;1,"Repeat Customer","One-Time Customer")</f>
        <v>Repeat Customer</v>
      </c>
      <c r="H1931" s="1" t="s">
        <v>3003</v>
      </c>
      <c r="I1931" s="1" t="s">
        <v>49</v>
      </c>
      <c r="J1931" s="1" t="s">
        <v>40</v>
      </c>
      <c r="K1931" s="1" t="s">
        <v>77</v>
      </c>
      <c r="L1931" s="1" t="s">
        <v>180</v>
      </c>
      <c r="M1931" s="1" t="s">
        <v>59</v>
      </c>
      <c r="N1931" s="1" t="s">
        <v>372</v>
      </c>
      <c r="O1931" s="1">
        <v>0.67</v>
      </c>
      <c r="P1931" s="6">
        <f>Table1[[#This Row],[Profit]]/Table1[[#This Row],[Sales]]</f>
        <v>-3.1712191872085593E-3</v>
      </c>
      <c r="Q1931" s="1" t="s">
        <v>33</v>
      </c>
      <c r="R1931" s="1" t="s">
        <v>53</v>
      </c>
      <c r="S1931" s="1" t="s">
        <v>415</v>
      </c>
      <c r="T1931" s="1" t="s">
        <v>3004</v>
      </c>
      <c r="U1931" s="1">
        <v>21113</v>
      </c>
      <c r="V1931" s="9">
        <v>42184</v>
      </c>
      <c r="W1931" s="13" t="str">
        <f>TEXT(Table1[[#This Row],[Order Date]],"mmmm")</f>
        <v>June</v>
      </c>
      <c r="X1931" s="7" t="str">
        <f>TEXT(Table1[[#This Row],[Order Date]],"yyyy")</f>
        <v>2015</v>
      </c>
      <c r="Y1931" s="9">
        <v>42185</v>
      </c>
      <c r="Z1931" s="1">
        <v>-1.904000000000019</v>
      </c>
      <c r="AA1931" s="1">
        <v>8</v>
      </c>
      <c r="AB1931" s="1">
        <v>600.4</v>
      </c>
      <c r="AC1931" s="1">
        <v>87474</v>
      </c>
      <c r="AD1931" s="6" t="str">
        <f>IF(COUNTIF(Returns!$A$2:$A$1635,Orders!AC1931)&gt;0,"Returned","Not Returned")</f>
        <v>Not Returned</v>
      </c>
    </row>
    <row r="1932" spans="1:30" ht="12.75" customHeight="1" thickTop="1" thickBot="1" x14ac:dyDescent="0.25">
      <c r="A1932" s="10">
        <v>18321</v>
      </c>
      <c r="B1932" s="11" t="s">
        <v>25</v>
      </c>
      <c r="C1932" s="11">
        <v>0</v>
      </c>
      <c r="D1932" s="11">
        <v>5.98</v>
      </c>
      <c r="E1932" s="11">
        <v>7.15</v>
      </c>
      <c r="F1932" s="11">
        <v>3374</v>
      </c>
      <c r="G1932" s="6" t="str">
        <f>IF(COUNTIF(Table1[Customer ID],Table1[[#This Row],[Customer ID]])&gt;1,"Repeat Customer","One-Time Customer")</f>
        <v>Repeat Customer</v>
      </c>
      <c r="H1932" s="11" t="s">
        <v>3003</v>
      </c>
      <c r="I1932" s="11" t="s">
        <v>49</v>
      </c>
      <c r="J1932" s="11" t="s">
        <v>40</v>
      </c>
      <c r="K1932" s="11" t="s">
        <v>29</v>
      </c>
      <c r="L1932" s="11" t="s">
        <v>93</v>
      </c>
      <c r="M1932" s="11" t="s">
        <v>59</v>
      </c>
      <c r="N1932" s="11" t="s">
        <v>2986</v>
      </c>
      <c r="O1932" s="11">
        <v>0.36</v>
      </c>
      <c r="P1932" s="6">
        <f>Table1[[#This Row],[Profit]]/Table1[[#This Row],[Sales]]</f>
        <v>-1.0816934306569344</v>
      </c>
      <c r="Q1932" s="11" t="s">
        <v>33</v>
      </c>
      <c r="R1932" s="11" t="s">
        <v>53</v>
      </c>
      <c r="S1932" s="11" t="s">
        <v>415</v>
      </c>
      <c r="T1932" s="11" t="s">
        <v>3004</v>
      </c>
      <c r="U1932" s="11">
        <v>21113</v>
      </c>
      <c r="V1932" s="12">
        <v>42184</v>
      </c>
      <c r="W1932" s="13" t="str">
        <f>TEXT(Table1[[#This Row],[Order Date]],"mmmm")</f>
        <v>June</v>
      </c>
      <c r="X1932" s="7" t="str">
        <f>TEXT(Table1[[#This Row],[Order Date]],"yyyy")</f>
        <v>2015</v>
      </c>
      <c r="Y1932" s="12">
        <v>42186</v>
      </c>
      <c r="Z1932" s="11">
        <v>-37.048000000000002</v>
      </c>
      <c r="AA1932" s="11">
        <v>5</v>
      </c>
      <c r="AB1932" s="11">
        <v>34.25</v>
      </c>
      <c r="AC1932" s="11">
        <v>87474</v>
      </c>
      <c r="AD1932" s="6" t="str">
        <f>IF(COUNTIF(Returns!$A$2:$A$1635,Orders!AC1932)&gt;0,"Returned","Not Returned")</f>
        <v>Not Returned</v>
      </c>
    </row>
    <row r="1933" spans="1:30" ht="12.75" customHeight="1" thickTop="1" thickBot="1" x14ac:dyDescent="0.25">
      <c r="A1933" s="8">
        <v>18322</v>
      </c>
      <c r="B1933" s="1" t="s">
        <v>25</v>
      </c>
      <c r="C1933" s="1">
        <v>0.09</v>
      </c>
      <c r="D1933" s="1">
        <v>3.57</v>
      </c>
      <c r="E1933" s="1">
        <v>4.17</v>
      </c>
      <c r="F1933" s="1">
        <v>3374</v>
      </c>
      <c r="G1933" s="6" t="str">
        <f>IF(COUNTIF(Table1[Customer ID],Table1[[#This Row],[Customer ID]])&gt;1,"Repeat Customer","One-Time Customer")</f>
        <v>Repeat Customer</v>
      </c>
      <c r="H1933" s="1" t="s">
        <v>3003</v>
      </c>
      <c r="I1933" s="1" t="s">
        <v>49</v>
      </c>
      <c r="J1933" s="1" t="s">
        <v>40</v>
      </c>
      <c r="K1933" s="1" t="s">
        <v>29</v>
      </c>
      <c r="L1933" s="1" t="s">
        <v>30</v>
      </c>
      <c r="M1933" s="1" t="s">
        <v>51</v>
      </c>
      <c r="N1933" s="1" t="s">
        <v>2566</v>
      </c>
      <c r="O1933" s="1">
        <v>0.59</v>
      </c>
      <c r="P1933" s="6">
        <f>Table1[[#This Row],[Profit]]/Table1[[#This Row],[Sales]]</f>
        <v>-1.8088394276629571</v>
      </c>
      <c r="Q1933" s="1" t="s">
        <v>33</v>
      </c>
      <c r="R1933" s="1" t="s">
        <v>53</v>
      </c>
      <c r="S1933" s="1" t="s">
        <v>415</v>
      </c>
      <c r="T1933" s="1" t="s">
        <v>3004</v>
      </c>
      <c r="U1933" s="1">
        <v>21113</v>
      </c>
      <c r="V1933" s="9">
        <v>42184</v>
      </c>
      <c r="W1933" s="13" t="str">
        <f>TEXT(Table1[[#This Row],[Order Date]],"mmmm")</f>
        <v>June</v>
      </c>
      <c r="X1933" s="7" t="str">
        <f>TEXT(Table1[[#This Row],[Order Date]],"yyyy")</f>
        <v>2015</v>
      </c>
      <c r="Y1933" s="9">
        <v>42186</v>
      </c>
      <c r="Z1933" s="1">
        <v>-56.887999999999998</v>
      </c>
      <c r="AA1933" s="1">
        <v>9</v>
      </c>
      <c r="AB1933" s="1">
        <v>31.45</v>
      </c>
      <c r="AC1933" s="1">
        <v>87474</v>
      </c>
      <c r="AD1933" s="6" t="str">
        <f>IF(COUNTIF(Returns!$A$2:$A$1635,Orders!AC1933)&gt;0,"Returned","Not Returned")</f>
        <v>Not Returned</v>
      </c>
    </row>
    <row r="1934" spans="1:30" ht="12.75" customHeight="1" thickTop="1" thickBot="1" x14ac:dyDescent="0.25">
      <c r="A1934" s="10">
        <v>22378</v>
      </c>
      <c r="B1934" s="11" t="s">
        <v>47</v>
      </c>
      <c r="C1934" s="11">
        <v>0</v>
      </c>
      <c r="D1934" s="11">
        <v>19.98</v>
      </c>
      <c r="E1934" s="11">
        <v>5.97</v>
      </c>
      <c r="F1934" s="11">
        <v>3379</v>
      </c>
      <c r="G1934" s="6" t="str">
        <f>IF(COUNTIF(Table1[Customer ID],Table1[[#This Row],[Customer ID]])&gt;1,"Repeat Customer","One-Time Customer")</f>
        <v>Repeat Customer</v>
      </c>
      <c r="H1934" s="11" t="s">
        <v>3005</v>
      </c>
      <c r="I1934" s="11" t="s">
        <v>27</v>
      </c>
      <c r="J1934" s="11" t="s">
        <v>28</v>
      </c>
      <c r="K1934" s="11" t="s">
        <v>29</v>
      </c>
      <c r="L1934" s="11" t="s">
        <v>93</v>
      </c>
      <c r="M1934" s="11" t="s">
        <v>59</v>
      </c>
      <c r="N1934" s="11" t="s">
        <v>3006</v>
      </c>
      <c r="O1934" s="11">
        <v>0.38</v>
      </c>
      <c r="P1934" s="6">
        <f>Table1[[#This Row],[Profit]]/Table1[[#This Row],[Sales]]</f>
        <v>-0.76168948488376764</v>
      </c>
      <c r="Q1934" s="11" t="s">
        <v>33</v>
      </c>
      <c r="R1934" s="11" t="s">
        <v>136</v>
      </c>
      <c r="S1934" s="11" t="s">
        <v>387</v>
      </c>
      <c r="T1934" s="11" t="s">
        <v>3007</v>
      </c>
      <c r="U1934" s="11">
        <v>30144</v>
      </c>
      <c r="V1934" s="12">
        <v>42089</v>
      </c>
      <c r="W1934" s="13" t="str">
        <f>TEXT(Table1[[#This Row],[Order Date]],"mmmm")</f>
        <v>March</v>
      </c>
      <c r="X1934" s="7" t="str">
        <f>TEXT(Table1[[#This Row],[Order Date]],"yyyy")</f>
        <v>2015</v>
      </c>
      <c r="Y1934" s="12">
        <v>42092</v>
      </c>
      <c r="Z1934" s="11">
        <v>-189.714</v>
      </c>
      <c r="AA1934" s="11">
        <v>12</v>
      </c>
      <c r="AB1934" s="11">
        <v>249.07</v>
      </c>
      <c r="AC1934" s="11">
        <v>88837</v>
      </c>
      <c r="AD1934" s="6" t="str">
        <f>IF(COUNTIF(Returns!$A$2:$A$1635,Orders!AC1934)&gt;0,"Returned","Not Returned")</f>
        <v>Not Returned</v>
      </c>
    </row>
    <row r="1935" spans="1:30" ht="12.75" customHeight="1" thickTop="1" thickBot="1" x14ac:dyDescent="0.25">
      <c r="A1935" s="8">
        <v>20366</v>
      </c>
      <c r="B1935" s="1" t="s">
        <v>47</v>
      </c>
      <c r="C1935" s="1">
        <v>0.05</v>
      </c>
      <c r="D1935" s="1">
        <v>3.14</v>
      </c>
      <c r="E1935" s="1">
        <v>1.92</v>
      </c>
      <c r="F1935" s="1">
        <v>3379</v>
      </c>
      <c r="G1935" s="6" t="str">
        <f>IF(COUNTIF(Table1[Customer ID],Table1[[#This Row],[Customer ID]])&gt;1,"Repeat Customer","One-Time Customer")</f>
        <v>Repeat Customer</v>
      </c>
      <c r="H1935" s="1" t="s">
        <v>3005</v>
      </c>
      <c r="I1935" s="1" t="s">
        <v>27</v>
      </c>
      <c r="J1935" s="1" t="s">
        <v>40</v>
      </c>
      <c r="K1935" s="1" t="s">
        <v>29</v>
      </c>
      <c r="L1935" s="1" t="s">
        <v>174</v>
      </c>
      <c r="M1935" s="1" t="s">
        <v>31</v>
      </c>
      <c r="N1935" s="1" t="s">
        <v>2657</v>
      </c>
      <c r="O1935" s="1">
        <v>0.84</v>
      </c>
      <c r="P1935" s="6">
        <f>Table1[[#This Row],[Profit]]/Table1[[#This Row],[Sales]]</f>
        <v>27.496960486322187</v>
      </c>
      <c r="Q1935" s="1" t="s">
        <v>33</v>
      </c>
      <c r="R1935" s="1" t="s">
        <v>136</v>
      </c>
      <c r="S1935" s="1" t="s">
        <v>387</v>
      </c>
      <c r="T1935" s="1" t="s">
        <v>3007</v>
      </c>
      <c r="U1935" s="1">
        <v>30144</v>
      </c>
      <c r="V1935" s="9">
        <v>42119</v>
      </c>
      <c r="W1935" s="13" t="str">
        <f>TEXT(Table1[[#This Row],[Order Date]],"mmmm")</f>
        <v>April</v>
      </c>
      <c r="X1935" s="7" t="str">
        <f>TEXT(Table1[[#This Row],[Order Date]],"yyyy")</f>
        <v>2015</v>
      </c>
      <c r="Y1935" s="9">
        <v>42120</v>
      </c>
      <c r="Z1935" s="1">
        <v>1628.37</v>
      </c>
      <c r="AA1935" s="1">
        <v>18</v>
      </c>
      <c r="AB1935" s="1">
        <v>59.22</v>
      </c>
      <c r="AC1935" s="1">
        <v>88839</v>
      </c>
      <c r="AD1935" s="6" t="str">
        <f>IF(COUNTIF(Returns!$A$2:$A$1635,Orders!AC1935)&gt;0,"Returned","Not Returned")</f>
        <v>Not Returned</v>
      </c>
    </row>
    <row r="1936" spans="1:30" ht="12.75" customHeight="1" thickTop="1" thickBot="1" x14ac:dyDescent="0.25">
      <c r="A1936" s="10">
        <v>23181</v>
      </c>
      <c r="B1936" s="11" t="s">
        <v>47</v>
      </c>
      <c r="C1936" s="11">
        <v>0.03</v>
      </c>
      <c r="D1936" s="11">
        <v>315.98</v>
      </c>
      <c r="E1936" s="11">
        <v>19.989999999999998</v>
      </c>
      <c r="F1936" s="11">
        <v>3380</v>
      </c>
      <c r="G1936" s="6" t="str">
        <f>IF(COUNTIF(Table1[Customer ID],Table1[[#This Row],[Customer ID]])&gt;1,"Repeat Customer","One-Time Customer")</f>
        <v>Repeat Customer</v>
      </c>
      <c r="H1936" s="11" t="s">
        <v>3008</v>
      </c>
      <c r="I1936" s="11" t="s">
        <v>49</v>
      </c>
      <c r="J1936" s="11" t="s">
        <v>40</v>
      </c>
      <c r="K1936" s="11" t="s">
        <v>29</v>
      </c>
      <c r="L1936" s="11" t="s">
        <v>109</v>
      </c>
      <c r="M1936" s="11" t="s">
        <v>59</v>
      </c>
      <c r="N1936" s="11" t="s">
        <v>2807</v>
      </c>
      <c r="O1936" s="11">
        <v>0.38</v>
      </c>
      <c r="P1936" s="6">
        <f>Table1[[#This Row],[Profit]]/Table1[[#This Row],[Sales]]</f>
        <v>-8.0399412797145823E-4</v>
      </c>
      <c r="Q1936" s="11" t="s">
        <v>33</v>
      </c>
      <c r="R1936" s="11" t="s">
        <v>136</v>
      </c>
      <c r="S1936" s="11" t="s">
        <v>387</v>
      </c>
      <c r="T1936" s="11" t="s">
        <v>3009</v>
      </c>
      <c r="U1936" s="11">
        <v>30240</v>
      </c>
      <c r="V1936" s="12">
        <v>42114</v>
      </c>
      <c r="W1936" s="13" t="str">
        <f>TEXT(Table1[[#This Row],[Order Date]],"mmmm")</f>
        <v>April</v>
      </c>
      <c r="X1936" s="7" t="str">
        <f>TEXT(Table1[[#This Row],[Order Date]],"yyyy")</f>
        <v>2015</v>
      </c>
      <c r="Y1936" s="12">
        <v>42116</v>
      </c>
      <c r="Z1936" s="11">
        <v>-4.4800000000000004</v>
      </c>
      <c r="AA1936" s="11">
        <v>18</v>
      </c>
      <c r="AB1936" s="11">
        <v>5572.18</v>
      </c>
      <c r="AC1936" s="11">
        <v>88838</v>
      </c>
      <c r="AD1936" s="6" t="str">
        <f>IF(COUNTIF(Returns!$A$2:$A$1635,Orders!AC1936)&gt;0,"Returned","Not Returned")</f>
        <v>Not Returned</v>
      </c>
    </row>
    <row r="1937" spans="1:30" ht="12.75" customHeight="1" thickTop="1" thickBot="1" x14ac:dyDescent="0.25">
      <c r="A1937" s="8">
        <v>23182</v>
      </c>
      <c r="B1937" s="1" t="s">
        <v>47</v>
      </c>
      <c r="C1937" s="1">
        <v>0.09</v>
      </c>
      <c r="D1937" s="1">
        <v>276.2</v>
      </c>
      <c r="E1937" s="1">
        <v>24.49</v>
      </c>
      <c r="F1937" s="1">
        <v>3380</v>
      </c>
      <c r="G1937" s="6" t="str">
        <f>IF(COUNTIF(Table1[Customer ID],Table1[[#This Row],[Customer ID]])&gt;1,"Repeat Customer","One-Time Customer")</f>
        <v>Repeat Customer</v>
      </c>
      <c r="H1937" s="1" t="s">
        <v>3008</v>
      </c>
      <c r="I1937" s="1" t="s">
        <v>49</v>
      </c>
      <c r="J1937" s="1" t="s">
        <v>40</v>
      </c>
      <c r="K1937" s="1" t="s">
        <v>41</v>
      </c>
      <c r="L1937" s="1" t="s">
        <v>42</v>
      </c>
      <c r="M1937" s="1" t="s">
        <v>236</v>
      </c>
      <c r="N1937" s="1" t="s">
        <v>438</v>
      </c>
      <c r="O1937" s="1"/>
      <c r="P1937" s="6">
        <f>Table1[[#This Row],[Profit]]/Table1[[#This Row],[Sales]]</f>
        <v>1.0856266701117148</v>
      </c>
      <c r="Q1937" s="1" t="s">
        <v>33</v>
      </c>
      <c r="R1937" s="1" t="s">
        <v>136</v>
      </c>
      <c r="S1937" s="1" t="s">
        <v>387</v>
      </c>
      <c r="T1937" s="1" t="s">
        <v>3009</v>
      </c>
      <c r="U1937" s="1">
        <v>30240</v>
      </c>
      <c r="V1937" s="9">
        <v>42114</v>
      </c>
      <c r="W1937" s="13" t="str">
        <f>TEXT(Table1[[#This Row],[Order Date]],"mmmm")</f>
        <v>April</v>
      </c>
      <c r="X1937" s="7" t="str">
        <f>TEXT(Table1[[#This Row],[Order Date]],"yyyy")</f>
        <v>2015</v>
      </c>
      <c r="Y1937" s="9">
        <v>42115</v>
      </c>
      <c r="Z1937" s="1">
        <v>3193.2840000000001</v>
      </c>
      <c r="AA1937" s="1">
        <v>11</v>
      </c>
      <c r="AB1937" s="1">
        <v>2941.42</v>
      </c>
      <c r="AC1937" s="1">
        <v>88838</v>
      </c>
      <c r="AD1937" s="6" t="str">
        <f>IF(COUNTIF(Returns!$A$2:$A$1635,Orders!AC1937)&gt;0,"Returned","Not Returned")</f>
        <v>Not Returned</v>
      </c>
    </row>
    <row r="1938" spans="1:30" ht="12.75" customHeight="1" thickTop="1" thickBot="1" x14ac:dyDescent="0.25">
      <c r="A1938" s="10">
        <v>23183</v>
      </c>
      <c r="B1938" s="11" t="s">
        <v>47</v>
      </c>
      <c r="C1938" s="11">
        <v>0.03</v>
      </c>
      <c r="D1938" s="11">
        <v>63.94</v>
      </c>
      <c r="E1938" s="11">
        <v>14.48</v>
      </c>
      <c r="F1938" s="11">
        <v>3380</v>
      </c>
      <c r="G1938" s="6" t="str">
        <f>IF(COUNTIF(Table1[Customer ID],Table1[[#This Row],[Customer ID]])&gt;1,"Repeat Customer","One-Time Customer")</f>
        <v>Repeat Customer</v>
      </c>
      <c r="H1938" s="11" t="s">
        <v>3008</v>
      </c>
      <c r="I1938" s="11" t="s">
        <v>49</v>
      </c>
      <c r="J1938" s="11" t="s">
        <v>40</v>
      </c>
      <c r="K1938" s="11" t="s">
        <v>41</v>
      </c>
      <c r="L1938" s="11" t="s">
        <v>50</v>
      </c>
      <c r="M1938" s="11" t="s">
        <v>59</v>
      </c>
      <c r="N1938" s="11" t="s">
        <v>519</v>
      </c>
      <c r="O1938" s="11">
        <v>0.46</v>
      </c>
      <c r="P1938" s="6">
        <f>Table1[[#This Row],[Profit]]/Table1[[#This Row],[Sales]]</f>
        <v>8.3626880526738875E-2</v>
      </c>
      <c r="Q1938" s="11" t="s">
        <v>33</v>
      </c>
      <c r="R1938" s="11" t="s">
        <v>136</v>
      </c>
      <c r="S1938" s="11" t="s">
        <v>387</v>
      </c>
      <c r="T1938" s="11" t="s">
        <v>3009</v>
      </c>
      <c r="U1938" s="11">
        <v>30240</v>
      </c>
      <c r="V1938" s="12">
        <v>42114</v>
      </c>
      <c r="W1938" s="13" t="str">
        <f>TEXT(Table1[[#This Row],[Order Date]],"mmmm")</f>
        <v>April</v>
      </c>
      <c r="X1938" s="7" t="str">
        <f>TEXT(Table1[[#This Row],[Order Date]],"yyyy")</f>
        <v>2015</v>
      </c>
      <c r="Y1938" s="12">
        <v>42115</v>
      </c>
      <c r="Z1938" s="11">
        <v>43.691699999999997</v>
      </c>
      <c r="AA1938" s="11">
        <v>8</v>
      </c>
      <c r="AB1938" s="11">
        <v>522.46</v>
      </c>
      <c r="AC1938" s="11">
        <v>88838</v>
      </c>
      <c r="AD1938" s="6" t="str">
        <f>IF(COUNTIF(Returns!$A$2:$A$1635,Orders!AC1938)&gt;0,"Returned","Not Returned")</f>
        <v>Not Returned</v>
      </c>
    </row>
    <row r="1939" spans="1:30" ht="12.75" customHeight="1" thickTop="1" thickBot="1" x14ac:dyDescent="0.25">
      <c r="A1939" s="8">
        <v>24161</v>
      </c>
      <c r="B1939" s="1" t="s">
        <v>37</v>
      </c>
      <c r="C1939" s="1">
        <v>0.05</v>
      </c>
      <c r="D1939" s="1">
        <v>11.97</v>
      </c>
      <c r="E1939" s="1">
        <v>5.81</v>
      </c>
      <c r="F1939" s="1">
        <v>3381</v>
      </c>
      <c r="G1939" s="6" t="str">
        <f>IF(COUNTIF(Table1[Customer ID],Table1[[#This Row],[Customer ID]])&gt;1,"Repeat Customer","One-Time Customer")</f>
        <v>Repeat Customer</v>
      </c>
      <c r="H1939" s="1" t="s">
        <v>3010</v>
      </c>
      <c r="I1939" s="1" t="s">
        <v>49</v>
      </c>
      <c r="J1939" s="1" t="s">
        <v>28</v>
      </c>
      <c r="K1939" s="1" t="s">
        <v>29</v>
      </c>
      <c r="L1939" s="1" t="s">
        <v>30</v>
      </c>
      <c r="M1939" s="1" t="s">
        <v>51</v>
      </c>
      <c r="N1939" s="1" t="s">
        <v>3011</v>
      </c>
      <c r="O1939" s="1">
        <v>0.6</v>
      </c>
      <c r="P1939" s="6">
        <f>Table1[[#This Row],[Profit]]/Table1[[#This Row],[Sales]]</f>
        <v>13.79135914658238</v>
      </c>
      <c r="Q1939" s="1" t="s">
        <v>33</v>
      </c>
      <c r="R1939" s="1" t="s">
        <v>136</v>
      </c>
      <c r="S1939" s="1" t="s">
        <v>387</v>
      </c>
      <c r="T1939" s="1" t="s">
        <v>3012</v>
      </c>
      <c r="U1939" s="1">
        <v>31204</v>
      </c>
      <c r="V1939" s="9">
        <v>42086</v>
      </c>
      <c r="W1939" s="13" t="str">
        <f>TEXT(Table1[[#This Row],[Order Date]],"mmmm")</f>
        <v>March</v>
      </c>
      <c r="X1939" s="7" t="str">
        <f>TEXT(Table1[[#This Row],[Order Date]],"yyyy")</f>
        <v>2015</v>
      </c>
      <c r="Y1939" s="9">
        <v>42088</v>
      </c>
      <c r="Z1939" s="1">
        <v>349.05930000000001</v>
      </c>
      <c r="AA1939" s="1">
        <v>2</v>
      </c>
      <c r="AB1939" s="1">
        <v>25.31</v>
      </c>
      <c r="AC1939" s="1">
        <v>88836</v>
      </c>
      <c r="AD1939" s="6" t="str">
        <f>IF(COUNTIF(Returns!$A$2:$A$1635,Orders!AC1939)&gt;0,"Returned","Not Returned")</f>
        <v>Not Returned</v>
      </c>
    </row>
    <row r="1940" spans="1:30" ht="12.75" customHeight="1" thickTop="1" thickBot="1" x14ac:dyDescent="0.25">
      <c r="A1940" s="10">
        <v>25841</v>
      </c>
      <c r="B1940" s="11" t="s">
        <v>56</v>
      </c>
      <c r="C1940" s="11">
        <v>0.02</v>
      </c>
      <c r="D1940" s="11">
        <v>28.53</v>
      </c>
      <c r="E1940" s="11">
        <v>1.49</v>
      </c>
      <c r="F1940" s="11">
        <v>3381</v>
      </c>
      <c r="G1940" s="6" t="str">
        <f>IF(COUNTIF(Table1[Customer ID],Table1[[#This Row],[Customer ID]])&gt;1,"Repeat Customer","One-Time Customer")</f>
        <v>Repeat Customer</v>
      </c>
      <c r="H1940" s="11" t="s">
        <v>3010</v>
      </c>
      <c r="I1940" s="11" t="s">
        <v>49</v>
      </c>
      <c r="J1940" s="11" t="s">
        <v>40</v>
      </c>
      <c r="K1940" s="11" t="s">
        <v>29</v>
      </c>
      <c r="L1940" s="11" t="s">
        <v>109</v>
      </c>
      <c r="M1940" s="11" t="s">
        <v>59</v>
      </c>
      <c r="N1940" s="11" t="s">
        <v>332</v>
      </c>
      <c r="O1940" s="11">
        <v>0.38</v>
      </c>
      <c r="P1940" s="6">
        <f>Table1[[#This Row],[Profit]]/Table1[[#This Row],[Sales]]</f>
        <v>3.8805446788615504E-3</v>
      </c>
      <c r="Q1940" s="11" t="s">
        <v>33</v>
      </c>
      <c r="R1940" s="11" t="s">
        <v>136</v>
      </c>
      <c r="S1940" s="11" t="s">
        <v>387</v>
      </c>
      <c r="T1940" s="11" t="s">
        <v>3012</v>
      </c>
      <c r="U1940" s="11">
        <v>31204</v>
      </c>
      <c r="V1940" s="12">
        <v>42123</v>
      </c>
      <c r="W1940" s="13" t="str">
        <f>TEXT(Table1[[#This Row],[Order Date]],"mmmm")</f>
        <v>April</v>
      </c>
      <c r="X1940" s="7" t="str">
        <f>TEXT(Table1[[#This Row],[Order Date]],"yyyy")</f>
        <v>2015</v>
      </c>
      <c r="Y1940" s="12">
        <v>42123</v>
      </c>
      <c r="Z1940" s="11">
        <v>1.9919999999999998</v>
      </c>
      <c r="AA1940" s="11">
        <v>18</v>
      </c>
      <c r="AB1940" s="11">
        <v>513.33000000000004</v>
      </c>
      <c r="AC1940" s="11">
        <v>88840</v>
      </c>
      <c r="AD1940" s="6" t="str">
        <f>IF(COUNTIF(Returns!$A$2:$A$1635,Orders!AC1940)&gt;0,"Returned","Not Returned")</f>
        <v>Not Returned</v>
      </c>
    </row>
    <row r="1941" spans="1:30" ht="12.75" customHeight="1" thickTop="1" thickBot="1" x14ac:dyDescent="0.25">
      <c r="A1941" s="8">
        <v>22341</v>
      </c>
      <c r="B1941" s="1" t="s">
        <v>106</v>
      </c>
      <c r="C1941" s="1">
        <v>0.04</v>
      </c>
      <c r="D1941" s="1">
        <v>2.98</v>
      </c>
      <c r="E1941" s="1">
        <v>2.0299999999999998</v>
      </c>
      <c r="F1941" s="1">
        <v>3385</v>
      </c>
      <c r="G1941" s="6" t="str">
        <f>IF(COUNTIF(Table1[Customer ID],Table1[[#This Row],[Customer ID]])&gt;1,"Repeat Customer","One-Time Customer")</f>
        <v>Repeat Customer</v>
      </c>
      <c r="H1941" s="1" t="s">
        <v>3013</v>
      </c>
      <c r="I1941" s="1" t="s">
        <v>27</v>
      </c>
      <c r="J1941" s="1" t="s">
        <v>28</v>
      </c>
      <c r="K1941" s="1" t="s">
        <v>29</v>
      </c>
      <c r="L1941" s="1" t="s">
        <v>30</v>
      </c>
      <c r="M1941" s="1" t="s">
        <v>31</v>
      </c>
      <c r="N1941" s="1" t="s">
        <v>3014</v>
      </c>
      <c r="O1941" s="1">
        <v>0.56999999999999995</v>
      </c>
      <c r="P1941" s="6">
        <f>Table1[[#This Row],[Profit]]/Table1[[#This Row],[Sales]]</f>
        <v>-1.4019108280254777</v>
      </c>
      <c r="Q1941" s="1" t="s">
        <v>33</v>
      </c>
      <c r="R1941" s="1" t="s">
        <v>53</v>
      </c>
      <c r="S1941" s="1" t="s">
        <v>154</v>
      </c>
      <c r="T1941" s="1" t="s">
        <v>3015</v>
      </c>
      <c r="U1941" s="1">
        <v>44512</v>
      </c>
      <c r="V1941" s="9">
        <v>42020</v>
      </c>
      <c r="W1941" s="13" t="str">
        <f>TEXT(Table1[[#This Row],[Order Date]],"mmmm")</f>
        <v>January</v>
      </c>
      <c r="X1941" s="7" t="str">
        <f>TEXT(Table1[[#This Row],[Order Date]],"yyyy")</f>
        <v>2015</v>
      </c>
      <c r="Y1941" s="9">
        <v>42020</v>
      </c>
      <c r="Z1941" s="1">
        <v>-22.009999999999998</v>
      </c>
      <c r="AA1941" s="1">
        <v>5</v>
      </c>
      <c r="AB1941" s="1">
        <v>15.7</v>
      </c>
      <c r="AC1941" s="1">
        <v>88745</v>
      </c>
      <c r="AD1941" s="6" t="str">
        <f>IF(COUNTIF(Returns!$A$2:$A$1635,Orders!AC1941)&gt;0,"Returned","Not Returned")</f>
        <v>Not Returned</v>
      </c>
    </row>
    <row r="1942" spans="1:30" ht="12.75" customHeight="1" thickTop="1" thickBot="1" x14ac:dyDescent="0.25">
      <c r="A1942" s="10">
        <v>22342</v>
      </c>
      <c r="B1942" s="11" t="s">
        <v>106</v>
      </c>
      <c r="C1942" s="11">
        <v>0.01</v>
      </c>
      <c r="D1942" s="11">
        <v>125.99</v>
      </c>
      <c r="E1942" s="11">
        <v>8.99</v>
      </c>
      <c r="F1942" s="11">
        <v>3385</v>
      </c>
      <c r="G1942" s="6" t="str">
        <f>IF(COUNTIF(Table1[Customer ID],Table1[[#This Row],[Customer ID]])&gt;1,"Repeat Customer","One-Time Customer")</f>
        <v>Repeat Customer</v>
      </c>
      <c r="H1942" s="11" t="s">
        <v>3013</v>
      </c>
      <c r="I1942" s="11" t="s">
        <v>49</v>
      </c>
      <c r="J1942" s="11" t="s">
        <v>28</v>
      </c>
      <c r="K1942" s="11" t="s">
        <v>77</v>
      </c>
      <c r="L1942" s="11" t="s">
        <v>78</v>
      </c>
      <c r="M1942" s="11" t="s">
        <v>59</v>
      </c>
      <c r="N1942" s="11" t="s">
        <v>465</v>
      </c>
      <c r="O1942" s="11">
        <v>0.59</v>
      </c>
      <c r="P1942" s="6">
        <f>Table1[[#This Row],[Profit]]/Table1[[#This Row],[Sales]]</f>
        <v>0.62654862264012345</v>
      </c>
      <c r="Q1942" s="11" t="s">
        <v>33</v>
      </c>
      <c r="R1942" s="11" t="s">
        <v>53</v>
      </c>
      <c r="S1942" s="11" t="s">
        <v>154</v>
      </c>
      <c r="T1942" s="11" t="s">
        <v>3015</v>
      </c>
      <c r="U1942" s="11">
        <v>44512</v>
      </c>
      <c r="V1942" s="12">
        <v>42020</v>
      </c>
      <c r="W1942" s="13" t="str">
        <f>TEXT(Table1[[#This Row],[Order Date]],"mmmm")</f>
        <v>January</v>
      </c>
      <c r="X1942" s="7" t="str">
        <f>TEXT(Table1[[#This Row],[Order Date]],"yyyy")</f>
        <v>2015</v>
      </c>
      <c r="Y1942" s="12">
        <v>42025</v>
      </c>
      <c r="Z1942" s="11">
        <v>426.46032000000002</v>
      </c>
      <c r="AA1942" s="11">
        <v>6</v>
      </c>
      <c r="AB1942" s="11">
        <v>680.65</v>
      </c>
      <c r="AC1942" s="11">
        <v>88745</v>
      </c>
      <c r="AD1942" s="6" t="str">
        <f>IF(COUNTIF(Returns!$A$2:$A$1635,Orders!AC1942)&gt;0,"Returned","Not Returned")</f>
        <v>Not Returned</v>
      </c>
    </row>
    <row r="1943" spans="1:30" ht="12.75" customHeight="1" thickTop="1" thickBot="1" x14ac:dyDescent="0.25">
      <c r="A1943" s="8">
        <v>23190</v>
      </c>
      <c r="B1943" s="1" t="s">
        <v>47</v>
      </c>
      <c r="C1943" s="1">
        <v>0</v>
      </c>
      <c r="D1943" s="1">
        <v>2.61</v>
      </c>
      <c r="E1943" s="1">
        <v>0.5</v>
      </c>
      <c r="F1943" s="1">
        <v>3386</v>
      </c>
      <c r="G1943" s="6" t="str">
        <f>IF(COUNTIF(Table1[Customer ID],Table1[[#This Row],[Customer ID]])&gt;1,"Repeat Customer","One-Time Customer")</f>
        <v>Repeat Customer</v>
      </c>
      <c r="H1943" s="1" t="s">
        <v>3016</v>
      </c>
      <c r="I1943" s="1" t="s">
        <v>49</v>
      </c>
      <c r="J1943" s="1" t="s">
        <v>28</v>
      </c>
      <c r="K1943" s="1" t="s">
        <v>29</v>
      </c>
      <c r="L1943" s="1" t="s">
        <v>134</v>
      </c>
      <c r="M1943" s="1" t="s">
        <v>59</v>
      </c>
      <c r="N1943" s="1" t="s">
        <v>1138</v>
      </c>
      <c r="O1943" s="1">
        <v>0.39</v>
      </c>
      <c r="P1943" s="6">
        <f>Table1[[#This Row],[Profit]]/Table1[[#This Row],[Sales]]</f>
        <v>0.69</v>
      </c>
      <c r="Q1943" s="1" t="s">
        <v>33</v>
      </c>
      <c r="R1943" s="1" t="s">
        <v>53</v>
      </c>
      <c r="S1943" s="1" t="s">
        <v>154</v>
      </c>
      <c r="T1943" s="1" t="s">
        <v>614</v>
      </c>
      <c r="U1943" s="1">
        <v>43402</v>
      </c>
      <c r="V1943" s="9">
        <v>42127</v>
      </c>
      <c r="W1943" s="13" t="str">
        <f>TEXT(Table1[[#This Row],[Order Date]],"mmmm")</f>
        <v>May</v>
      </c>
      <c r="X1943" s="7" t="str">
        <f>TEXT(Table1[[#This Row],[Order Date]],"yyyy")</f>
        <v>2015</v>
      </c>
      <c r="Y1943" s="9">
        <v>42129</v>
      </c>
      <c r="Z1943" s="1">
        <v>19.554599999999997</v>
      </c>
      <c r="AA1943" s="1">
        <v>10</v>
      </c>
      <c r="AB1943" s="1">
        <v>28.34</v>
      </c>
      <c r="AC1943" s="1">
        <v>88746</v>
      </c>
      <c r="AD1943" s="6" t="str">
        <f>IF(COUNTIF(Returns!$A$2:$A$1635,Orders!AC1943)&gt;0,"Returned","Not Returned")</f>
        <v>Not Returned</v>
      </c>
    </row>
    <row r="1944" spans="1:30" ht="12.75" customHeight="1" thickTop="1" thickBot="1" x14ac:dyDescent="0.25">
      <c r="A1944" s="10">
        <v>23191</v>
      </c>
      <c r="B1944" s="11" t="s">
        <v>47</v>
      </c>
      <c r="C1944" s="11">
        <v>0.04</v>
      </c>
      <c r="D1944" s="11">
        <v>25.38</v>
      </c>
      <c r="E1944" s="11">
        <v>8.99</v>
      </c>
      <c r="F1944" s="11">
        <v>3386</v>
      </c>
      <c r="G1944" s="6" t="str">
        <f>IF(COUNTIF(Table1[Customer ID],Table1[[#This Row],[Customer ID]])&gt;1,"Repeat Customer","One-Time Customer")</f>
        <v>Repeat Customer</v>
      </c>
      <c r="H1944" s="11" t="s">
        <v>3016</v>
      </c>
      <c r="I1944" s="11" t="s">
        <v>27</v>
      </c>
      <c r="J1944" s="11" t="s">
        <v>28</v>
      </c>
      <c r="K1944" s="11" t="s">
        <v>41</v>
      </c>
      <c r="L1944" s="11" t="s">
        <v>50</v>
      </c>
      <c r="M1944" s="11" t="s">
        <v>51</v>
      </c>
      <c r="N1944" s="11" t="s">
        <v>762</v>
      </c>
      <c r="O1944" s="11">
        <v>0.5</v>
      </c>
      <c r="P1944" s="6">
        <f>Table1[[#This Row],[Profit]]/Table1[[#This Row],[Sales]]</f>
        <v>0.17703703703703708</v>
      </c>
      <c r="Q1944" s="11" t="s">
        <v>33</v>
      </c>
      <c r="R1944" s="11" t="s">
        <v>53</v>
      </c>
      <c r="S1944" s="11" t="s">
        <v>154</v>
      </c>
      <c r="T1944" s="11" t="s">
        <v>614</v>
      </c>
      <c r="U1944" s="11">
        <v>43402</v>
      </c>
      <c r="V1944" s="12">
        <v>42127</v>
      </c>
      <c r="W1944" s="13" t="str">
        <f>TEXT(Table1[[#This Row],[Order Date]],"mmmm")</f>
        <v>May</v>
      </c>
      <c r="X1944" s="7" t="str">
        <f>TEXT(Table1[[#This Row],[Order Date]],"yyyy")</f>
        <v>2015</v>
      </c>
      <c r="Y1944" s="12">
        <v>42130</v>
      </c>
      <c r="Z1944" s="11">
        <v>152.48200000000003</v>
      </c>
      <c r="AA1944" s="11">
        <v>35</v>
      </c>
      <c r="AB1944" s="11">
        <v>861.3</v>
      </c>
      <c r="AC1944" s="11">
        <v>88746</v>
      </c>
      <c r="AD1944" s="6" t="str">
        <f>IF(COUNTIF(Returns!$A$2:$A$1635,Orders!AC1944)&gt;0,"Returned","Not Returned")</f>
        <v>Not Returned</v>
      </c>
    </row>
    <row r="1945" spans="1:30" ht="12.75" customHeight="1" thickTop="1" thickBot="1" x14ac:dyDescent="0.25">
      <c r="A1945" s="8">
        <v>19464</v>
      </c>
      <c r="B1945" s="1" t="s">
        <v>37</v>
      </c>
      <c r="C1945" s="1">
        <v>0.03</v>
      </c>
      <c r="D1945" s="1">
        <v>95.99</v>
      </c>
      <c r="E1945" s="1">
        <v>35</v>
      </c>
      <c r="F1945" s="1">
        <v>3388</v>
      </c>
      <c r="G1945" s="6" t="str">
        <f>IF(COUNTIF(Table1[Customer ID],Table1[[#This Row],[Customer ID]])&gt;1,"Repeat Customer","One-Time Customer")</f>
        <v>One-Time Customer</v>
      </c>
      <c r="H1945" s="1" t="s">
        <v>3017</v>
      </c>
      <c r="I1945" s="1" t="s">
        <v>49</v>
      </c>
      <c r="J1945" s="1" t="s">
        <v>28</v>
      </c>
      <c r="K1945" s="1" t="s">
        <v>29</v>
      </c>
      <c r="L1945" s="1" t="s">
        <v>141</v>
      </c>
      <c r="M1945" s="1" t="s">
        <v>236</v>
      </c>
      <c r="N1945" s="1" t="s">
        <v>2111</v>
      </c>
      <c r="O1945" s="1"/>
      <c r="P1945" s="6">
        <f>Table1[[#This Row],[Profit]]/Table1[[#This Row],[Sales]]</f>
        <v>7.4903871948493309E-2</v>
      </c>
      <c r="Q1945" s="1" t="s">
        <v>33</v>
      </c>
      <c r="R1945" s="1" t="s">
        <v>34</v>
      </c>
      <c r="S1945" s="1" t="s">
        <v>45</v>
      </c>
      <c r="T1945" s="1" t="s">
        <v>393</v>
      </c>
      <c r="U1945" s="1">
        <v>94533</v>
      </c>
      <c r="V1945" s="9">
        <v>42135</v>
      </c>
      <c r="W1945" s="13" t="str">
        <f>TEXT(Table1[[#This Row],[Order Date]],"mmmm")</f>
        <v>May</v>
      </c>
      <c r="X1945" s="7" t="str">
        <f>TEXT(Table1[[#This Row],[Order Date]],"yyyy")</f>
        <v>2015</v>
      </c>
      <c r="Y1945" s="9">
        <v>42136</v>
      </c>
      <c r="Z1945" s="1">
        <v>67.012000000000057</v>
      </c>
      <c r="AA1945" s="1">
        <v>9</v>
      </c>
      <c r="AB1945" s="1">
        <v>894.64</v>
      </c>
      <c r="AC1945" s="1">
        <v>90154</v>
      </c>
      <c r="AD1945" s="6" t="str">
        <f>IF(COUNTIF(Returns!$A$2:$A$1635,Orders!AC1945)&gt;0,"Returned","Not Returned")</f>
        <v>Not Returned</v>
      </c>
    </row>
    <row r="1946" spans="1:30" ht="12.75" customHeight="1" thickTop="1" thickBot="1" x14ac:dyDescent="0.25">
      <c r="A1946" s="10">
        <v>18640</v>
      </c>
      <c r="B1946" s="11" t="s">
        <v>56</v>
      </c>
      <c r="C1946" s="11">
        <v>0.08</v>
      </c>
      <c r="D1946" s="11">
        <v>125.99</v>
      </c>
      <c r="E1946" s="11">
        <v>7.69</v>
      </c>
      <c r="F1946" s="11">
        <v>3393</v>
      </c>
      <c r="G1946" s="6" t="str">
        <f>IF(COUNTIF(Table1[Customer ID],Table1[[#This Row],[Customer ID]])&gt;1,"Repeat Customer","One-Time Customer")</f>
        <v>Repeat Customer</v>
      </c>
      <c r="H1946" s="11" t="s">
        <v>3018</v>
      </c>
      <c r="I1946" s="11" t="s">
        <v>49</v>
      </c>
      <c r="J1946" s="11" t="s">
        <v>114</v>
      </c>
      <c r="K1946" s="11" t="s">
        <v>77</v>
      </c>
      <c r="L1946" s="11" t="s">
        <v>78</v>
      </c>
      <c r="M1946" s="11" t="s">
        <v>59</v>
      </c>
      <c r="N1946" s="11" t="s">
        <v>105</v>
      </c>
      <c r="O1946" s="11">
        <v>0.59</v>
      </c>
      <c r="P1946" s="6">
        <f>Table1[[#This Row],[Profit]]/Table1[[#This Row],[Sales]]</f>
        <v>0.527373444450701</v>
      </c>
      <c r="Q1946" s="11" t="s">
        <v>33</v>
      </c>
      <c r="R1946" s="11" t="s">
        <v>34</v>
      </c>
      <c r="S1946" s="11" t="s">
        <v>35</v>
      </c>
      <c r="T1946" s="11" t="s">
        <v>3019</v>
      </c>
      <c r="U1946" s="11">
        <v>99163</v>
      </c>
      <c r="V1946" s="12">
        <v>42123</v>
      </c>
      <c r="W1946" s="13" t="str">
        <f>TEXT(Table1[[#This Row],[Order Date]],"mmmm")</f>
        <v>April</v>
      </c>
      <c r="X1946" s="7" t="str">
        <f>TEXT(Table1[[#This Row],[Order Date]],"yyyy")</f>
        <v>2015</v>
      </c>
      <c r="Y1946" s="12">
        <v>42124</v>
      </c>
      <c r="Z1946" s="11">
        <v>374.625</v>
      </c>
      <c r="AA1946" s="11">
        <v>7</v>
      </c>
      <c r="AB1946" s="11">
        <v>710.36</v>
      </c>
      <c r="AC1946" s="11">
        <v>87908</v>
      </c>
      <c r="AD1946" s="6" t="str">
        <f>IF(COUNTIF(Returns!$A$2:$A$1635,Orders!AC1946)&gt;0,"Returned","Not Returned")</f>
        <v>Not Returned</v>
      </c>
    </row>
    <row r="1947" spans="1:30" ht="12.75" customHeight="1" thickTop="1" thickBot="1" x14ac:dyDescent="0.25">
      <c r="A1947" s="8">
        <v>19635</v>
      </c>
      <c r="B1947" s="1" t="s">
        <v>47</v>
      </c>
      <c r="C1947" s="1">
        <v>0.08</v>
      </c>
      <c r="D1947" s="1">
        <v>4.4800000000000004</v>
      </c>
      <c r="E1947" s="1">
        <v>2.5</v>
      </c>
      <c r="F1947" s="1">
        <v>3393</v>
      </c>
      <c r="G1947" s="6" t="str">
        <f>IF(COUNTIF(Table1[Customer ID],Table1[[#This Row],[Customer ID]])&gt;1,"Repeat Customer","One-Time Customer")</f>
        <v>Repeat Customer</v>
      </c>
      <c r="H1947" s="1" t="s">
        <v>3018</v>
      </c>
      <c r="I1947" s="1" t="s">
        <v>49</v>
      </c>
      <c r="J1947" s="1" t="s">
        <v>114</v>
      </c>
      <c r="K1947" s="1" t="s">
        <v>29</v>
      </c>
      <c r="L1947" s="1" t="s">
        <v>69</v>
      </c>
      <c r="M1947" s="1" t="s">
        <v>59</v>
      </c>
      <c r="N1947" s="1" t="s">
        <v>1130</v>
      </c>
      <c r="O1947" s="1">
        <v>0.37</v>
      </c>
      <c r="P1947" s="6">
        <f>Table1[[#This Row],[Profit]]/Table1[[#This Row],[Sales]]</f>
        <v>-4.0458852867830422E-2</v>
      </c>
      <c r="Q1947" s="1" t="s">
        <v>33</v>
      </c>
      <c r="R1947" s="1" t="s">
        <v>34</v>
      </c>
      <c r="S1947" s="1" t="s">
        <v>35</v>
      </c>
      <c r="T1947" s="1" t="s">
        <v>3019</v>
      </c>
      <c r="U1947" s="1">
        <v>99163</v>
      </c>
      <c r="V1947" s="9">
        <v>42049</v>
      </c>
      <c r="W1947" s="13" t="str">
        <f>TEXT(Table1[[#This Row],[Order Date]],"mmmm")</f>
        <v>February</v>
      </c>
      <c r="X1947" s="7" t="str">
        <f>TEXT(Table1[[#This Row],[Order Date]],"yyyy")</f>
        <v>2015</v>
      </c>
      <c r="Y1947" s="9">
        <v>42050</v>
      </c>
      <c r="Z1947" s="1">
        <v>-3.2448000000000001</v>
      </c>
      <c r="AA1947" s="1">
        <v>19</v>
      </c>
      <c r="AB1947" s="1">
        <v>80.2</v>
      </c>
      <c r="AC1947" s="1">
        <v>87909</v>
      </c>
      <c r="AD1947" s="6" t="str">
        <f>IF(COUNTIF(Returns!$A$2:$A$1635,Orders!AC1947)&gt;0,"Returned","Not Returned")</f>
        <v>Not Returned</v>
      </c>
    </row>
    <row r="1948" spans="1:30" ht="12.75" customHeight="1" thickTop="1" thickBot="1" x14ac:dyDescent="0.25">
      <c r="A1948" s="10">
        <v>20624</v>
      </c>
      <c r="B1948" s="11" t="s">
        <v>106</v>
      </c>
      <c r="C1948" s="11">
        <v>0</v>
      </c>
      <c r="D1948" s="11">
        <v>1270.99</v>
      </c>
      <c r="E1948" s="11">
        <v>19.989999999999998</v>
      </c>
      <c r="F1948" s="11">
        <v>3397</v>
      </c>
      <c r="G1948" s="6" t="str">
        <f>IF(COUNTIF(Table1[Customer ID],Table1[[#This Row],[Customer ID]])&gt;1,"Repeat Customer","One-Time Customer")</f>
        <v>Repeat Customer</v>
      </c>
      <c r="H1948" s="11" t="s">
        <v>3020</v>
      </c>
      <c r="I1948" s="11" t="s">
        <v>49</v>
      </c>
      <c r="J1948" s="11" t="s">
        <v>58</v>
      </c>
      <c r="K1948" s="11" t="s">
        <v>29</v>
      </c>
      <c r="L1948" s="11" t="s">
        <v>109</v>
      </c>
      <c r="M1948" s="11" t="s">
        <v>59</v>
      </c>
      <c r="N1948" s="11" t="s">
        <v>631</v>
      </c>
      <c r="O1948" s="11">
        <v>0.35</v>
      </c>
      <c r="P1948" s="6">
        <f>Table1[[#This Row],[Profit]]/Table1[[#This Row],[Sales]]</f>
        <v>0.69</v>
      </c>
      <c r="Q1948" s="11" t="s">
        <v>33</v>
      </c>
      <c r="R1948" s="11" t="s">
        <v>61</v>
      </c>
      <c r="S1948" s="11" t="s">
        <v>178</v>
      </c>
      <c r="T1948" s="11" t="s">
        <v>1359</v>
      </c>
      <c r="U1948" s="11">
        <v>61832</v>
      </c>
      <c r="V1948" s="12">
        <v>42162</v>
      </c>
      <c r="W1948" s="13" t="str">
        <f>TEXT(Table1[[#This Row],[Order Date]],"mmmm")</f>
        <v>June</v>
      </c>
      <c r="X1948" s="7" t="str">
        <f>TEXT(Table1[[#This Row],[Order Date]],"yyyy")</f>
        <v>2015</v>
      </c>
      <c r="Y1948" s="12">
        <v>42164</v>
      </c>
      <c r="Z1948" s="11">
        <v>6384.4388999999992</v>
      </c>
      <c r="AA1948" s="11">
        <v>7</v>
      </c>
      <c r="AB1948" s="11">
        <v>9252.81</v>
      </c>
      <c r="AC1948" s="11">
        <v>87535</v>
      </c>
      <c r="AD1948" s="6" t="str">
        <f>IF(COUNTIF(Returns!$A$2:$A$1635,Orders!AC1948)&gt;0,"Returned","Not Returned")</f>
        <v>Not Returned</v>
      </c>
    </row>
    <row r="1949" spans="1:30" ht="12.75" customHeight="1" thickTop="1" thickBot="1" x14ac:dyDescent="0.25">
      <c r="A1949" s="8">
        <v>19842</v>
      </c>
      <c r="B1949" s="1" t="s">
        <v>25</v>
      </c>
      <c r="C1949" s="1">
        <v>0.01</v>
      </c>
      <c r="D1949" s="1">
        <v>10.9</v>
      </c>
      <c r="E1949" s="1">
        <v>7.46</v>
      </c>
      <c r="F1949" s="1">
        <v>3397</v>
      </c>
      <c r="G1949" s="6" t="str">
        <f>IF(COUNTIF(Table1[Customer ID],Table1[[#This Row],[Customer ID]])&gt;1,"Repeat Customer","One-Time Customer")</f>
        <v>Repeat Customer</v>
      </c>
      <c r="H1949" s="1" t="s">
        <v>3020</v>
      </c>
      <c r="I1949" s="1" t="s">
        <v>49</v>
      </c>
      <c r="J1949" s="1" t="s">
        <v>58</v>
      </c>
      <c r="K1949" s="1" t="s">
        <v>29</v>
      </c>
      <c r="L1949" s="1" t="s">
        <v>141</v>
      </c>
      <c r="M1949" s="1" t="s">
        <v>59</v>
      </c>
      <c r="N1949" s="1" t="s">
        <v>3021</v>
      </c>
      <c r="O1949" s="1">
        <v>0.59</v>
      </c>
      <c r="P1949" s="6">
        <f>Table1[[#This Row],[Profit]]/Table1[[#This Row],[Sales]]</f>
        <v>-0.56321450967150644</v>
      </c>
      <c r="Q1949" s="1" t="s">
        <v>33</v>
      </c>
      <c r="R1949" s="1" t="s">
        <v>61</v>
      </c>
      <c r="S1949" s="1" t="s">
        <v>178</v>
      </c>
      <c r="T1949" s="1" t="s">
        <v>1359</v>
      </c>
      <c r="U1949" s="1">
        <v>61832</v>
      </c>
      <c r="V1949" s="9">
        <v>42074</v>
      </c>
      <c r="W1949" s="13" t="str">
        <f>TEXT(Table1[[#This Row],[Order Date]],"mmmm")</f>
        <v>March</v>
      </c>
      <c r="X1949" s="7" t="str">
        <f>TEXT(Table1[[#This Row],[Order Date]],"yyyy")</f>
        <v>2015</v>
      </c>
      <c r="Y1949" s="9">
        <v>42075</v>
      </c>
      <c r="Z1949" s="1">
        <v>-116.76</v>
      </c>
      <c r="AA1949" s="1">
        <v>18</v>
      </c>
      <c r="AB1949" s="1">
        <v>207.31</v>
      </c>
      <c r="AC1949" s="1">
        <v>87536</v>
      </c>
      <c r="AD1949" s="6" t="str">
        <f>IF(COUNTIF(Returns!$A$2:$A$1635,Orders!AC1949)&gt;0,"Returned","Not Returned")</f>
        <v>Not Returned</v>
      </c>
    </row>
    <row r="1950" spans="1:30" ht="12.75" customHeight="1" thickTop="1" thickBot="1" x14ac:dyDescent="0.25">
      <c r="A1950" s="10">
        <v>19843</v>
      </c>
      <c r="B1950" s="11" t="s">
        <v>25</v>
      </c>
      <c r="C1950" s="11">
        <v>0.1</v>
      </c>
      <c r="D1950" s="11">
        <v>7.99</v>
      </c>
      <c r="E1950" s="11">
        <v>5.03</v>
      </c>
      <c r="F1950" s="11">
        <v>3397</v>
      </c>
      <c r="G1950" s="6" t="str">
        <f>IF(COUNTIF(Table1[Customer ID],Table1[[#This Row],[Customer ID]])&gt;1,"Repeat Customer","One-Time Customer")</f>
        <v>Repeat Customer</v>
      </c>
      <c r="H1950" s="11" t="s">
        <v>3020</v>
      </c>
      <c r="I1950" s="11" t="s">
        <v>49</v>
      </c>
      <c r="J1950" s="11" t="s">
        <v>58</v>
      </c>
      <c r="K1950" s="11" t="s">
        <v>77</v>
      </c>
      <c r="L1950" s="11" t="s">
        <v>78</v>
      </c>
      <c r="M1950" s="11" t="s">
        <v>86</v>
      </c>
      <c r="N1950" s="11" t="s">
        <v>430</v>
      </c>
      <c r="O1950" s="11">
        <v>0.6</v>
      </c>
      <c r="P1950" s="6">
        <f>Table1[[#This Row],[Profit]]/Table1[[#This Row],[Sales]]</f>
        <v>-1.1245947456679708</v>
      </c>
      <c r="Q1950" s="11" t="s">
        <v>33</v>
      </c>
      <c r="R1950" s="11" t="s">
        <v>61</v>
      </c>
      <c r="S1950" s="11" t="s">
        <v>178</v>
      </c>
      <c r="T1950" s="11" t="s">
        <v>1359</v>
      </c>
      <c r="U1950" s="11">
        <v>61832</v>
      </c>
      <c r="V1950" s="12">
        <v>42074</v>
      </c>
      <c r="W1950" s="13" t="str">
        <f>TEXT(Table1[[#This Row],[Order Date]],"mmmm")</f>
        <v>March</v>
      </c>
      <c r="X1950" s="7" t="str">
        <f>TEXT(Table1[[#This Row],[Order Date]],"yyyy")</f>
        <v>2015</v>
      </c>
      <c r="Y1950" s="12">
        <v>42075</v>
      </c>
      <c r="Z1950" s="11">
        <v>-160.952</v>
      </c>
      <c r="AA1950" s="11">
        <v>22</v>
      </c>
      <c r="AB1950" s="11">
        <v>143.12</v>
      </c>
      <c r="AC1950" s="11">
        <v>87536</v>
      </c>
      <c r="AD1950" s="6" t="str">
        <f>IF(COUNTIF(Returns!$A$2:$A$1635,Orders!AC1950)&gt;0,"Returned","Not Returned")</f>
        <v>Not Returned</v>
      </c>
    </row>
    <row r="1951" spans="1:30" ht="12.75" customHeight="1" thickTop="1" thickBot="1" x14ac:dyDescent="0.25">
      <c r="A1951" s="8">
        <v>26208</v>
      </c>
      <c r="B1951" s="1" t="s">
        <v>37</v>
      </c>
      <c r="C1951" s="1">
        <v>0.08</v>
      </c>
      <c r="D1951" s="1">
        <v>11.97</v>
      </c>
      <c r="E1951" s="1">
        <v>5.81</v>
      </c>
      <c r="F1951" s="1">
        <v>3399</v>
      </c>
      <c r="G1951" s="6" t="str">
        <f>IF(COUNTIF(Table1[Customer ID],Table1[[#This Row],[Customer ID]])&gt;1,"Repeat Customer","One-Time Customer")</f>
        <v>One-Time Customer</v>
      </c>
      <c r="H1951" s="1" t="s">
        <v>3022</v>
      </c>
      <c r="I1951" s="1" t="s">
        <v>49</v>
      </c>
      <c r="J1951" s="1" t="s">
        <v>58</v>
      </c>
      <c r="K1951" s="1" t="s">
        <v>29</v>
      </c>
      <c r="L1951" s="1" t="s">
        <v>30</v>
      </c>
      <c r="M1951" s="1" t="s">
        <v>51</v>
      </c>
      <c r="N1951" s="1" t="s">
        <v>3011</v>
      </c>
      <c r="O1951" s="1">
        <v>0.6</v>
      </c>
      <c r="P1951" s="6">
        <f>Table1[[#This Row],[Profit]]/Table1[[#This Row],[Sales]]</f>
        <v>-0.69806602200733581</v>
      </c>
      <c r="Q1951" s="1" t="s">
        <v>33</v>
      </c>
      <c r="R1951" s="1" t="s">
        <v>61</v>
      </c>
      <c r="S1951" s="1" t="s">
        <v>178</v>
      </c>
      <c r="T1951" s="1" t="s">
        <v>1522</v>
      </c>
      <c r="U1951" s="1">
        <v>60016</v>
      </c>
      <c r="V1951" s="9">
        <v>42092</v>
      </c>
      <c r="W1951" s="13" t="str">
        <f>TEXT(Table1[[#This Row],[Order Date]],"mmmm")</f>
        <v>March</v>
      </c>
      <c r="X1951" s="7" t="str">
        <f>TEXT(Table1[[#This Row],[Order Date]],"yyyy")</f>
        <v>2015</v>
      </c>
      <c r="Y1951" s="9">
        <v>42094</v>
      </c>
      <c r="Z1951" s="1">
        <v>-41.87</v>
      </c>
      <c r="AA1951" s="1">
        <v>5</v>
      </c>
      <c r="AB1951" s="1">
        <v>59.98</v>
      </c>
      <c r="AC1951" s="1">
        <v>87534</v>
      </c>
      <c r="AD1951" s="6" t="str">
        <f>IF(COUNTIF(Returns!$A$2:$A$1635,Orders!AC1951)&gt;0,"Returned","Not Returned")</f>
        <v>Not Returned</v>
      </c>
    </row>
    <row r="1952" spans="1:30" ht="12.75" customHeight="1" thickTop="1" thickBot="1" x14ac:dyDescent="0.25">
      <c r="A1952" s="10">
        <v>24911</v>
      </c>
      <c r="B1952" s="11" t="s">
        <v>56</v>
      </c>
      <c r="C1952" s="11">
        <v>0.1</v>
      </c>
      <c r="D1952" s="11">
        <v>9.3800000000000008</v>
      </c>
      <c r="E1952" s="11">
        <v>4.93</v>
      </c>
      <c r="F1952" s="11">
        <v>3400</v>
      </c>
      <c r="G1952" s="6" t="str">
        <f>IF(COUNTIF(Table1[Customer ID],Table1[[#This Row],[Customer ID]])&gt;1,"Repeat Customer","One-Time Customer")</f>
        <v>One-Time Customer</v>
      </c>
      <c r="H1952" s="11" t="s">
        <v>3023</v>
      </c>
      <c r="I1952" s="11" t="s">
        <v>27</v>
      </c>
      <c r="J1952" s="11" t="s">
        <v>58</v>
      </c>
      <c r="K1952" s="11" t="s">
        <v>41</v>
      </c>
      <c r="L1952" s="11" t="s">
        <v>50</v>
      </c>
      <c r="M1952" s="11" t="s">
        <v>59</v>
      </c>
      <c r="N1952" s="11" t="s">
        <v>3024</v>
      </c>
      <c r="O1952" s="11">
        <v>0.56999999999999995</v>
      </c>
      <c r="P1952" s="6">
        <f>Table1[[#This Row],[Profit]]/Table1[[#This Row],[Sales]]</f>
        <v>-0.18198851082633671</v>
      </c>
      <c r="Q1952" s="11" t="s">
        <v>33</v>
      </c>
      <c r="R1952" s="11" t="s">
        <v>53</v>
      </c>
      <c r="S1952" s="11" t="s">
        <v>648</v>
      </c>
      <c r="T1952" s="11" t="s">
        <v>3025</v>
      </c>
      <c r="U1952" s="11">
        <v>26554</v>
      </c>
      <c r="V1952" s="12">
        <v>42098</v>
      </c>
      <c r="W1952" s="13" t="str">
        <f>TEXT(Table1[[#This Row],[Order Date]],"mmmm")</f>
        <v>April</v>
      </c>
      <c r="X1952" s="7" t="str">
        <f>TEXT(Table1[[#This Row],[Order Date]],"yyyy")</f>
        <v>2015</v>
      </c>
      <c r="Y1952" s="12">
        <v>42098</v>
      </c>
      <c r="Z1952" s="11">
        <v>-24.7104</v>
      </c>
      <c r="AA1952" s="11">
        <v>15</v>
      </c>
      <c r="AB1952" s="11">
        <v>135.78</v>
      </c>
      <c r="AC1952" s="11">
        <v>87537</v>
      </c>
      <c r="AD1952" s="6" t="str">
        <f>IF(COUNTIF(Returns!$A$2:$A$1635,Orders!AC1952)&gt;0,"Returned","Not Returned")</f>
        <v>Not Returned</v>
      </c>
    </row>
    <row r="1953" spans="1:30" ht="12.75" customHeight="1" thickTop="1" x14ac:dyDescent="0.2">
      <c r="A1953" s="8">
        <v>25914</v>
      </c>
      <c r="B1953" s="1" t="s">
        <v>25</v>
      </c>
      <c r="C1953" s="1">
        <v>0.1</v>
      </c>
      <c r="D1953" s="1">
        <v>105.98</v>
      </c>
      <c r="E1953" s="1">
        <v>13.99</v>
      </c>
      <c r="F1953" s="1">
        <v>3403</v>
      </c>
      <c r="G1953" s="6" t="str">
        <f>IF(COUNTIF(Table1[Customer ID],Table1[[#This Row],[Customer ID]])&gt;1,"Repeat Customer","One-Time Customer")</f>
        <v>One-Time Customer</v>
      </c>
      <c r="H1953" s="1" t="s">
        <v>3026</v>
      </c>
      <c r="I1953" s="1" t="s">
        <v>27</v>
      </c>
      <c r="J1953" s="1" t="s">
        <v>114</v>
      </c>
      <c r="K1953" s="1" t="s">
        <v>41</v>
      </c>
      <c r="L1953" s="1" t="s">
        <v>50</v>
      </c>
      <c r="M1953" s="1" t="s">
        <v>86</v>
      </c>
      <c r="N1953" s="1" t="s">
        <v>3027</v>
      </c>
      <c r="O1953" s="1">
        <v>0.65</v>
      </c>
      <c r="P1953" s="6">
        <f>Table1[[#This Row],[Profit]]/Table1[[#This Row],[Sales]]</f>
        <v>0.69</v>
      </c>
      <c r="Q1953" s="1" t="s">
        <v>33</v>
      </c>
      <c r="R1953" s="1" t="s">
        <v>34</v>
      </c>
      <c r="S1953" s="1" t="s">
        <v>2226</v>
      </c>
      <c r="T1953" s="1" t="s">
        <v>3028</v>
      </c>
      <c r="U1953" s="1">
        <v>82001</v>
      </c>
      <c r="V1953" s="9">
        <v>42043</v>
      </c>
      <c r="W1953" s="13" t="str">
        <f>TEXT(Table1[[#This Row],[Order Date]],"mmmm")</f>
        <v>February</v>
      </c>
      <c r="X1953" s="7" t="str">
        <f>TEXT(Table1[[#This Row],[Order Date]],"yyyy")</f>
        <v>2015</v>
      </c>
      <c r="Y1953" s="9">
        <v>42046</v>
      </c>
      <c r="Z1953" s="1">
        <v>349.48499999999996</v>
      </c>
      <c r="AA1953" s="1">
        <v>5</v>
      </c>
      <c r="AB1953" s="1">
        <v>506.5</v>
      </c>
      <c r="AC1953" s="1">
        <v>87530</v>
      </c>
      <c r="AD1953" s="6" t="str">
        <f>IF(COUNTIF(Returns!$A$2:$A$1635,Orders!AC1953)&gt;0,"Returned","Not Returned")</f>
        <v>Not Returned</v>
      </c>
    </row>
  </sheetData>
  <pageMargins left="0.7" right="0.7" top="0.75" bottom="0.75" header="0.3" footer="0.3"/>
  <pageSetup paperSize="9" orientation="portrait" horizontalDpi="4294967293" verticalDpi="0"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33" sqref="C33"/>
    </sheetView>
  </sheetViews>
  <sheetFormatPr defaultColWidth="9" defaultRowHeight="12.75" x14ac:dyDescent="0.2"/>
  <cols>
    <col min="1" max="1" width="12.140625" customWidth="1"/>
    <col min="2" max="2" width="9.5703125" customWidth="1"/>
  </cols>
  <sheetData>
    <row r="1" spans="1:2" ht="13.5" thickBot="1" x14ac:dyDescent="0.25">
      <c r="A1" s="2" t="s">
        <v>24</v>
      </c>
      <c r="B1" s="3" t="s">
        <v>3029</v>
      </c>
    </row>
    <row r="2" spans="1:2" ht="13.5" thickTop="1" x14ac:dyDescent="0.2">
      <c r="A2" s="5">
        <v>65</v>
      </c>
      <c r="B2" s="6" t="s">
        <v>3030</v>
      </c>
    </row>
    <row r="3" spans="1:2" x14ac:dyDescent="0.2">
      <c r="A3" s="8">
        <v>612</v>
      </c>
      <c r="B3" s="1" t="s">
        <v>3030</v>
      </c>
    </row>
    <row r="4" spans="1:2" x14ac:dyDescent="0.2">
      <c r="A4" s="10">
        <v>614</v>
      </c>
      <c r="B4" s="11" t="s">
        <v>3030</v>
      </c>
    </row>
    <row r="5" spans="1:2" x14ac:dyDescent="0.2">
      <c r="A5" s="8">
        <v>678</v>
      </c>
      <c r="B5" s="1" t="s">
        <v>3030</v>
      </c>
    </row>
    <row r="6" spans="1:2" x14ac:dyDescent="0.2">
      <c r="A6" s="10">
        <v>710</v>
      </c>
      <c r="B6" s="11" t="s">
        <v>3030</v>
      </c>
    </row>
    <row r="7" spans="1:2" x14ac:dyDescent="0.2">
      <c r="A7" s="8">
        <v>740</v>
      </c>
      <c r="B7" s="1" t="s">
        <v>3030</v>
      </c>
    </row>
    <row r="8" spans="1:2" x14ac:dyDescent="0.2">
      <c r="A8" s="10">
        <v>775</v>
      </c>
      <c r="B8" s="11" t="s">
        <v>3030</v>
      </c>
    </row>
    <row r="9" spans="1:2" x14ac:dyDescent="0.2">
      <c r="A9" s="8">
        <v>833</v>
      </c>
      <c r="B9" s="1" t="s">
        <v>3030</v>
      </c>
    </row>
    <row r="10" spans="1:2" x14ac:dyDescent="0.2">
      <c r="A10" s="10">
        <v>902</v>
      </c>
      <c r="B10" s="11" t="s">
        <v>3030</v>
      </c>
    </row>
    <row r="11" spans="1:2" x14ac:dyDescent="0.2">
      <c r="A11" s="8">
        <v>3300</v>
      </c>
      <c r="B11" s="1" t="s">
        <v>3030</v>
      </c>
    </row>
    <row r="12" spans="1:2" x14ac:dyDescent="0.2">
      <c r="A12" s="10">
        <v>3456</v>
      </c>
      <c r="B12" s="11" t="s">
        <v>3030</v>
      </c>
    </row>
    <row r="13" spans="1:2" x14ac:dyDescent="0.2">
      <c r="A13" s="8">
        <v>3525</v>
      </c>
      <c r="B13" s="1" t="s">
        <v>3030</v>
      </c>
    </row>
    <row r="14" spans="1:2" x14ac:dyDescent="0.2">
      <c r="A14" s="10">
        <v>3589</v>
      </c>
      <c r="B14" s="11" t="s">
        <v>3030</v>
      </c>
    </row>
    <row r="15" spans="1:2" x14ac:dyDescent="0.2">
      <c r="A15" s="8">
        <v>3687</v>
      </c>
      <c r="B15" s="1" t="s">
        <v>3030</v>
      </c>
    </row>
    <row r="16" spans="1:2" x14ac:dyDescent="0.2">
      <c r="A16" s="10">
        <v>3777</v>
      </c>
      <c r="B16" s="11" t="s">
        <v>3030</v>
      </c>
    </row>
    <row r="17" spans="1:2" x14ac:dyDescent="0.2">
      <c r="A17" s="8">
        <v>3783</v>
      </c>
      <c r="B17" s="1" t="s">
        <v>3030</v>
      </c>
    </row>
    <row r="18" spans="1:2" x14ac:dyDescent="0.2">
      <c r="A18" s="10">
        <v>4006</v>
      </c>
      <c r="B18" s="11" t="s">
        <v>3030</v>
      </c>
    </row>
    <row r="19" spans="1:2" x14ac:dyDescent="0.2">
      <c r="A19" s="8">
        <v>4037</v>
      </c>
      <c r="B19" s="1" t="s">
        <v>3030</v>
      </c>
    </row>
    <row r="20" spans="1:2" x14ac:dyDescent="0.2">
      <c r="A20" s="10">
        <v>4230</v>
      </c>
      <c r="B20" s="11" t="s">
        <v>3030</v>
      </c>
    </row>
    <row r="21" spans="1:2" x14ac:dyDescent="0.2">
      <c r="A21" s="8">
        <v>4261</v>
      </c>
      <c r="B21" s="1" t="s">
        <v>3030</v>
      </c>
    </row>
    <row r="22" spans="1:2" x14ac:dyDescent="0.2">
      <c r="A22" s="10">
        <v>4391</v>
      </c>
      <c r="B22" s="11" t="s">
        <v>3030</v>
      </c>
    </row>
    <row r="23" spans="1:2" x14ac:dyDescent="0.2">
      <c r="A23" s="8">
        <v>4610</v>
      </c>
      <c r="B23" s="1" t="s">
        <v>3030</v>
      </c>
    </row>
    <row r="24" spans="1:2" x14ac:dyDescent="0.2">
      <c r="A24" s="10">
        <v>4738</v>
      </c>
      <c r="B24" s="11" t="s">
        <v>3030</v>
      </c>
    </row>
    <row r="25" spans="1:2" x14ac:dyDescent="0.2">
      <c r="A25" s="8">
        <v>4864</v>
      </c>
      <c r="B25" s="1" t="s">
        <v>3030</v>
      </c>
    </row>
    <row r="26" spans="1:2" x14ac:dyDescent="0.2">
      <c r="A26" s="10">
        <v>4960</v>
      </c>
      <c r="B26" s="11" t="s">
        <v>3030</v>
      </c>
    </row>
    <row r="27" spans="1:2" x14ac:dyDescent="0.2">
      <c r="A27" s="8">
        <v>5028</v>
      </c>
      <c r="B27" s="1" t="s">
        <v>3030</v>
      </c>
    </row>
    <row r="28" spans="1:2" x14ac:dyDescent="0.2">
      <c r="A28" s="10">
        <v>5059</v>
      </c>
      <c r="B28" s="11" t="s">
        <v>3030</v>
      </c>
    </row>
    <row r="29" spans="1:2" x14ac:dyDescent="0.2">
      <c r="A29" s="8">
        <v>5061</v>
      </c>
      <c r="B29" s="1" t="s">
        <v>3030</v>
      </c>
    </row>
    <row r="30" spans="1:2" x14ac:dyDescent="0.2">
      <c r="A30" s="10">
        <v>5189</v>
      </c>
      <c r="B30" s="11" t="s">
        <v>3030</v>
      </c>
    </row>
    <row r="31" spans="1:2" x14ac:dyDescent="0.2">
      <c r="A31" s="8">
        <v>5381</v>
      </c>
      <c r="B31" s="1" t="s">
        <v>3030</v>
      </c>
    </row>
    <row r="32" spans="1:2" x14ac:dyDescent="0.2">
      <c r="A32" s="10">
        <v>5414</v>
      </c>
      <c r="B32" s="11" t="s">
        <v>3030</v>
      </c>
    </row>
    <row r="33" spans="1:2" x14ac:dyDescent="0.2">
      <c r="A33" s="8">
        <v>5511</v>
      </c>
      <c r="B33" s="1" t="s">
        <v>3030</v>
      </c>
    </row>
    <row r="34" spans="1:2" x14ac:dyDescent="0.2">
      <c r="A34" s="10">
        <v>5699</v>
      </c>
      <c r="B34" s="11" t="s">
        <v>3030</v>
      </c>
    </row>
    <row r="35" spans="1:2" x14ac:dyDescent="0.2">
      <c r="A35" s="8">
        <v>6054</v>
      </c>
      <c r="B35" s="1" t="s">
        <v>3030</v>
      </c>
    </row>
    <row r="36" spans="1:2" x14ac:dyDescent="0.2">
      <c r="A36" s="10">
        <v>6241</v>
      </c>
      <c r="B36" s="11" t="s">
        <v>3030</v>
      </c>
    </row>
    <row r="37" spans="1:2" x14ac:dyDescent="0.2">
      <c r="A37" s="8">
        <v>6272</v>
      </c>
      <c r="B37" s="1" t="s">
        <v>3030</v>
      </c>
    </row>
    <row r="38" spans="1:2" x14ac:dyDescent="0.2">
      <c r="A38" s="10">
        <v>6498</v>
      </c>
      <c r="B38" s="11" t="s">
        <v>3030</v>
      </c>
    </row>
    <row r="39" spans="1:2" x14ac:dyDescent="0.2">
      <c r="A39" s="8">
        <v>6500</v>
      </c>
      <c r="B39" s="1" t="s">
        <v>3030</v>
      </c>
    </row>
    <row r="40" spans="1:2" x14ac:dyDescent="0.2">
      <c r="A40" s="10">
        <v>6502</v>
      </c>
      <c r="B40" s="11" t="s">
        <v>3030</v>
      </c>
    </row>
    <row r="41" spans="1:2" x14ac:dyDescent="0.2">
      <c r="A41" s="8">
        <v>6661</v>
      </c>
      <c r="B41" s="1" t="s">
        <v>3030</v>
      </c>
    </row>
    <row r="42" spans="1:2" x14ac:dyDescent="0.2">
      <c r="A42" s="10">
        <v>6695</v>
      </c>
      <c r="B42" s="11" t="s">
        <v>3030</v>
      </c>
    </row>
    <row r="43" spans="1:2" x14ac:dyDescent="0.2">
      <c r="A43" s="8">
        <v>6757</v>
      </c>
      <c r="B43" s="1" t="s">
        <v>3030</v>
      </c>
    </row>
    <row r="44" spans="1:2" x14ac:dyDescent="0.2">
      <c r="A44" s="10">
        <v>6978</v>
      </c>
      <c r="B44" s="11" t="s">
        <v>3030</v>
      </c>
    </row>
    <row r="45" spans="1:2" x14ac:dyDescent="0.2">
      <c r="A45" s="8">
        <v>6979</v>
      </c>
      <c r="B45" s="1" t="s">
        <v>3030</v>
      </c>
    </row>
    <row r="46" spans="1:2" x14ac:dyDescent="0.2">
      <c r="A46" s="10">
        <v>7079</v>
      </c>
      <c r="B46" s="11" t="s">
        <v>3030</v>
      </c>
    </row>
    <row r="47" spans="1:2" x14ac:dyDescent="0.2">
      <c r="A47" s="8">
        <v>7107</v>
      </c>
      <c r="B47" s="1" t="s">
        <v>3030</v>
      </c>
    </row>
    <row r="48" spans="1:2" x14ac:dyDescent="0.2">
      <c r="A48" s="10">
        <v>7203</v>
      </c>
      <c r="B48" s="11" t="s">
        <v>3030</v>
      </c>
    </row>
    <row r="49" spans="1:2" x14ac:dyDescent="0.2">
      <c r="A49" s="8">
        <v>7269</v>
      </c>
      <c r="B49" s="1" t="s">
        <v>3030</v>
      </c>
    </row>
    <row r="50" spans="1:2" x14ac:dyDescent="0.2">
      <c r="A50" s="10">
        <v>7364</v>
      </c>
      <c r="B50" s="11" t="s">
        <v>3030</v>
      </c>
    </row>
    <row r="51" spans="1:2" x14ac:dyDescent="0.2">
      <c r="A51" s="8">
        <v>7521</v>
      </c>
      <c r="B51" s="1" t="s">
        <v>3030</v>
      </c>
    </row>
    <row r="52" spans="1:2" x14ac:dyDescent="0.2">
      <c r="A52" s="10">
        <v>7744</v>
      </c>
      <c r="B52" s="11" t="s">
        <v>3030</v>
      </c>
    </row>
    <row r="53" spans="1:2" x14ac:dyDescent="0.2">
      <c r="A53" s="8">
        <v>7812</v>
      </c>
      <c r="B53" s="1" t="s">
        <v>3030</v>
      </c>
    </row>
    <row r="54" spans="1:2" x14ac:dyDescent="0.2">
      <c r="A54" s="10">
        <v>7815</v>
      </c>
      <c r="B54" s="11" t="s">
        <v>3030</v>
      </c>
    </row>
    <row r="55" spans="1:2" x14ac:dyDescent="0.2">
      <c r="A55" s="8">
        <v>7841</v>
      </c>
      <c r="B55" s="1" t="s">
        <v>3030</v>
      </c>
    </row>
    <row r="56" spans="1:2" x14ac:dyDescent="0.2">
      <c r="A56" s="10">
        <v>7845</v>
      </c>
      <c r="B56" s="11" t="s">
        <v>3030</v>
      </c>
    </row>
    <row r="57" spans="1:2" x14ac:dyDescent="0.2">
      <c r="A57" s="8">
        <v>8034</v>
      </c>
      <c r="B57" s="1" t="s">
        <v>3030</v>
      </c>
    </row>
    <row r="58" spans="1:2" x14ac:dyDescent="0.2">
      <c r="A58" s="10">
        <v>8133</v>
      </c>
      <c r="B58" s="11" t="s">
        <v>3030</v>
      </c>
    </row>
    <row r="59" spans="1:2" x14ac:dyDescent="0.2">
      <c r="A59" s="8">
        <v>8292</v>
      </c>
      <c r="B59" s="1" t="s">
        <v>3030</v>
      </c>
    </row>
    <row r="60" spans="1:2" x14ac:dyDescent="0.2">
      <c r="A60" s="10">
        <v>8293</v>
      </c>
      <c r="B60" s="11" t="s">
        <v>3030</v>
      </c>
    </row>
    <row r="61" spans="1:2" x14ac:dyDescent="0.2">
      <c r="A61" s="8">
        <v>8353</v>
      </c>
      <c r="B61" s="1" t="s">
        <v>3030</v>
      </c>
    </row>
    <row r="62" spans="1:2" x14ac:dyDescent="0.2">
      <c r="A62" s="10">
        <v>8961</v>
      </c>
      <c r="B62" s="11" t="s">
        <v>3030</v>
      </c>
    </row>
    <row r="63" spans="1:2" x14ac:dyDescent="0.2">
      <c r="A63" s="8">
        <v>9027</v>
      </c>
      <c r="B63" s="1" t="s">
        <v>3030</v>
      </c>
    </row>
    <row r="64" spans="1:2" x14ac:dyDescent="0.2">
      <c r="A64" s="10">
        <v>9093</v>
      </c>
      <c r="B64" s="11" t="s">
        <v>3030</v>
      </c>
    </row>
    <row r="65" spans="1:2" x14ac:dyDescent="0.2">
      <c r="A65" s="8">
        <v>9152</v>
      </c>
      <c r="B65" s="1" t="s">
        <v>3030</v>
      </c>
    </row>
    <row r="66" spans="1:2" x14ac:dyDescent="0.2">
      <c r="A66" s="10">
        <v>9219</v>
      </c>
      <c r="B66" s="11" t="s">
        <v>3030</v>
      </c>
    </row>
    <row r="67" spans="1:2" x14ac:dyDescent="0.2">
      <c r="A67" s="8">
        <v>9472</v>
      </c>
      <c r="B67" s="1" t="s">
        <v>3030</v>
      </c>
    </row>
    <row r="68" spans="1:2" x14ac:dyDescent="0.2">
      <c r="A68" s="10">
        <v>9574</v>
      </c>
      <c r="B68" s="11" t="s">
        <v>3030</v>
      </c>
    </row>
    <row r="69" spans="1:2" x14ac:dyDescent="0.2">
      <c r="A69" s="8">
        <v>9696</v>
      </c>
      <c r="B69" s="1" t="s">
        <v>3030</v>
      </c>
    </row>
    <row r="70" spans="1:2" x14ac:dyDescent="0.2">
      <c r="A70" s="10">
        <v>9701</v>
      </c>
      <c r="B70" s="11" t="s">
        <v>3030</v>
      </c>
    </row>
    <row r="71" spans="1:2" x14ac:dyDescent="0.2">
      <c r="A71" s="8">
        <v>9762</v>
      </c>
      <c r="B71" s="1" t="s">
        <v>3030</v>
      </c>
    </row>
    <row r="72" spans="1:2" x14ac:dyDescent="0.2">
      <c r="A72" s="10">
        <v>9829</v>
      </c>
      <c r="B72" s="11" t="s">
        <v>3030</v>
      </c>
    </row>
    <row r="73" spans="1:2" x14ac:dyDescent="0.2">
      <c r="A73" s="8">
        <v>9895</v>
      </c>
      <c r="B73" s="1" t="s">
        <v>3030</v>
      </c>
    </row>
    <row r="74" spans="1:2" x14ac:dyDescent="0.2">
      <c r="A74" s="10">
        <v>9923</v>
      </c>
      <c r="B74" s="11" t="s">
        <v>3030</v>
      </c>
    </row>
    <row r="75" spans="1:2" x14ac:dyDescent="0.2">
      <c r="A75" s="8">
        <v>9927</v>
      </c>
      <c r="B75" s="1" t="s">
        <v>3030</v>
      </c>
    </row>
    <row r="76" spans="1:2" x14ac:dyDescent="0.2">
      <c r="A76" s="10">
        <v>10054</v>
      </c>
      <c r="B76" s="11" t="s">
        <v>3030</v>
      </c>
    </row>
    <row r="77" spans="1:2" x14ac:dyDescent="0.2">
      <c r="A77" s="8">
        <v>10183</v>
      </c>
      <c r="B77" s="1" t="s">
        <v>3030</v>
      </c>
    </row>
    <row r="78" spans="1:2" x14ac:dyDescent="0.2">
      <c r="A78" s="10">
        <v>10498</v>
      </c>
      <c r="B78" s="11" t="s">
        <v>3030</v>
      </c>
    </row>
    <row r="79" spans="1:2" x14ac:dyDescent="0.2">
      <c r="A79" s="8">
        <v>10662</v>
      </c>
      <c r="B79" s="1" t="s">
        <v>3030</v>
      </c>
    </row>
    <row r="80" spans="1:2" x14ac:dyDescent="0.2">
      <c r="A80" s="10">
        <v>10917</v>
      </c>
      <c r="B80" s="11" t="s">
        <v>3030</v>
      </c>
    </row>
    <row r="81" spans="1:2" x14ac:dyDescent="0.2">
      <c r="A81" s="8">
        <v>11271</v>
      </c>
      <c r="B81" s="1" t="s">
        <v>3030</v>
      </c>
    </row>
    <row r="82" spans="1:2" x14ac:dyDescent="0.2">
      <c r="A82" s="10">
        <v>11396</v>
      </c>
      <c r="B82" s="11" t="s">
        <v>3030</v>
      </c>
    </row>
    <row r="83" spans="1:2" x14ac:dyDescent="0.2">
      <c r="A83" s="8">
        <v>11425</v>
      </c>
      <c r="B83" s="1" t="s">
        <v>3030</v>
      </c>
    </row>
    <row r="84" spans="1:2" x14ac:dyDescent="0.2">
      <c r="A84" s="10">
        <v>11426</v>
      </c>
      <c r="B84" s="11" t="s">
        <v>3030</v>
      </c>
    </row>
    <row r="85" spans="1:2" x14ac:dyDescent="0.2">
      <c r="A85" s="8">
        <v>11648</v>
      </c>
      <c r="B85" s="1" t="s">
        <v>3030</v>
      </c>
    </row>
    <row r="86" spans="1:2" x14ac:dyDescent="0.2">
      <c r="A86" s="10">
        <v>11652</v>
      </c>
      <c r="B86" s="11" t="s">
        <v>3030</v>
      </c>
    </row>
    <row r="87" spans="1:2" x14ac:dyDescent="0.2">
      <c r="A87" s="8">
        <v>11682</v>
      </c>
      <c r="B87" s="1" t="s">
        <v>3030</v>
      </c>
    </row>
    <row r="88" spans="1:2" x14ac:dyDescent="0.2">
      <c r="A88" s="10">
        <v>11748</v>
      </c>
      <c r="B88" s="11" t="s">
        <v>3030</v>
      </c>
    </row>
    <row r="89" spans="1:2" x14ac:dyDescent="0.2">
      <c r="A89" s="8">
        <v>11909</v>
      </c>
      <c r="B89" s="1" t="s">
        <v>3030</v>
      </c>
    </row>
    <row r="90" spans="1:2" x14ac:dyDescent="0.2">
      <c r="A90" s="10">
        <v>11911</v>
      </c>
      <c r="B90" s="11" t="s">
        <v>3030</v>
      </c>
    </row>
    <row r="91" spans="1:2" x14ac:dyDescent="0.2">
      <c r="A91" s="8">
        <v>12005</v>
      </c>
      <c r="B91" s="1" t="s">
        <v>3030</v>
      </c>
    </row>
    <row r="92" spans="1:2" x14ac:dyDescent="0.2">
      <c r="A92" s="10">
        <v>12067</v>
      </c>
      <c r="B92" s="11" t="s">
        <v>3030</v>
      </c>
    </row>
    <row r="93" spans="1:2" x14ac:dyDescent="0.2">
      <c r="A93" s="8">
        <v>12096</v>
      </c>
      <c r="B93" s="1" t="s">
        <v>3030</v>
      </c>
    </row>
    <row r="94" spans="1:2" x14ac:dyDescent="0.2">
      <c r="A94" s="10">
        <v>12262</v>
      </c>
      <c r="B94" s="11" t="s">
        <v>3030</v>
      </c>
    </row>
    <row r="95" spans="1:2" x14ac:dyDescent="0.2">
      <c r="A95" s="8">
        <v>12263</v>
      </c>
      <c r="B95" s="1" t="s">
        <v>3030</v>
      </c>
    </row>
    <row r="96" spans="1:2" x14ac:dyDescent="0.2">
      <c r="A96" s="10">
        <v>12389</v>
      </c>
      <c r="B96" s="11" t="s">
        <v>3030</v>
      </c>
    </row>
    <row r="97" spans="1:2" x14ac:dyDescent="0.2">
      <c r="A97" s="8">
        <v>12451</v>
      </c>
      <c r="B97" s="1" t="s">
        <v>3030</v>
      </c>
    </row>
    <row r="98" spans="1:2" x14ac:dyDescent="0.2">
      <c r="A98" s="10">
        <v>12483</v>
      </c>
      <c r="B98" s="11" t="s">
        <v>3030</v>
      </c>
    </row>
    <row r="99" spans="1:2" x14ac:dyDescent="0.2">
      <c r="A99" s="8">
        <v>12580</v>
      </c>
      <c r="B99" s="1" t="s">
        <v>3030</v>
      </c>
    </row>
    <row r="100" spans="1:2" x14ac:dyDescent="0.2">
      <c r="A100" s="10">
        <v>12613</v>
      </c>
      <c r="B100" s="11" t="s">
        <v>3030</v>
      </c>
    </row>
    <row r="101" spans="1:2" x14ac:dyDescent="0.2">
      <c r="A101" s="8">
        <v>12704</v>
      </c>
      <c r="B101" s="1" t="s">
        <v>3030</v>
      </c>
    </row>
    <row r="102" spans="1:2" x14ac:dyDescent="0.2">
      <c r="A102" s="10">
        <v>12706</v>
      </c>
      <c r="B102" s="11" t="s">
        <v>3030</v>
      </c>
    </row>
    <row r="103" spans="1:2" x14ac:dyDescent="0.2">
      <c r="A103" s="8">
        <v>12710</v>
      </c>
      <c r="B103" s="1" t="s">
        <v>3030</v>
      </c>
    </row>
    <row r="104" spans="1:2" x14ac:dyDescent="0.2">
      <c r="A104" s="10">
        <v>12806</v>
      </c>
      <c r="B104" s="11" t="s">
        <v>3030</v>
      </c>
    </row>
    <row r="105" spans="1:2" x14ac:dyDescent="0.2">
      <c r="A105" s="8">
        <v>12900</v>
      </c>
      <c r="B105" s="1" t="s">
        <v>3030</v>
      </c>
    </row>
    <row r="106" spans="1:2" x14ac:dyDescent="0.2">
      <c r="A106" s="10">
        <v>12903</v>
      </c>
      <c r="B106" s="11" t="s">
        <v>3030</v>
      </c>
    </row>
    <row r="107" spans="1:2" x14ac:dyDescent="0.2">
      <c r="A107" s="8">
        <v>13091</v>
      </c>
      <c r="B107" s="1" t="s">
        <v>3030</v>
      </c>
    </row>
    <row r="108" spans="1:2" x14ac:dyDescent="0.2">
      <c r="A108" s="10">
        <v>13158</v>
      </c>
      <c r="B108" s="11" t="s">
        <v>3030</v>
      </c>
    </row>
    <row r="109" spans="1:2" x14ac:dyDescent="0.2">
      <c r="A109" s="8">
        <v>13218</v>
      </c>
      <c r="B109" s="1" t="s">
        <v>3030</v>
      </c>
    </row>
    <row r="110" spans="1:2" x14ac:dyDescent="0.2">
      <c r="A110" s="10">
        <v>13284</v>
      </c>
      <c r="B110" s="11" t="s">
        <v>3030</v>
      </c>
    </row>
    <row r="111" spans="1:2" x14ac:dyDescent="0.2">
      <c r="A111" s="8">
        <v>13410</v>
      </c>
      <c r="B111" s="1" t="s">
        <v>3030</v>
      </c>
    </row>
    <row r="112" spans="1:2" x14ac:dyDescent="0.2">
      <c r="A112" s="10">
        <v>13444</v>
      </c>
      <c r="B112" s="11" t="s">
        <v>3030</v>
      </c>
    </row>
    <row r="113" spans="1:2" x14ac:dyDescent="0.2">
      <c r="A113" s="8">
        <v>13638</v>
      </c>
      <c r="B113" s="1" t="s">
        <v>3030</v>
      </c>
    </row>
    <row r="114" spans="1:2" x14ac:dyDescent="0.2">
      <c r="A114" s="10">
        <v>13729</v>
      </c>
      <c r="B114" s="11" t="s">
        <v>3030</v>
      </c>
    </row>
    <row r="115" spans="1:2" x14ac:dyDescent="0.2">
      <c r="A115" s="8">
        <v>13765</v>
      </c>
      <c r="B115" s="1" t="s">
        <v>3030</v>
      </c>
    </row>
    <row r="116" spans="1:2" x14ac:dyDescent="0.2">
      <c r="A116" s="10">
        <v>13959</v>
      </c>
      <c r="B116" s="11" t="s">
        <v>3030</v>
      </c>
    </row>
    <row r="117" spans="1:2" x14ac:dyDescent="0.2">
      <c r="A117" s="8">
        <v>13984</v>
      </c>
      <c r="B117" s="1" t="s">
        <v>3030</v>
      </c>
    </row>
    <row r="118" spans="1:2" x14ac:dyDescent="0.2">
      <c r="A118" s="10">
        <v>13986</v>
      </c>
      <c r="B118" s="11" t="s">
        <v>3030</v>
      </c>
    </row>
    <row r="119" spans="1:2" x14ac:dyDescent="0.2">
      <c r="A119" s="8">
        <v>14176</v>
      </c>
      <c r="B119" s="1" t="s">
        <v>3030</v>
      </c>
    </row>
    <row r="120" spans="1:2" x14ac:dyDescent="0.2">
      <c r="A120" s="10">
        <v>14242</v>
      </c>
      <c r="B120" s="11" t="s">
        <v>3030</v>
      </c>
    </row>
    <row r="121" spans="1:2" x14ac:dyDescent="0.2">
      <c r="A121" s="8">
        <v>14406</v>
      </c>
      <c r="B121" s="1" t="s">
        <v>3030</v>
      </c>
    </row>
    <row r="122" spans="1:2" x14ac:dyDescent="0.2">
      <c r="A122" s="10">
        <v>14497</v>
      </c>
      <c r="B122" s="11" t="s">
        <v>3030</v>
      </c>
    </row>
    <row r="123" spans="1:2" x14ac:dyDescent="0.2">
      <c r="A123" s="8">
        <v>14528</v>
      </c>
      <c r="B123" s="1" t="s">
        <v>3030</v>
      </c>
    </row>
    <row r="124" spans="1:2" x14ac:dyDescent="0.2">
      <c r="A124" s="10">
        <v>14534</v>
      </c>
      <c r="B124" s="11" t="s">
        <v>3030</v>
      </c>
    </row>
    <row r="125" spans="1:2" x14ac:dyDescent="0.2">
      <c r="A125" s="8">
        <v>14820</v>
      </c>
      <c r="B125" s="1" t="s">
        <v>3030</v>
      </c>
    </row>
    <row r="126" spans="1:2" x14ac:dyDescent="0.2">
      <c r="A126" s="10">
        <v>14951</v>
      </c>
      <c r="B126" s="11" t="s">
        <v>3030</v>
      </c>
    </row>
    <row r="127" spans="1:2" x14ac:dyDescent="0.2">
      <c r="A127" s="8">
        <v>15009</v>
      </c>
      <c r="B127" s="1" t="s">
        <v>3030</v>
      </c>
    </row>
    <row r="128" spans="1:2" x14ac:dyDescent="0.2">
      <c r="A128" s="10">
        <v>15106</v>
      </c>
      <c r="B128" s="11" t="s">
        <v>3030</v>
      </c>
    </row>
    <row r="129" spans="1:2" x14ac:dyDescent="0.2">
      <c r="A129" s="8">
        <v>15202</v>
      </c>
      <c r="B129" s="1" t="s">
        <v>3030</v>
      </c>
    </row>
    <row r="130" spans="1:2" x14ac:dyDescent="0.2">
      <c r="A130" s="10">
        <v>15206</v>
      </c>
      <c r="B130" s="11" t="s">
        <v>3030</v>
      </c>
    </row>
    <row r="131" spans="1:2" x14ac:dyDescent="0.2">
      <c r="A131" s="8">
        <v>15303</v>
      </c>
      <c r="B131" s="1" t="s">
        <v>3030</v>
      </c>
    </row>
    <row r="132" spans="1:2" x14ac:dyDescent="0.2">
      <c r="A132" s="10">
        <v>15712</v>
      </c>
      <c r="B132" s="11" t="s">
        <v>3030</v>
      </c>
    </row>
    <row r="133" spans="1:2" x14ac:dyDescent="0.2">
      <c r="A133" s="8">
        <v>15718</v>
      </c>
      <c r="B133" s="1" t="s">
        <v>3030</v>
      </c>
    </row>
    <row r="134" spans="1:2" x14ac:dyDescent="0.2">
      <c r="A134" s="10">
        <v>15778</v>
      </c>
      <c r="B134" s="11" t="s">
        <v>3030</v>
      </c>
    </row>
    <row r="135" spans="1:2" x14ac:dyDescent="0.2">
      <c r="A135" s="8">
        <v>15872</v>
      </c>
      <c r="B135" s="1" t="s">
        <v>3030</v>
      </c>
    </row>
    <row r="136" spans="1:2" x14ac:dyDescent="0.2">
      <c r="A136" s="10">
        <v>15904</v>
      </c>
      <c r="B136" s="11" t="s">
        <v>3030</v>
      </c>
    </row>
    <row r="137" spans="1:2" x14ac:dyDescent="0.2">
      <c r="A137" s="8">
        <v>16134</v>
      </c>
      <c r="B137" s="1" t="s">
        <v>3030</v>
      </c>
    </row>
    <row r="138" spans="1:2" x14ac:dyDescent="0.2">
      <c r="A138" s="10">
        <v>16582</v>
      </c>
      <c r="B138" s="11" t="s">
        <v>3030</v>
      </c>
    </row>
    <row r="139" spans="1:2" x14ac:dyDescent="0.2">
      <c r="A139" s="8">
        <v>16641</v>
      </c>
      <c r="B139" s="1" t="s">
        <v>3030</v>
      </c>
    </row>
    <row r="140" spans="1:2" x14ac:dyDescent="0.2">
      <c r="A140" s="10">
        <v>16679</v>
      </c>
      <c r="B140" s="11" t="s">
        <v>3030</v>
      </c>
    </row>
    <row r="141" spans="1:2" x14ac:dyDescent="0.2">
      <c r="A141" s="8">
        <v>16864</v>
      </c>
      <c r="B141" s="1" t="s">
        <v>3030</v>
      </c>
    </row>
    <row r="142" spans="1:2" x14ac:dyDescent="0.2">
      <c r="A142" s="10">
        <v>16961</v>
      </c>
      <c r="B142" s="11" t="s">
        <v>3030</v>
      </c>
    </row>
    <row r="143" spans="1:2" x14ac:dyDescent="0.2">
      <c r="A143" s="8">
        <v>17058</v>
      </c>
      <c r="B143" s="1" t="s">
        <v>3030</v>
      </c>
    </row>
    <row r="144" spans="1:2" x14ac:dyDescent="0.2">
      <c r="A144" s="10">
        <v>17155</v>
      </c>
      <c r="B144" s="11" t="s">
        <v>3030</v>
      </c>
    </row>
    <row r="145" spans="1:2" x14ac:dyDescent="0.2">
      <c r="A145" s="8">
        <v>17255</v>
      </c>
      <c r="B145" s="1" t="s">
        <v>3030</v>
      </c>
    </row>
    <row r="146" spans="1:2" x14ac:dyDescent="0.2">
      <c r="A146" s="10">
        <v>17282</v>
      </c>
      <c r="B146" s="11" t="s">
        <v>3030</v>
      </c>
    </row>
    <row r="147" spans="1:2" x14ac:dyDescent="0.2">
      <c r="A147" s="8">
        <v>17313</v>
      </c>
      <c r="B147" s="1" t="s">
        <v>3030</v>
      </c>
    </row>
    <row r="148" spans="1:2" x14ac:dyDescent="0.2">
      <c r="A148" s="10">
        <v>17508</v>
      </c>
      <c r="B148" s="11" t="s">
        <v>3030</v>
      </c>
    </row>
    <row r="149" spans="1:2" x14ac:dyDescent="0.2">
      <c r="A149" s="8">
        <v>17668</v>
      </c>
      <c r="B149" s="1" t="s">
        <v>3030</v>
      </c>
    </row>
    <row r="150" spans="1:2" x14ac:dyDescent="0.2">
      <c r="A150" s="10">
        <v>17858</v>
      </c>
      <c r="B150" s="11" t="s">
        <v>3030</v>
      </c>
    </row>
    <row r="151" spans="1:2" x14ac:dyDescent="0.2">
      <c r="A151" s="8">
        <v>17985</v>
      </c>
      <c r="B151" s="1" t="s">
        <v>3030</v>
      </c>
    </row>
    <row r="152" spans="1:2" x14ac:dyDescent="0.2">
      <c r="A152" s="10">
        <v>17988</v>
      </c>
      <c r="B152" s="11" t="s">
        <v>3030</v>
      </c>
    </row>
    <row r="153" spans="1:2" x14ac:dyDescent="0.2">
      <c r="A153" s="8">
        <v>18119</v>
      </c>
      <c r="B153" s="1" t="s">
        <v>3030</v>
      </c>
    </row>
    <row r="154" spans="1:2" x14ac:dyDescent="0.2">
      <c r="A154" s="10">
        <v>18215</v>
      </c>
      <c r="B154" s="11" t="s">
        <v>3030</v>
      </c>
    </row>
    <row r="155" spans="1:2" x14ac:dyDescent="0.2">
      <c r="A155" s="8">
        <v>18336</v>
      </c>
      <c r="B155" s="1" t="s">
        <v>3030</v>
      </c>
    </row>
    <row r="156" spans="1:2" x14ac:dyDescent="0.2">
      <c r="A156" s="10">
        <v>18496</v>
      </c>
      <c r="B156" s="11" t="s">
        <v>3030</v>
      </c>
    </row>
    <row r="157" spans="1:2" x14ac:dyDescent="0.2">
      <c r="A157" s="8">
        <v>18533</v>
      </c>
      <c r="B157" s="1" t="s">
        <v>3030</v>
      </c>
    </row>
    <row r="158" spans="1:2" x14ac:dyDescent="0.2">
      <c r="A158" s="10">
        <v>18593</v>
      </c>
      <c r="B158" s="11" t="s">
        <v>3030</v>
      </c>
    </row>
    <row r="159" spans="1:2" x14ac:dyDescent="0.2">
      <c r="A159" s="8">
        <v>18661</v>
      </c>
      <c r="B159" s="1" t="s">
        <v>3030</v>
      </c>
    </row>
    <row r="160" spans="1:2" x14ac:dyDescent="0.2">
      <c r="A160" s="10">
        <v>18689</v>
      </c>
      <c r="B160" s="11" t="s">
        <v>3030</v>
      </c>
    </row>
    <row r="161" spans="1:2" x14ac:dyDescent="0.2">
      <c r="A161" s="8">
        <v>18753</v>
      </c>
      <c r="B161" s="1" t="s">
        <v>3030</v>
      </c>
    </row>
    <row r="162" spans="1:2" x14ac:dyDescent="0.2">
      <c r="A162" s="10">
        <v>18822</v>
      </c>
      <c r="B162" s="11" t="s">
        <v>3030</v>
      </c>
    </row>
    <row r="163" spans="1:2" x14ac:dyDescent="0.2">
      <c r="A163" s="8">
        <v>18919</v>
      </c>
      <c r="B163" s="1" t="s">
        <v>3030</v>
      </c>
    </row>
    <row r="164" spans="1:2" x14ac:dyDescent="0.2">
      <c r="A164" s="10">
        <v>19010</v>
      </c>
      <c r="B164" s="11" t="s">
        <v>3030</v>
      </c>
    </row>
    <row r="165" spans="1:2" x14ac:dyDescent="0.2">
      <c r="A165" s="8">
        <v>19078</v>
      </c>
      <c r="B165" s="1" t="s">
        <v>3030</v>
      </c>
    </row>
    <row r="166" spans="1:2" x14ac:dyDescent="0.2">
      <c r="A166" s="10">
        <v>19138</v>
      </c>
      <c r="B166" s="11" t="s">
        <v>3030</v>
      </c>
    </row>
    <row r="167" spans="1:2" x14ac:dyDescent="0.2">
      <c r="A167" s="8">
        <v>19523</v>
      </c>
      <c r="B167" s="1" t="s">
        <v>3030</v>
      </c>
    </row>
    <row r="168" spans="1:2" x14ac:dyDescent="0.2">
      <c r="A168" s="10">
        <v>19616</v>
      </c>
      <c r="B168" s="11" t="s">
        <v>3030</v>
      </c>
    </row>
    <row r="169" spans="1:2" x14ac:dyDescent="0.2">
      <c r="A169" s="8">
        <v>19718</v>
      </c>
      <c r="B169" s="1" t="s">
        <v>3030</v>
      </c>
    </row>
    <row r="170" spans="1:2" x14ac:dyDescent="0.2">
      <c r="A170" s="10">
        <v>20036</v>
      </c>
      <c r="B170" s="11" t="s">
        <v>3030</v>
      </c>
    </row>
    <row r="171" spans="1:2" x14ac:dyDescent="0.2">
      <c r="A171" s="8">
        <v>20134</v>
      </c>
      <c r="B171" s="1" t="s">
        <v>3030</v>
      </c>
    </row>
    <row r="172" spans="1:2" x14ac:dyDescent="0.2">
      <c r="A172" s="10">
        <v>20389</v>
      </c>
      <c r="B172" s="11" t="s">
        <v>3030</v>
      </c>
    </row>
    <row r="173" spans="1:2" x14ac:dyDescent="0.2">
      <c r="A173" s="8">
        <v>20453</v>
      </c>
      <c r="B173" s="1" t="s">
        <v>3030</v>
      </c>
    </row>
    <row r="174" spans="1:2" x14ac:dyDescent="0.2">
      <c r="A174" s="10">
        <v>20480</v>
      </c>
      <c r="B174" s="11" t="s">
        <v>3030</v>
      </c>
    </row>
    <row r="175" spans="1:2" x14ac:dyDescent="0.2">
      <c r="A175" s="8">
        <v>20486</v>
      </c>
      <c r="B175" s="1" t="s">
        <v>3030</v>
      </c>
    </row>
    <row r="176" spans="1:2" x14ac:dyDescent="0.2">
      <c r="A176" s="10">
        <v>20704</v>
      </c>
      <c r="B176" s="11" t="s">
        <v>3030</v>
      </c>
    </row>
    <row r="177" spans="1:2" x14ac:dyDescent="0.2">
      <c r="A177" s="8">
        <v>20743</v>
      </c>
      <c r="B177" s="1" t="s">
        <v>3030</v>
      </c>
    </row>
    <row r="178" spans="1:2" x14ac:dyDescent="0.2">
      <c r="A178" s="10">
        <v>20864</v>
      </c>
      <c r="B178" s="11" t="s">
        <v>3030</v>
      </c>
    </row>
    <row r="179" spans="1:2" x14ac:dyDescent="0.2">
      <c r="A179" s="8">
        <v>20899</v>
      </c>
      <c r="B179" s="1" t="s">
        <v>3030</v>
      </c>
    </row>
    <row r="180" spans="1:2" x14ac:dyDescent="0.2">
      <c r="A180" s="10">
        <v>20934</v>
      </c>
      <c r="B180" s="11" t="s">
        <v>3030</v>
      </c>
    </row>
    <row r="181" spans="1:2" x14ac:dyDescent="0.2">
      <c r="A181" s="8">
        <v>21222</v>
      </c>
      <c r="B181" s="1" t="s">
        <v>3030</v>
      </c>
    </row>
    <row r="182" spans="1:2" x14ac:dyDescent="0.2">
      <c r="A182" s="10">
        <v>21286</v>
      </c>
      <c r="B182" s="11" t="s">
        <v>3030</v>
      </c>
    </row>
    <row r="183" spans="1:2" x14ac:dyDescent="0.2">
      <c r="A183" s="8">
        <v>21346</v>
      </c>
      <c r="B183" s="1" t="s">
        <v>3030</v>
      </c>
    </row>
    <row r="184" spans="1:2" x14ac:dyDescent="0.2">
      <c r="A184" s="10">
        <v>21383</v>
      </c>
      <c r="B184" s="11" t="s">
        <v>3030</v>
      </c>
    </row>
    <row r="185" spans="1:2" x14ac:dyDescent="0.2">
      <c r="A185" s="8">
        <v>21729</v>
      </c>
      <c r="B185" s="1" t="s">
        <v>3030</v>
      </c>
    </row>
    <row r="186" spans="1:2" x14ac:dyDescent="0.2">
      <c r="A186" s="10">
        <v>21824</v>
      </c>
      <c r="B186" s="11" t="s">
        <v>3030</v>
      </c>
    </row>
    <row r="187" spans="1:2" x14ac:dyDescent="0.2">
      <c r="A187" s="8">
        <v>21890</v>
      </c>
      <c r="B187" s="1" t="s">
        <v>3030</v>
      </c>
    </row>
    <row r="188" spans="1:2" x14ac:dyDescent="0.2">
      <c r="A188" s="10">
        <v>22181</v>
      </c>
      <c r="B188" s="11" t="s">
        <v>3030</v>
      </c>
    </row>
    <row r="189" spans="1:2" x14ac:dyDescent="0.2">
      <c r="A189" s="8">
        <v>22402</v>
      </c>
      <c r="B189" s="1" t="s">
        <v>3030</v>
      </c>
    </row>
    <row r="190" spans="1:2" x14ac:dyDescent="0.2">
      <c r="A190" s="10">
        <v>22627</v>
      </c>
      <c r="B190" s="11" t="s">
        <v>3030</v>
      </c>
    </row>
    <row r="191" spans="1:2" x14ac:dyDescent="0.2">
      <c r="A191" s="8">
        <v>22656</v>
      </c>
      <c r="B191" s="1" t="s">
        <v>3030</v>
      </c>
    </row>
    <row r="192" spans="1:2" x14ac:dyDescent="0.2">
      <c r="A192" s="10">
        <v>22661</v>
      </c>
      <c r="B192" s="11" t="s">
        <v>3030</v>
      </c>
    </row>
    <row r="193" spans="1:2" x14ac:dyDescent="0.2">
      <c r="A193" s="8">
        <v>22787</v>
      </c>
      <c r="B193" s="1" t="s">
        <v>3030</v>
      </c>
    </row>
    <row r="194" spans="1:2" x14ac:dyDescent="0.2">
      <c r="A194" s="10">
        <v>22820</v>
      </c>
      <c r="B194" s="11" t="s">
        <v>3030</v>
      </c>
    </row>
    <row r="195" spans="1:2" x14ac:dyDescent="0.2">
      <c r="A195" s="8">
        <v>22947</v>
      </c>
      <c r="B195" s="1" t="s">
        <v>3030</v>
      </c>
    </row>
    <row r="196" spans="1:2" x14ac:dyDescent="0.2">
      <c r="A196" s="10">
        <v>22950</v>
      </c>
      <c r="B196" s="11" t="s">
        <v>3030</v>
      </c>
    </row>
    <row r="197" spans="1:2" x14ac:dyDescent="0.2">
      <c r="A197" s="8">
        <v>23076</v>
      </c>
      <c r="B197" s="1" t="s">
        <v>3030</v>
      </c>
    </row>
    <row r="198" spans="1:2" x14ac:dyDescent="0.2">
      <c r="A198" s="10">
        <v>23168</v>
      </c>
      <c r="B198" s="11" t="s">
        <v>3030</v>
      </c>
    </row>
    <row r="199" spans="1:2" x14ac:dyDescent="0.2">
      <c r="A199" s="8">
        <v>23488</v>
      </c>
      <c r="B199" s="1" t="s">
        <v>3030</v>
      </c>
    </row>
    <row r="200" spans="1:2" x14ac:dyDescent="0.2">
      <c r="A200" s="10">
        <v>23557</v>
      </c>
      <c r="B200" s="11" t="s">
        <v>3030</v>
      </c>
    </row>
    <row r="201" spans="1:2" x14ac:dyDescent="0.2">
      <c r="A201" s="8">
        <v>23559</v>
      </c>
      <c r="B201" s="1" t="s">
        <v>3030</v>
      </c>
    </row>
    <row r="202" spans="1:2" x14ac:dyDescent="0.2">
      <c r="A202" s="10">
        <v>23616</v>
      </c>
      <c r="B202" s="11" t="s">
        <v>3030</v>
      </c>
    </row>
    <row r="203" spans="1:2" x14ac:dyDescent="0.2">
      <c r="A203" s="8">
        <v>23619</v>
      </c>
      <c r="B203" s="1" t="s">
        <v>3030</v>
      </c>
    </row>
    <row r="204" spans="1:2" x14ac:dyDescent="0.2">
      <c r="A204" s="10">
        <v>23748</v>
      </c>
      <c r="B204" s="11" t="s">
        <v>3030</v>
      </c>
    </row>
    <row r="205" spans="1:2" x14ac:dyDescent="0.2">
      <c r="A205" s="8">
        <v>24066</v>
      </c>
      <c r="B205" s="1" t="s">
        <v>3030</v>
      </c>
    </row>
    <row r="206" spans="1:2" x14ac:dyDescent="0.2">
      <c r="A206" s="10">
        <v>24519</v>
      </c>
      <c r="B206" s="11" t="s">
        <v>3030</v>
      </c>
    </row>
    <row r="207" spans="1:2" x14ac:dyDescent="0.2">
      <c r="A207" s="8">
        <v>24707</v>
      </c>
      <c r="B207" s="1" t="s">
        <v>3030</v>
      </c>
    </row>
    <row r="208" spans="1:2" x14ac:dyDescent="0.2">
      <c r="A208" s="10">
        <v>24902</v>
      </c>
      <c r="B208" s="11" t="s">
        <v>3030</v>
      </c>
    </row>
    <row r="209" spans="1:2" x14ac:dyDescent="0.2">
      <c r="A209" s="8">
        <v>25095</v>
      </c>
      <c r="B209" s="1" t="s">
        <v>3030</v>
      </c>
    </row>
    <row r="210" spans="1:2" x14ac:dyDescent="0.2">
      <c r="A210" s="10">
        <v>25152</v>
      </c>
      <c r="B210" s="11" t="s">
        <v>3030</v>
      </c>
    </row>
    <row r="211" spans="1:2" x14ac:dyDescent="0.2">
      <c r="A211" s="8">
        <v>25157</v>
      </c>
      <c r="B211" s="1" t="s">
        <v>3030</v>
      </c>
    </row>
    <row r="212" spans="1:2" x14ac:dyDescent="0.2">
      <c r="A212" s="10">
        <v>25478</v>
      </c>
      <c r="B212" s="11" t="s">
        <v>3030</v>
      </c>
    </row>
    <row r="213" spans="1:2" x14ac:dyDescent="0.2">
      <c r="A213" s="8">
        <v>25479</v>
      </c>
      <c r="B213" s="1" t="s">
        <v>3030</v>
      </c>
    </row>
    <row r="214" spans="1:2" x14ac:dyDescent="0.2">
      <c r="A214" s="10">
        <v>25735</v>
      </c>
      <c r="B214" s="11" t="s">
        <v>3030</v>
      </c>
    </row>
    <row r="215" spans="1:2" x14ac:dyDescent="0.2">
      <c r="A215" s="8">
        <v>25799</v>
      </c>
      <c r="B215" s="1" t="s">
        <v>3030</v>
      </c>
    </row>
    <row r="216" spans="1:2" x14ac:dyDescent="0.2">
      <c r="A216" s="10">
        <v>25828</v>
      </c>
      <c r="B216" s="11" t="s">
        <v>3030</v>
      </c>
    </row>
    <row r="217" spans="1:2" x14ac:dyDescent="0.2">
      <c r="A217" s="8">
        <v>25952</v>
      </c>
      <c r="B217" s="1" t="s">
        <v>3030</v>
      </c>
    </row>
    <row r="218" spans="1:2" x14ac:dyDescent="0.2">
      <c r="A218" s="10">
        <v>26240</v>
      </c>
      <c r="B218" s="11" t="s">
        <v>3030</v>
      </c>
    </row>
    <row r="219" spans="1:2" x14ac:dyDescent="0.2">
      <c r="A219" s="8">
        <v>26372</v>
      </c>
      <c r="B219" s="1" t="s">
        <v>3030</v>
      </c>
    </row>
    <row r="220" spans="1:2" x14ac:dyDescent="0.2">
      <c r="A220" s="10">
        <v>26784</v>
      </c>
      <c r="B220" s="11" t="s">
        <v>3030</v>
      </c>
    </row>
    <row r="221" spans="1:2" x14ac:dyDescent="0.2">
      <c r="A221" s="8">
        <v>26852</v>
      </c>
      <c r="B221" s="1" t="s">
        <v>3030</v>
      </c>
    </row>
    <row r="222" spans="1:2" x14ac:dyDescent="0.2">
      <c r="A222" s="10">
        <v>26881</v>
      </c>
      <c r="B222" s="11" t="s">
        <v>3030</v>
      </c>
    </row>
    <row r="223" spans="1:2" x14ac:dyDescent="0.2">
      <c r="A223" s="8">
        <v>26982</v>
      </c>
      <c r="B223" s="1" t="s">
        <v>3030</v>
      </c>
    </row>
    <row r="224" spans="1:2" x14ac:dyDescent="0.2">
      <c r="A224" s="10">
        <v>27137</v>
      </c>
      <c r="B224" s="11" t="s">
        <v>3030</v>
      </c>
    </row>
    <row r="225" spans="1:2" x14ac:dyDescent="0.2">
      <c r="A225" s="8">
        <v>27490</v>
      </c>
      <c r="B225" s="1" t="s">
        <v>3030</v>
      </c>
    </row>
    <row r="226" spans="1:2" x14ac:dyDescent="0.2">
      <c r="A226" s="10">
        <v>27712</v>
      </c>
      <c r="B226" s="11" t="s">
        <v>3030</v>
      </c>
    </row>
    <row r="227" spans="1:2" x14ac:dyDescent="0.2">
      <c r="A227" s="8">
        <v>27744</v>
      </c>
      <c r="B227" s="1" t="s">
        <v>3030</v>
      </c>
    </row>
    <row r="228" spans="1:2" x14ac:dyDescent="0.2">
      <c r="A228" s="10">
        <v>27750</v>
      </c>
      <c r="B228" s="11" t="s">
        <v>3030</v>
      </c>
    </row>
    <row r="229" spans="1:2" x14ac:dyDescent="0.2">
      <c r="A229" s="8">
        <v>28003</v>
      </c>
      <c r="B229" s="1" t="s">
        <v>3030</v>
      </c>
    </row>
    <row r="230" spans="1:2" x14ac:dyDescent="0.2">
      <c r="A230" s="10">
        <v>28037</v>
      </c>
      <c r="B230" s="11" t="s">
        <v>3030</v>
      </c>
    </row>
    <row r="231" spans="1:2" x14ac:dyDescent="0.2">
      <c r="A231" s="8">
        <v>28291</v>
      </c>
      <c r="B231" s="1" t="s">
        <v>3030</v>
      </c>
    </row>
    <row r="232" spans="1:2" x14ac:dyDescent="0.2">
      <c r="A232" s="10">
        <v>28387</v>
      </c>
      <c r="B232" s="11" t="s">
        <v>3030</v>
      </c>
    </row>
    <row r="233" spans="1:2" x14ac:dyDescent="0.2">
      <c r="A233" s="8">
        <v>28419</v>
      </c>
      <c r="B233" s="1" t="s">
        <v>3030</v>
      </c>
    </row>
    <row r="234" spans="1:2" x14ac:dyDescent="0.2">
      <c r="A234" s="10">
        <v>28455</v>
      </c>
      <c r="B234" s="11" t="s">
        <v>3030</v>
      </c>
    </row>
    <row r="235" spans="1:2" x14ac:dyDescent="0.2">
      <c r="A235" s="8">
        <v>28544</v>
      </c>
      <c r="B235" s="1" t="s">
        <v>3030</v>
      </c>
    </row>
    <row r="236" spans="1:2" x14ac:dyDescent="0.2">
      <c r="A236" s="10">
        <v>28928</v>
      </c>
      <c r="B236" s="11" t="s">
        <v>3030</v>
      </c>
    </row>
    <row r="237" spans="1:2" x14ac:dyDescent="0.2">
      <c r="A237" s="8">
        <v>29095</v>
      </c>
      <c r="B237" s="1" t="s">
        <v>3030</v>
      </c>
    </row>
    <row r="238" spans="1:2" x14ac:dyDescent="0.2">
      <c r="A238" s="10">
        <v>29318</v>
      </c>
      <c r="B238" s="11" t="s">
        <v>3030</v>
      </c>
    </row>
    <row r="239" spans="1:2" x14ac:dyDescent="0.2">
      <c r="A239" s="8">
        <v>29376</v>
      </c>
      <c r="B239" s="1" t="s">
        <v>3030</v>
      </c>
    </row>
    <row r="240" spans="1:2" x14ac:dyDescent="0.2">
      <c r="A240" s="10">
        <v>29380</v>
      </c>
      <c r="B240" s="11" t="s">
        <v>3030</v>
      </c>
    </row>
    <row r="241" spans="1:2" x14ac:dyDescent="0.2">
      <c r="A241" s="8">
        <v>29410</v>
      </c>
      <c r="B241" s="1" t="s">
        <v>3030</v>
      </c>
    </row>
    <row r="242" spans="1:2" x14ac:dyDescent="0.2">
      <c r="A242" s="10">
        <v>29505</v>
      </c>
      <c r="B242" s="11" t="s">
        <v>3030</v>
      </c>
    </row>
    <row r="243" spans="1:2" x14ac:dyDescent="0.2">
      <c r="A243" s="8">
        <v>29506</v>
      </c>
      <c r="B243" s="1" t="s">
        <v>3030</v>
      </c>
    </row>
    <row r="244" spans="1:2" x14ac:dyDescent="0.2">
      <c r="A244" s="10">
        <v>29861</v>
      </c>
      <c r="B244" s="11" t="s">
        <v>3030</v>
      </c>
    </row>
    <row r="245" spans="1:2" x14ac:dyDescent="0.2">
      <c r="A245" s="8">
        <v>29991</v>
      </c>
      <c r="B245" s="1" t="s">
        <v>3030</v>
      </c>
    </row>
    <row r="246" spans="1:2" x14ac:dyDescent="0.2">
      <c r="A246" s="10">
        <v>30176</v>
      </c>
      <c r="B246" s="11" t="s">
        <v>3030</v>
      </c>
    </row>
    <row r="247" spans="1:2" x14ac:dyDescent="0.2">
      <c r="A247" s="8">
        <v>30403</v>
      </c>
      <c r="B247" s="1" t="s">
        <v>3030</v>
      </c>
    </row>
    <row r="248" spans="1:2" x14ac:dyDescent="0.2">
      <c r="A248" s="10">
        <v>30469</v>
      </c>
      <c r="B248" s="11" t="s">
        <v>3030</v>
      </c>
    </row>
    <row r="249" spans="1:2" x14ac:dyDescent="0.2">
      <c r="A249" s="8">
        <v>31073</v>
      </c>
      <c r="B249" s="1" t="s">
        <v>3030</v>
      </c>
    </row>
    <row r="250" spans="1:2" x14ac:dyDescent="0.2">
      <c r="A250" s="10">
        <v>31232</v>
      </c>
      <c r="B250" s="11" t="s">
        <v>3030</v>
      </c>
    </row>
    <row r="251" spans="1:2" x14ac:dyDescent="0.2">
      <c r="A251" s="8">
        <v>31303</v>
      </c>
      <c r="B251" s="1" t="s">
        <v>3030</v>
      </c>
    </row>
    <row r="252" spans="1:2" x14ac:dyDescent="0.2">
      <c r="A252" s="10">
        <v>31682</v>
      </c>
      <c r="B252" s="11" t="s">
        <v>3030</v>
      </c>
    </row>
    <row r="253" spans="1:2" x14ac:dyDescent="0.2">
      <c r="A253" s="8">
        <v>31844</v>
      </c>
      <c r="B253" s="1" t="s">
        <v>3030</v>
      </c>
    </row>
    <row r="254" spans="1:2" x14ac:dyDescent="0.2">
      <c r="A254" s="10">
        <v>31907</v>
      </c>
      <c r="B254" s="11" t="s">
        <v>3030</v>
      </c>
    </row>
    <row r="255" spans="1:2" x14ac:dyDescent="0.2">
      <c r="A255" s="8">
        <v>32036</v>
      </c>
      <c r="B255" s="1" t="s">
        <v>3030</v>
      </c>
    </row>
    <row r="256" spans="1:2" x14ac:dyDescent="0.2">
      <c r="A256" s="10">
        <v>32582</v>
      </c>
      <c r="B256" s="11" t="s">
        <v>3030</v>
      </c>
    </row>
    <row r="257" spans="1:2" x14ac:dyDescent="0.2">
      <c r="A257" s="8">
        <v>32901</v>
      </c>
      <c r="B257" s="1" t="s">
        <v>3030</v>
      </c>
    </row>
    <row r="258" spans="1:2" x14ac:dyDescent="0.2">
      <c r="A258" s="10">
        <v>32931</v>
      </c>
      <c r="B258" s="11" t="s">
        <v>3030</v>
      </c>
    </row>
    <row r="259" spans="1:2" x14ac:dyDescent="0.2">
      <c r="A259" s="8">
        <v>32966</v>
      </c>
      <c r="B259" s="1" t="s">
        <v>3030</v>
      </c>
    </row>
    <row r="260" spans="1:2" x14ac:dyDescent="0.2">
      <c r="A260" s="10">
        <v>32996</v>
      </c>
      <c r="B260" s="11" t="s">
        <v>3030</v>
      </c>
    </row>
    <row r="261" spans="1:2" x14ac:dyDescent="0.2">
      <c r="A261" s="8">
        <v>32998</v>
      </c>
      <c r="B261" s="1" t="s">
        <v>3030</v>
      </c>
    </row>
    <row r="262" spans="1:2" x14ac:dyDescent="0.2">
      <c r="A262" s="10">
        <v>33283</v>
      </c>
      <c r="B262" s="11" t="s">
        <v>3030</v>
      </c>
    </row>
    <row r="263" spans="1:2" x14ac:dyDescent="0.2">
      <c r="A263" s="8">
        <v>33317</v>
      </c>
      <c r="B263" s="1" t="s">
        <v>3030</v>
      </c>
    </row>
    <row r="264" spans="1:2" x14ac:dyDescent="0.2">
      <c r="A264" s="10">
        <v>33477</v>
      </c>
      <c r="B264" s="11" t="s">
        <v>3030</v>
      </c>
    </row>
    <row r="265" spans="1:2" x14ac:dyDescent="0.2">
      <c r="A265" s="8">
        <v>33510</v>
      </c>
      <c r="B265" s="1" t="s">
        <v>3030</v>
      </c>
    </row>
    <row r="266" spans="1:2" x14ac:dyDescent="0.2">
      <c r="A266" s="10">
        <v>33541</v>
      </c>
      <c r="B266" s="11" t="s">
        <v>3030</v>
      </c>
    </row>
    <row r="267" spans="1:2" x14ac:dyDescent="0.2">
      <c r="A267" s="8">
        <v>33637</v>
      </c>
      <c r="B267" s="1" t="s">
        <v>3030</v>
      </c>
    </row>
    <row r="268" spans="1:2" x14ac:dyDescent="0.2">
      <c r="A268" s="10">
        <v>33921</v>
      </c>
      <c r="B268" s="11" t="s">
        <v>3030</v>
      </c>
    </row>
    <row r="269" spans="1:2" x14ac:dyDescent="0.2">
      <c r="A269" s="8">
        <v>34117</v>
      </c>
      <c r="B269" s="1" t="s">
        <v>3030</v>
      </c>
    </row>
    <row r="270" spans="1:2" x14ac:dyDescent="0.2">
      <c r="A270" s="10">
        <v>34209</v>
      </c>
      <c r="B270" s="11" t="s">
        <v>3030</v>
      </c>
    </row>
    <row r="271" spans="1:2" x14ac:dyDescent="0.2">
      <c r="A271" s="8">
        <v>34338</v>
      </c>
      <c r="B271" s="1" t="s">
        <v>3030</v>
      </c>
    </row>
    <row r="272" spans="1:2" x14ac:dyDescent="0.2">
      <c r="A272" s="10">
        <v>34532</v>
      </c>
      <c r="B272" s="11" t="s">
        <v>3030</v>
      </c>
    </row>
    <row r="273" spans="1:2" x14ac:dyDescent="0.2">
      <c r="A273" s="8">
        <v>34658</v>
      </c>
      <c r="B273" s="1" t="s">
        <v>3030</v>
      </c>
    </row>
    <row r="274" spans="1:2" x14ac:dyDescent="0.2">
      <c r="A274" s="10">
        <v>34661</v>
      </c>
      <c r="B274" s="11" t="s">
        <v>3030</v>
      </c>
    </row>
    <row r="275" spans="1:2" x14ac:dyDescent="0.2">
      <c r="A275" s="8">
        <v>34689</v>
      </c>
      <c r="B275" s="1" t="s">
        <v>3030</v>
      </c>
    </row>
    <row r="276" spans="1:2" x14ac:dyDescent="0.2">
      <c r="A276" s="10">
        <v>34916</v>
      </c>
      <c r="B276" s="11" t="s">
        <v>3030</v>
      </c>
    </row>
    <row r="277" spans="1:2" x14ac:dyDescent="0.2">
      <c r="A277" s="8">
        <v>35047</v>
      </c>
      <c r="B277" s="1" t="s">
        <v>3030</v>
      </c>
    </row>
    <row r="278" spans="1:2" x14ac:dyDescent="0.2">
      <c r="A278" s="10">
        <v>35110</v>
      </c>
      <c r="B278" s="11" t="s">
        <v>3030</v>
      </c>
    </row>
    <row r="279" spans="1:2" x14ac:dyDescent="0.2">
      <c r="A279" s="8">
        <v>35111</v>
      </c>
      <c r="B279" s="1" t="s">
        <v>3030</v>
      </c>
    </row>
    <row r="280" spans="1:2" x14ac:dyDescent="0.2">
      <c r="A280" s="10">
        <v>35137</v>
      </c>
      <c r="B280" s="11" t="s">
        <v>3030</v>
      </c>
    </row>
    <row r="281" spans="1:2" x14ac:dyDescent="0.2">
      <c r="A281" s="8">
        <v>35366</v>
      </c>
      <c r="B281" s="1" t="s">
        <v>3030</v>
      </c>
    </row>
    <row r="282" spans="1:2" x14ac:dyDescent="0.2">
      <c r="A282" s="10">
        <v>35492</v>
      </c>
      <c r="B282" s="11" t="s">
        <v>3030</v>
      </c>
    </row>
    <row r="283" spans="1:2" x14ac:dyDescent="0.2">
      <c r="A283" s="8">
        <v>35554</v>
      </c>
      <c r="B283" s="1" t="s">
        <v>3030</v>
      </c>
    </row>
    <row r="284" spans="1:2" x14ac:dyDescent="0.2">
      <c r="A284" s="10">
        <v>35588</v>
      </c>
      <c r="B284" s="11" t="s">
        <v>3030</v>
      </c>
    </row>
    <row r="285" spans="1:2" x14ac:dyDescent="0.2">
      <c r="A285" s="8">
        <v>35687</v>
      </c>
      <c r="B285" s="1" t="s">
        <v>3030</v>
      </c>
    </row>
    <row r="286" spans="1:2" x14ac:dyDescent="0.2">
      <c r="A286" s="10">
        <v>35744</v>
      </c>
      <c r="B286" s="11" t="s">
        <v>3030</v>
      </c>
    </row>
    <row r="287" spans="1:2" x14ac:dyDescent="0.2">
      <c r="A287" s="8">
        <v>35877</v>
      </c>
      <c r="B287" s="1" t="s">
        <v>3030</v>
      </c>
    </row>
    <row r="288" spans="1:2" x14ac:dyDescent="0.2">
      <c r="A288" s="10">
        <v>35910</v>
      </c>
      <c r="B288" s="11" t="s">
        <v>3030</v>
      </c>
    </row>
    <row r="289" spans="1:2" x14ac:dyDescent="0.2">
      <c r="A289" s="8">
        <v>35936</v>
      </c>
      <c r="B289" s="1" t="s">
        <v>3030</v>
      </c>
    </row>
    <row r="290" spans="1:2" x14ac:dyDescent="0.2">
      <c r="A290" s="10">
        <v>36038</v>
      </c>
      <c r="B290" s="11" t="s">
        <v>3030</v>
      </c>
    </row>
    <row r="291" spans="1:2" x14ac:dyDescent="0.2">
      <c r="A291" s="8">
        <v>36067</v>
      </c>
      <c r="B291" s="1" t="s">
        <v>3030</v>
      </c>
    </row>
    <row r="292" spans="1:2" x14ac:dyDescent="0.2">
      <c r="A292" s="10">
        <v>36160</v>
      </c>
      <c r="B292" s="11" t="s">
        <v>3030</v>
      </c>
    </row>
    <row r="293" spans="1:2" x14ac:dyDescent="0.2">
      <c r="A293" s="8">
        <v>36262</v>
      </c>
      <c r="B293" s="1" t="s">
        <v>3030</v>
      </c>
    </row>
    <row r="294" spans="1:2" x14ac:dyDescent="0.2">
      <c r="A294" s="10">
        <v>36449</v>
      </c>
      <c r="B294" s="11" t="s">
        <v>3030</v>
      </c>
    </row>
    <row r="295" spans="1:2" x14ac:dyDescent="0.2">
      <c r="A295" s="8">
        <v>36609</v>
      </c>
      <c r="B295" s="1" t="s">
        <v>3030</v>
      </c>
    </row>
    <row r="296" spans="1:2" x14ac:dyDescent="0.2">
      <c r="A296" s="10">
        <v>36676</v>
      </c>
      <c r="B296" s="11" t="s">
        <v>3030</v>
      </c>
    </row>
    <row r="297" spans="1:2" x14ac:dyDescent="0.2">
      <c r="A297" s="8">
        <v>36679</v>
      </c>
      <c r="B297" s="1" t="s">
        <v>3030</v>
      </c>
    </row>
    <row r="298" spans="1:2" x14ac:dyDescent="0.2">
      <c r="A298" s="10">
        <v>36705</v>
      </c>
      <c r="B298" s="11" t="s">
        <v>3030</v>
      </c>
    </row>
    <row r="299" spans="1:2" x14ac:dyDescent="0.2">
      <c r="A299" s="8">
        <v>36707</v>
      </c>
      <c r="B299" s="1" t="s">
        <v>3030</v>
      </c>
    </row>
    <row r="300" spans="1:2" x14ac:dyDescent="0.2">
      <c r="A300" s="10">
        <v>36743</v>
      </c>
      <c r="B300" s="11" t="s">
        <v>3030</v>
      </c>
    </row>
    <row r="301" spans="1:2" x14ac:dyDescent="0.2">
      <c r="A301" s="8">
        <v>36772</v>
      </c>
      <c r="B301" s="1" t="s">
        <v>3030</v>
      </c>
    </row>
    <row r="302" spans="1:2" x14ac:dyDescent="0.2">
      <c r="A302" s="10">
        <v>36773</v>
      </c>
      <c r="B302" s="11" t="s">
        <v>3030</v>
      </c>
    </row>
    <row r="303" spans="1:2" x14ac:dyDescent="0.2">
      <c r="A303" s="8">
        <v>36932</v>
      </c>
      <c r="B303" s="1" t="s">
        <v>3030</v>
      </c>
    </row>
    <row r="304" spans="1:2" x14ac:dyDescent="0.2">
      <c r="A304" s="10">
        <v>36934</v>
      </c>
      <c r="B304" s="11" t="s">
        <v>3030</v>
      </c>
    </row>
    <row r="305" spans="1:2" x14ac:dyDescent="0.2">
      <c r="A305" s="8">
        <v>36992</v>
      </c>
      <c r="B305" s="1" t="s">
        <v>3030</v>
      </c>
    </row>
    <row r="306" spans="1:2" x14ac:dyDescent="0.2">
      <c r="A306" s="10">
        <v>36994</v>
      </c>
      <c r="B306" s="11" t="s">
        <v>3030</v>
      </c>
    </row>
    <row r="307" spans="1:2" x14ac:dyDescent="0.2">
      <c r="A307" s="8">
        <v>36998</v>
      </c>
      <c r="B307" s="1" t="s">
        <v>3030</v>
      </c>
    </row>
    <row r="308" spans="1:2" x14ac:dyDescent="0.2">
      <c r="A308" s="10">
        <v>36999</v>
      </c>
      <c r="B308" s="11" t="s">
        <v>3030</v>
      </c>
    </row>
    <row r="309" spans="1:2" x14ac:dyDescent="0.2">
      <c r="A309" s="8">
        <v>37250</v>
      </c>
      <c r="B309" s="1" t="s">
        <v>3030</v>
      </c>
    </row>
    <row r="310" spans="1:2" x14ac:dyDescent="0.2">
      <c r="A310" s="10">
        <v>37380</v>
      </c>
      <c r="B310" s="11" t="s">
        <v>3030</v>
      </c>
    </row>
    <row r="311" spans="1:2" x14ac:dyDescent="0.2">
      <c r="A311" s="8">
        <v>37414</v>
      </c>
      <c r="B311" s="1" t="s">
        <v>3030</v>
      </c>
    </row>
    <row r="312" spans="1:2" x14ac:dyDescent="0.2">
      <c r="A312" s="10">
        <v>37572</v>
      </c>
      <c r="B312" s="11" t="s">
        <v>3030</v>
      </c>
    </row>
    <row r="313" spans="1:2" x14ac:dyDescent="0.2">
      <c r="A313" s="8">
        <v>37760</v>
      </c>
      <c r="B313" s="1" t="s">
        <v>3030</v>
      </c>
    </row>
    <row r="314" spans="1:2" x14ac:dyDescent="0.2">
      <c r="A314" s="10">
        <v>37860</v>
      </c>
      <c r="B314" s="11" t="s">
        <v>3030</v>
      </c>
    </row>
    <row r="315" spans="1:2" x14ac:dyDescent="0.2">
      <c r="A315" s="8">
        <v>37862</v>
      </c>
      <c r="B315" s="1" t="s">
        <v>3030</v>
      </c>
    </row>
    <row r="316" spans="1:2" x14ac:dyDescent="0.2">
      <c r="A316" s="10">
        <v>37924</v>
      </c>
      <c r="B316" s="11" t="s">
        <v>3030</v>
      </c>
    </row>
    <row r="317" spans="1:2" x14ac:dyDescent="0.2">
      <c r="A317" s="8">
        <v>38050</v>
      </c>
      <c r="B317" s="1" t="s">
        <v>3030</v>
      </c>
    </row>
    <row r="318" spans="1:2" x14ac:dyDescent="0.2">
      <c r="A318" s="10">
        <v>38210</v>
      </c>
      <c r="B318" s="11" t="s">
        <v>3030</v>
      </c>
    </row>
    <row r="319" spans="1:2" x14ac:dyDescent="0.2">
      <c r="A319" s="8">
        <v>38240</v>
      </c>
      <c r="B319" s="1" t="s">
        <v>3030</v>
      </c>
    </row>
    <row r="320" spans="1:2" x14ac:dyDescent="0.2">
      <c r="A320" s="10">
        <v>38272</v>
      </c>
      <c r="B320" s="11" t="s">
        <v>3030</v>
      </c>
    </row>
    <row r="321" spans="1:2" x14ac:dyDescent="0.2">
      <c r="A321" s="8">
        <v>38400</v>
      </c>
      <c r="B321" s="1" t="s">
        <v>3030</v>
      </c>
    </row>
    <row r="322" spans="1:2" x14ac:dyDescent="0.2">
      <c r="A322" s="10">
        <v>38530</v>
      </c>
      <c r="B322" s="11" t="s">
        <v>3030</v>
      </c>
    </row>
    <row r="323" spans="1:2" x14ac:dyDescent="0.2">
      <c r="A323" s="8">
        <v>38596</v>
      </c>
      <c r="B323" s="1" t="s">
        <v>3030</v>
      </c>
    </row>
    <row r="324" spans="1:2" x14ac:dyDescent="0.2">
      <c r="A324" s="10">
        <v>38661</v>
      </c>
      <c r="B324" s="11" t="s">
        <v>3030</v>
      </c>
    </row>
    <row r="325" spans="1:2" x14ac:dyDescent="0.2">
      <c r="A325" s="8">
        <v>38787</v>
      </c>
      <c r="B325" s="1" t="s">
        <v>3030</v>
      </c>
    </row>
    <row r="326" spans="1:2" x14ac:dyDescent="0.2">
      <c r="A326" s="10">
        <v>39043</v>
      </c>
      <c r="B326" s="11" t="s">
        <v>3030</v>
      </c>
    </row>
    <row r="327" spans="1:2" x14ac:dyDescent="0.2">
      <c r="A327" s="8">
        <v>39075</v>
      </c>
      <c r="B327" s="1" t="s">
        <v>3030</v>
      </c>
    </row>
    <row r="328" spans="1:2" x14ac:dyDescent="0.2">
      <c r="A328" s="10">
        <v>39169</v>
      </c>
      <c r="B328" s="11" t="s">
        <v>3030</v>
      </c>
    </row>
    <row r="329" spans="1:2" x14ac:dyDescent="0.2">
      <c r="A329" s="8">
        <v>39333</v>
      </c>
      <c r="B329" s="1" t="s">
        <v>3030</v>
      </c>
    </row>
    <row r="330" spans="1:2" x14ac:dyDescent="0.2">
      <c r="A330" s="10">
        <v>39490</v>
      </c>
      <c r="B330" s="11" t="s">
        <v>3030</v>
      </c>
    </row>
    <row r="331" spans="1:2" x14ac:dyDescent="0.2">
      <c r="A331" s="8">
        <v>39555</v>
      </c>
      <c r="B331" s="1" t="s">
        <v>3030</v>
      </c>
    </row>
    <row r="332" spans="1:2" x14ac:dyDescent="0.2">
      <c r="A332" s="10">
        <v>39619</v>
      </c>
      <c r="B332" s="11" t="s">
        <v>3030</v>
      </c>
    </row>
    <row r="333" spans="1:2" x14ac:dyDescent="0.2">
      <c r="A333" s="8">
        <v>39872</v>
      </c>
      <c r="B333" s="1" t="s">
        <v>3030</v>
      </c>
    </row>
    <row r="334" spans="1:2" x14ac:dyDescent="0.2">
      <c r="A334" s="10">
        <v>39904</v>
      </c>
      <c r="B334" s="11" t="s">
        <v>3030</v>
      </c>
    </row>
    <row r="335" spans="1:2" x14ac:dyDescent="0.2">
      <c r="A335" s="8">
        <v>39943</v>
      </c>
      <c r="B335" s="1" t="s">
        <v>3030</v>
      </c>
    </row>
    <row r="336" spans="1:2" x14ac:dyDescent="0.2">
      <c r="A336" s="10">
        <v>40097</v>
      </c>
      <c r="B336" s="11" t="s">
        <v>3030</v>
      </c>
    </row>
    <row r="337" spans="1:2" x14ac:dyDescent="0.2">
      <c r="A337" s="8">
        <v>40132</v>
      </c>
      <c r="B337" s="1" t="s">
        <v>3030</v>
      </c>
    </row>
    <row r="338" spans="1:2" x14ac:dyDescent="0.2">
      <c r="A338" s="10">
        <v>40134</v>
      </c>
      <c r="B338" s="11" t="s">
        <v>3030</v>
      </c>
    </row>
    <row r="339" spans="1:2" x14ac:dyDescent="0.2">
      <c r="A339" s="8">
        <v>40160</v>
      </c>
      <c r="B339" s="1" t="s">
        <v>3030</v>
      </c>
    </row>
    <row r="340" spans="1:2" x14ac:dyDescent="0.2">
      <c r="A340" s="10">
        <v>40354</v>
      </c>
      <c r="B340" s="11" t="s">
        <v>3030</v>
      </c>
    </row>
    <row r="341" spans="1:2" x14ac:dyDescent="0.2">
      <c r="A341" s="8">
        <v>40802</v>
      </c>
      <c r="B341" s="1" t="s">
        <v>3030</v>
      </c>
    </row>
    <row r="342" spans="1:2" x14ac:dyDescent="0.2">
      <c r="A342" s="10">
        <v>40806</v>
      </c>
      <c r="B342" s="11" t="s">
        <v>3030</v>
      </c>
    </row>
    <row r="343" spans="1:2" x14ac:dyDescent="0.2">
      <c r="A343" s="8">
        <v>41059</v>
      </c>
      <c r="B343" s="1" t="s">
        <v>3030</v>
      </c>
    </row>
    <row r="344" spans="1:2" x14ac:dyDescent="0.2">
      <c r="A344" s="10">
        <v>41120</v>
      </c>
      <c r="B344" s="11" t="s">
        <v>3030</v>
      </c>
    </row>
    <row r="345" spans="1:2" x14ac:dyDescent="0.2">
      <c r="A345" s="8">
        <v>41186</v>
      </c>
      <c r="B345" s="1" t="s">
        <v>3030</v>
      </c>
    </row>
    <row r="346" spans="1:2" x14ac:dyDescent="0.2">
      <c r="A346" s="10">
        <v>41216</v>
      </c>
      <c r="B346" s="11" t="s">
        <v>3030</v>
      </c>
    </row>
    <row r="347" spans="1:2" x14ac:dyDescent="0.2">
      <c r="A347" s="8">
        <v>41508</v>
      </c>
      <c r="B347" s="1" t="s">
        <v>3030</v>
      </c>
    </row>
    <row r="348" spans="1:2" x14ac:dyDescent="0.2">
      <c r="A348" s="10">
        <v>41760</v>
      </c>
      <c r="B348" s="11" t="s">
        <v>3030</v>
      </c>
    </row>
    <row r="349" spans="1:2" x14ac:dyDescent="0.2">
      <c r="A349" s="8">
        <v>41861</v>
      </c>
      <c r="B349" s="1" t="s">
        <v>3030</v>
      </c>
    </row>
    <row r="350" spans="1:2" x14ac:dyDescent="0.2">
      <c r="A350" s="10">
        <v>42342</v>
      </c>
      <c r="B350" s="11" t="s">
        <v>3030</v>
      </c>
    </row>
    <row r="351" spans="1:2" x14ac:dyDescent="0.2">
      <c r="A351" s="8">
        <v>42375</v>
      </c>
      <c r="B351" s="1" t="s">
        <v>3030</v>
      </c>
    </row>
    <row r="352" spans="1:2" x14ac:dyDescent="0.2">
      <c r="A352" s="10">
        <v>42436</v>
      </c>
      <c r="B352" s="11" t="s">
        <v>3030</v>
      </c>
    </row>
    <row r="353" spans="1:2" x14ac:dyDescent="0.2">
      <c r="A353" s="8">
        <v>42563</v>
      </c>
      <c r="B353" s="1" t="s">
        <v>3030</v>
      </c>
    </row>
    <row r="354" spans="1:2" x14ac:dyDescent="0.2">
      <c r="A354" s="10">
        <v>42628</v>
      </c>
      <c r="B354" s="11" t="s">
        <v>3030</v>
      </c>
    </row>
    <row r="355" spans="1:2" x14ac:dyDescent="0.2">
      <c r="A355" s="8">
        <v>42788</v>
      </c>
      <c r="B355" s="1" t="s">
        <v>3030</v>
      </c>
    </row>
    <row r="356" spans="1:2" x14ac:dyDescent="0.2">
      <c r="A356" s="10">
        <v>42823</v>
      </c>
      <c r="B356" s="11" t="s">
        <v>3030</v>
      </c>
    </row>
    <row r="357" spans="1:2" x14ac:dyDescent="0.2">
      <c r="A357" s="8">
        <v>42850</v>
      </c>
      <c r="B357" s="1" t="s">
        <v>3030</v>
      </c>
    </row>
    <row r="358" spans="1:2" x14ac:dyDescent="0.2">
      <c r="A358" s="10">
        <v>42912</v>
      </c>
      <c r="B358" s="11" t="s">
        <v>3030</v>
      </c>
    </row>
    <row r="359" spans="1:2" x14ac:dyDescent="0.2">
      <c r="A359" s="8">
        <v>42945</v>
      </c>
      <c r="B359" s="1" t="s">
        <v>3030</v>
      </c>
    </row>
    <row r="360" spans="1:2" x14ac:dyDescent="0.2">
      <c r="A360" s="10">
        <v>43138</v>
      </c>
      <c r="B360" s="11" t="s">
        <v>3030</v>
      </c>
    </row>
    <row r="361" spans="1:2" x14ac:dyDescent="0.2">
      <c r="A361" s="8">
        <v>43140</v>
      </c>
      <c r="B361" s="1" t="s">
        <v>3030</v>
      </c>
    </row>
    <row r="362" spans="1:2" x14ac:dyDescent="0.2">
      <c r="A362" s="10">
        <v>43203</v>
      </c>
      <c r="B362" s="11" t="s">
        <v>3030</v>
      </c>
    </row>
    <row r="363" spans="1:2" x14ac:dyDescent="0.2">
      <c r="A363" s="8">
        <v>43269</v>
      </c>
      <c r="B363" s="1" t="s">
        <v>3030</v>
      </c>
    </row>
    <row r="364" spans="1:2" x14ac:dyDescent="0.2">
      <c r="A364" s="10">
        <v>43488</v>
      </c>
      <c r="B364" s="11" t="s">
        <v>3030</v>
      </c>
    </row>
    <row r="365" spans="1:2" x14ac:dyDescent="0.2">
      <c r="A365" s="8">
        <v>43494</v>
      </c>
      <c r="B365" s="1" t="s">
        <v>3030</v>
      </c>
    </row>
    <row r="366" spans="1:2" x14ac:dyDescent="0.2">
      <c r="A366" s="10">
        <v>43585</v>
      </c>
      <c r="B366" s="11" t="s">
        <v>3030</v>
      </c>
    </row>
    <row r="367" spans="1:2" x14ac:dyDescent="0.2">
      <c r="A367" s="8">
        <v>43713</v>
      </c>
      <c r="B367" s="1" t="s">
        <v>3030</v>
      </c>
    </row>
    <row r="368" spans="1:2" x14ac:dyDescent="0.2">
      <c r="A368" s="10">
        <v>44098</v>
      </c>
      <c r="B368" s="11" t="s">
        <v>3030</v>
      </c>
    </row>
    <row r="369" spans="1:2" x14ac:dyDescent="0.2">
      <c r="A369" s="8">
        <v>44292</v>
      </c>
      <c r="B369" s="1" t="s">
        <v>3030</v>
      </c>
    </row>
    <row r="370" spans="1:2" x14ac:dyDescent="0.2">
      <c r="A370" s="10">
        <v>44486</v>
      </c>
      <c r="B370" s="11" t="s">
        <v>3030</v>
      </c>
    </row>
    <row r="371" spans="1:2" x14ac:dyDescent="0.2">
      <c r="A371" s="8">
        <v>44579</v>
      </c>
      <c r="B371" s="1" t="s">
        <v>3030</v>
      </c>
    </row>
    <row r="372" spans="1:2" x14ac:dyDescent="0.2">
      <c r="A372" s="10">
        <v>44583</v>
      </c>
      <c r="B372" s="11" t="s">
        <v>3030</v>
      </c>
    </row>
    <row r="373" spans="1:2" x14ac:dyDescent="0.2">
      <c r="A373" s="8">
        <v>44869</v>
      </c>
      <c r="B373" s="1" t="s">
        <v>3030</v>
      </c>
    </row>
    <row r="374" spans="1:2" x14ac:dyDescent="0.2">
      <c r="A374" s="10">
        <v>44962</v>
      </c>
      <c r="B374" s="11" t="s">
        <v>3030</v>
      </c>
    </row>
    <row r="375" spans="1:2" x14ac:dyDescent="0.2">
      <c r="A375" s="8">
        <v>45127</v>
      </c>
      <c r="B375" s="1" t="s">
        <v>3030</v>
      </c>
    </row>
    <row r="376" spans="1:2" x14ac:dyDescent="0.2">
      <c r="A376" s="10">
        <v>45605</v>
      </c>
      <c r="B376" s="11" t="s">
        <v>3030</v>
      </c>
    </row>
    <row r="377" spans="1:2" x14ac:dyDescent="0.2">
      <c r="A377" s="8">
        <v>45632</v>
      </c>
      <c r="B377" s="1" t="s">
        <v>3030</v>
      </c>
    </row>
    <row r="378" spans="1:2" x14ac:dyDescent="0.2">
      <c r="A378" s="10">
        <v>45698</v>
      </c>
      <c r="B378" s="11" t="s">
        <v>3030</v>
      </c>
    </row>
    <row r="379" spans="1:2" x14ac:dyDescent="0.2">
      <c r="A379" s="8">
        <v>45767</v>
      </c>
      <c r="B379" s="1" t="s">
        <v>3030</v>
      </c>
    </row>
    <row r="380" spans="1:2" x14ac:dyDescent="0.2">
      <c r="A380" s="10">
        <v>45794</v>
      </c>
      <c r="B380" s="11" t="s">
        <v>3030</v>
      </c>
    </row>
    <row r="381" spans="1:2" x14ac:dyDescent="0.2">
      <c r="A381" s="8">
        <v>45863</v>
      </c>
      <c r="B381" s="1" t="s">
        <v>3030</v>
      </c>
    </row>
    <row r="382" spans="1:2" x14ac:dyDescent="0.2">
      <c r="A382" s="10">
        <v>46052</v>
      </c>
      <c r="B382" s="11" t="s">
        <v>3030</v>
      </c>
    </row>
    <row r="383" spans="1:2" x14ac:dyDescent="0.2">
      <c r="A383" s="8">
        <v>46276</v>
      </c>
      <c r="B383" s="1" t="s">
        <v>3030</v>
      </c>
    </row>
    <row r="384" spans="1:2" x14ac:dyDescent="0.2">
      <c r="A384" s="10">
        <v>46311</v>
      </c>
      <c r="B384" s="11" t="s">
        <v>3030</v>
      </c>
    </row>
    <row r="385" spans="1:2" x14ac:dyDescent="0.2">
      <c r="A385" s="8">
        <v>46341</v>
      </c>
      <c r="B385" s="1" t="s">
        <v>3030</v>
      </c>
    </row>
    <row r="386" spans="1:2" x14ac:dyDescent="0.2">
      <c r="A386" s="10">
        <v>46375</v>
      </c>
      <c r="B386" s="11" t="s">
        <v>3030</v>
      </c>
    </row>
    <row r="387" spans="1:2" x14ac:dyDescent="0.2">
      <c r="A387" s="8">
        <v>46497</v>
      </c>
      <c r="B387" s="1" t="s">
        <v>3030</v>
      </c>
    </row>
    <row r="388" spans="1:2" x14ac:dyDescent="0.2">
      <c r="A388" s="10">
        <v>46662</v>
      </c>
      <c r="B388" s="11" t="s">
        <v>3030</v>
      </c>
    </row>
    <row r="389" spans="1:2" x14ac:dyDescent="0.2">
      <c r="A389" s="8">
        <v>46852</v>
      </c>
      <c r="B389" s="1" t="s">
        <v>3030</v>
      </c>
    </row>
    <row r="390" spans="1:2" x14ac:dyDescent="0.2">
      <c r="A390" s="10">
        <v>47078</v>
      </c>
      <c r="B390" s="11" t="s">
        <v>3030</v>
      </c>
    </row>
    <row r="391" spans="1:2" x14ac:dyDescent="0.2">
      <c r="A391" s="8">
        <v>47079</v>
      </c>
      <c r="B391" s="1" t="s">
        <v>3030</v>
      </c>
    </row>
    <row r="392" spans="1:2" x14ac:dyDescent="0.2">
      <c r="A392" s="10">
        <v>47109</v>
      </c>
      <c r="B392" s="11" t="s">
        <v>3030</v>
      </c>
    </row>
    <row r="393" spans="1:2" x14ac:dyDescent="0.2">
      <c r="A393" s="8">
        <v>47138</v>
      </c>
      <c r="B393" s="1" t="s">
        <v>3030</v>
      </c>
    </row>
    <row r="394" spans="1:2" x14ac:dyDescent="0.2">
      <c r="A394" s="10">
        <v>47174</v>
      </c>
      <c r="B394" s="11" t="s">
        <v>3030</v>
      </c>
    </row>
    <row r="395" spans="1:2" x14ac:dyDescent="0.2">
      <c r="A395" s="8">
        <v>47265</v>
      </c>
      <c r="B395" s="1" t="s">
        <v>3030</v>
      </c>
    </row>
    <row r="396" spans="1:2" x14ac:dyDescent="0.2">
      <c r="A396" s="10">
        <v>47271</v>
      </c>
      <c r="B396" s="11" t="s">
        <v>3030</v>
      </c>
    </row>
    <row r="397" spans="1:2" x14ac:dyDescent="0.2">
      <c r="A397" s="8">
        <v>47457</v>
      </c>
      <c r="B397" s="1" t="s">
        <v>3030</v>
      </c>
    </row>
    <row r="398" spans="1:2" x14ac:dyDescent="0.2">
      <c r="A398" s="10">
        <v>47494</v>
      </c>
      <c r="B398" s="11" t="s">
        <v>3030</v>
      </c>
    </row>
    <row r="399" spans="1:2" x14ac:dyDescent="0.2">
      <c r="A399" s="8">
        <v>47620</v>
      </c>
      <c r="B399" s="1" t="s">
        <v>3030</v>
      </c>
    </row>
    <row r="400" spans="1:2" x14ac:dyDescent="0.2">
      <c r="A400" s="10">
        <v>47621</v>
      </c>
      <c r="B400" s="11" t="s">
        <v>3030</v>
      </c>
    </row>
    <row r="401" spans="1:2" x14ac:dyDescent="0.2">
      <c r="A401" s="8">
        <v>47813</v>
      </c>
      <c r="B401" s="1" t="s">
        <v>3030</v>
      </c>
    </row>
    <row r="402" spans="1:2" x14ac:dyDescent="0.2">
      <c r="A402" s="10">
        <v>47876</v>
      </c>
      <c r="B402" s="11" t="s">
        <v>3030</v>
      </c>
    </row>
    <row r="403" spans="1:2" x14ac:dyDescent="0.2">
      <c r="A403" s="8">
        <v>47910</v>
      </c>
      <c r="B403" s="1" t="s">
        <v>3030</v>
      </c>
    </row>
    <row r="404" spans="1:2" x14ac:dyDescent="0.2">
      <c r="A404" s="10">
        <v>48293</v>
      </c>
      <c r="B404" s="11" t="s">
        <v>3030</v>
      </c>
    </row>
    <row r="405" spans="1:2" x14ac:dyDescent="0.2">
      <c r="A405" s="8">
        <v>48295</v>
      </c>
      <c r="B405" s="1" t="s">
        <v>3030</v>
      </c>
    </row>
    <row r="406" spans="1:2" x14ac:dyDescent="0.2">
      <c r="A406" s="10">
        <v>48321</v>
      </c>
      <c r="B406" s="11" t="s">
        <v>3030</v>
      </c>
    </row>
    <row r="407" spans="1:2" x14ac:dyDescent="0.2">
      <c r="A407" s="8">
        <v>48353</v>
      </c>
      <c r="B407" s="1" t="s">
        <v>3030</v>
      </c>
    </row>
    <row r="408" spans="1:2" x14ac:dyDescent="0.2">
      <c r="A408" s="10">
        <v>48391</v>
      </c>
      <c r="B408" s="11" t="s">
        <v>3030</v>
      </c>
    </row>
    <row r="409" spans="1:2" x14ac:dyDescent="0.2">
      <c r="A409" s="8">
        <v>48448</v>
      </c>
      <c r="B409" s="1" t="s">
        <v>3030</v>
      </c>
    </row>
    <row r="410" spans="1:2" x14ac:dyDescent="0.2">
      <c r="A410" s="10">
        <v>48486</v>
      </c>
      <c r="B410" s="11" t="s">
        <v>3030</v>
      </c>
    </row>
    <row r="411" spans="1:2" x14ac:dyDescent="0.2">
      <c r="A411" s="8">
        <v>48487</v>
      </c>
      <c r="B411" s="1" t="s">
        <v>3030</v>
      </c>
    </row>
    <row r="412" spans="1:2" x14ac:dyDescent="0.2">
      <c r="A412" s="10">
        <v>48615</v>
      </c>
      <c r="B412" s="11" t="s">
        <v>3030</v>
      </c>
    </row>
    <row r="413" spans="1:2" x14ac:dyDescent="0.2">
      <c r="A413" s="8">
        <v>48710</v>
      </c>
      <c r="B413" s="1" t="s">
        <v>3030</v>
      </c>
    </row>
    <row r="414" spans="1:2" x14ac:dyDescent="0.2">
      <c r="A414" s="10">
        <v>48773</v>
      </c>
      <c r="B414" s="11" t="s">
        <v>3030</v>
      </c>
    </row>
    <row r="415" spans="1:2" x14ac:dyDescent="0.2">
      <c r="A415" s="8">
        <v>48775</v>
      </c>
      <c r="B415" s="1" t="s">
        <v>3030</v>
      </c>
    </row>
    <row r="416" spans="1:2" x14ac:dyDescent="0.2">
      <c r="A416" s="10">
        <v>48931</v>
      </c>
      <c r="B416" s="11" t="s">
        <v>3030</v>
      </c>
    </row>
    <row r="417" spans="1:2" x14ac:dyDescent="0.2">
      <c r="A417" s="8">
        <v>49026</v>
      </c>
      <c r="B417" s="1" t="s">
        <v>3030</v>
      </c>
    </row>
    <row r="418" spans="1:2" x14ac:dyDescent="0.2">
      <c r="A418" s="10">
        <v>49027</v>
      </c>
      <c r="B418" s="11" t="s">
        <v>3030</v>
      </c>
    </row>
    <row r="419" spans="1:2" x14ac:dyDescent="0.2">
      <c r="A419" s="8">
        <v>49123</v>
      </c>
      <c r="B419" s="1" t="s">
        <v>3030</v>
      </c>
    </row>
    <row r="420" spans="1:2" x14ac:dyDescent="0.2">
      <c r="A420" s="10">
        <v>49255</v>
      </c>
      <c r="B420" s="11" t="s">
        <v>3030</v>
      </c>
    </row>
    <row r="421" spans="1:2" x14ac:dyDescent="0.2">
      <c r="A421" s="8">
        <v>49349</v>
      </c>
      <c r="B421" s="1" t="s">
        <v>3030</v>
      </c>
    </row>
    <row r="422" spans="1:2" x14ac:dyDescent="0.2">
      <c r="A422" s="10">
        <v>49412</v>
      </c>
      <c r="B422" s="11" t="s">
        <v>3030</v>
      </c>
    </row>
    <row r="423" spans="1:2" x14ac:dyDescent="0.2">
      <c r="A423" s="8">
        <v>49510</v>
      </c>
      <c r="B423" s="1" t="s">
        <v>3030</v>
      </c>
    </row>
    <row r="424" spans="1:2" x14ac:dyDescent="0.2">
      <c r="A424" s="10">
        <v>49668</v>
      </c>
      <c r="B424" s="11" t="s">
        <v>3030</v>
      </c>
    </row>
    <row r="425" spans="1:2" x14ac:dyDescent="0.2">
      <c r="A425" s="8">
        <v>49762</v>
      </c>
      <c r="B425" s="1" t="s">
        <v>3030</v>
      </c>
    </row>
    <row r="426" spans="1:2" x14ac:dyDescent="0.2">
      <c r="A426" s="10">
        <v>49797</v>
      </c>
      <c r="B426" s="11" t="s">
        <v>3030</v>
      </c>
    </row>
    <row r="427" spans="1:2" x14ac:dyDescent="0.2">
      <c r="A427" s="8">
        <v>49830</v>
      </c>
      <c r="B427" s="1" t="s">
        <v>3030</v>
      </c>
    </row>
    <row r="428" spans="1:2" x14ac:dyDescent="0.2">
      <c r="A428" s="10">
        <v>49924</v>
      </c>
      <c r="B428" s="11" t="s">
        <v>3030</v>
      </c>
    </row>
    <row r="429" spans="1:2" x14ac:dyDescent="0.2">
      <c r="A429" s="8">
        <v>49988</v>
      </c>
      <c r="B429" s="1" t="s">
        <v>3030</v>
      </c>
    </row>
    <row r="430" spans="1:2" x14ac:dyDescent="0.2">
      <c r="A430" s="10">
        <v>50048</v>
      </c>
      <c r="B430" s="11" t="s">
        <v>3030</v>
      </c>
    </row>
    <row r="431" spans="1:2" x14ac:dyDescent="0.2">
      <c r="A431" s="8">
        <v>50081</v>
      </c>
      <c r="B431" s="1" t="s">
        <v>3030</v>
      </c>
    </row>
    <row r="432" spans="1:2" x14ac:dyDescent="0.2">
      <c r="A432" s="10">
        <v>50083</v>
      </c>
      <c r="B432" s="11" t="s">
        <v>3030</v>
      </c>
    </row>
    <row r="433" spans="1:2" x14ac:dyDescent="0.2">
      <c r="A433" s="8">
        <v>50087</v>
      </c>
      <c r="B433" s="1" t="s">
        <v>3030</v>
      </c>
    </row>
    <row r="434" spans="1:2" x14ac:dyDescent="0.2">
      <c r="A434" s="10">
        <v>50147</v>
      </c>
      <c r="B434" s="11" t="s">
        <v>3030</v>
      </c>
    </row>
    <row r="435" spans="1:2" x14ac:dyDescent="0.2">
      <c r="A435" s="8">
        <v>50246</v>
      </c>
      <c r="B435" s="1" t="s">
        <v>3030</v>
      </c>
    </row>
    <row r="436" spans="1:2" x14ac:dyDescent="0.2">
      <c r="A436" s="10">
        <v>50307</v>
      </c>
      <c r="B436" s="11" t="s">
        <v>3030</v>
      </c>
    </row>
    <row r="437" spans="1:2" x14ac:dyDescent="0.2">
      <c r="A437" s="8">
        <v>50374</v>
      </c>
      <c r="B437" s="1" t="s">
        <v>3030</v>
      </c>
    </row>
    <row r="438" spans="1:2" x14ac:dyDescent="0.2">
      <c r="A438" s="10">
        <v>50432</v>
      </c>
      <c r="B438" s="11" t="s">
        <v>3030</v>
      </c>
    </row>
    <row r="439" spans="1:2" x14ac:dyDescent="0.2">
      <c r="A439" s="8">
        <v>50501</v>
      </c>
      <c r="B439" s="1" t="s">
        <v>3030</v>
      </c>
    </row>
    <row r="440" spans="1:2" x14ac:dyDescent="0.2">
      <c r="A440" s="10">
        <v>50564</v>
      </c>
      <c r="B440" s="11" t="s">
        <v>3030</v>
      </c>
    </row>
    <row r="441" spans="1:2" x14ac:dyDescent="0.2">
      <c r="A441" s="8">
        <v>50566</v>
      </c>
      <c r="B441" s="1" t="s">
        <v>3030</v>
      </c>
    </row>
    <row r="442" spans="1:2" x14ac:dyDescent="0.2">
      <c r="A442" s="10">
        <v>50663</v>
      </c>
      <c r="B442" s="11" t="s">
        <v>3030</v>
      </c>
    </row>
    <row r="443" spans="1:2" x14ac:dyDescent="0.2">
      <c r="A443" s="8">
        <v>50721</v>
      </c>
      <c r="B443" s="1" t="s">
        <v>3030</v>
      </c>
    </row>
    <row r="444" spans="1:2" x14ac:dyDescent="0.2">
      <c r="A444" s="10">
        <v>50789</v>
      </c>
      <c r="B444" s="11" t="s">
        <v>3030</v>
      </c>
    </row>
    <row r="445" spans="1:2" x14ac:dyDescent="0.2">
      <c r="A445" s="8">
        <v>50818</v>
      </c>
      <c r="B445" s="1" t="s">
        <v>3030</v>
      </c>
    </row>
    <row r="446" spans="1:2" x14ac:dyDescent="0.2">
      <c r="A446" s="10">
        <v>50823</v>
      </c>
      <c r="B446" s="11" t="s">
        <v>3030</v>
      </c>
    </row>
    <row r="447" spans="1:2" x14ac:dyDescent="0.2">
      <c r="A447" s="8">
        <v>50850</v>
      </c>
      <c r="B447" s="1" t="s">
        <v>3030</v>
      </c>
    </row>
    <row r="448" spans="1:2" x14ac:dyDescent="0.2">
      <c r="A448" s="10">
        <v>50914</v>
      </c>
      <c r="B448" s="11" t="s">
        <v>3030</v>
      </c>
    </row>
    <row r="449" spans="1:2" x14ac:dyDescent="0.2">
      <c r="A449" s="8">
        <v>51075</v>
      </c>
      <c r="B449" s="1" t="s">
        <v>3030</v>
      </c>
    </row>
    <row r="450" spans="1:2" x14ac:dyDescent="0.2">
      <c r="A450" s="10">
        <v>51239</v>
      </c>
      <c r="B450" s="11" t="s">
        <v>3030</v>
      </c>
    </row>
    <row r="451" spans="1:2" x14ac:dyDescent="0.2">
      <c r="A451" s="8">
        <v>51271</v>
      </c>
      <c r="B451" s="1" t="s">
        <v>3030</v>
      </c>
    </row>
    <row r="452" spans="1:2" x14ac:dyDescent="0.2">
      <c r="A452" s="10">
        <v>51302</v>
      </c>
      <c r="B452" s="11" t="s">
        <v>3030</v>
      </c>
    </row>
    <row r="453" spans="1:2" x14ac:dyDescent="0.2">
      <c r="A453" s="8">
        <v>51553</v>
      </c>
      <c r="B453" s="1" t="s">
        <v>3030</v>
      </c>
    </row>
    <row r="454" spans="1:2" x14ac:dyDescent="0.2">
      <c r="A454" s="10">
        <v>51554</v>
      </c>
      <c r="B454" s="11" t="s">
        <v>3030</v>
      </c>
    </row>
    <row r="455" spans="1:2" x14ac:dyDescent="0.2">
      <c r="A455" s="8">
        <v>51559</v>
      </c>
      <c r="B455" s="1" t="s">
        <v>3030</v>
      </c>
    </row>
    <row r="456" spans="1:2" x14ac:dyDescent="0.2">
      <c r="A456" s="10">
        <v>51876</v>
      </c>
      <c r="B456" s="11" t="s">
        <v>3030</v>
      </c>
    </row>
    <row r="457" spans="1:2" x14ac:dyDescent="0.2">
      <c r="A457" s="8">
        <v>51879</v>
      </c>
      <c r="B457" s="1" t="s">
        <v>3030</v>
      </c>
    </row>
    <row r="458" spans="1:2" x14ac:dyDescent="0.2">
      <c r="A458" s="10">
        <v>51940</v>
      </c>
      <c r="B458" s="11" t="s">
        <v>3030</v>
      </c>
    </row>
    <row r="459" spans="1:2" x14ac:dyDescent="0.2">
      <c r="A459" s="8">
        <v>52035</v>
      </c>
      <c r="B459" s="1" t="s">
        <v>3030</v>
      </c>
    </row>
    <row r="460" spans="1:2" x14ac:dyDescent="0.2">
      <c r="A460" s="10">
        <v>52068</v>
      </c>
      <c r="B460" s="11" t="s">
        <v>3030</v>
      </c>
    </row>
    <row r="461" spans="1:2" x14ac:dyDescent="0.2">
      <c r="A461" s="8">
        <v>52258</v>
      </c>
      <c r="B461" s="1" t="s">
        <v>3030</v>
      </c>
    </row>
    <row r="462" spans="1:2" x14ac:dyDescent="0.2">
      <c r="A462" s="10">
        <v>52288</v>
      </c>
      <c r="B462" s="11" t="s">
        <v>3030</v>
      </c>
    </row>
    <row r="463" spans="1:2" x14ac:dyDescent="0.2">
      <c r="A463" s="8">
        <v>52327</v>
      </c>
      <c r="B463" s="1" t="s">
        <v>3030</v>
      </c>
    </row>
    <row r="464" spans="1:2" x14ac:dyDescent="0.2">
      <c r="A464" s="10">
        <v>52518</v>
      </c>
      <c r="B464" s="11" t="s">
        <v>3030</v>
      </c>
    </row>
    <row r="465" spans="1:2" x14ac:dyDescent="0.2">
      <c r="A465" s="8">
        <v>52608</v>
      </c>
      <c r="B465" s="1" t="s">
        <v>3030</v>
      </c>
    </row>
    <row r="466" spans="1:2" x14ac:dyDescent="0.2">
      <c r="A466" s="10">
        <v>52611</v>
      </c>
      <c r="B466" s="11" t="s">
        <v>3030</v>
      </c>
    </row>
    <row r="467" spans="1:2" x14ac:dyDescent="0.2">
      <c r="A467" s="8">
        <v>52678</v>
      </c>
      <c r="B467" s="1" t="s">
        <v>3030</v>
      </c>
    </row>
    <row r="468" spans="1:2" x14ac:dyDescent="0.2">
      <c r="A468" s="10">
        <v>52805</v>
      </c>
      <c r="B468" s="11" t="s">
        <v>3030</v>
      </c>
    </row>
    <row r="469" spans="1:2" x14ac:dyDescent="0.2">
      <c r="A469" s="8">
        <v>53285</v>
      </c>
      <c r="B469" s="1" t="s">
        <v>3030</v>
      </c>
    </row>
    <row r="470" spans="1:2" x14ac:dyDescent="0.2">
      <c r="A470" s="10">
        <v>53536</v>
      </c>
      <c r="B470" s="11" t="s">
        <v>3030</v>
      </c>
    </row>
    <row r="471" spans="1:2" x14ac:dyDescent="0.2">
      <c r="A471" s="8">
        <v>53600</v>
      </c>
      <c r="B471" s="1" t="s">
        <v>3030</v>
      </c>
    </row>
    <row r="472" spans="1:2" x14ac:dyDescent="0.2">
      <c r="A472" s="10">
        <v>53767</v>
      </c>
      <c r="B472" s="11" t="s">
        <v>3030</v>
      </c>
    </row>
    <row r="473" spans="1:2" x14ac:dyDescent="0.2">
      <c r="A473" s="8">
        <v>54086</v>
      </c>
      <c r="B473" s="1" t="s">
        <v>3030</v>
      </c>
    </row>
    <row r="474" spans="1:2" x14ac:dyDescent="0.2">
      <c r="A474" s="10">
        <v>54119</v>
      </c>
      <c r="B474" s="11" t="s">
        <v>3030</v>
      </c>
    </row>
    <row r="475" spans="1:2" x14ac:dyDescent="0.2">
      <c r="A475" s="8">
        <v>54151</v>
      </c>
      <c r="B475" s="1" t="s">
        <v>3030</v>
      </c>
    </row>
    <row r="476" spans="1:2" x14ac:dyDescent="0.2">
      <c r="A476" s="10">
        <v>54215</v>
      </c>
      <c r="B476" s="11" t="s">
        <v>3030</v>
      </c>
    </row>
    <row r="477" spans="1:2" x14ac:dyDescent="0.2">
      <c r="A477" s="8">
        <v>54243</v>
      </c>
      <c r="B477" s="1" t="s">
        <v>3030</v>
      </c>
    </row>
    <row r="478" spans="1:2" x14ac:dyDescent="0.2">
      <c r="A478" s="10">
        <v>54245</v>
      </c>
      <c r="B478" s="11" t="s">
        <v>3030</v>
      </c>
    </row>
    <row r="479" spans="1:2" x14ac:dyDescent="0.2">
      <c r="A479" s="8">
        <v>54339</v>
      </c>
      <c r="B479" s="1" t="s">
        <v>3030</v>
      </c>
    </row>
    <row r="480" spans="1:2" x14ac:dyDescent="0.2">
      <c r="A480" s="10">
        <v>54368</v>
      </c>
      <c r="B480" s="11" t="s">
        <v>3030</v>
      </c>
    </row>
    <row r="481" spans="1:2" x14ac:dyDescent="0.2">
      <c r="A481" s="8">
        <v>54371</v>
      </c>
      <c r="B481" s="1" t="s">
        <v>3030</v>
      </c>
    </row>
    <row r="482" spans="1:2" x14ac:dyDescent="0.2">
      <c r="A482" s="10">
        <v>54563</v>
      </c>
      <c r="B482" s="11" t="s">
        <v>3030</v>
      </c>
    </row>
    <row r="483" spans="1:2" x14ac:dyDescent="0.2">
      <c r="A483" s="8">
        <v>54595</v>
      </c>
      <c r="B483" s="1" t="s">
        <v>3030</v>
      </c>
    </row>
    <row r="484" spans="1:2" x14ac:dyDescent="0.2">
      <c r="A484" s="10">
        <v>54721</v>
      </c>
      <c r="B484" s="11" t="s">
        <v>3030</v>
      </c>
    </row>
    <row r="485" spans="1:2" x14ac:dyDescent="0.2">
      <c r="A485" s="8">
        <v>54755</v>
      </c>
      <c r="B485" s="1" t="s">
        <v>3030</v>
      </c>
    </row>
    <row r="486" spans="1:2" x14ac:dyDescent="0.2">
      <c r="A486" s="10">
        <v>54787</v>
      </c>
      <c r="B486" s="11" t="s">
        <v>3030</v>
      </c>
    </row>
    <row r="487" spans="1:2" x14ac:dyDescent="0.2">
      <c r="A487" s="8">
        <v>54914</v>
      </c>
      <c r="B487" s="1" t="s">
        <v>3030</v>
      </c>
    </row>
    <row r="488" spans="1:2" x14ac:dyDescent="0.2">
      <c r="A488" s="10">
        <v>55172</v>
      </c>
      <c r="B488" s="11" t="s">
        <v>3030</v>
      </c>
    </row>
    <row r="489" spans="1:2" x14ac:dyDescent="0.2">
      <c r="A489" s="8">
        <v>55203</v>
      </c>
      <c r="B489" s="1" t="s">
        <v>3030</v>
      </c>
    </row>
    <row r="490" spans="1:2" x14ac:dyDescent="0.2">
      <c r="A490" s="10">
        <v>55235</v>
      </c>
      <c r="B490" s="11" t="s">
        <v>3030</v>
      </c>
    </row>
    <row r="491" spans="1:2" x14ac:dyDescent="0.2">
      <c r="A491" s="8">
        <v>55330</v>
      </c>
      <c r="B491" s="1" t="s">
        <v>3030</v>
      </c>
    </row>
    <row r="492" spans="1:2" x14ac:dyDescent="0.2">
      <c r="A492" s="10">
        <v>55526</v>
      </c>
      <c r="B492" s="11" t="s">
        <v>3030</v>
      </c>
    </row>
    <row r="493" spans="1:2" x14ac:dyDescent="0.2">
      <c r="A493" s="8">
        <v>55616</v>
      </c>
      <c r="B493" s="1" t="s">
        <v>3030</v>
      </c>
    </row>
    <row r="494" spans="1:2" x14ac:dyDescent="0.2">
      <c r="A494" s="10">
        <v>55618</v>
      </c>
      <c r="B494" s="11" t="s">
        <v>3030</v>
      </c>
    </row>
    <row r="495" spans="1:2" x14ac:dyDescent="0.2">
      <c r="A495" s="8">
        <v>55623</v>
      </c>
      <c r="B495" s="1" t="s">
        <v>3030</v>
      </c>
    </row>
    <row r="496" spans="1:2" x14ac:dyDescent="0.2">
      <c r="A496" s="10">
        <v>55747</v>
      </c>
      <c r="B496" s="11" t="s">
        <v>3030</v>
      </c>
    </row>
    <row r="497" spans="1:2" x14ac:dyDescent="0.2">
      <c r="A497" s="8">
        <v>55776</v>
      </c>
      <c r="B497" s="1" t="s">
        <v>3030</v>
      </c>
    </row>
    <row r="498" spans="1:2" x14ac:dyDescent="0.2">
      <c r="A498" s="10">
        <v>55808</v>
      </c>
      <c r="B498" s="11" t="s">
        <v>3030</v>
      </c>
    </row>
    <row r="499" spans="1:2" x14ac:dyDescent="0.2">
      <c r="A499" s="8">
        <v>55874</v>
      </c>
      <c r="B499" s="1" t="s">
        <v>3030</v>
      </c>
    </row>
    <row r="500" spans="1:2" x14ac:dyDescent="0.2">
      <c r="A500" s="10">
        <v>55877</v>
      </c>
      <c r="B500" s="11" t="s">
        <v>3030</v>
      </c>
    </row>
    <row r="501" spans="1:2" x14ac:dyDescent="0.2">
      <c r="A501" s="8">
        <v>55968</v>
      </c>
      <c r="B501" s="1" t="s">
        <v>3030</v>
      </c>
    </row>
    <row r="502" spans="1:2" x14ac:dyDescent="0.2">
      <c r="A502" s="10">
        <v>56101</v>
      </c>
      <c r="B502" s="11" t="s">
        <v>3030</v>
      </c>
    </row>
    <row r="503" spans="1:2" x14ac:dyDescent="0.2">
      <c r="A503" s="8">
        <v>56128</v>
      </c>
      <c r="B503" s="1" t="s">
        <v>3030</v>
      </c>
    </row>
    <row r="504" spans="1:2" x14ac:dyDescent="0.2">
      <c r="A504" s="10">
        <v>56257</v>
      </c>
      <c r="B504" s="11" t="s">
        <v>3030</v>
      </c>
    </row>
    <row r="505" spans="1:2" x14ac:dyDescent="0.2">
      <c r="A505" s="8">
        <v>56387</v>
      </c>
      <c r="B505" s="1" t="s">
        <v>3030</v>
      </c>
    </row>
    <row r="506" spans="1:2" x14ac:dyDescent="0.2">
      <c r="A506" s="10">
        <v>56452</v>
      </c>
      <c r="B506" s="11" t="s">
        <v>3030</v>
      </c>
    </row>
    <row r="507" spans="1:2" x14ac:dyDescent="0.2">
      <c r="A507" s="8">
        <v>56514</v>
      </c>
      <c r="B507" s="1" t="s">
        <v>3030</v>
      </c>
    </row>
    <row r="508" spans="1:2" x14ac:dyDescent="0.2">
      <c r="A508" s="10">
        <v>56582</v>
      </c>
      <c r="B508" s="11" t="s">
        <v>3030</v>
      </c>
    </row>
    <row r="509" spans="1:2" x14ac:dyDescent="0.2">
      <c r="A509" s="8">
        <v>56612</v>
      </c>
      <c r="B509" s="1" t="s">
        <v>3030</v>
      </c>
    </row>
    <row r="510" spans="1:2" x14ac:dyDescent="0.2">
      <c r="A510" s="10">
        <v>56768</v>
      </c>
      <c r="B510" s="11" t="s">
        <v>3030</v>
      </c>
    </row>
    <row r="511" spans="1:2" x14ac:dyDescent="0.2">
      <c r="A511" s="8">
        <v>56769</v>
      </c>
      <c r="B511" s="1" t="s">
        <v>3030</v>
      </c>
    </row>
    <row r="512" spans="1:2" x14ac:dyDescent="0.2">
      <c r="A512" s="10">
        <v>56868</v>
      </c>
      <c r="B512" s="11" t="s">
        <v>3030</v>
      </c>
    </row>
    <row r="513" spans="1:2" x14ac:dyDescent="0.2">
      <c r="A513" s="8">
        <v>56901</v>
      </c>
      <c r="B513" s="1" t="s">
        <v>3030</v>
      </c>
    </row>
    <row r="514" spans="1:2" x14ac:dyDescent="0.2">
      <c r="A514" s="10">
        <v>56930</v>
      </c>
      <c r="B514" s="11" t="s">
        <v>3030</v>
      </c>
    </row>
    <row r="515" spans="1:2" x14ac:dyDescent="0.2">
      <c r="A515" s="8">
        <v>56931</v>
      </c>
      <c r="B515" s="1" t="s">
        <v>3030</v>
      </c>
    </row>
    <row r="516" spans="1:2" x14ac:dyDescent="0.2">
      <c r="A516" s="10">
        <v>57157</v>
      </c>
      <c r="B516" s="11" t="s">
        <v>3030</v>
      </c>
    </row>
    <row r="517" spans="1:2" x14ac:dyDescent="0.2">
      <c r="A517" s="8">
        <v>57190</v>
      </c>
      <c r="B517" s="1" t="s">
        <v>3030</v>
      </c>
    </row>
    <row r="518" spans="1:2" x14ac:dyDescent="0.2">
      <c r="A518" s="10">
        <v>57248</v>
      </c>
      <c r="B518" s="11" t="s">
        <v>3030</v>
      </c>
    </row>
    <row r="519" spans="1:2" x14ac:dyDescent="0.2">
      <c r="A519" s="8">
        <v>57253</v>
      </c>
      <c r="B519" s="1" t="s">
        <v>3030</v>
      </c>
    </row>
    <row r="520" spans="1:2" x14ac:dyDescent="0.2">
      <c r="A520" s="10">
        <v>57440</v>
      </c>
      <c r="B520" s="11" t="s">
        <v>3030</v>
      </c>
    </row>
    <row r="521" spans="1:2" x14ac:dyDescent="0.2">
      <c r="A521" s="8">
        <v>57510</v>
      </c>
      <c r="B521" s="1" t="s">
        <v>3030</v>
      </c>
    </row>
    <row r="522" spans="1:2" x14ac:dyDescent="0.2">
      <c r="A522" s="10">
        <v>57600</v>
      </c>
      <c r="B522" s="11" t="s">
        <v>3030</v>
      </c>
    </row>
    <row r="523" spans="1:2" x14ac:dyDescent="0.2">
      <c r="A523" s="8">
        <v>57638</v>
      </c>
      <c r="B523" s="1" t="s">
        <v>3030</v>
      </c>
    </row>
    <row r="524" spans="1:2" x14ac:dyDescent="0.2">
      <c r="A524" s="10">
        <v>57986</v>
      </c>
      <c r="B524" s="11" t="s">
        <v>3030</v>
      </c>
    </row>
    <row r="525" spans="1:2" x14ac:dyDescent="0.2">
      <c r="A525" s="8">
        <v>58368</v>
      </c>
      <c r="B525" s="1" t="s">
        <v>3030</v>
      </c>
    </row>
    <row r="526" spans="1:2" x14ac:dyDescent="0.2">
      <c r="A526" s="10">
        <v>58372</v>
      </c>
      <c r="B526" s="11" t="s">
        <v>3030</v>
      </c>
    </row>
    <row r="527" spans="1:2" x14ac:dyDescent="0.2">
      <c r="A527" s="8">
        <v>58470</v>
      </c>
      <c r="B527" s="1" t="s">
        <v>3030</v>
      </c>
    </row>
    <row r="528" spans="1:2" x14ac:dyDescent="0.2">
      <c r="A528" s="10">
        <v>58500</v>
      </c>
      <c r="B528" s="11" t="s">
        <v>3030</v>
      </c>
    </row>
    <row r="529" spans="1:2" x14ac:dyDescent="0.2">
      <c r="A529" s="8">
        <v>58566</v>
      </c>
      <c r="B529" s="1" t="s">
        <v>3030</v>
      </c>
    </row>
    <row r="530" spans="1:2" x14ac:dyDescent="0.2">
      <c r="A530" s="10">
        <v>58688</v>
      </c>
      <c r="B530" s="11" t="s">
        <v>3030</v>
      </c>
    </row>
    <row r="531" spans="1:2" x14ac:dyDescent="0.2">
      <c r="A531" s="8">
        <v>58720</v>
      </c>
      <c r="B531" s="1" t="s">
        <v>3030</v>
      </c>
    </row>
    <row r="532" spans="1:2" x14ac:dyDescent="0.2">
      <c r="A532" s="10">
        <v>58725</v>
      </c>
      <c r="B532" s="11" t="s">
        <v>3030</v>
      </c>
    </row>
    <row r="533" spans="1:2" x14ac:dyDescent="0.2">
      <c r="A533" s="8">
        <v>58818</v>
      </c>
      <c r="B533" s="1" t="s">
        <v>3030</v>
      </c>
    </row>
    <row r="534" spans="1:2" x14ac:dyDescent="0.2">
      <c r="A534" s="10">
        <v>58949</v>
      </c>
      <c r="B534" s="11" t="s">
        <v>3030</v>
      </c>
    </row>
    <row r="535" spans="1:2" x14ac:dyDescent="0.2">
      <c r="A535" s="8">
        <v>59009</v>
      </c>
      <c r="B535" s="1" t="s">
        <v>3030</v>
      </c>
    </row>
    <row r="536" spans="1:2" x14ac:dyDescent="0.2">
      <c r="A536" s="10">
        <v>59047</v>
      </c>
      <c r="B536" s="11" t="s">
        <v>3030</v>
      </c>
    </row>
    <row r="537" spans="1:2" x14ac:dyDescent="0.2">
      <c r="A537" s="8">
        <v>59072</v>
      </c>
      <c r="B537" s="1" t="s">
        <v>3030</v>
      </c>
    </row>
    <row r="538" spans="1:2" x14ac:dyDescent="0.2">
      <c r="A538" s="10">
        <v>59139</v>
      </c>
      <c r="B538" s="11" t="s">
        <v>3030</v>
      </c>
    </row>
    <row r="539" spans="1:2" x14ac:dyDescent="0.2">
      <c r="A539" s="8">
        <v>59171</v>
      </c>
      <c r="B539" s="1" t="s">
        <v>3030</v>
      </c>
    </row>
    <row r="540" spans="1:2" x14ac:dyDescent="0.2">
      <c r="A540" s="10">
        <v>59585</v>
      </c>
      <c r="B540" s="11" t="s">
        <v>3030</v>
      </c>
    </row>
    <row r="541" spans="1:2" x14ac:dyDescent="0.2">
      <c r="A541" s="8">
        <v>59652</v>
      </c>
      <c r="B541" s="1" t="s">
        <v>3030</v>
      </c>
    </row>
    <row r="542" spans="1:2" x14ac:dyDescent="0.2">
      <c r="A542" s="10">
        <v>59680</v>
      </c>
      <c r="B542" s="11" t="s">
        <v>3030</v>
      </c>
    </row>
    <row r="543" spans="1:2" x14ac:dyDescent="0.2">
      <c r="A543" s="8">
        <v>59683</v>
      </c>
      <c r="B543" s="1" t="s">
        <v>3030</v>
      </c>
    </row>
    <row r="544" spans="1:2" x14ac:dyDescent="0.2">
      <c r="A544" s="10">
        <v>59776</v>
      </c>
      <c r="B544" s="11" t="s">
        <v>3030</v>
      </c>
    </row>
    <row r="545" spans="1:2" x14ac:dyDescent="0.2">
      <c r="A545" s="8">
        <v>59879</v>
      </c>
      <c r="B545" s="1" t="s">
        <v>3030</v>
      </c>
    </row>
    <row r="546" spans="1:2" x14ac:dyDescent="0.2">
      <c r="A546" s="10">
        <v>59937</v>
      </c>
      <c r="B546" s="11" t="s">
        <v>3030</v>
      </c>
    </row>
    <row r="547" spans="1:2" x14ac:dyDescent="0.2">
      <c r="A547" s="8">
        <v>123132</v>
      </c>
      <c r="B547" s="1" t="s">
        <v>3030</v>
      </c>
    </row>
    <row r="548" spans="1:2" x14ac:dyDescent="0.2">
      <c r="A548" s="10">
        <v>123166</v>
      </c>
      <c r="B548" s="11" t="s">
        <v>3030</v>
      </c>
    </row>
    <row r="549" spans="1:2" x14ac:dyDescent="0.2">
      <c r="A549" s="8">
        <v>123194</v>
      </c>
      <c r="B549" s="1" t="s">
        <v>3030</v>
      </c>
    </row>
    <row r="550" spans="1:2" x14ac:dyDescent="0.2">
      <c r="A550" s="10">
        <v>123258</v>
      </c>
      <c r="B550" s="11" t="s">
        <v>3030</v>
      </c>
    </row>
    <row r="551" spans="1:2" x14ac:dyDescent="0.2">
      <c r="A551" s="8">
        <v>123323</v>
      </c>
      <c r="B551" s="1" t="s">
        <v>3030</v>
      </c>
    </row>
    <row r="552" spans="1:2" x14ac:dyDescent="0.2">
      <c r="A552" s="10">
        <v>123359</v>
      </c>
      <c r="B552" s="11" t="s">
        <v>3030</v>
      </c>
    </row>
    <row r="553" spans="1:2" x14ac:dyDescent="0.2">
      <c r="A553" s="8">
        <v>123481</v>
      </c>
      <c r="B553" s="1" t="s">
        <v>3030</v>
      </c>
    </row>
    <row r="554" spans="1:2" x14ac:dyDescent="0.2">
      <c r="A554" s="10">
        <v>123483</v>
      </c>
      <c r="B554" s="11" t="s">
        <v>3030</v>
      </c>
    </row>
    <row r="555" spans="1:2" x14ac:dyDescent="0.2">
      <c r="A555" s="8">
        <v>123487</v>
      </c>
      <c r="B555" s="1" t="s">
        <v>3030</v>
      </c>
    </row>
    <row r="556" spans="1:2" x14ac:dyDescent="0.2">
      <c r="A556" s="10">
        <v>123512</v>
      </c>
      <c r="B556" s="11" t="s">
        <v>3030</v>
      </c>
    </row>
    <row r="557" spans="1:2" x14ac:dyDescent="0.2">
      <c r="A557" s="8">
        <v>123614</v>
      </c>
      <c r="B557" s="1" t="s">
        <v>3030</v>
      </c>
    </row>
    <row r="558" spans="1:2" x14ac:dyDescent="0.2">
      <c r="A558" s="10">
        <v>123769</v>
      </c>
      <c r="B558" s="11" t="s">
        <v>3030</v>
      </c>
    </row>
    <row r="559" spans="1:2" x14ac:dyDescent="0.2">
      <c r="A559" s="8">
        <v>123801</v>
      </c>
      <c r="B559" s="1" t="s">
        <v>3030</v>
      </c>
    </row>
    <row r="560" spans="1:2" x14ac:dyDescent="0.2">
      <c r="A560" s="10">
        <v>123802</v>
      </c>
      <c r="B560" s="11" t="s">
        <v>3030</v>
      </c>
    </row>
    <row r="561" spans="1:2" x14ac:dyDescent="0.2">
      <c r="A561" s="8">
        <v>123807</v>
      </c>
      <c r="B561" s="1" t="s">
        <v>3030</v>
      </c>
    </row>
    <row r="562" spans="1:2" x14ac:dyDescent="0.2">
      <c r="A562" s="10">
        <v>123837</v>
      </c>
      <c r="B562" s="11" t="s">
        <v>3030</v>
      </c>
    </row>
    <row r="563" spans="1:2" x14ac:dyDescent="0.2">
      <c r="A563" s="8">
        <v>123870</v>
      </c>
      <c r="B563" s="1" t="s">
        <v>3030</v>
      </c>
    </row>
    <row r="564" spans="1:2" x14ac:dyDescent="0.2">
      <c r="A564" s="10">
        <v>123902</v>
      </c>
      <c r="B564" s="11" t="s">
        <v>3030</v>
      </c>
    </row>
    <row r="565" spans="1:2" x14ac:dyDescent="0.2">
      <c r="A565" s="8">
        <v>123928</v>
      </c>
      <c r="B565" s="1" t="s">
        <v>3030</v>
      </c>
    </row>
    <row r="566" spans="1:2" x14ac:dyDescent="0.2">
      <c r="A566" s="10">
        <v>123994</v>
      </c>
      <c r="B566" s="11" t="s">
        <v>3030</v>
      </c>
    </row>
    <row r="567" spans="1:2" x14ac:dyDescent="0.2">
      <c r="A567" s="8">
        <v>124031</v>
      </c>
      <c r="B567" s="1" t="s">
        <v>3030</v>
      </c>
    </row>
    <row r="568" spans="1:2" x14ac:dyDescent="0.2">
      <c r="A568" s="10">
        <v>124059</v>
      </c>
      <c r="B568" s="11" t="s">
        <v>3030</v>
      </c>
    </row>
    <row r="569" spans="1:2" x14ac:dyDescent="0.2">
      <c r="A569" s="8">
        <v>124060</v>
      </c>
      <c r="B569" s="1" t="s">
        <v>3030</v>
      </c>
    </row>
    <row r="570" spans="1:2" x14ac:dyDescent="0.2">
      <c r="A570" s="10">
        <v>124154</v>
      </c>
      <c r="B570" s="11" t="s">
        <v>3030</v>
      </c>
    </row>
    <row r="571" spans="1:2" x14ac:dyDescent="0.2">
      <c r="A571" s="8">
        <v>124282</v>
      </c>
      <c r="B571" s="1" t="s">
        <v>3030</v>
      </c>
    </row>
    <row r="572" spans="1:2" x14ac:dyDescent="0.2">
      <c r="A572" s="10">
        <v>124286</v>
      </c>
      <c r="B572" s="11" t="s">
        <v>3030</v>
      </c>
    </row>
    <row r="573" spans="1:2" x14ac:dyDescent="0.2">
      <c r="A573" s="8">
        <v>124287</v>
      </c>
      <c r="B573" s="1" t="s">
        <v>3030</v>
      </c>
    </row>
    <row r="574" spans="1:2" x14ac:dyDescent="0.2">
      <c r="A574" s="10">
        <v>124345</v>
      </c>
      <c r="B574" s="11" t="s">
        <v>3030</v>
      </c>
    </row>
    <row r="575" spans="1:2" x14ac:dyDescent="0.2">
      <c r="A575" s="8">
        <v>124444</v>
      </c>
      <c r="B575" s="1" t="s">
        <v>3030</v>
      </c>
    </row>
    <row r="576" spans="1:2" x14ac:dyDescent="0.2">
      <c r="A576" s="10">
        <v>124507</v>
      </c>
      <c r="B576" s="11" t="s">
        <v>3030</v>
      </c>
    </row>
    <row r="577" spans="1:2" x14ac:dyDescent="0.2">
      <c r="A577" s="8">
        <v>124538</v>
      </c>
      <c r="B577" s="1" t="s">
        <v>3030</v>
      </c>
    </row>
    <row r="578" spans="1:2" x14ac:dyDescent="0.2">
      <c r="A578" s="10">
        <v>124701</v>
      </c>
      <c r="B578" s="11" t="s">
        <v>3030</v>
      </c>
    </row>
    <row r="579" spans="1:2" x14ac:dyDescent="0.2">
      <c r="A579" s="8">
        <v>124761</v>
      </c>
      <c r="B579" s="1" t="s">
        <v>3030</v>
      </c>
    </row>
    <row r="580" spans="1:2" x14ac:dyDescent="0.2">
      <c r="A580" s="10">
        <v>124799</v>
      </c>
      <c r="B580" s="11" t="s">
        <v>3030</v>
      </c>
    </row>
    <row r="581" spans="1:2" x14ac:dyDescent="0.2">
      <c r="A581" s="8">
        <v>124892</v>
      </c>
      <c r="B581" s="1" t="s">
        <v>3030</v>
      </c>
    </row>
    <row r="582" spans="1:2" x14ac:dyDescent="0.2">
      <c r="A582" s="10">
        <v>124921</v>
      </c>
      <c r="B582" s="11" t="s">
        <v>3030</v>
      </c>
    </row>
    <row r="583" spans="1:2" x14ac:dyDescent="0.2">
      <c r="A583" s="8">
        <v>124985</v>
      </c>
      <c r="B583" s="1" t="s">
        <v>3030</v>
      </c>
    </row>
    <row r="584" spans="1:2" x14ac:dyDescent="0.2">
      <c r="A584" s="10">
        <v>124988</v>
      </c>
      <c r="B584" s="11" t="s">
        <v>3030</v>
      </c>
    </row>
    <row r="585" spans="1:2" x14ac:dyDescent="0.2">
      <c r="A585" s="8">
        <v>124991</v>
      </c>
      <c r="B585" s="1" t="s">
        <v>3030</v>
      </c>
    </row>
    <row r="586" spans="1:2" x14ac:dyDescent="0.2">
      <c r="A586" s="10">
        <v>125149</v>
      </c>
      <c r="B586" s="11" t="s">
        <v>3030</v>
      </c>
    </row>
    <row r="587" spans="1:2" x14ac:dyDescent="0.2">
      <c r="A587" s="8">
        <v>125150</v>
      </c>
      <c r="B587" s="1" t="s">
        <v>3030</v>
      </c>
    </row>
    <row r="588" spans="1:2" x14ac:dyDescent="0.2">
      <c r="A588" s="10">
        <v>125240</v>
      </c>
      <c r="B588" s="11" t="s">
        <v>3030</v>
      </c>
    </row>
    <row r="589" spans="1:2" x14ac:dyDescent="0.2">
      <c r="A589" s="8">
        <v>125339</v>
      </c>
      <c r="B589" s="1" t="s">
        <v>3030</v>
      </c>
    </row>
    <row r="590" spans="1:2" x14ac:dyDescent="0.2">
      <c r="A590" s="10">
        <v>125373</v>
      </c>
      <c r="B590" s="11" t="s">
        <v>3030</v>
      </c>
    </row>
    <row r="591" spans="1:2" x14ac:dyDescent="0.2">
      <c r="A591" s="8">
        <v>125374</v>
      </c>
      <c r="B591" s="1" t="s">
        <v>3030</v>
      </c>
    </row>
    <row r="592" spans="1:2" x14ac:dyDescent="0.2">
      <c r="A592" s="10">
        <v>125433</v>
      </c>
      <c r="B592" s="11" t="s">
        <v>3030</v>
      </c>
    </row>
    <row r="593" spans="1:2" x14ac:dyDescent="0.2">
      <c r="A593" s="8">
        <v>125467</v>
      </c>
      <c r="B593" s="1" t="s">
        <v>3030</v>
      </c>
    </row>
    <row r="594" spans="1:2" x14ac:dyDescent="0.2">
      <c r="A594" s="10">
        <v>125503</v>
      </c>
      <c r="B594" s="11" t="s">
        <v>3030</v>
      </c>
    </row>
    <row r="595" spans="1:2" x14ac:dyDescent="0.2">
      <c r="A595" s="8">
        <v>125560</v>
      </c>
      <c r="B595" s="1" t="s">
        <v>3030</v>
      </c>
    </row>
    <row r="596" spans="1:2" x14ac:dyDescent="0.2">
      <c r="A596" s="10">
        <v>125562</v>
      </c>
      <c r="B596" s="11" t="s">
        <v>3030</v>
      </c>
    </row>
    <row r="597" spans="1:2" x14ac:dyDescent="0.2">
      <c r="A597" s="8">
        <v>125631</v>
      </c>
      <c r="B597" s="1" t="s">
        <v>3030</v>
      </c>
    </row>
    <row r="598" spans="1:2" x14ac:dyDescent="0.2">
      <c r="A598" s="10">
        <v>125659</v>
      </c>
      <c r="B598" s="11" t="s">
        <v>3030</v>
      </c>
    </row>
    <row r="599" spans="1:2" x14ac:dyDescent="0.2">
      <c r="A599" s="8">
        <v>125754</v>
      </c>
      <c r="B599" s="1" t="s">
        <v>3030</v>
      </c>
    </row>
    <row r="600" spans="1:2" x14ac:dyDescent="0.2">
      <c r="A600" s="10">
        <v>125818</v>
      </c>
      <c r="B600" s="11" t="s">
        <v>3030</v>
      </c>
    </row>
    <row r="601" spans="1:2" x14ac:dyDescent="0.2">
      <c r="A601" s="8">
        <v>125882</v>
      </c>
      <c r="B601" s="1" t="s">
        <v>3030</v>
      </c>
    </row>
    <row r="602" spans="1:2" x14ac:dyDescent="0.2">
      <c r="A602" s="10">
        <v>125883</v>
      </c>
      <c r="B602" s="11" t="s">
        <v>3030</v>
      </c>
    </row>
    <row r="603" spans="1:2" x14ac:dyDescent="0.2">
      <c r="A603" s="8">
        <v>125885</v>
      </c>
      <c r="B603" s="1" t="s">
        <v>3030</v>
      </c>
    </row>
    <row r="604" spans="1:2" x14ac:dyDescent="0.2">
      <c r="A604" s="10">
        <v>125947</v>
      </c>
      <c r="B604" s="11" t="s">
        <v>3030</v>
      </c>
    </row>
    <row r="605" spans="1:2" x14ac:dyDescent="0.2">
      <c r="A605" s="8">
        <v>125976</v>
      </c>
      <c r="B605" s="1" t="s">
        <v>3030</v>
      </c>
    </row>
    <row r="606" spans="1:2" x14ac:dyDescent="0.2">
      <c r="A606" s="10">
        <v>126046</v>
      </c>
      <c r="B606" s="11" t="s">
        <v>3030</v>
      </c>
    </row>
    <row r="607" spans="1:2" x14ac:dyDescent="0.2">
      <c r="A607" s="8">
        <v>126108</v>
      </c>
      <c r="B607" s="1" t="s">
        <v>3030</v>
      </c>
    </row>
    <row r="608" spans="1:2" x14ac:dyDescent="0.2">
      <c r="A608" s="10">
        <v>126169</v>
      </c>
      <c r="B608" s="11" t="s">
        <v>3030</v>
      </c>
    </row>
    <row r="609" spans="1:2" x14ac:dyDescent="0.2">
      <c r="A609" s="8">
        <v>126235</v>
      </c>
      <c r="B609" s="1" t="s">
        <v>3030</v>
      </c>
    </row>
    <row r="610" spans="1:2" x14ac:dyDescent="0.2">
      <c r="A610" s="10">
        <v>126297</v>
      </c>
      <c r="B610" s="11" t="s">
        <v>3030</v>
      </c>
    </row>
    <row r="611" spans="1:2" x14ac:dyDescent="0.2">
      <c r="A611" s="8">
        <v>126300</v>
      </c>
      <c r="B611" s="1" t="s">
        <v>3030</v>
      </c>
    </row>
    <row r="612" spans="1:2" x14ac:dyDescent="0.2">
      <c r="A612" s="10">
        <v>126393</v>
      </c>
      <c r="B612" s="11" t="s">
        <v>3030</v>
      </c>
    </row>
    <row r="613" spans="1:2" x14ac:dyDescent="0.2">
      <c r="A613" s="8">
        <v>126456</v>
      </c>
      <c r="B613" s="1" t="s">
        <v>3030</v>
      </c>
    </row>
    <row r="614" spans="1:2" x14ac:dyDescent="0.2">
      <c r="A614" s="10">
        <v>126459</v>
      </c>
      <c r="B614" s="11" t="s">
        <v>3030</v>
      </c>
    </row>
    <row r="615" spans="1:2" x14ac:dyDescent="0.2">
      <c r="A615" s="8">
        <v>126488</v>
      </c>
      <c r="B615" s="1" t="s">
        <v>3030</v>
      </c>
    </row>
    <row r="616" spans="1:2" x14ac:dyDescent="0.2">
      <c r="A616" s="10">
        <v>126521</v>
      </c>
      <c r="B616" s="11" t="s">
        <v>3030</v>
      </c>
    </row>
    <row r="617" spans="1:2" x14ac:dyDescent="0.2">
      <c r="A617" s="8">
        <v>126585</v>
      </c>
      <c r="B617" s="1" t="s">
        <v>3030</v>
      </c>
    </row>
    <row r="618" spans="1:2" x14ac:dyDescent="0.2">
      <c r="A618" s="10">
        <v>126654</v>
      </c>
      <c r="B618" s="11" t="s">
        <v>3030</v>
      </c>
    </row>
    <row r="619" spans="1:2" x14ac:dyDescent="0.2">
      <c r="A619" s="8">
        <v>126680</v>
      </c>
      <c r="B619" s="1" t="s">
        <v>3030</v>
      </c>
    </row>
    <row r="620" spans="1:2" x14ac:dyDescent="0.2">
      <c r="A620" s="10">
        <v>126777</v>
      </c>
      <c r="B620" s="11" t="s">
        <v>3030</v>
      </c>
    </row>
    <row r="621" spans="1:2" x14ac:dyDescent="0.2">
      <c r="A621" s="8">
        <v>126783</v>
      </c>
      <c r="B621" s="1" t="s">
        <v>3030</v>
      </c>
    </row>
    <row r="622" spans="1:2" x14ac:dyDescent="0.2">
      <c r="A622" s="10">
        <v>126814</v>
      </c>
      <c r="B622" s="11" t="s">
        <v>3030</v>
      </c>
    </row>
    <row r="623" spans="1:2" x14ac:dyDescent="0.2">
      <c r="A623" s="8">
        <v>126877</v>
      </c>
      <c r="B623" s="1" t="s">
        <v>3030</v>
      </c>
    </row>
    <row r="624" spans="1:2" x14ac:dyDescent="0.2">
      <c r="A624" s="10">
        <v>126905</v>
      </c>
      <c r="B624" s="11" t="s">
        <v>3030</v>
      </c>
    </row>
    <row r="625" spans="1:2" x14ac:dyDescent="0.2">
      <c r="A625" s="8">
        <v>126907</v>
      </c>
      <c r="B625" s="1" t="s">
        <v>3030</v>
      </c>
    </row>
    <row r="626" spans="1:2" x14ac:dyDescent="0.2">
      <c r="A626" s="10">
        <v>126973</v>
      </c>
      <c r="B626" s="11" t="s">
        <v>3030</v>
      </c>
    </row>
    <row r="627" spans="1:2" x14ac:dyDescent="0.2">
      <c r="A627" s="8">
        <v>127324</v>
      </c>
      <c r="B627" s="1" t="s">
        <v>3030</v>
      </c>
    </row>
    <row r="628" spans="1:2" x14ac:dyDescent="0.2">
      <c r="A628" s="10">
        <v>127516</v>
      </c>
      <c r="B628" s="11" t="s">
        <v>3030</v>
      </c>
    </row>
    <row r="629" spans="1:2" x14ac:dyDescent="0.2">
      <c r="A629" s="8">
        <v>127545</v>
      </c>
      <c r="B629" s="1" t="s">
        <v>3030</v>
      </c>
    </row>
    <row r="630" spans="1:2" x14ac:dyDescent="0.2">
      <c r="A630" s="10">
        <v>127612</v>
      </c>
      <c r="B630" s="11" t="s">
        <v>3030</v>
      </c>
    </row>
    <row r="631" spans="1:2" x14ac:dyDescent="0.2">
      <c r="A631" s="8">
        <v>127737</v>
      </c>
      <c r="B631" s="1" t="s">
        <v>3030</v>
      </c>
    </row>
    <row r="632" spans="1:2" x14ac:dyDescent="0.2">
      <c r="A632" s="10">
        <v>127769</v>
      </c>
      <c r="B632" s="11" t="s">
        <v>3030</v>
      </c>
    </row>
    <row r="633" spans="1:2" x14ac:dyDescent="0.2">
      <c r="A633" s="8">
        <v>127773</v>
      </c>
      <c r="B633" s="1" t="s">
        <v>3030</v>
      </c>
    </row>
    <row r="634" spans="1:2" x14ac:dyDescent="0.2">
      <c r="A634" s="10">
        <v>127774</v>
      </c>
      <c r="B634" s="11" t="s">
        <v>3030</v>
      </c>
    </row>
    <row r="635" spans="1:2" x14ac:dyDescent="0.2">
      <c r="A635" s="8">
        <v>127870</v>
      </c>
      <c r="B635" s="1" t="s">
        <v>3030</v>
      </c>
    </row>
    <row r="636" spans="1:2" x14ac:dyDescent="0.2">
      <c r="A636" s="10">
        <v>128028</v>
      </c>
      <c r="B636" s="11" t="s">
        <v>3030</v>
      </c>
    </row>
    <row r="637" spans="1:2" x14ac:dyDescent="0.2">
      <c r="A637" s="8">
        <v>128061</v>
      </c>
      <c r="B637" s="1" t="s">
        <v>3030</v>
      </c>
    </row>
    <row r="638" spans="1:2" x14ac:dyDescent="0.2">
      <c r="A638" s="10">
        <v>128284</v>
      </c>
      <c r="B638" s="11" t="s">
        <v>3030</v>
      </c>
    </row>
    <row r="639" spans="1:2" x14ac:dyDescent="0.2">
      <c r="A639" s="8">
        <v>128316</v>
      </c>
      <c r="B639" s="1" t="s">
        <v>3030</v>
      </c>
    </row>
    <row r="640" spans="1:2" x14ac:dyDescent="0.2">
      <c r="A640" s="10">
        <v>128381</v>
      </c>
      <c r="B640" s="11" t="s">
        <v>3030</v>
      </c>
    </row>
    <row r="641" spans="1:2" x14ac:dyDescent="0.2">
      <c r="A641" s="8">
        <v>128504</v>
      </c>
      <c r="B641" s="1" t="s">
        <v>3030</v>
      </c>
    </row>
    <row r="642" spans="1:2" x14ac:dyDescent="0.2">
      <c r="A642" s="10">
        <v>128509</v>
      </c>
      <c r="B642" s="11" t="s">
        <v>3030</v>
      </c>
    </row>
    <row r="643" spans="1:2" x14ac:dyDescent="0.2">
      <c r="A643" s="8">
        <v>128510</v>
      </c>
      <c r="B643" s="1" t="s">
        <v>3030</v>
      </c>
    </row>
    <row r="644" spans="1:2" x14ac:dyDescent="0.2">
      <c r="A644" s="10">
        <v>128735</v>
      </c>
      <c r="B644" s="11" t="s">
        <v>3030</v>
      </c>
    </row>
    <row r="645" spans="1:2" x14ac:dyDescent="0.2">
      <c r="A645" s="8">
        <v>128765</v>
      </c>
      <c r="B645" s="1" t="s">
        <v>3030</v>
      </c>
    </row>
    <row r="646" spans="1:2" x14ac:dyDescent="0.2">
      <c r="A646" s="10">
        <v>128767</v>
      </c>
      <c r="B646" s="11" t="s">
        <v>3030</v>
      </c>
    </row>
    <row r="647" spans="1:2" x14ac:dyDescent="0.2">
      <c r="A647" s="8">
        <v>128830</v>
      </c>
      <c r="B647" s="1" t="s">
        <v>3030</v>
      </c>
    </row>
    <row r="648" spans="1:2" x14ac:dyDescent="0.2">
      <c r="A648" s="10">
        <v>128925</v>
      </c>
      <c r="B648" s="11" t="s">
        <v>3030</v>
      </c>
    </row>
    <row r="649" spans="1:2" x14ac:dyDescent="0.2">
      <c r="A649" s="8">
        <v>128984</v>
      </c>
      <c r="B649" s="1" t="s">
        <v>3030</v>
      </c>
    </row>
    <row r="650" spans="1:2" x14ac:dyDescent="0.2">
      <c r="A650" s="10">
        <v>129018</v>
      </c>
      <c r="B650" s="11" t="s">
        <v>3030</v>
      </c>
    </row>
    <row r="651" spans="1:2" x14ac:dyDescent="0.2">
      <c r="A651" s="8">
        <v>129053</v>
      </c>
      <c r="B651" s="1" t="s">
        <v>3030</v>
      </c>
    </row>
    <row r="652" spans="1:2" x14ac:dyDescent="0.2">
      <c r="A652" s="10">
        <v>129182</v>
      </c>
      <c r="B652" s="11" t="s">
        <v>3030</v>
      </c>
    </row>
    <row r="653" spans="1:2" x14ac:dyDescent="0.2">
      <c r="A653" s="8">
        <v>129241</v>
      </c>
      <c r="B653" s="1" t="s">
        <v>3030</v>
      </c>
    </row>
    <row r="654" spans="1:2" x14ac:dyDescent="0.2">
      <c r="A654" s="10">
        <v>129246</v>
      </c>
      <c r="B654" s="11" t="s">
        <v>3030</v>
      </c>
    </row>
    <row r="655" spans="1:2" x14ac:dyDescent="0.2">
      <c r="A655" s="8">
        <v>129272</v>
      </c>
      <c r="B655" s="1" t="s">
        <v>3030</v>
      </c>
    </row>
    <row r="656" spans="1:2" x14ac:dyDescent="0.2">
      <c r="A656" s="10">
        <v>129279</v>
      </c>
      <c r="B656" s="11" t="s">
        <v>3030</v>
      </c>
    </row>
    <row r="657" spans="1:2" x14ac:dyDescent="0.2">
      <c r="A657" s="8">
        <v>129310</v>
      </c>
      <c r="B657" s="1" t="s">
        <v>3030</v>
      </c>
    </row>
    <row r="658" spans="1:2" x14ac:dyDescent="0.2">
      <c r="A658" s="10">
        <v>129336</v>
      </c>
      <c r="B658" s="11" t="s">
        <v>3030</v>
      </c>
    </row>
    <row r="659" spans="1:2" x14ac:dyDescent="0.2">
      <c r="A659" s="8">
        <v>129339</v>
      </c>
      <c r="B659" s="1" t="s">
        <v>3030</v>
      </c>
    </row>
    <row r="660" spans="1:2" x14ac:dyDescent="0.2">
      <c r="A660" s="10">
        <v>129368</v>
      </c>
      <c r="B660" s="11" t="s">
        <v>3030</v>
      </c>
    </row>
    <row r="661" spans="1:2" x14ac:dyDescent="0.2">
      <c r="A661" s="8">
        <v>129369</v>
      </c>
      <c r="B661" s="1" t="s">
        <v>3030</v>
      </c>
    </row>
    <row r="662" spans="1:2" x14ac:dyDescent="0.2">
      <c r="A662" s="10">
        <v>129433</v>
      </c>
      <c r="B662" s="11" t="s">
        <v>3030</v>
      </c>
    </row>
    <row r="663" spans="1:2" x14ac:dyDescent="0.2">
      <c r="A663" s="8">
        <v>129501</v>
      </c>
      <c r="B663" s="1" t="s">
        <v>3030</v>
      </c>
    </row>
    <row r="664" spans="1:2" x14ac:dyDescent="0.2">
      <c r="A664" s="10">
        <v>129592</v>
      </c>
      <c r="B664" s="11" t="s">
        <v>3030</v>
      </c>
    </row>
    <row r="665" spans="1:2" x14ac:dyDescent="0.2">
      <c r="A665" s="8">
        <v>129727</v>
      </c>
      <c r="B665" s="1" t="s">
        <v>3030</v>
      </c>
    </row>
    <row r="666" spans="1:2" x14ac:dyDescent="0.2">
      <c r="A666" s="10">
        <v>129753</v>
      </c>
      <c r="B666" s="11" t="s">
        <v>3030</v>
      </c>
    </row>
    <row r="667" spans="1:2" x14ac:dyDescent="0.2">
      <c r="A667" s="8">
        <v>129791</v>
      </c>
      <c r="B667" s="1" t="s">
        <v>3030</v>
      </c>
    </row>
    <row r="668" spans="1:2" x14ac:dyDescent="0.2">
      <c r="A668" s="10">
        <v>129850</v>
      </c>
      <c r="B668" s="11" t="s">
        <v>3030</v>
      </c>
    </row>
    <row r="669" spans="1:2" x14ac:dyDescent="0.2">
      <c r="A669" s="8">
        <v>129854</v>
      </c>
      <c r="B669" s="1" t="s">
        <v>3030</v>
      </c>
    </row>
    <row r="670" spans="1:2" x14ac:dyDescent="0.2">
      <c r="A670" s="10">
        <v>129918</v>
      </c>
      <c r="B670" s="11" t="s">
        <v>3030</v>
      </c>
    </row>
    <row r="671" spans="1:2" x14ac:dyDescent="0.2">
      <c r="A671" s="8">
        <v>129947</v>
      </c>
      <c r="B671" s="1" t="s">
        <v>3030</v>
      </c>
    </row>
    <row r="672" spans="1:2" x14ac:dyDescent="0.2">
      <c r="A672" s="10">
        <v>129979</v>
      </c>
      <c r="B672" s="11" t="s">
        <v>3030</v>
      </c>
    </row>
    <row r="673" spans="1:2" x14ac:dyDescent="0.2">
      <c r="A673" s="8">
        <v>130015</v>
      </c>
      <c r="B673" s="1" t="s">
        <v>3030</v>
      </c>
    </row>
    <row r="674" spans="1:2" x14ac:dyDescent="0.2">
      <c r="A674" s="10">
        <v>130042</v>
      </c>
      <c r="B674" s="11" t="s">
        <v>3030</v>
      </c>
    </row>
    <row r="675" spans="1:2" x14ac:dyDescent="0.2">
      <c r="A675" s="8">
        <v>130077</v>
      </c>
      <c r="B675" s="1" t="s">
        <v>3030</v>
      </c>
    </row>
    <row r="676" spans="1:2" x14ac:dyDescent="0.2">
      <c r="A676" s="10">
        <v>130079</v>
      </c>
      <c r="B676" s="11" t="s">
        <v>3030</v>
      </c>
    </row>
    <row r="677" spans="1:2" x14ac:dyDescent="0.2">
      <c r="A677" s="8">
        <v>130110</v>
      </c>
      <c r="B677" s="1" t="s">
        <v>3030</v>
      </c>
    </row>
    <row r="678" spans="1:2" x14ac:dyDescent="0.2">
      <c r="A678" s="10">
        <v>130174</v>
      </c>
      <c r="B678" s="11" t="s">
        <v>3030</v>
      </c>
    </row>
    <row r="679" spans="1:2" x14ac:dyDescent="0.2">
      <c r="A679" s="8">
        <v>130267</v>
      </c>
      <c r="B679" s="1" t="s">
        <v>3030</v>
      </c>
    </row>
    <row r="680" spans="1:2" x14ac:dyDescent="0.2">
      <c r="A680" s="10">
        <v>130429</v>
      </c>
      <c r="B680" s="11" t="s">
        <v>3030</v>
      </c>
    </row>
    <row r="681" spans="1:2" x14ac:dyDescent="0.2">
      <c r="A681" s="8">
        <v>130430</v>
      </c>
      <c r="B681" s="1" t="s">
        <v>3030</v>
      </c>
    </row>
    <row r="682" spans="1:2" x14ac:dyDescent="0.2">
      <c r="A682" s="10">
        <v>130489</v>
      </c>
      <c r="B682" s="11" t="s">
        <v>3030</v>
      </c>
    </row>
    <row r="683" spans="1:2" x14ac:dyDescent="0.2">
      <c r="A683" s="8">
        <v>130623</v>
      </c>
      <c r="B683" s="1" t="s">
        <v>3030</v>
      </c>
    </row>
    <row r="684" spans="1:2" x14ac:dyDescent="0.2">
      <c r="A684" s="10">
        <v>130746</v>
      </c>
      <c r="B684" s="11" t="s">
        <v>3030</v>
      </c>
    </row>
    <row r="685" spans="1:2" x14ac:dyDescent="0.2">
      <c r="A685" s="8">
        <v>130776</v>
      </c>
      <c r="B685" s="1" t="s">
        <v>3030</v>
      </c>
    </row>
    <row r="686" spans="1:2" x14ac:dyDescent="0.2">
      <c r="A686" s="10">
        <v>130840</v>
      </c>
      <c r="B686" s="11" t="s">
        <v>3030</v>
      </c>
    </row>
    <row r="687" spans="1:2" x14ac:dyDescent="0.2">
      <c r="A687" s="8">
        <v>130845</v>
      </c>
      <c r="B687" s="1" t="s">
        <v>3030</v>
      </c>
    </row>
    <row r="688" spans="1:2" x14ac:dyDescent="0.2">
      <c r="A688" s="10">
        <v>130905</v>
      </c>
      <c r="B688" s="11" t="s">
        <v>3030</v>
      </c>
    </row>
    <row r="689" spans="1:2" x14ac:dyDescent="0.2">
      <c r="A689" s="8">
        <v>130936</v>
      </c>
      <c r="B689" s="1" t="s">
        <v>3030</v>
      </c>
    </row>
    <row r="690" spans="1:2" x14ac:dyDescent="0.2">
      <c r="A690" s="10">
        <v>131039</v>
      </c>
      <c r="B690" s="11" t="s">
        <v>3030</v>
      </c>
    </row>
    <row r="691" spans="1:2" x14ac:dyDescent="0.2">
      <c r="A691" s="8">
        <v>131101</v>
      </c>
      <c r="B691" s="1" t="s">
        <v>3030</v>
      </c>
    </row>
    <row r="692" spans="1:2" x14ac:dyDescent="0.2">
      <c r="A692" s="10">
        <v>131130</v>
      </c>
      <c r="B692" s="11" t="s">
        <v>3030</v>
      </c>
    </row>
    <row r="693" spans="1:2" x14ac:dyDescent="0.2">
      <c r="A693" s="8">
        <v>131133</v>
      </c>
      <c r="B693" s="1" t="s">
        <v>3030</v>
      </c>
    </row>
    <row r="694" spans="1:2" x14ac:dyDescent="0.2">
      <c r="A694" s="10">
        <v>131288</v>
      </c>
      <c r="B694" s="11" t="s">
        <v>3030</v>
      </c>
    </row>
    <row r="695" spans="1:2" x14ac:dyDescent="0.2">
      <c r="A695" s="8">
        <v>131294</v>
      </c>
      <c r="B695" s="1" t="s">
        <v>3030</v>
      </c>
    </row>
    <row r="696" spans="1:2" x14ac:dyDescent="0.2">
      <c r="A696" s="10">
        <v>131450</v>
      </c>
      <c r="B696" s="11" t="s">
        <v>3030</v>
      </c>
    </row>
    <row r="697" spans="1:2" x14ac:dyDescent="0.2">
      <c r="A697" s="8">
        <v>131614</v>
      </c>
      <c r="B697" s="1" t="s">
        <v>3030</v>
      </c>
    </row>
    <row r="698" spans="1:2" x14ac:dyDescent="0.2">
      <c r="A698" s="10">
        <v>131642</v>
      </c>
      <c r="B698" s="11" t="s">
        <v>3030</v>
      </c>
    </row>
    <row r="699" spans="1:2" x14ac:dyDescent="0.2">
      <c r="A699" s="8">
        <v>131773</v>
      </c>
      <c r="B699" s="1" t="s">
        <v>3030</v>
      </c>
    </row>
    <row r="700" spans="1:2" x14ac:dyDescent="0.2">
      <c r="A700" s="10">
        <v>131802</v>
      </c>
      <c r="B700" s="11" t="s">
        <v>3030</v>
      </c>
    </row>
    <row r="701" spans="1:2" x14ac:dyDescent="0.2">
      <c r="A701" s="8">
        <v>131835</v>
      </c>
      <c r="B701" s="1" t="s">
        <v>3030</v>
      </c>
    </row>
    <row r="702" spans="1:2" x14ac:dyDescent="0.2">
      <c r="A702" s="10">
        <v>131901</v>
      </c>
      <c r="B702" s="11" t="s">
        <v>3030</v>
      </c>
    </row>
    <row r="703" spans="1:2" x14ac:dyDescent="0.2">
      <c r="A703" s="8">
        <v>131960</v>
      </c>
      <c r="B703" s="1" t="s">
        <v>3030</v>
      </c>
    </row>
    <row r="704" spans="1:2" x14ac:dyDescent="0.2">
      <c r="A704" s="10">
        <v>131998</v>
      </c>
      <c r="B704" s="11" t="s">
        <v>3030</v>
      </c>
    </row>
    <row r="705" spans="1:2" x14ac:dyDescent="0.2">
      <c r="A705" s="8">
        <v>132024</v>
      </c>
      <c r="B705" s="1" t="s">
        <v>3030</v>
      </c>
    </row>
    <row r="706" spans="1:2" x14ac:dyDescent="0.2">
      <c r="A706" s="10">
        <v>132062</v>
      </c>
      <c r="B706" s="11" t="s">
        <v>3030</v>
      </c>
    </row>
    <row r="707" spans="1:2" x14ac:dyDescent="0.2">
      <c r="A707" s="8">
        <v>132091</v>
      </c>
      <c r="B707" s="1" t="s">
        <v>3030</v>
      </c>
    </row>
    <row r="708" spans="1:2" x14ac:dyDescent="0.2">
      <c r="A708" s="10">
        <v>132093</v>
      </c>
      <c r="B708" s="11" t="s">
        <v>3030</v>
      </c>
    </row>
    <row r="709" spans="1:2" x14ac:dyDescent="0.2">
      <c r="A709" s="8">
        <v>132095</v>
      </c>
      <c r="B709" s="1" t="s">
        <v>3030</v>
      </c>
    </row>
    <row r="710" spans="1:2" x14ac:dyDescent="0.2">
      <c r="A710" s="10">
        <v>132127</v>
      </c>
      <c r="B710" s="11" t="s">
        <v>3030</v>
      </c>
    </row>
    <row r="711" spans="1:2" x14ac:dyDescent="0.2">
      <c r="A711" s="8">
        <v>132152</v>
      </c>
      <c r="B711" s="1" t="s">
        <v>3030</v>
      </c>
    </row>
    <row r="712" spans="1:2" x14ac:dyDescent="0.2">
      <c r="A712" s="10">
        <v>132221</v>
      </c>
      <c r="B712" s="11" t="s">
        <v>3030</v>
      </c>
    </row>
    <row r="713" spans="1:2" x14ac:dyDescent="0.2">
      <c r="A713" s="8">
        <v>132222</v>
      </c>
      <c r="B713" s="1" t="s">
        <v>3030</v>
      </c>
    </row>
    <row r="714" spans="1:2" x14ac:dyDescent="0.2">
      <c r="A714" s="10">
        <v>132248</v>
      </c>
      <c r="B714" s="11" t="s">
        <v>3030</v>
      </c>
    </row>
    <row r="715" spans="1:2" x14ac:dyDescent="0.2">
      <c r="A715" s="8">
        <v>132281</v>
      </c>
      <c r="B715" s="1" t="s">
        <v>3030</v>
      </c>
    </row>
    <row r="716" spans="1:2" x14ac:dyDescent="0.2">
      <c r="A716" s="10">
        <v>132347</v>
      </c>
      <c r="B716" s="11" t="s">
        <v>3030</v>
      </c>
    </row>
    <row r="717" spans="1:2" x14ac:dyDescent="0.2">
      <c r="A717" s="8">
        <v>132350</v>
      </c>
      <c r="B717" s="1" t="s">
        <v>3030</v>
      </c>
    </row>
    <row r="718" spans="1:2" x14ac:dyDescent="0.2">
      <c r="A718" s="10">
        <v>132472</v>
      </c>
      <c r="B718" s="11" t="s">
        <v>3030</v>
      </c>
    </row>
    <row r="719" spans="1:2" x14ac:dyDescent="0.2">
      <c r="A719" s="8">
        <v>132573</v>
      </c>
      <c r="B719" s="1" t="s">
        <v>3030</v>
      </c>
    </row>
    <row r="720" spans="1:2" x14ac:dyDescent="0.2">
      <c r="A720" s="10">
        <v>132669</v>
      </c>
      <c r="B720" s="11" t="s">
        <v>3030</v>
      </c>
    </row>
    <row r="721" spans="1:2" x14ac:dyDescent="0.2">
      <c r="A721" s="8">
        <v>132733</v>
      </c>
      <c r="B721" s="1" t="s">
        <v>3030</v>
      </c>
    </row>
    <row r="722" spans="1:2" x14ac:dyDescent="0.2">
      <c r="A722" s="10">
        <v>132794</v>
      </c>
      <c r="B722" s="11" t="s">
        <v>3030</v>
      </c>
    </row>
    <row r="723" spans="1:2" x14ac:dyDescent="0.2">
      <c r="A723" s="8">
        <v>132857</v>
      </c>
      <c r="B723" s="1" t="s">
        <v>3030</v>
      </c>
    </row>
    <row r="724" spans="1:2" x14ac:dyDescent="0.2">
      <c r="A724" s="10">
        <v>132863</v>
      </c>
      <c r="B724" s="11" t="s">
        <v>3030</v>
      </c>
    </row>
    <row r="725" spans="1:2" x14ac:dyDescent="0.2">
      <c r="A725" s="8">
        <v>132894</v>
      </c>
      <c r="B725" s="1" t="s">
        <v>3030</v>
      </c>
    </row>
    <row r="726" spans="1:2" x14ac:dyDescent="0.2">
      <c r="A726" s="10">
        <v>133052</v>
      </c>
      <c r="B726" s="11" t="s">
        <v>3030</v>
      </c>
    </row>
    <row r="727" spans="1:2" x14ac:dyDescent="0.2">
      <c r="A727" s="8">
        <v>133081</v>
      </c>
      <c r="B727" s="1" t="s">
        <v>3030</v>
      </c>
    </row>
    <row r="728" spans="1:2" x14ac:dyDescent="0.2">
      <c r="A728" s="10">
        <v>133144</v>
      </c>
      <c r="B728" s="11" t="s">
        <v>3030</v>
      </c>
    </row>
    <row r="729" spans="1:2" x14ac:dyDescent="0.2">
      <c r="A729" s="8">
        <v>133247</v>
      </c>
      <c r="B729" s="1" t="s">
        <v>3030</v>
      </c>
    </row>
    <row r="730" spans="1:2" x14ac:dyDescent="0.2">
      <c r="A730" s="10">
        <v>133277</v>
      </c>
      <c r="B730" s="11" t="s">
        <v>3030</v>
      </c>
    </row>
    <row r="731" spans="1:2" x14ac:dyDescent="0.2">
      <c r="A731" s="8">
        <v>133305</v>
      </c>
      <c r="B731" s="1" t="s">
        <v>3030</v>
      </c>
    </row>
    <row r="732" spans="1:2" x14ac:dyDescent="0.2">
      <c r="A732" s="10">
        <v>133306</v>
      </c>
      <c r="B732" s="11" t="s">
        <v>3030</v>
      </c>
    </row>
    <row r="733" spans="1:2" x14ac:dyDescent="0.2">
      <c r="A733" s="8">
        <v>133310</v>
      </c>
      <c r="B733" s="1" t="s">
        <v>3030</v>
      </c>
    </row>
    <row r="734" spans="1:2" x14ac:dyDescent="0.2">
      <c r="A734" s="10">
        <v>133369</v>
      </c>
      <c r="B734" s="11" t="s">
        <v>3030</v>
      </c>
    </row>
    <row r="735" spans="1:2" x14ac:dyDescent="0.2">
      <c r="A735" s="8">
        <v>133627</v>
      </c>
      <c r="B735" s="1" t="s">
        <v>3030</v>
      </c>
    </row>
    <row r="736" spans="1:2" x14ac:dyDescent="0.2">
      <c r="A736" s="10">
        <v>133662</v>
      </c>
      <c r="B736" s="11" t="s">
        <v>3030</v>
      </c>
    </row>
    <row r="737" spans="1:2" x14ac:dyDescent="0.2">
      <c r="A737" s="8">
        <v>133722</v>
      </c>
      <c r="B737" s="1" t="s">
        <v>3030</v>
      </c>
    </row>
    <row r="738" spans="1:2" x14ac:dyDescent="0.2">
      <c r="A738" s="10">
        <v>133819</v>
      </c>
      <c r="B738" s="11" t="s">
        <v>3030</v>
      </c>
    </row>
    <row r="739" spans="1:2" x14ac:dyDescent="0.2">
      <c r="A739" s="8">
        <v>133851</v>
      </c>
      <c r="B739" s="1" t="s">
        <v>3030</v>
      </c>
    </row>
    <row r="740" spans="1:2" x14ac:dyDescent="0.2">
      <c r="A740" s="10">
        <v>133884</v>
      </c>
      <c r="B740" s="11" t="s">
        <v>3030</v>
      </c>
    </row>
    <row r="741" spans="1:2" x14ac:dyDescent="0.2">
      <c r="A741" s="8">
        <v>133917</v>
      </c>
      <c r="B741" s="1" t="s">
        <v>3030</v>
      </c>
    </row>
    <row r="742" spans="1:2" x14ac:dyDescent="0.2">
      <c r="A742" s="10">
        <v>133919</v>
      </c>
      <c r="B742" s="11" t="s">
        <v>3030</v>
      </c>
    </row>
    <row r="743" spans="1:2" x14ac:dyDescent="0.2">
      <c r="A743" s="8">
        <v>133951</v>
      </c>
      <c r="B743" s="1" t="s">
        <v>3030</v>
      </c>
    </row>
    <row r="744" spans="1:2" x14ac:dyDescent="0.2">
      <c r="A744" s="10">
        <v>133979</v>
      </c>
      <c r="B744" s="11" t="s">
        <v>3030</v>
      </c>
    </row>
    <row r="745" spans="1:2" x14ac:dyDescent="0.2">
      <c r="A745" s="8">
        <v>134011</v>
      </c>
      <c r="B745" s="1" t="s">
        <v>3030</v>
      </c>
    </row>
    <row r="746" spans="1:2" x14ac:dyDescent="0.2">
      <c r="A746" s="10">
        <v>134111</v>
      </c>
      <c r="B746" s="11" t="s">
        <v>3030</v>
      </c>
    </row>
    <row r="747" spans="1:2" x14ac:dyDescent="0.2">
      <c r="A747" s="8">
        <v>134202</v>
      </c>
      <c r="B747" s="1" t="s">
        <v>3030</v>
      </c>
    </row>
    <row r="748" spans="1:2" x14ac:dyDescent="0.2">
      <c r="A748" s="10">
        <v>134271</v>
      </c>
      <c r="B748" s="11" t="s">
        <v>3030</v>
      </c>
    </row>
    <row r="749" spans="1:2" x14ac:dyDescent="0.2">
      <c r="A749" s="8">
        <v>134398</v>
      </c>
      <c r="B749" s="1" t="s">
        <v>3030</v>
      </c>
    </row>
    <row r="750" spans="1:2" x14ac:dyDescent="0.2">
      <c r="A750" s="10">
        <v>134425</v>
      </c>
      <c r="B750" s="11" t="s">
        <v>3030</v>
      </c>
    </row>
    <row r="751" spans="1:2" x14ac:dyDescent="0.2">
      <c r="A751" s="8">
        <v>134431</v>
      </c>
      <c r="B751" s="1" t="s">
        <v>3030</v>
      </c>
    </row>
    <row r="752" spans="1:2" x14ac:dyDescent="0.2">
      <c r="A752" s="10">
        <v>134553</v>
      </c>
      <c r="B752" s="11" t="s">
        <v>3030</v>
      </c>
    </row>
    <row r="753" spans="1:2" x14ac:dyDescent="0.2">
      <c r="A753" s="8">
        <v>134648</v>
      </c>
      <c r="B753" s="1" t="s">
        <v>3030</v>
      </c>
    </row>
    <row r="754" spans="1:2" x14ac:dyDescent="0.2">
      <c r="A754" s="10">
        <v>134651</v>
      </c>
      <c r="B754" s="11" t="s">
        <v>3030</v>
      </c>
    </row>
    <row r="755" spans="1:2" x14ac:dyDescent="0.2">
      <c r="A755" s="8">
        <v>134745</v>
      </c>
      <c r="B755" s="1" t="s">
        <v>3030</v>
      </c>
    </row>
    <row r="756" spans="1:2" x14ac:dyDescent="0.2">
      <c r="A756" s="10">
        <v>134779</v>
      </c>
      <c r="B756" s="11" t="s">
        <v>3030</v>
      </c>
    </row>
    <row r="757" spans="1:2" x14ac:dyDescent="0.2">
      <c r="A757" s="8">
        <v>134782</v>
      </c>
      <c r="B757" s="1" t="s">
        <v>3030</v>
      </c>
    </row>
    <row r="758" spans="1:2" x14ac:dyDescent="0.2">
      <c r="A758" s="10">
        <v>134808</v>
      </c>
      <c r="B758" s="11" t="s">
        <v>3030</v>
      </c>
    </row>
    <row r="759" spans="1:2" x14ac:dyDescent="0.2">
      <c r="A759" s="8">
        <v>134846</v>
      </c>
      <c r="B759" s="1" t="s">
        <v>3030</v>
      </c>
    </row>
    <row r="760" spans="1:2" x14ac:dyDescent="0.2">
      <c r="A760" s="10">
        <v>134908</v>
      </c>
      <c r="B760" s="11" t="s">
        <v>3030</v>
      </c>
    </row>
    <row r="761" spans="1:2" x14ac:dyDescent="0.2">
      <c r="A761" s="8">
        <v>134943</v>
      </c>
      <c r="B761" s="1" t="s">
        <v>3030</v>
      </c>
    </row>
    <row r="762" spans="1:2" x14ac:dyDescent="0.2">
      <c r="A762" s="10">
        <v>135005</v>
      </c>
      <c r="B762" s="11" t="s">
        <v>3030</v>
      </c>
    </row>
    <row r="763" spans="1:2" x14ac:dyDescent="0.2">
      <c r="A763" s="8">
        <v>135037</v>
      </c>
      <c r="B763" s="1" t="s">
        <v>3030</v>
      </c>
    </row>
    <row r="764" spans="1:2" x14ac:dyDescent="0.2">
      <c r="A764" s="10">
        <v>135160</v>
      </c>
      <c r="B764" s="11" t="s">
        <v>3030</v>
      </c>
    </row>
    <row r="765" spans="1:2" x14ac:dyDescent="0.2">
      <c r="A765" s="8">
        <v>135194</v>
      </c>
      <c r="B765" s="1" t="s">
        <v>3030</v>
      </c>
    </row>
    <row r="766" spans="1:2" x14ac:dyDescent="0.2">
      <c r="A766" s="10">
        <v>135224</v>
      </c>
      <c r="B766" s="11" t="s">
        <v>3030</v>
      </c>
    </row>
    <row r="767" spans="1:2" x14ac:dyDescent="0.2">
      <c r="A767" s="8">
        <v>135320</v>
      </c>
      <c r="B767" s="1" t="s">
        <v>3030</v>
      </c>
    </row>
    <row r="768" spans="1:2" x14ac:dyDescent="0.2">
      <c r="A768" s="10">
        <v>135356</v>
      </c>
      <c r="B768" s="11" t="s">
        <v>3030</v>
      </c>
    </row>
    <row r="769" spans="1:2" x14ac:dyDescent="0.2">
      <c r="A769" s="8">
        <v>135389</v>
      </c>
      <c r="B769" s="1" t="s">
        <v>3030</v>
      </c>
    </row>
    <row r="770" spans="1:2" x14ac:dyDescent="0.2">
      <c r="A770" s="10">
        <v>135420</v>
      </c>
      <c r="B770" s="11" t="s">
        <v>3030</v>
      </c>
    </row>
    <row r="771" spans="1:2" x14ac:dyDescent="0.2">
      <c r="A771" s="8">
        <v>135480</v>
      </c>
      <c r="B771" s="1" t="s">
        <v>3030</v>
      </c>
    </row>
    <row r="772" spans="1:2" x14ac:dyDescent="0.2">
      <c r="A772" s="10">
        <v>135612</v>
      </c>
      <c r="B772" s="11" t="s">
        <v>3030</v>
      </c>
    </row>
    <row r="773" spans="1:2" x14ac:dyDescent="0.2">
      <c r="A773" s="8">
        <v>135613</v>
      </c>
      <c r="B773" s="1" t="s">
        <v>3030</v>
      </c>
    </row>
    <row r="774" spans="1:2" x14ac:dyDescent="0.2">
      <c r="A774" s="10">
        <v>135643</v>
      </c>
      <c r="B774" s="11" t="s">
        <v>3030</v>
      </c>
    </row>
    <row r="775" spans="1:2" x14ac:dyDescent="0.2">
      <c r="A775" s="8">
        <v>135707</v>
      </c>
      <c r="B775" s="1" t="s">
        <v>3030</v>
      </c>
    </row>
    <row r="776" spans="1:2" x14ac:dyDescent="0.2">
      <c r="A776" s="10">
        <v>135806</v>
      </c>
      <c r="B776" s="11" t="s">
        <v>3030</v>
      </c>
    </row>
    <row r="777" spans="1:2" x14ac:dyDescent="0.2">
      <c r="A777" s="8">
        <v>135867</v>
      </c>
      <c r="B777" s="1" t="s">
        <v>3030</v>
      </c>
    </row>
    <row r="778" spans="1:2" x14ac:dyDescent="0.2">
      <c r="A778" s="10">
        <v>135871</v>
      </c>
      <c r="B778" s="11" t="s">
        <v>3030</v>
      </c>
    </row>
    <row r="779" spans="1:2" x14ac:dyDescent="0.2">
      <c r="A779" s="8">
        <v>135897</v>
      </c>
      <c r="B779" s="1" t="s">
        <v>3030</v>
      </c>
    </row>
    <row r="780" spans="1:2" x14ac:dyDescent="0.2">
      <c r="A780" s="10">
        <v>136121</v>
      </c>
      <c r="B780" s="11" t="s">
        <v>3030</v>
      </c>
    </row>
    <row r="781" spans="1:2" x14ac:dyDescent="0.2">
      <c r="A781" s="8">
        <v>136158</v>
      </c>
      <c r="B781" s="1" t="s">
        <v>3030</v>
      </c>
    </row>
    <row r="782" spans="1:2" x14ac:dyDescent="0.2">
      <c r="A782" s="10">
        <v>136252</v>
      </c>
      <c r="B782" s="11" t="s">
        <v>3030</v>
      </c>
    </row>
    <row r="783" spans="1:2" x14ac:dyDescent="0.2">
      <c r="A783" s="8">
        <v>136378</v>
      </c>
      <c r="B783" s="1" t="s">
        <v>3030</v>
      </c>
    </row>
    <row r="784" spans="1:2" x14ac:dyDescent="0.2">
      <c r="A784" s="10">
        <v>136440</v>
      </c>
      <c r="B784" s="11" t="s">
        <v>3030</v>
      </c>
    </row>
    <row r="785" spans="1:2" x14ac:dyDescent="0.2">
      <c r="A785" s="8">
        <v>136444</v>
      </c>
      <c r="B785" s="1" t="s">
        <v>3030</v>
      </c>
    </row>
    <row r="786" spans="1:2" x14ac:dyDescent="0.2">
      <c r="A786" s="10">
        <v>136476</v>
      </c>
      <c r="B786" s="11" t="s">
        <v>3030</v>
      </c>
    </row>
    <row r="787" spans="1:2" x14ac:dyDescent="0.2">
      <c r="A787" s="8">
        <v>136507</v>
      </c>
      <c r="B787" s="1" t="s">
        <v>3030</v>
      </c>
    </row>
    <row r="788" spans="1:2" x14ac:dyDescent="0.2">
      <c r="A788" s="10">
        <v>136537</v>
      </c>
      <c r="B788" s="11" t="s">
        <v>3030</v>
      </c>
    </row>
    <row r="789" spans="1:2" x14ac:dyDescent="0.2">
      <c r="A789" s="8">
        <v>136572</v>
      </c>
      <c r="B789" s="1" t="s">
        <v>3030</v>
      </c>
    </row>
    <row r="790" spans="1:2" x14ac:dyDescent="0.2">
      <c r="A790" s="10">
        <v>136606</v>
      </c>
      <c r="B790" s="11" t="s">
        <v>3030</v>
      </c>
    </row>
    <row r="791" spans="1:2" x14ac:dyDescent="0.2">
      <c r="A791" s="8">
        <v>136607</v>
      </c>
      <c r="B791" s="1" t="s">
        <v>3030</v>
      </c>
    </row>
    <row r="792" spans="1:2" x14ac:dyDescent="0.2">
      <c r="A792" s="10">
        <v>136765</v>
      </c>
      <c r="B792" s="11" t="s">
        <v>3030</v>
      </c>
    </row>
    <row r="793" spans="1:2" x14ac:dyDescent="0.2">
      <c r="A793" s="8">
        <v>136795</v>
      </c>
      <c r="B793" s="1" t="s">
        <v>3030</v>
      </c>
    </row>
    <row r="794" spans="1:2" x14ac:dyDescent="0.2">
      <c r="A794" s="10">
        <v>136825</v>
      </c>
      <c r="B794" s="11" t="s">
        <v>3030</v>
      </c>
    </row>
    <row r="795" spans="1:2" x14ac:dyDescent="0.2">
      <c r="A795" s="8">
        <v>136861</v>
      </c>
      <c r="B795" s="1" t="s">
        <v>3030</v>
      </c>
    </row>
    <row r="796" spans="1:2" x14ac:dyDescent="0.2">
      <c r="A796" s="10">
        <v>136889</v>
      </c>
      <c r="B796" s="11" t="s">
        <v>3030</v>
      </c>
    </row>
    <row r="797" spans="1:2" x14ac:dyDescent="0.2">
      <c r="A797" s="8">
        <v>136894</v>
      </c>
      <c r="B797" s="1" t="s">
        <v>3030</v>
      </c>
    </row>
    <row r="798" spans="1:2" x14ac:dyDescent="0.2">
      <c r="A798" s="10">
        <v>136988</v>
      </c>
      <c r="B798" s="11" t="s">
        <v>3030</v>
      </c>
    </row>
    <row r="799" spans="1:2" x14ac:dyDescent="0.2">
      <c r="A799" s="8">
        <v>137021</v>
      </c>
      <c r="B799" s="1" t="s">
        <v>3030</v>
      </c>
    </row>
    <row r="800" spans="1:2" x14ac:dyDescent="0.2">
      <c r="A800" s="10">
        <v>137113</v>
      </c>
      <c r="B800" s="11" t="s">
        <v>3030</v>
      </c>
    </row>
    <row r="801" spans="1:2" x14ac:dyDescent="0.2">
      <c r="A801" s="8">
        <v>137272</v>
      </c>
      <c r="B801" s="1" t="s">
        <v>3030</v>
      </c>
    </row>
    <row r="802" spans="1:2" x14ac:dyDescent="0.2">
      <c r="A802" s="10">
        <v>137275</v>
      </c>
      <c r="B802" s="11" t="s">
        <v>3030</v>
      </c>
    </row>
    <row r="803" spans="1:2" x14ac:dyDescent="0.2">
      <c r="A803" s="8">
        <v>137406</v>
      </c>
      <c r="B803" s="1" t="s">
        <v>3030</v>
      </c>
    </row>
    <row r="804" spans="1:2" x14ac:dyDescent="0.2">
      <c r="A804" s="10">
        <v>137471</v>
      </c>
      <c r="B804" s="11" t="s">
        <v>3030</v>
      </c>
    </row>
    <row r="805" spans="1:2" x14ac:dyDescent="0.2">
      <c r="A805" s="8">
        <v>137497</v>
      </c>
      <c r="B805" s="1" t="s">
        <v>3030</v>
      </c>
    </row>
    <row r="806" spans="1:2" x14ac:dyDescent="0.2">
      <c r="A806" s="10">
        <v>137500</v>
      </c>
      <c r="B806" s="11" t="s">
        <v>3030</v>
      </c>
    </row>
    <row r="807" spans="1:2" x14ac:dyDescent="0.2">
      <c r="A807" s="8">
        <v>137530</v>
      </c>
      <c r="B807" s="1" t="s">
        <v>3030</v>
      </c>
    </row>
    <row r="808" spans="1:2" x14ac:dyDescent="0.2">
      <c r="A808" s="10">
        <v>137534</v>
      </c>
      <c r="B808" s="11" t="s">
        <v>3030</v>
      </c>
    </row>
    <row r="809" spans="1:2" x14ac:dyDescent="0.2">
      <c r="A809" s="8">
        <v>137535</v>
      </c>
      <c r="B809" s="1" t="s">
        <v>3030</v>
      </c>
    </row>
    <row r="810" spans="1:2" x14ac:dyDescent="0.2">
      <c r="A810" s="10">
        <v>137596</v>
      </c>
      <c r="B810" s="11" t="s">
        <v>3030</v>
      </c>
    </row>
    <row r="811" spans="1:2" x14ac:dyDescent="0.2">
      <c r="A811" s="8">
        <v>137630</v>
      </c>
      <c r="B811" s="1" t="s">
        <v>3030</v>
      </c>
    </row>
    <row r="812" spans="1:2" x14ac:dyDescent="0.2">
      <c r="A812" s="10">
        <v>137755</v>
      </c>
      <c r="B812" s="11" t="s">
        <v>3030</v>
      </c>
    </row>
    <row r="813" spans="1:2" x14ac:dyDescent="0.2">
      <c r="A813" s="8">
        <v>137756</v>
      </c>
      <c r="B813" s="1" t="s">
        <v>3030</v>
      </c>
    </row>
    <row r="814" spans="1:2" x14ac:dyDescent="0.2">
      <c r="A814" s="10">
        <v>137785</v>
      </c>
      <c r="B814" s="11" t="s">
        <v>3030</v>
      </c>
    </row>
    <row r="815" spans="1:2" x14ac:dyDescent="0.2">
      <c r="A815" s="8">
        <v>137819</v>
      </c>
      <c r="B815" s="1" t="s">
        <v>3030</v>
      </c>
    </row>
    <row r="816" spans="1:2" x14ac:dyDescent="0.2">
      <c r="A816" s="10">
        <v>137981</v>
      </c>
      <c r="B816" s="11" t="s">
        <v>3030</v>
      </c>
    </row>
    <row r="817" spans="1:2" x14ac:dyDescent="0.2">
      <c r="A817" s="8">
        <v>138009</v>
      </c>
      <c r="B817" s="1" t="s">
        <v>3030</v>
      </c>
    </row>
    <row r="818" spans="1:2" x14ac:dyDescent="0.2">
      <c r="A818" s="10">
        <v>138040</v>
      </c>
      <c r="B818" s="11" t="s">
        <v>3030</v>
      </c>
    </row>
    <row r="819" spans="1:2" x14ac:dyDescent="0.2">
      <c r="A819" s="8">
        <v>138075</v>
      </c>
      <c r="B819" s="1" t="s">
        <v>3030</v>
      </c>
    </row>
    <row r="820" spans="1:2" x14ac:dyDescent="0.2">
      <c r="A820" s="10">
        <v>138078</v>
      </c>
      <c r="B820" s="11" t="s">
        <v>3030</v>
      </c>
    </row>
    <row r="821" spans="1:2" x14ac:dyDescent="0.2">
      <c r="A821" s="8">
        <v>138142</v>
      </c>
      <c r="B821" s="1" t="s">
        <v>3030</v>
      </c>
    </row>
    <row r="822" spans="1:2" x14ac:dyDescent="0.2">
      <c r="A822" s="10">
        <v>138234</v>
      </c>
      <c r="B822" s="11" t="s">
        <v>3030</v>
      </c>
    </row>
    <row r="823" spans="1:2" x14ac:dyDescent="0.2">
      <c r="A823" s="8">
        <v>138303</v>
      </c>
      <c r="B823" s="1" t="s">
        <v>3030</v>
      </c>
    </row>
    <row r="824" spans="1:2" x14ac:dyDescent="0.2">
      <c r="A824" s="10">
        <v>138428</v>
      </c>
      <c r="B824" s="11" t="s">
        <v>3030</v>
      </c>
    </row>
    <row r="825" spans="1:2" x14ac:dyDescent="0.2">
      <c r="A825" s="8">
        <v>138616</v>
      </c>
      <c r="B825" s="1" t="s">
        <v>3030</v>
      </c>
    </row>
    <row r="826" spans="1:2" x14ac:dyDescent="0.2">
      <c r="A826" s="10">
        <v>138619</v>
      </c>
      <c r="B826" s="11" t="s">
        <v>3030</v>
      </c>
    </row>
    <row r="827" spans="1:2" x14ac:dyDescent="0.2">
      <c r="A827" s="8">
        <v>138687</v>
      </c>
      <c r="B827" s="1" t="s">
        <v>3030</v>
      </c>
    </row>
    <row r="828" spans="1:2" x14ac:dyDescent="0.2">
      <c r="A828" s="10">
        <v>138712</v>
      </c>
      <c r="B828" s="11" t="s">
        <v>3030</v>
      </c>
    </row>
    <row r="829" spans="1:2" x14ac:dyDescent="0.2">
      <c r="A829" s="8">
        <v>138714</v>
      </c>
      <c r="B829" s="1" t="s">
        <v>3030</v>
      </c>
    </row>
    <row r="830" spans="1:2" x14ac:dyDescent="0.2">
      <c r="A830" s="10">
        <v>138719</v>
      </c>
      <c r="B830" s="11" t="s">
        <v>3030</v>
      </c>
    </row>
    <row r="831" spans="1:2" x14ac:dyDescent="0.2">
      <c r="A831" s="8">
        <v>138744</v>
      </c>
      <c r="B831" s="1" t="s">
        <v>3030</v>
      </c>
    </row>
    <row r="832" spans="1:2" x14ac:dyDescent="0.2">
      <c r="A832" s="10">
        <v>138751</v>
      </c>
      <c r="B832" s="11" t="s">
        <v>3030</v>
      </c>
    </row>
    <row r="833" spans="1:2" x14ac:dyDescent="0.2">
      <c r="A833" s="8">
        <v>138872</v>
      </c>
      <c r="B833" s="1" t="s">
        <v>3030</v>
      </c>
    </row>
    <row r="834" spans="1:2" x14ac:dyDescent="0.2">
      <c r="A834" s="10">
        <v>139065</v>
      </c>
      <c r="B834" s="11" t="s">
        <v>3030</v>
      </c>
    </row>
    <row r="835" spans="1:2" x14ac:dyDescent="0.2">
      <c r="A835" s="8">
        <v>139100</v>
      </c>
      <c r="B835" s="1" t="s">
        <v>3030</v>
      </c>
    </row>
    <row r="836" spans="1:2" x14ac:dyDescent="0.2">
      <c r="A836" s="10">
        <v>139128</v>
      </c>
      <c r="B836" s="11" t="s">
        <v>3030</v>
      </c>
    </row>
    <row r="837" spans="1:2" x14ac:dyDescent="0.2">
      <c r="A837" s="8">
        <v>139132</v>
      </c>
      <c r="B837" s="1" t="s">
        <v>3030</v>
      </c>
    </row>
    <row r="838" spans="1:2" x14ac:dyDescent="0.2">
      <c r="A838" s="10">
        <v>139160</v>
      </c>
      <c r="B838" s="11" t="s">
        <v>3030</v>
      </c>
    </row>
    <row r="839" spans="1:2" x14ac:dyDescent="0.2">
      <c r="A839" s="8">
        <v>139165</v>
      </c>
      <c r="B839" s="1" t="s">
        <v>3030</v>
      </c>
    </row>
    <row r="840" spans="1:2" x14ac:dyDescent="0.2">
      <c r="A840" s="10">
        <v>139231</v>
      </c>
      <c r="B840" s="11" t="s">
        <v>3030</v>
      </c>
    </row>
    <row r="841" spans="1:2" x14ac:dyDescent="0.2">
      <c r="A841" s="8">
        <v>139291</v>
      </c>
      <c r="B841" s="1" t="s">
        <v>3030</v>
      </c>
    </row>
    <row r="842" spans="1:2" x14ac:dyDescent="0.2">
      <c r="A842" s="10">
        <v>139326</v>
      </c>
      <c r="B842" s="11" t="s">
        <v>3030</v>
      </c>
    </row>
    <row r="843" spans="1:2" x14ac:dyDescent="0.2">
      <c r="A843" s="8">
        <v>139451</v>
      </c>
      <c r="B843" s="1" t="s">
        <v>3030</v>
      </c>
    </row>
    <row r="844" spans="1:2" x14ac:dyDescent="0.2">
      <c r="A844" s="10">
        <v>139643</v>
      </c>
      <c r="B844" s="11" t="s">
        <v>3030</v>
      </c>
    </row>
    <row r="845" spans="1:2" x14ac:dyDescent="0.2">
      <c r="A845" s="8">
        <v>139775</v>
      </c>
      <c r="B845" s="1" t="s">
        <v>3030</v>
      </c>
    </row>
    <row r="846" spans="1:2" x14ac:dyDescent="0.2">
      <c r="A846" s="10">
        <v>139802</v>
      </c>
      <c r="B846" s="11" t="s">
        <v>3030</v>
      </c>
    </row>
    <row r="847" spans="1:2" x14ac:dyDescent="0.2">
      <c r="A847" s="8">
        <v>139807</v>
      </c>
      <c r="B847" s="1" t="s">
        <v>3030</v>
      </c>
    </row>
    <row r="848" spans="1:2" x14ac:dyDescent="0.2">
      <c r="A848" s="10">
        <v>139864</v>
      </c>
      <c r="B848" s="11" t="s">
        <v>3030</v>
      </c>
    </row>
    <row r="849" spans="1:2" x14ac:dyDescent="0.2">
      <c r="A849" s="8">
        <v>140024</v>
      </c>
      <c r="B849" s="1" t="s">
        <v>3030</v>
      </c>
    </row>
    <row r="850" spans="1:2" x14ac:dyDescent="0.2">
      <c r="A850" s="10">
        <v>140187</v>
      </c>
      <c r="B850" s="11" t="s">
        <v>3030</v>
      </c>
    </row>
    <row r="851" spans="1:2" x14ac:dyDescent="0.2">
      <c r="A851" s="8">
        <v>140255</v>
      </c>
      <c r="B851" s="1" t="s">
        <v>3030</v>
      </c>
    </row>
    <row r="852" spans="1:2" x14ac:dyDescent="0.2">
      <c r="A852" s="10">
        <v>140286</v>
      </c>
      <c r="B852" s="11" t="s">
        <v>3030</v>
      </c>
    </row>
    <row r="853" spans="1:2" x14ac:dyDescent="0.2">
      <c r="A853" s="8">
        <v>140312</v>
      </c>
      <c r="B853" s="1" t="s">
        <v>3030</v>
      </c>
    </row>
    <row r="854" spans="1:2" x14ac:dyDescent="0.2">
      <c r="A854" s="10">
        <v>140376</v>
      </c>
      <c r="B854" s="11" t="s">
        <v>3030</v>
      </c>
    </row>
    <row r="855" spans="1:2" x14ac:dyDescent="0.2">
      <c r="A855" s="8">
        <v>140381</v>
      </c>
      <c r="B855" s="1" t="s">
        <v>3030</v>
      </c>
    </row>
    <row r="856" spans="1:2" x14ac:dyDescent="0.2">
      <c r="A856" s="10">
        <v>140409</v>
      </c>
      <c r="B856" s="11" t="s">
        <v>3030</v>
      </c>
    </row>
    <row r="857" spans="1:2" x14ac:dyDescent="0.2">
      <c r="A857" s="8">
        <v>140506</v>
      </c>
      <c r="B857" s="1" t="s">
        <v>3030</v>
      </c>
    </row>
    <row r="858" spans="1:2" x14ac:dyDescent="0.2">
      <c r="A858" s="10">
        <v>140507</v>
      </c>
      <c r="B858" s="11" t="s">
        <v>3030</v>
      </c>
    </row>
    <row r="859" spans="1:2" x14ac:dyDescent="0.2">
      <c r="A859" s="8">
        <v>140510</v>
      </c>
      <c r="B859" s="1" t="s">
        <v>3030</v>
      </c>
    </row>
    <row r="860" spans="1:2" x14ac:dyDescent="0.2">
      <c r="A860" s="10">
        <v>140568</v>
      </c>
      <c r="B860" s="11" t="s">
        <v>3030</v>
      </c>
    </row>
    <row r="861" spans="1:2" x14ac:dyDescent="0.2">
      <c r="A861" s="8">
        <v>140571</v>
      </c>
      <c r="B861" s="1" t="s">
        <v>3030</v>
      </c>
    </row>
    <row r="862" spans="1:2" x14ac:dyDescent="0.2">
      <c r="A862" s="10">
        <v>140632</v>
      </c>
      <c r="B862" s="11" t="s">
        <v>3030</v>
      </c>
    </row>
    <row r="863" spans="1:2" x14ac:dyDescent="0.2">
      <c r="A863" s="8">
        <v>140636</v>
      </c>
      <c r="B863" s="1" t="s">
        <v>3030</v>
      </c>
    </row>
    <row r="864" spans="1:2" x14ac:dyDescent="0.2">
      <c r="A864" s="10">
        <v>140670</v>
      </c>
      <c r="B864" s="11" t="s">
        <v>3030</v>
      </c>
    </row>
    <row r="865" spans="1:2" x14ac:dyDescent="0.2">
      <c r="A865" s="8">
        <v>140698</v>
      </c>
      <c r="B865" s="1" t="s">
        <v>3030</v>
      </c>
    </row>
    <row r="866" spans="1:2" x14ac:dyDescent="0.2">
      <c r="A866" s="10">
        <v>140799</v>
      </c>
      <c r="B866" s="11" t="s">
        <v>3030</v>
      </c>
    </row>
    <row r="867" spans="1:2" x14ac:dyDescent="0.2">
      <c r="A867" s="8">
        <v>140862</v>
      </c>
      <c r="B867" s="1" t="s">
        <v>3030</v>
      </c>
    </row>
    <row r="868" spans="1:2" x14ac:dyDescent="0.2">
      <c r="A868" s="10">
        <v>140985</v>
      </c>
      <c r="B868" s="11" t="s">
        <v>3030</v>
      </c>
    </row>
    <row r="869" spans="1:2" x14ac:dyDescent="0.2">
      <c r="A869" s="8">
        <v>141049</v>
      </c>
      <c r="B869" s="1" t="s">
        <v>3030</v>
      </c>
    </row>
    <row r="870" spans="1:2" x14ac:dyDescent="0.2">
      <c r="A870" s="10">
        <v>141144</v>
      </c>
      <c r="B870" s="11" t="s">
        <v>3030</v>
      </c>
    </row>
    <row r="871" spans="1:2" x14ac:dyDescent="0.2">
      <c r="A871" s="8">
        <v>141147</v>
      </c>
      <c r="B871" s="1" t="s">
        <v>3030</v>
      </c>
    </row>
    <row r="872" spans="1:2" x14ac:dyDescent="0.2">
      <c r="A872" s="10">
        <v>141178</v>
      </c>
      <c r="B872" s="11" t="s">
        <v>3030</v>
      </c>
    </row>
    <row r="873" spans="1:2" x14ac:dyDescent="0.2">
      <c r="A873" s="8">
        <v>141179</v>
      </c>
      <c r="B873" s="1" t="s">
        <v>3030</v>
      </c>
    </row>
    <row r="874" spans="1:2" x14ac:dyDescent="0.2">
      <c r="A874" s="10">
        <v>141244</v>
      </c>
      <c r="B874" s="11" t="s">
        <v>3030</v>
      </c>
    </row>
    <row r="875" spans="1:2" x14ac:dyDescent="0.2">
      <c r="A875" s="8">
        <v>141375</v>
      </c>
      <c r="B875" s="1" t="s">
        <v>3030</v>
      </c>
    </row>
    <row r="876" spans="1:2" x14ac:dyDescent="0.2">
      <c r="A876" s="10">
        <v>141432</v>
      </c>
      <c r="B876" s="11" t="s">
        <v>3030</v>
      </c>
    </row>
    <row r="877" spans="1:2" x14ac:dyDescent="0.2">
      <c r="A877" s="8">
        <v>141465</v>
      </c>
      <c r="B877" s="1" t="s">
        <v>3030</v>
      </c>
    </row>
    <row r="878" spans="1:2" x14ac:dyDescent="0.2">
      <c r="A878" s="10">
        <v>141471</v>
      </c>
      <c r="B878" s="11" t="s">
        <v>3030</v>
      </c>
    </row>
    <row r="879" spans="1:2" x14ac:dyDescent="0.2">
      <c r="A879" s="8">
        <v>141500</v>
      </c>
      <c r="B879" s="1" t="s">
        <v>3030</v>
      </c>
    </row>
    <row r="880" spans="1:2" x14ac:dyDescent="0.2">
      <c r="A880" s="10">
        <v>141531</v>
      </c>
      <c r="B880" s="11" t="s">
        <v>3030</v>
      </c>
    </row>
    <row r="881" spans="1:2" x14ac:dyDescent="0.2">
      <c r="A881" s="8">
        <v>141533</v>
      </c>
      <c r="B881" s="1" t="s">
        <v>3030</v>
      </c>
    </row>
    <row r="882" spans="1:2" x14ac:dyDescent="0.2">
      <c r="A882" s="10">
        <v>141595</v>
      </c>
      <c r="B882" s="11" t="s">
        <v>3030</v>
      </c>
    </row>
    <row r="883" spans="1:2" x14ac:dyDescent="0.2">
      <c r="A883" s="8">
        <v>141598</v>
      </c>
      <c r="B883" s="1" t="s">
        <v>3030</v>
      </c>
    </row>
    <row r="884" spans="1:2" x14ac:dyDescent="0.2">
      <c r="A884" s="10">
        <v>141661</v>
      </c>
      <c r="B884" s="11" t="s">
        <v>3030</v>
      </c>
    </row>
    <row r="885" spans="1:2" x14ac:dyDescent="0.2">
      <c r="A885" s="8">
        <v>141758</v>
      </c>
      <c r="B885" s="1" t="s">
        <v>3030</v>
      </c>
    </row>
    <row r="886" spans="1:2" x14ac:dyDescent="0.2">
      <c r="A886" s="10">
        <v>141822</v>
      </c>
      <c r="B886" s="11" t="s">
        <v>3030</v>
      </c>
    </row>
    <row r="887" spans="1:2" x14ac:dyDescent="0.2">
      <c r="A887" s="8">
        <v>141852</v>
      </c>
      <c r="B887" s="1" t="s">
        <v>3030</v>
      </c>
    </row>
    <row r="888" spans="1:2" x14ac:dyDescent="0.2">
      <c r="A888" s="10">
        <v>141855</v>
      </c>
      <c r="B888" s="11" t="s">
        <v>3030</v>
      </c>
    </row>
    <row r="889" spans="1:2" x14ac:dyDescent="0.2">
      <c r="A889" s="8">
        <v>141884</v>
      </c>
      <c r="B889" s="1" t="s">
        <v>3030</v>
      </c>
    </row>
    <row r="890" spans="1:2" x14ac:dyDescent="0.2">
      <c r="A890" s="10">
        <v>141917</v>
      </c>
      <c r="B890" s="11" t="s">
        <v>3030</v>
      </c>
    </row>
    <row r="891" spans="1:2" x14ac:dyDescent="0.2">
      <c r="A891" s="8">
        <v>141946</v>
      </c>
      <c r="B891" s="1" t="s">
        <v>3030</v>
      </c>
    </row>
    <row r="892" spans="1:2" x14ac:dyDescent="0.2">
      <c r="A892" s="10">
        <v>142047</v>
      </c>
      <c r="B892" s="11" t="s">
        <v>3030</v>
      </c>
    </row>
    <row r="893" spans="1:2" x14ac:dyDescent="0.2">
      <c r="A893" s="8">
        <v>142073</v>
      </c>
      <c r="B893" s="1" t="s">
        <v>3030</v>
      </c>
    </row>
    <row r="894" spans="1:2" x14ac:dyDescent="0.2">
      <c r="A894" s="10">
        <v>142111</v>
      </c>
      <c r="B894" s="11" t="s">
        <v>3030</v>
      </c>
    </row>
    <row r="895" spans="1:2" x14ac:dyDescent="0.2">
      <c r="A895" s="8">
        <v>142139</v>
      </c>
      <c r="B895" s="1" t="s">
        <v>3030</v>
      </c>
    </row>
    <row r="896" spans="1:2" x14ac:dyDescent="0.2">
      <c r="A896" s="10">
        <v>142175</v>
      </c>
      <c r="B896" s="11" t="s">
        <v>3030</v>
      </c>
    </row>
    <row r="897" spans="1:2" x14ac:dyDescent="0.2">
      <c r="A897" s="8">
        <v>142365</v>
      </c>
      <c r="B897" s="1" t="s">
        <v>3030</v>
      </c>
    </row>
    <row r="898" spans="1:2" x14ac:dyDescent="0.2">
      <c r="A898" s="10">
        <v>142521</v>
      </c>
      <c r="B898" s="11" t="s">
        <v>3030</v>
      </c>
    </row>
    <row r="899" spans="1:2" x14ac:dyDescent="0.2">
      <c r="A899" s="8">
        <v>142523</v>
      </c>
      <c r="B899" s="1" t="s">
        <v>3030</v>
      </c>
    </row>
    <row r="900" spans="1:2" x14ac:dyDescent="0.2">
      <c r="A900" s="10">
        <v>142557</v>
      </c>
      <c r="B900" s="11" t="s">
        <v>3030</v>
      </c>
    </row>
    <row r="901" spans="1:2" x14ac:dyDescent="0.2">
      <c r="A901" s="8">
        <v>142584</v>
      </c>
      <c r="B901" s="1" t="s">
        <v>3030</v>
      </c>
    </row>
    <row r="902" spans="1:2" x14ac:dyDescent="0.2">
      <c r="A902" s="10">
        <v>142617</v>
      </c>
      <c r="B902" s="11" t="s">
        <v>3030</v>
      </c>
    </row>
    <row r="903" spans="1:2" x14ac:dyDescent="0.2">
      <c r="A903" s="8">
        <v>142716</v>
      </c>
      <c r="B903" s="1" t="s">
        <v>3030</v>
      </c>
    </row>
    <row r="904" spans="1:2" x14ac:dyDescent="0.2">
      <c r="A904" s="10">
        <v>142718</v>
      </c>
      <c r="B904" s="11" t="s">
        <v>3030</v>
      </c>
    </row>
    <row r="905" spans="1:2" x14ac:dyDescent="0.2">
      <c r="A905" s="8">
        <v>142744</v>
      </c>
      <c r="B905" s="1" t="s">
        <v>3030</v>
      </c>
    </row>
    <row r="906" spans="1:2" x14ac:dyDescent="0.2">
      <c r="A906" s="10">
        <v>142840</v>
      </c>
      <c r="B906" s="11" t="s">
        <v>3030</v>
      </c>
    </row>
    <row r="907" spans="1:2" x14ac:dyDescent="0.2">
      <c r="A907" s="8">
        <v>142905</v>
      </c>
      <c r="B907" s="1" t="s">
        <v>3030</v>
      </c>
    </row>
    <row r="908" spans="1:2" x14ac:dyDescent="0.2">
      <c r="A908" s="10">
        <v>143003</v>
      </c>
      <c r="B908" s="11" t="s">
        <v>3030</v>
      </c>
    </row>
    <row r="909" spans="1:2" x14ac:dyDescent="0.2">
      <c r="A909" s="8">
        <v>143032</v>
      </c>
      <c r="B909" s="1" t="s">
        <v>3030</v>
      </c>
    </row>
    <row r="910" spans="1:2" x14ac:dyDescent="0.2">
      <c r="A910" s="10">
        <v>143036</v>
      </c>
      <c r="B910" s="11" t="s">
        <v>3030</v>
      </c>
    </row>
    <row r="911" spans="1:2" x14ac:dyDescent="0.2">
      <c r="A911" s="8">
        <v>143038</v>
      </c>
      <c r="B911" s="1" t="s">
        <v>3030</v>
      </c>
    </row>
    <row r="912" spans="1:2" x14ac:dyDescent="0.2">
      <c r="A912" s="10">
        <v>143193</v>
      </c>
      <c r="B912" s="11" t="s">
        <v>3030</v>
      </c>
    </row>
    <row r="913" spans="1:2" x14ac:dyDescent="0.2">
      <c r="A913" s="8">
        <v>143259</v>
      </c>
      <c r="B913" s="1" t="s">
        <v>3030</v>
      </c>
    </row>
    <row r="914" spans="1:2" x14ac:dyDescent="0.2">
      <c r="A914" s="10">
        <v>143261</v>
      </c>
      <c r="B914" s="11" t="s">
        <v>3030</v>
      </c>
    </row>
    <row r="915" spans="1:2" x14ac:dyDescent="0.2">
      <c r="A915" s="8">
        <v>143263</v>
      </c>
      <c r="B915" s="1" t="s">
        <v>3030</v>
      </c>
    </row>
    <row r="916" spans="1:2" x14ac:dyDescent="0.2">
      <c r="A916" s="10">
        <v>143325</v>
      </c>
      <c r="B916" s="11" t="s">
        <v>3030</v>
      </c>
    </row>
    <row r="917" spans="1:2" x14ac:dyDescent="0.2">
      <c r="A917" s="8">
        <v>143384</v>
      </c>
      <c r="B917" s="1" t="s">
        <v>3030</v>
      </c>
    </row>
    <row r="918" spans="1:2" x14ac:dyDescent="0.2">
      <c r="A918" s="10">
        <v>143450</v>
      </c>
      <c r="B918" s="11" t="s">
        <v>3030</v>
      </c>
    </row>
    <row r="919" spans="1:2" x14ac:dyDescent="0.2">
      <c r="A919" s="8">
        <v>143519</v>
      </c>
      <c r="B919" s="1" t="s">
        <v>3030</v>
      </c>
    </row>
    <row r="920" spans="1:2" x14ac:dyDescent="0.2">
      <c r="A920" s="10">
        <v>143577</v>
      </c>
      <c r="B920" s="11" t="s">
        <v>3030</v>
      </c>
    </row>
    <row r="921" spans="1:2" x14ac:dyDescent="0.2">
      <c r="A921" s="8">
        <v>143679</v>
      </c>
      <c r="B921" s="1" t="s">
        <v>3030</v>
      </c>
    </row>
    <row r="922" spans="1:2" x14ac:dyDescent="0.2">
      <c r="A922" s="10">
        <v>143706</v>
      </c>
      <c r="B922" s="11" t="s">
        <v>3030</v>
      </c>
    </row>
    <row r="923" spans="1:2" x14ac:dyDescent="0.2">
      <c r="A923" s="8">
        <v>143773</v>
      </c>
      <c r="B923" s="1" t="s">
        <v>3030</v>
      </c>
    </row>
    <row r="924" spans="1:2" x14ac:dyDescent="0.2">
      <c r="A924" s="10">
        <v>143838</v>
      </c>
      <c r="B924" s="11" t="s">
        <v>3030</v>
      </c>
    </row>
    <row r="925" spans="1:2" x14ac:dyDescent="0.2">
      <c r="A925" s="8">
        <v>143898</v>
      </c>
      <c r="B925" s="1" t="s">
        <v>3030</v>
      </c>
    </row>
    <row r="926" spans="1:2" x14ac:dyDescent="0.2">
      <c r="A926" s="10">
        <v>143995</v>
      </c>
      <c r="B926" s="11" t="s">
        <v>3030</v>
      </c>
    </row>
    <row r="927" spans="1:2" x14ac:dyDescent="0.2">
      <c r="A927" s="8">
        <v>144121</v>
      </c>
      <c r="B927" s="1" t="s">
        <v>3030</v>
      </c>
    </row>
    <row r="928" spans="1:2" x14ac:dyDescent="0.2">
      <c r="A928" s="10">
        <v>144125</v>
      </c>
      <c r="B928" s="11" t="s">
        <v>3030</v>
      </c>
    </row>
    <row r="929" spans="1:2" x14ac:dyDescent="0.2">
      <c r="A929" s="8">
        <v>144159</v>
      </c>
      <c r="B929" s="1" t="s">
        <v>3030</v>
      </c>
    </row>
    <row r="930" spans="1:2" x14ac:dyDescent="0.2">
      <c r="A930" s="10">
        <v>144190</v>
      </c>
      <c r="B930" s="11" t="s">
        <v>3030</v>
      </c>
    </row>
    <row r="931" spans="1:2" x14ac:dyDescent="0.2">
      <c r="A931" s="8">
        <v>144286</v>
      </c>
      <c r="B931" s="1" t="s">
        <v>3030</v>
      </c>
    </row>
    <row r="932" spans="1:2" x14ac:dyDescent="0.2">
      <c r="A932" s="10">
        <v>144318</v>
      </c>
      <c r="B932" s="11" t="s">
        <v>3030</v>
      </c>
    </row>
    <row r="933" spans="1:2" x14ac:dyDescent="0.2">
      <c r="A933" s="8">
        <v>144382</v>
      </c>
      <c r="B933" s="1" t="s">
        <v>3030</v>
      </c>
    </row>
    <row r="934" spans="1:2" x14ac:dyDescent="0.2">
      <c r="A934" s="10">
        <v>144442</v>
      </c>
      <c r="B934" s="11" t="s">
        <v>3030</v>
      </c>
    </row>
    <row r="935" spans="1:2" x14ac:dyDescent="0.2">
      <c r="A935" s="8">
        <v>144444</v>
      </c>
      <c r="B935" s="1" t="s">
        <v>3030</v>
      </c>
    </row>
    <row r="936" spans="1:2" x14ac:dyDescent="0.2">
      <c r="A936" s="10">
        <v>144445</v>
      </c>
      <c r="B936" s="11" t="s">
        <v>3030</v>
      </c>
    </row>
    <row r="937" spans="1:2" x14ac:dyDescent="0.2">
      <c r="A937" s="8">
        <v>144479</v>
      </c>
      <c r="B937" s="1" t="s">
        <v>3030</v>
      </c>
    </row>
    <row r="938" spans="1:2" x14ac:dyDescent="0.2">
      <c r="A938" s="10">
        <v>144573</v>
      </c>
      <c r="B938" s="11" t="s">
        <v>3030</v>
      </c>
    </row>
    <row r="939" spans="1:2" x14ac:dyDescent="0.2">
      <c r="A939" s="8">
        <v>144574</v>
      </c>
      <c r="B939" s="1" t="s">
        <v>3030</v>
      </c>
    </row>
    <row r="940" spans="1:2" x14ac:dyDescent="0.2">
      <c r="A940" s="10">
        <v>144605</v>
      </c>
      <c r="B940" s="11" t="s">
        <v>3030</v>
      </c>
    </row>
    <row r="941" spans="1:2" x14ac:dyDescent="0.2">
      <c r="A941" s="8">
        <v>144606</v>
      </c>
      <c r="B941" s="1" t="s">
        <v>3030</v>
      </c>
    </row>
    <row r="942" spans="1:2" x14ac:dyDescent="0.2">
      <c r="A942" s="10">
        <v>144634</v>
      </c>
      <c r="B942" s="11" t="s">
        <v>3030</v>
      </c>
    </row>
    <row r="943" spans="1:2" x14ac:dyDescent="0.2">
      <c r="A943" s="8">
        <v>144636</v>
      </c>
      <c r="B943" s="1" t="s">
        <v>3030</v>
      </c>
    </row>
    <row r="944" spans="1:2" x14ac:dyDescent="0.2">
      <c r="A944" s="10">
        <v>144670</v>
      </c>
      <c r="B944" s="11" t="s">
        <v>3030</v>
      </c>
    </row>
    <row r="945" spans="1:2" x14ac:dyDescent="0.2">
      <c r="A945" s="8">
        <v>144702</v>
      </c>
      <c r="B945" s="1" t="s">
        <v>3030</v>
      </c>
    </row>
    <row r="946" spans="1:2" x14ac:dyDescent="0.2">
      <c r="A946" s="10">
        <v>144766</v>
      </c>
      <c r="B946" s="11" t="s">
        <v>3030</v>
      </c>
    </row>
    <row r="947" spans="1:2" x14ac:dyDescent="0.2">
      <c r="A947" s="8">
        <v>144824</v>
      </c>
      <c r="B947" s="1" t="s">
        <v>3030</v>
      </c>
    </row>
    <row r="948" spans="1:2" x14ac:dyDescent="0.2">
      <c r="A948" s="10">
        <v>144827</v>
      </c>
      <c r="B948" s="11" t="s">
        <v>3030</v>
      </c>
    </row>
    <row r="949" spans="1:2" x14ac:dyDescent="0.2">
      <c r="A949" s="8">
        <v>144859</v>
      </c>
      <c r="B949" s="1" t="s">
        <v>3030</v>
      </c>
    </row>
    <row r="950" spans="1:2" x14ac:dyDescent="0.2">
      <c r="A950" s="10">
        <v>144862</v>
      </c>
      <c r="B950" s="11" t="s">
        <v>3030</v>
      </c>
    </row>
    <row r="951" spans="1:2" x14ac:dyDescent="0.2">
      <c r="A951" s="8">
        <v>144890</v>
      </c>
      <c r="B951" s="1" t="s">
        <v>3030</v>
      </c>
    </row>
    <row r="952" spans="1:2" x14ac:dyDescent="0.2">
      <c r="A952" s="10">
        <v>144894</v>
      </c>
      <c r="B952" s="11" t="s">
        <v>3030</v>
      </c>
    </row>
    <row r="953" spans="1:2" x14ac:dyDescent="0.2">
      <c r="A953" s="8">
        <v>145117</v>
      </c>
      <c r="B953" s="1" t="s">
        <v>3030</v>
      </c>
    </row>
    <row r="954" spans="1:2" x14ac:dyDescent="0.2">
      <c r="A954" s="10">
        <v>145181</v>
      </c>
      <c r="B954" s="11" t="s">
        <v>3030</v>
      </c>
    </row>
    <row r="955" spans="1:2" x14ac:dyDescent="0.2">
      <c r="A955" s="8">
        <v>145183</v>
      </c>
      <c r="B955" s="1" t="s">
        <v>3030</v>
      </c>
    </row>
    <row r="956" spans="1:2" x14ac:dyDescent="0.2">
      <c r="A956" s="10">
        <v>145208</v>
      </c>
      <c r="B956" s="11" t="s">
        <v>3030</v>
      </c>
    </row>
    <row r="957" spans="1:2" x14ac:dyDescent="0.2">
      <c r="A957" s="8">
        <v>145212</v>
      </c>
      <c r="B957" s="1" t="s">
        <v>3030</v>
      </c>
    </row>
    <row r="958" spans="1:2" x14ac:dyDescent="0.2">
      <c r="A958" s="10">
        <v>145279</v>
      </c>
      <c r="B958" s="11" t="s">
        <v>3030</v>
      </c>
    </row>
    <row r="959" spans="1:2" x14ac:dyDescent="0.2">
      <c r="A959" s="8">
        <v>145338</v>
      </c>
      <c r="B959" s="1" t="s">
        <v>3030</v>
      </c>
    </row>
    <row r="960" spans="1:2" x14ac:dyDescent="0.2">
      <c r="A960" s="10">
        <v>145342</v>
      </c>
      <c r="B960" s="11" t="s">
        <v>3030</v>
      </c>
    </row>
    <row r="961" spans="1:2" x14ac:dyDescent="0.2">
      <c r="A961" s="8">
        <v>145371</v>
      </c>
      <c r="B961" s="1" t="s">
        <v>3030</v>
      </c>
    </row>
    <row r="962" spans="1:2" x14ac:dyDescent="0.2">
      <c r="A962" s="10">
        <v>145375</v>
      </c>
      <c r="B962" s="11" t="s">
        <v>3030</v>
      </c>
    </row>
    <row r="963" spans="1:2" x14ac:dyDescent="0.2">
      <c r="A963" s="8">
        <v>145563</v>
      </c>
      <c r="B963" s="1" t="s">
        <v>3030</v>
      </c>
    </row>
    <row r="964" spans="1:2" x14ac:dyDescent="0.2">
      <c r="A964" s="10">
        <v>145626</v>
      </c>
      <c r="B964" s="11" t="s">
        <v>3030</v>
      </c>
    </row>
    <row r="965" spans="1:2" x14ac:dyDescent="0.2">
      <c r="A965" s="8">
        <v>145818</v>
      </c>
      <c r="B965" s="1" t="s">
        <v>3030</v>
      </c>
    </row>
    <row r="966" spans="1:2" x14ac:dyDescent="0.2">
      <c r="A966" s="10">
        <v>145916</v>
      </c>
      <c r="B966" s="11" t="s">
        <v>3030</v>
      </c>
    </row>
    <row r="967" spans="1:2" x14ac:dyDescent="0.2">
      <c r="A967" s="8">
        <v>145947</v>
      </c>
      <c r="B967" s="1" t="s">
        <v>3030</v>
      </c>
    </row>
    <row r="968" spans="1:2" x14ac:dyDescent="0.2">
      <c r="A968" s="10">
        <v>145950</v>
      </c>
      <c r="B968" s="11" t="s">
        <v>3030</v>
      </c>
    </row>
    <row r="969" spans="1:2" x14ac:dyDescent="0.2">
      <c r="A969" s="8">
        <v>146076</v>
      </c>
      <c r="B969" s="1" t="s">
        <v>3030</v>
      </c>
    </row>
    <row r="970" spans="1:2" x14ac:dyDescent="0.2">
      <c r="A970" s="10">
        <v>146170</v>
      </c>
      <c r="B970" s="11" t="s">
        <v>3030</v>
      </c>
    </row>
    <row r="971" spans="1:2" x14ac:dyDescent="0.2">
      <c r="A971" s="8">
        <v>146232</v>
      </c>
      <c r="B971" s="1" t="s">
        <v>3030</v>
      </c>
    </row>
    <row r="972" spans="1:2" x14ac:dyDescent="0.2">
      <c r="A972" s="10">
        <v>146271</v>
      </c>
      <c r="B972" s="11" t="s">
        <v>3030</v>
      </c>
    </row>
    <row r="973" spans="1:2" x14ac:dyDescent="0.2">
      <c r="A973" s="8">
        <v>146297</v>
      </c>
      <c r="B973" s="1" t="s">
        <v>3030</v>
      </c>
    </row>
    <row r="974" spans="1:2" x14ac:dyDescent="0.2">
      <c r="A974" s="10">
        <v>146328</v>
      </c>
      <c r="B974" s="11" t="s">
        <v>3030</v>
      </c>
    </row>
    <row r="975" spans="1:2" x14ac:dyDescent="0.2">
      <c r="A975" s="8">
        <v>146426</v>
      </c>
      <c r="B975" s="1" t="s">
        <v>3030</v>
      </c>
    </row>
    <row r="976" spans="1:2" x14ac:dyDescent="0.2">
      <c r="A976" s="10">
        <v>146489</v>
      </c>
      <c r="B976" s="11" t="s">
        <v>3030</v>
      </c>
    </row>
    <row r="977" spans="1:2" x14ac:dyDescent="0.2">
      <c r="A977" s="8">
        <v>146685</v>
      </c>
      <c r="B977" s="1" t="s">
        <v>3030</v>
      </c>
    </row>
    <row r="978" spans="1:2" x14ac:dyDescent="0.2">
      <c r="A978" s="10">
        <v>146713</v>
      </c>
      <c r="B978" s="11" t="s">
        <v>3030</v>
      </c>
    </row>
    <row r="979" spans="1:2" x14ac:dyDescent="0.2">
      <c r="A979" s="8">
        <v>146745</v>
      </c>
      <c r="B979" s="1" t="s">
        <v>3030</v>
      </c>
    </row>
    <row r="980" spans="1:2" x14ac:dyDescent="0.2">
      <c r="A980" s="10">
        <v>146778</v>
      </c>
      <c r="B980" s="11" t="s">
        <v>3030</v>
      </c>
    </row>
    <row r="981" spans="1:2" x14ac:dyDescent="0.2">
      <c r="A981" s="8">
        <v>146782</v>
      </c>
      <c r="B981" s="1" t="s">
        <v>3030</v>
      </c>
    </row>
    <row r="982" spans="1:2" x14ac:dyDescent="0.2">
      <c r="A982" s="10">
        <v>146812</v>
      </c>
      <c r="B982" s="11" t="s">
        <v>3030</v>
      </c>
    </row>
    <row r="983" spans="1:2" x14ac:dyDescent="0.2">
      <c r="A983" s="8">
        <v>146906</v>
      </c>
      <c r="B983" s="1" t="s">
        <v>3030</v>
      </c>
    </row>
    <row r="984" spans="1:2" x14ac:dyDescent="0.2">
      <c r="A984" s="10">
        <v>146971</v>
      </c>
      <c r="B984" s="11" t="s">
        <v>3030</v>
      </c>
    </row>
    <row r="985" spans="1:2" x14ac:dyDescent="0.2">
      <c r="A985" s="8">
        <v>147033</v>
      </c>
      <c r="B985" s="1" t="s">
        <v>3030</v>
      </c>
    </row>
    <row r="986" spans="1:2" x14ac:dyDescent="0.2">
      <c r="A986" s="10">
        <v>147066</v>
      </c>
      <c r="B986" s="11" t="s">
        <v>3030</v>
      </c>
    </row>
    <row r="987" spans="1:2" x14ac:dyDescent="0.2">
      <c r="A987" s="8">
        <v>147099</v>
      </c>
      <c r="B987" s="1" t="s">
        <v>3030</v>
      </c>
    </row>
    <row r="988" spans="1:2" x14ac:dyDescent="0.2">
      <c r="A988" s="10">
        <v>147102</v>
      </c>
      <c r="B988" s="11" t="s">
        <v>3030</v>
      </c>
    </row>
    <row r="989" spans="1:2" x14ac:dyDescent="0.2">
      <c r="A989" s="8">
        <v>147197</v>
      </c>
      <c r="B989" s="1" t="s">
        <v>3030</v>
      </c>
    </row>
    <row r="990" spans="1:2" x14ac:dyDescent="0.2">
      <c r="A990" s="10">
        <v>147199</v>
      </c>
      <c r="B990" s="11" t="s">
        <v>3030</v>
      </c>
    </row>
    <row r="991" spans="1:2" x14ac:dyDescent="0.2">
      <c r="A991" s="8">
        <v>147231</v>
      </c>
      <c r="B991" s="1" t="s">
        <v>3030</v>
      </c>
    </row>
    <row r="992" spans="1:2" x14ac:dyDescent="0.2">
      <c r="A992" s="10">
        <v>147260</v>
      </c>
      <c r="B992" s="11" t="s">
        <v>3030</v>
      </c>
    </row>
    <row r="993" spans="1:2" x14ac:dyDescent="0.2">
      <c r="A993" s="8">
        <v>147384</v>
      </c>
      <c r="B993" s="1" t="s">
        <v>3030</v>
      </c>
    </row>
    <row r="994" spans="1:2" x14ac:dyDescent="0.2">
      <c r="A994" s="10">
        <v>147452</v>
      </c>
      <c r="B994" s="11" t="s">
        <v>3030</v>
      </c>
    </row>
    <row r="995" spans="1:2" x14ac:dyDescent="0.2">
      <c r="A995" s="8">
        <v>147486</v>
      </c>
      <c r="B995" s="1" t="s">
        <v>3030</v>
      </c>
    </row>
    <row r="996" spans="1:2" x14ac:dyDescent="0.2">
      <c r="A996" s="10">
        <v>147546</v>
      </c>
      <c r="B996" s="11" t="s">
        <v>3030</v>
      </c>
    </row>
    <row r="997" spans="1:2" x14ac:dyDescent="0.2">
      <c r="A997" s="8">
        <v>147643</v>
      </c>
      <c r="B997" s="1" t="s">
        <v>3030</v>
      </c>
    </row>
    <row r="998" spans="1:2" x14ac:dyDescent="0.2">
      <c r="A998" s="10">
        <v>147646</v>
      </c>
      <c r="B998" s="11" t="s">
        <v>3030</v>
      </c>
    </row>
    <row r="999" spans="1:2" x14ac:dyDescent="0.2">
      <c r="A999" s="8">
        <v>147672</v>
      </c>
      <c r="B999" s="1" t="s">
        <v>3030</v>
      </c>
    </row>
    <row r="1000" spans="1:2" x14ac:dyDescent="0.2">
      <c r="A1000" s="10">
        <v>147743</v>
      </c>
      <c r="B1000" s="11" t="s">
        <v>3030</v>
      </c>
    </row>
    <row r="1001" spans="1:2" x14ac:dyDescent="0.2">
      <c r="A1001" s="8">
        <v>147775</v>
      </c>
      <c r="B1001" s="1" t="s">
        <v>3030</v>
      </c>
    </row>
    <row r="1002" spans="1:2" x14ac:dyDescent="0.2">
      <c r="A1002" s="10">
        <v>147804</v>
      </c>
      <c r="B1002" s="11" t="s">
        <v>3030</v>
      </c>
    </row>
    <row r="1003" spans="1:2" x14ac:dyDescent="0.2">
      <c r="A1003" s="8">
        <v>147869</v>
      </c>
      <c r="B1003" s="1" t="s">
        <v>3030</v>
      </c>
    </row>
    <row r="1004" spans="1:2" x14ac:dyDescent="0.2">
      <c r="A1004" s="10">
        <v>147871</v>
      </c>
      <c r="B1004" s="11" t="s">
        <v>3030</v>
      </c>
    </row>
    <row r="1005" spans="1:2" x14ac:dyDescent="0.2">
      <c r="A1005" s="8">
        <v>147993</v>
      </c>
      <c r="B1005" s="1" t="s">
        <v>3030</v>
      </c>
    </row>
    <row r="1006" spans="1:2" x14ac:dyDescent="0.2">
      <c r="A1006" s="10">
        <v>147996</v>
      </c>
      <c r="B1006" s="11" t="s">
        <v>3030</v>
      </c>
    </row>
    <row r="1007" spans="1:2" x14ac:dyDescent="0.2">
      <c r="A1007" s="8">
        <v>148031</v>
      </c>
      <c r="B1007" s="1" t="s">
        <v>3030</v>
      </c>
    </row>
    <row r="1008" spans="1:2" x14ac:dyDescent="0.2">
      <c r="A1008" s="10">
        <v>148056</v>
      </c>
      <c r="B1008" s="11" t="s">
        <v>3030</v>
      </c>
    </row>
    <row r="1009" spans="1:2" x14ac:dyDescent="0.2">
      <c r="A1009" s="8">
        <v>148092</v>
      </c>
      <c r="B1009" s="1" t="s">
        <v>3030</v>
      </c>
    </row>
    <row r="1010" spans="1:2" x14ac:dyDescent="0.2">
      <c r="A1010" s="10">
        <v>148095</v>
      </c>
      <c r="B1010" s="11" t="s">
        <v>3030</v>
      </c>
    </row>
    <row r="1011" spans="1:2" x14ac:dyDescent="0.2">
      <c r="A1011" s="8">
        <v>148254</v>
      </c>
      <c r="B1011" s="1" t="s">
        <v>3030</v>
      </c>
    </row>
    <row r="1012" spans="1:2" x14ac:dyDescent="0.2">
      <c r="A1012" s="10">
        <v>148280</v>
      </c>
      <c r="B1012" s="11" t="s">
        <v>3030</v>
      </c>
    </row>
    <row r="1013" spans="1:2" x14ac:dyDescent="0.2">
      <c r="A1013" s="8">
        <v>148347</v>
      </c>
      <c r="B1013" s="1" t="s">
        <v>3030</v>
      </c>
    </row>
    <row r="1014" spans="1:2" x14ac:dyDescent="0.2">
      <c r="A1014" s="10">
        <v>148536</v>
      </c>
      <c r="B1014" s="11" t="s">
        <v>3030</v>
      </c>
    </row>
    <row r="1015" spans="1:2" x14ac:dyDescent="0.2">
      <c r="A1015" s="8">
        <v>148634</v>
      </c>
      <c r="B1015" s="1" t="s">
        <v>3030</v>
      </c>
    </row>
    <row r="1016" spans="1:2" x14ac:dyDescent="0.2">
      <c r="A1016" s="10">
        <v>148669</v>
      </c>
      <c r="B1016" s="11" t="s">
        <v>3030</v>
      </c>
    </row>
    <row r="1017" spans="1:2" x14ac:dyDescent="0.2">
      <c r="A1017" s="8">
        <v>148697</v>
      </c>
      <c r="B1017" s="1" t="s">
        <v>3030</v>
      </c>
    </row>
    <row r="1018" spans="1:2" x14ac:dyDescent="0.2">
      <c r="A1018" s="10">
        <v>148767</v>
      </c>
      <c r="B1018" s="11" t="s">
        <v>3030</v>
      </c>
    </row>
    <row r="1019" spans="1:2" x14ac:dyDescent="0.2">
      <c r="A1019" s="8">
        <v>148952</v>
      </c>
      <c r="B1019" s="1" t="s">
        <v>3030</v>
      </c>
    </row>
    <row r="1020" spans="1:2" x14ac:dyDescent="0.2">
      <c r="A1020" s="10">
        <v>149050</v>
      </c>
      <c r="B1020" s="11" t="s">
        <v>3030</v>
      </c>
    </row>
    <row r="1021" spans="1:2" x14ac:dyDescent="0.2">
      <c r="A1021" s="8">
        <v>149053</v>
      </c>
      <c r="B1021" s="1" t="s">
        <v>3030</v>
      </c>
    </row>
    <row r="1022" spans="1:2" x14ac:dyDescent="0.2">
      <c r="A1022" s="10">
        <v>149054</v>
      </c>
      <c r="B1022" s="11" t="s">
        <v>3030</v>
      </c>
    </row>
    <row r="1023" spans="1:2" x14ac:dyDescent="0.2">
      <c r="A1023" s="8">
        <v>149084</v>
      </c>
      <c r="B1023" s="1" t="s">
        <v>3030</v>
      </c>
    </row>
    <row r="1024" spans="1:2" x14ac:dyDescent="0.2">
      <c r="A1024" s="10">
        <v>149144</v>
      </c>
      <c r="B1024" s="11" t="s">
        <v>3030</v>
      </c>
    </row>
    <row r="1025" spans="1:2" x14ac:dyDescent="0.2">
      <c r="A1025" s="8">
        <v>149176</v>
      </c>
      <c r="B1025" s="1" t="s">
        <v>3030</v>
      </c>
    </row>
    <row r="1026" spans="1:2" x14ac:dyDescent="0.2">
      <c r="A1026" s="10">
        <v>149272</v>
      </c>
      <c r="B1026" s="11" t="s">
        <v>3030</v>
      </c>
    </row>
    <row r="1027" spans="1:2" x14ac:dyDescent="0.2">
      <c r="A1027" s="8">
        <v>149368</v>
      </c>
      <c r="B1027" s="1" t="s">
        <v>3030</v>
      </c>
    </row>
    <row r="1028" spans="1:2" x14ac:dyDescent="0.2">
      <c r="A1028" s="10">
        <v>149407</v>
      </c>
      <c r="B1028" s="11" t="s">
        <v>3030</v>
      </c>
    </row>
    <row r="1029" spans="1:2" x14ac:dyDescent="0.2">
      <c r="A1029" s="8">
        <v>149469</v>
      </c>
      <c r="B1029" s="1" t="s">
        <v>3030</v>
      </c>
    </row>
    <row r="1030" spans="1:2" x14ac:dyDescent="0.2">
      <c r="A1030" s="10">
        <v>149627</v>
      </c>
      <c r="B1030" s="11" t="s">
        <v>3030</v>
      </c>
    </row>
    <row r="1031" spans="1:2" x14ac:dyDescent="0.2">
      <c r="A1031" s="8">
        <v>149657</v>
      </c>
      <c r="B1031" s="1" t="s">
        <v>3030</v>
      </c>
    </row>
    <row r="1032" spans="1:2" x14ac:dyDescent="0.2">
      <c r="A1032" s="10">
        <v>149658</v>
      </c>
      <c r="B1032" s="11" t="s">
        <v>3030</v>
      </c>
    </row>
    <row r="1033" spans="1:2" x14ac:dyDescent="0.2">
      <c r="A1033" s="8">
        <v>149660</v>
      </c>
      <c r="B1033" s="1" t="s">
        <v>3030</v>
      </c>
    </row>
    <row r="1034" spans="1:2" x14ac:dyDescent="0.2">
      <c r="A1034" s="10">
        <v>149661</v>
      </c>
      <c r="B1034" s="11" t="s">
        <v>3030</v>
      </c>
    </row>
    <row r="1035" spans="1:2" x14ac:dyDescent="0.2">
      <c r="A1035" s="8">
        <v>149691</v>
      </c>
      <c r="B1035" s="1" t="s">
        <v>3030</v>
      </c>
    </row>
    <row r="1036" spans="1:2" x14ac:dyDescent="0.2">
      <c r="A1036" s="10">
        <v>149852</v>
      </c>
      <c r="B1036" s="11" t="s">
        <v>3030</v>
      </c>
    </row>
    <row r="1037" spans="1:2" x14ac:dyDescent="0.2">
      <c r="A1037" s="8">
        <v>149947</v>
      </c>
      <c r="B1037" s="1" t="s">
        <v>3030</v>
      </c>
    </row>
    <row r="1038" spans="1:2" x14ac:dyDescent="0.2">
      <c r="A1038" s="10">
        <v>149976</v>
      </c>
      <c r="B1038" s="11" t="s">
        <v>3030</v>
      </c>
    </row>
    <row r="1039" spans="1:2" x14ac:dyDescent="0.2">
      <c r="A1039" s="8">
        <v>149981</v>
      </c>
      <c r="B1039" s="1" t="s">
        <v>3030</v>
      </c>
    </row>
    <row r="1040" spans="1:2" x14ac:dyDescent="0.2">
      <c r="A1040" s="10">
        <v>150105</v>
      </c>
      <c r="B1040" s="11" t="s">
        <v>3030</v>
      </c>
    </row>
    <row r="1041" spans="1:2" x14ac:dyDescent="0.2">
      <c r="A1041" s="8">
        <v>150109</v>
      </c>
      <c r="B1041" s="1" t="s">
        <v>3030</v>
      </c>
    </row>
    <row r="1042" spans="1:2" x14ac:dyDescent="0.2">
      <c r="A1042" s="10">
        <v>150138</v>
      </c>
      <c r="B1042" s="11" t="s">
        <v>3030</v>
      </c>
    </row>
    <row r="1043" spans="1:2" x14ac:dyDescent="0.2">
      <c r="A1043" s="8">
        <v>150141</v>
      </c>
      <c r="B1043" s="1" t="s">
        <v>3030</v>
      </c>
    </row>
    <row r="1044" spans="1:2" x14ac:dyDescent="0.2">
      <c r="A1044" s="10">
        <v>150169</v>
      </c>
      <c r="B1044" s="11" t="s">
        <v>3030</v>
      </c>
    </row>
    <row r="1045" spans="1:2" x14ac:dyDescent="0.2">
      <c r="A1045" s="8">
        <v>150205</v>
      </c>
      <c r="B1045" s="1" t="s">
        <v>3030</v>
      </c>
    </row>
    <row r="1046" spans="1:2" x14ac:dyDescent="0.2">
      <c r="A1046" s="10">
        <v>150232</v>
      </c>
      <c r="B1046" s="11" t="s">
        <v>3030</v>
      </c>
    </row>
    <row r="1047" spans="1:2" x14ac:dyDescent="0.2">
      <c r="A1047" s="8">
        <v>150264</v>
      </c>
      <c r="B1047" s="1" t="s">
        <v>3030</v>
      </c>
    </row>
    <row r="1048" spans="1:2" x14ac:dyDescent="0.2">
      <c r="A1048" s="10">
        <v>150265</v>
      </c>
      <c r="B1048" s="11" t="s">
        <v>3030</v>
      </c>
    </row>
    <row r="1049" spans="1:2" x14ac:dyDescent="0.2">
      <c r="A1049" s="8">
        <v>150299</v>
      </c>
      <c r="B1049" s="1" t="s">
        <v>3030</v>
      </c>
    </row>
    <row r="1050" spans="1:2" x14ac:dyDescent="0.2">
      <c r="A1050" s="10">
        <v>150364</v>
      </c>
      <c r="B1050" s="11" t="s">
        <v>3030</v>
      </c>
    </row>
    <row r="1051" spans="1:2" x14ac:dyDescent="0.2">
      <c r="A1051" s="8">
        <v>150527</v>
      </c>
      <c r="B1051" s="1" t="s">
        <v>3030</v>
      </c>
    </row>
    <row r="1052" spans="1:2" x14ac:dyDescent="0.2">
      <c r="A1052" s="10">
        <v>150557</v>
      </c>
      <c r="B1052" s="11" t="s">
        <v>3030</v>
      </c>
    </row>
    <row r="1053" spans="1:2" x14ac:dyDescent="0.2">
      <c r="A1053" s="8">
        <v>150622</v>
      </c>
      <c r="B1053" s="1" t="s">
        <v>3030</v>
      </c>
    </row>
    <row r="1054" spans="1:2" x14ac:dyDescent="0.2">
      <c r="A1054" s="10">
        <v>150680</v>
      </c>
      <c r="B1054" s="11" t="s">
        <v>3030</v>
      </c>
    </row>
    <row r="1055" spans="1:2" x14ac:dyDescent="0.2">
      <c r="A1055" s="8">
        <v>150780</v>
      </c>
      <c r="B1055" s="1" t="s">
        <v>3030</v>
      </c>
    </row>
    <row r="1056" spans="1:2" x14ac:dyDescent="0.2">
      <c r="A1056" s="10">
        <v>150843</v>
      </c>
      <c r="B1056" s="11" t="s">
        <v>3030</v>
      </c>
    </row>
    <row r="1057" spans="1:2" x14ac:dyDescent="0.2">
      <c r="A1057" s="8">
        <v>150844</v>
      </c>
      <c r="B1057" s="1" t="s">
        <v>3030</v>
      </c>
    </row>
    <row r="1058" spans="1:2" x14ac:dyDescent="0.2">
      <c r="A1058" s="10">
        <v>150904</v>
      </c>
      <c r="B1058" s="11" t="s">
        <v>3030</v>
      </c>
    </row>
    <row r="1059" spans="1:2" x14ac:dyDescent="0.2">
      <c r="A1059" s="8">
        <v>150909</v>
      </c>
      <c r="B1059" s="1" t="s">
        <v>3030</v>
      </c>
    </row>
    <row r="1060" spans="1:2" x14ac:dyDescent="0.2">
      <c r="A1060" s="10">
        <v>150936</v>
      </c>
      <c r="B1060" s="11" t="s">
        <v>3030</v>
      </c>
    </row>
    <row r="1061" spans="1:2" x14ac:dyDescent="0.2">
      <c r="A1061" s="8">
        <v>150938</v>
      </c>
      <c r="B1061" s="1" t="s">
        <v>3030</v>
      </c>
    </row>
    <row r="1062" spans="1:2" x14ac:dyDescent="0.2">
      <c r="A1062" s="10">
        <v>151135</v>
      </c>
      <c r="B1062" s="11" t="s">
        <v>3030</v>
      </c>
    </row>
    <row r="1063" spans="1:2" x14ac:dyDescent="0.2">
      <c r="A1063" s="8">
        <v>151228</v>
      </c>
      <c r="B1063" s="1" t="s">
        <v>3030</v>
      </c>
    </row>
    <row r="1064" spans="1:2" x14ac:dyDescent="0.2">
      <c r="A1064" s="10">
        <v>151290</v>
      </c>
      <c r="B1064" s="11" t="s">
        <v>3030</v>
      </c>
    </row>
    <row r="1065" spans="1:2" x14ac:dyDescent="0.2">
      <c r="A1065" s="8">
        <v>151354</v>
      </c>
      <c r="B1065" s="1" t="s">
        <v>3030</v>
      </c>
    </row>
    <row r="1066" spans="1:2" x14ac:dyDescent="0.2">
      <c r="A1066" s="10">
        <v>151387</v>
      </c>
      <c r="B1066" s="11" t="s">
        <v>3030</v>
      </c>
    </row>
    <row r="1067" spans="1:2" x14ac:dyDescent="0.2">
      <c r="A1067" s="8">
        <v>151420</v>
      </c>
      <c r="B1067" s="1" t="s">
        <v>3030</v>
      </c>
    </row>
    <row r="1068" spans="1:2" x14ac:dyDescent="0.2">
      <c r="A1068" s="10">
        <v>151455</v>
      </c>
      <c r="B1068" s="11" t="s">
        <v>3030</v>
      </c>
    </row>
    <row r="1069" spans="1:2" x14ac:dyDescent="0.2">
      <c r="A1069" s="8">
        <v>151519</v>
      </c>
      <c r="B1069" s="1" t="s">
        <v>3030</v>
      </c>
    </row>
    <row r="1070" spans="1:2" x14ac:dyDescent="0.2">
      <c r="A1070" s="10">
        <v>151611</v>
      </c>
      <c r="B1070" s="11" t="s">
        <v>3030</v>
      </c>
    </row>
    <row r="1071" spans="1:2" x14ac:dyDescent="0.2">
      <c r="A1071" s="8">
        <v>151641</v>
      </c>
      <c r="B1071" s="1" t="s">
        <v>3030</v>
      </c>
    </row>
    <row r="1072" spans="1:2" x14ac:dyDescent="0.2">
      <c r="A1072" s="10">
        <v>151738</v>
      </c>
      <c r="B1072" s="11" t="s">
        <v>3030</v>
      </c>
    </row>
    <row r="1073" spans="1:2" x14ac:dyDescent="0.2">
      <c r="A1073" s="8">
        <v>151802</v>
      </c>
      <c r="B1073" s="1" t="s">
        <v>3030</v>
      </c>
    </row>
    <row r="1074" spans="1:2" x14ac:dyDescent="0.2">
      <c r="A1074" s="10">
        <v>151901</v>
      </c>
      <c r="B1074" s="11" t="s">
        <v>3030</v>
      </c>
    </row>
    <row r="1075" spans="1:2" x14ac:dyDescent="0.2">
      <c r="A1075" s="8">
        <v>151933</v>
      </c>
      <c r="B1075" s="1" t="s">
        <v>3030</v>
      </c>
    </row>
    <row r="1076" spans="1:2" x14ac:dyDescent="0.2">
      <c r="A1076" s="10">
        <v>152028</v>
      </c>
      <c r="B1076" s="11" t="s">
        <v>3030</v>
      </c>
    </row>
    <row r="1077" spans="1:2" x14ac:dyDescent="0.2">
      <c r="A1077" s="8">
        <v>152121</v>
      </c>
      <c r="B1077" s="1" t="s">
        <v>3030</v>
      </c>
    </row>
    <row r="1078" spans="1:2" x14ac:dyDescent="0.2">
      <c r="A1078" s="10">
        <v>152219</v>
      </c>
      <c r="B1078" s="11" t="s">
        <v>3030</v>
      </c>
    </row>
    <row r="1079" spans="1:2" x14ac:dyDescent="0.2">
      <c r="A1079" s="8">
        <v>152221</v>
      </c>
      <c r="B1079" s="1" t="s">
        <v>3030</v>
      </c>
    </row>
    <row r="1080" spans="1:2" x14ac:dyDescent="0.2">
      <c r="A1080" s="10">
        <v>152249</v>
      </c>
      <c r="B1080" s="11" t="s">
        <v>3030</v>
      </c>
    </row>
    <row r="1081" spans="1:2" x14ac:dyDescent="0.2">
      <c r="A1081" s="8">
        <v>152282</v>
      </c>
      <c r="B1081" s="1" t="s">
        <v>3030</v>
      </c>
    </row>
    <row r="1082" spans="1:2" x14ac:dyDescent="0.2">
      <c r="A1082" s="10">
        <v>152286</v>
      </c>
      <c r="B1082" s="11" t="s">
        <v>3030</v>
      </c>
    </row>
    <row r="1083" spans="1:2" x14ac:dyDescent="0.2">
      <c r="A1083" s="8">
        <v>152287</v>
      </c>
      <c r="B1083" s="1" t="s">
        <v>3030</v>
      </c>
    </row>
    <row r="1084" spans="1:2" x14ac:dyDescent="0.2">
      <c r="A1084" s="10">
        <v>152317</v>
      </c>
      <c r="B1084" s="11" t="s">
        <v>3030</v>
      </c>
    </row>
    <row r="1085" spans="1:2" x14ac:dyDescent="0.2">
      <c r="A1085" s="8">
        <v>152346</v>
      </c>
      <c r="B1085" s="1" t="s">
        <v>3030</v>
      </c>
    </row>
    <row r="1086" spans="1:2" x14ac:dyDescent="0.2">
      <c r="A1086" s="10">
        <v>152382</v>
      </c>
      <c r="B1086" s="11" t="s">
        <v>3030</v>
      </c>
    </row>
    <row r="1087" spans="1:2" x14ac:dyDescent="0.2">
      <c r="A1087" s="8">
        <v>152504</v>
      </c>
      <c r="B1087" s="1" t="s">
        <v>3030</v>
      </c>
    </row>
    <row r="1088" spans="1:2" x14ac:dyDescent="0.2">
      <c r="A1088" s="10">
        <v>152510</v>
      </c>
      <c r="B1088" s="11" t="s">
        <v>3030</v>
      </c>
    </row>
    <row r="1089" spans="1:2" x14ac:dyDescent="0.2">
      <c r="A1089" s="8">
        <v>152667</v>
      </c>
      <c r="B1089" s="1" t="s">
        <v>3030</v>
      </c>
    </row>
    <row r="1090" spans="1:2" x14ac:dyDescent="0.2">
      <c r="A1090" s="10">
        <v>152761</v>
      </c>
      <c r="B1090" s="11" t="s">
        <v>3030</v>
      </c>
    </row>
    <row r="1091" spans="1:2" x14ac:dyDescent="0.2">
      <c r="A1091" s="8">
        <v>152826</v>
      </c>
      <c r="B1091" s="1" t="s">
        <v>3030</v>
      </c>
    </row>
    <row r="1092" spans="1:2" x14ac:dyDescent="0.2">
      <c r="A1092" s="10">
        <v>152895</v>
      </c>
      <c r="B1092" s="11" t="s">
        <v>3030</v>
      </c>
    </row>
    <row r="1093" spans="1:2" x14ac:dyDescent="0.2">
      <c r="A1093" s="8">
        <v>152957</v>
      </c>
      <c r="B1093" s="1" t="s">
        <v>3030</v>
      </c>
    </row>
    <row r="1094" spans="1:2" x14ac:dyDescent="0.2">
      <c r="A1094" s="10">
        <v>152958</v>
      </c>
      <c r="B1094" s="11" t="s">
        <v>3030</v>
      </c>
    </row>
    <row r="1095" spans="1:2" x14ac:dyDescent="0.2">
      <c r="A1095" s="8">
        <v>153016</v>
      </c>
      <c r="B1095" s="1" t="s">
        <v>3030</v>
      </c>
    </row>
    <row r="1096" spans="1:2" x14ac:dyDescent="0.2">
      <c r="A1096" s="10">
        <v>153081</v>
      </c>
      <c r="B1096" s="11" t="s">
        <v>3030</v>
      </c>
    </row>
    <row r="1097" spans="1:2" x14ac:dyDescent="0.2">
      <c r="A1097" s="8">
        <v>153144</v>
      </c>
      <c r="B1097" s="1" t="s">
        <v>3030</v>
      </c>
    </row>
    <row r="1098" spans="1:2" x14ac:dyDescent="0.2">
      <c r="A1098" s="10">
        <v>153149</v>
      </c>
      <c r="B1098" s="11" t="s">
        <v>3030</v>
      </c>
    </row>
    <row r="1099" spans="1:2" x14ac:dyDescent="0.2">
      <c r="A1099" s="8">
        <v>153151</v>
      </c>
      <c r="B1099" s="1" t="s">
        <v>3030</v>
      </c>
    </row>
    <row r="1100" spans="1:2" x14ac:dyDescent="0.2">
      <c r="A1100" s="10">
        <v>153310</v>
      </c>
      <c r="B1100" s="11" t="s">
        <v>3030</v>
      </c>
    </row>
    <row r="1101" spans="1:2" x14ac:dyDescent="0.2">
      <c r="A1101" s="8">
        <v>153403</v>
      </c>
      <c r="B1101" s="1" t="s">
        <v>3030</v>
      </c>
    </row>
    <row r="1102" spans="1:2" x14ac:dyDescent="0.2">
      <c r="A1102" s="10">
        <v>153433</v>
      </c>
      <c r="B1102" s="11" t="s">
        <v>3030</v>
      </c>
    </row>
    <row r="1103" spans="1:2" x14ac:dyDescent="0.2">
      <c r="A1103" s="8">
        <v>153564</v>
      </c>
      <c r="B1103" s="1" t="s">
        <v>3030</v>
      </c>
    </row>
    <row r="1104" spans="1:2" x14ac:dyDescent="0.2">
      <c r="A1104" s="10">
        <v>153567</v>
      </c>
      <c r="B1104" s="11" t="s">
        <v>3030</v>
      </c>
    </row>
    <row r="1105" spans="1:2" x14ac:dyDescent="0.2">
      <c r="A1105" s="8">
        <v>153726</v>
      </c>
      <c r="B1105" s="1" t="s">
        <v>3030</v>
      </c>
    </row>
    <row r="1106" spans="1:2" x14ac:dyDescent="0.2">
      <c r="A1106" s="10">
        <v>153757</v>
      </c>
      <c r="B1106" s="11" t="s">
        <v>3030</v>
      </c>
    </row>
    <row r="1107" spans="1:2" x14ac:dyDescent="0.2">
      <c r="A1107" s="8">
        <v>153759</v>
      </c>
      <c r="B1107" s="1" t="s">
        <v>3030</v>
      </c>
    </row>
    <row r="1108" spans="1:2" x14ac:dyDescent="0.2">
      <c r="A1108" s="10">
        <v>153784</v>
      </c>
      <c r="B1108" s="11" t="s">
        <v>3030</v>
      </c>
    </row>
    <row r="1109" spans="1:2" x14ac:dyDescent="0.2">
      <c r="A1109" s="8">
        <v>153786</v>
      </c>
      <c r="B1109" s="1" t="s">
        <v>3030</v>
      </c>
    </row>
    <row r="1110" spans="1:2" x14ac:dyDescent="0.2">
      <c r="A1110" s="10">
        <v>153851</v>
      </c>
      <c r="B1110" s="11" t="s">
        <v>3030</v>
      </c>
    </row>
    <row r="1111" spans="1:2" x14ac:dyDescent="0.2">
      <c r="A1111" s="8">
        <v>153915</v>
      </c>
      <c r="B1111" s="1" t="s">
        <v>3030</v>
      </c>
    </row>
    <row r="1112" spans="1:2" x14ac:dyDescent="0.2">
      <c r="A1112" s="10">
        <v>154040</v>
      </c>
      <c r="B1112" s="11" t="s">
        <v>3030</v>
      </c>
    </row>
    <row r="1113" spans="1:2" x14ac:dyDescent="0.2">
      <c r="A1113" s="8">
        <v>154072</v>
      </c>
      <c r="B1113" s="1" t="s">
        <v>3030</v>
      </c>
    </row>
    <row r="1114" spans="1:2" x14ac:dyDescent="0.2">
      <c r="A1114" s="10">
        <v>154171</v>
      </c>
      <c r="B1114" s="11" t="s">
        <v>3030</v>
      </c>
    </row>
    <row r="1115" spans="1:2" x14ac:dyDescent="0.2">
      <c r="A1115" s="8">
        <v>154233</v>
      </c>
      <c r="B1115" s="1" t="s">
        <v>3030</v>
      </c>
    </row>
    <row r="1116" spans="1:2" x14ac:dyDescent="0.2">
      <c r="A1116" s="10">
        <v>154237</v>
      </c>
      <c r="B1116" s="11" t="s">
        <v>3030</v>
      </c>
    </row>
    <row r="1117" spans="1:2" x14ac:dyDescent="0.2">
      <c r="A1117" s="8">
        <v>154552</v>
      </c>
      <c r="B1117" s="1" t="s">
        <v>3030</v>
      </c>
    </row>
    <row r="1118" spans="1:2" x14ac:dyDescent="0.2">
      <c r="A1118" s="10">
        <v>154619</v>
      </c>
      <c r="B1118" s="11" t="s">
        <v>3030</v>
      </c>
    </row>
    <row r="1119" spans="1:2" x14ac:dyDescent="0.2">
      <c r="A1119" s="8">
        <v>154620</v>
      </c>
      <c r="B1119" s="1" t="s">
        <v>3030</v>
      </c>
    </row>
    <row r="1120" spans="1:2" x14ac:dyDescent="0.2">
      <c r="A1120" s="10">
        <v>154650</v>
      </c>
      <c r="B1120" s="11" t="s">
        <v>3030</v>
      </c>
    </row>
    <row r="1121" spans="1:2" x14ac:dyDescent="0.2">
      <c r="A1121" s="8">
        <v>154684</v>
      </c>
      <c r="B1121" s="1" t="s">
        <v>3030</v>
      </c>
    </row>
    <row r="1122" spans="1:2" x14ac:dyDescent="0.2">
      <c r="A1122" s="10">
        <v>154687</v>
      </c>
      <c r="B1122" s="11" t="s">
        <v>3030</v>
      </c>
    </row>
    <row r="1123" spans="1:2" x14ac:dyDescent="0.2">
      <c r="A1123" s="8">
        <v>154751</v>
      </c>
      <c r="B1123" s="1" t="s">
        <v>3030</v>
      </c>
    </row>
    <row r="1124" spans="1:2" x14ac:dyDescent="0.2">
      <c r="A1124" s="10">
        <v>154845</v>
      </c>
      <c r="B1124" s="11" t="s">
        <v>3030</v>
      </c>
    </row>
    <row r="1125" spans="1:2" x14ac:dyDescent="0.2">
      <c r="A1125" s="8">
        <v>154876</v>
      </c>
      <c r="B1125" s="1" t="s">
        <v>3030</v>
      </c>
    </row>
    <row r="1126" spans="1:2" x14ac:dyDescent="0.2">
      <c r="A1126" s="10">
        <v>154878</v>
      </c>
      <c r="B1126" s="11" t="s">
        <v>3030</v>
      </c>
    </row>
    <row r="1127" spans="1:2" x14ac:dyDescent="0.2">
      <c r="A1127" s="8">
        <v>155069</v>
      </c>
      <c r="B1127" s="1" t="s">
        <v>3030</v>
      </c>
    </row>
    <row r="1128" spans="1:2" x14ac:dyDescent="0.2">
      <c r="A1128" s="10">
        <v>155131</v>
      </c>
      <c r="B1128" s="11" t="s">
        <v>3030</v>
      </c>
    </row>
    <row r="1129" spans="1:2" x14ac:dyDescent="0.2">
      <c r="A1129" s="8">
        <v>155295</v>
      </c>
      <c r="B1129" s="1" t="s">
        <v>3030</v>
      </c>
    </row>
    <row r="1130" spans="1:2" x14ac:dyDescent="0.2">
      <c r="A1130" s="10">
        <v>155323</v>
      </c>
      <c r="B1130" s="11" t="s">
        <v>3030</v>
      </c>
    </row>
    <row r="1131" spans="1:2" x14ac:dyDescent="0.2">
      <c r="A1131" s="8">
        <v>155418</v>
      </c>
      <c r="B1131" s="1" t="s">
        <v>3030</v>
      </c>
    </row>
    <row r="1132" spans="1:2" x14ac:dyDescent="0.2">
      <c r="A1132" s="10">
        <v>155420</v>
      </c>
      <c r="B1132" s="11" t="s">
        <v>3030</v>
      </c>
    </row>
    <row r="1133" spans="1:2" x14ac:dyDescent="0.2">
      <c r="A1133" s="8">
        <v>155451</v>
      </c>
      <c r="B1133" s="1" t="s">
        <v>3030</v>
      </c>
    </row>
    <row r="1134" spans="1:2" x14ac:dyDescent="0.2">
      <c r="A1134" s="10">
        <v>155455</v>
      </c>
      <c r="B1134" s="11" t="s">
        <v>3030</v>
      </c>
    </row>
    <row r="1135" spans="1:2" x14ac:dyDescent="0.2">
      <c r="A1135" s="8">
        <v>155519</v>
      </c>
      <c r="B1135" s="1" t="s">
        <v>3030</v>
      </c>
    </row>
    <row r="1136" spans="1:2" x14ac:dyDescent="0.2">
      <c r="A1136" s="10">
        <v>155641</v>
      </c>
      <c r="B1136" s="11" t="s">
        <v>3030</v>
      </c>
    </row>
    <row r="1137" spans="1:2" x14ac:dyDescent="0.2">
      <c r="A1137" s="8">
        <v>155647</v>
      </c>
      <c r="B1137" s="1" t="s">
        <v>3030</v>
      </c>
    </row>
    <row r="1138" spans="1:2" x14ac:dyDescent="0.2">
      <c r="A1138" s="10">
        <v>155675</v>
      </c>
      <c r="B1138" s="11" t="s">
        <v>3030</v>
      </c>
    </row>
    <row r="1139" spans="1:2" x14ac:dyDescent="0.2">
      <c r="A1139" s="8">
        <v>155741</v>
      </c>
      <c r="B1139" s="1" t="s">
        <v>3030</v>
      </c>
    </row>
    <row r="1140" spans="1:2" x14ac:dyDescent="0.2">
      <c r="A1140" s="10">
        <v>155800</v>
      </c>
      <c r="B1140" s="11" t="s">
        <v>3030</v>
      </c>
    </row>
    <row r="1141" spans="1:2" x14ac:dyDescent="0.2">
      <c r="A1141" s="8">
        <v>155804</v>
      </c>
      <c r="B1141" s="1" t="s">
        <v>3030</v>
      </c>
    </row>
    <row r="1142" spans="1:2" x14ac:dyDescent="0.2">
      <c r="A1142" s="10">
        <v>155834</v>
      </c>
      <c r="B1142" s="11" t="s">
        <v>3030</v>
      </c>
    </row>
    <row r="1143" spans="1:2" x14ac:dyDescent="0.2">
      <c r="A1143" s="8">
        <v>155868</v>
      </c>
      <c r="B1143" s="1" t="s">
        <v>3030</v>
      </c>
    </row>
    <row r="1144" spans="1:2" x14ac:dyDescent="0.2">
      <c r="A1144" s="10">
        <v>155929</v>
      </c>
      <c r="B1144" s="11" t="s">
        <v>3030</v>
      </c>
    </row>
    <row r="1145" spans="1:2" x14ac:dyDescent="0.2">
      <c r="A1145" s="8">
        <v>155999</v>
      </c>
      <c r="B1145" s="1" t="s">
        <v>3030</v>
      </c>
    </row>
    <row r="1146" spans="1:2" x14ac:dyDescent="0.2">
      <c r="A1146" s="10">
        <v>156031</v>
      </c>
      <c r="B1146" s="11" t="s">
        <v>3030</v>
      </c>
    </row>
    <row r="1147" spans="1:2" x14ac:dyDescent="0.2">
      <c r="A1147" s="8">
        <v>156090</v>
      </c>
      <c r="B1147" s="1" t="s">
        <v>3030</v>
      </c>
    </row>
    <row r="1148" spans="1:2" x14ac:dyDescent="0.2">
      <c r="A1148" s="10">
        <v>156126</v>
      </c>
      <c r="B1148" s="11" t="s">
        <v>3030</v>
      </c>
    </row>
    <row r="1149" spans="1:2" x14ac:dyDescent="0.2">
      <c r="A1149" s="8">
        <v>156159</v>
      </c>
      <c r="B1149" s="1" t="s">
        <v>3030</v>
      </c>
    </row>
    <row r="1150" spans="1:2" x14ac:dyDescent="0.2">
      <c r="A1150" s="10">
        <v>156184</v>
      </c>
      <c r="B1150" s="11" t="s">
        <v>3030</v>
      </c>
    </row>
    <row r="1151" spans="1:2" x14ac:dyDescent="0.2">
      <c r="A1151" s="8">
        <v>156186</v>
      </c>
      <c r="B1151" s="1" t="s">
        <v>3030</v>
      </c>
    </row>
    <row r="1152" spans="1:2" x14ac:dyDescent="0.2">
      <c r="A1152" s="10">
        <v>156189</v>
      </c>
      <c r="B1152" s="11" t="s">
        <v>3030</v>
      </c>
    </row>
    <row r="1153" spans="1:2" x14ac:dyDescent="0.2">
      <c r="A1153" s="8">
        <v>156219</v>
      </c>
      <c r="B1153" s="1" t="s">
        <v>3030</v>
      </c>
    </row>
    <row r="1154" spans="1:2" x14ac:dyDescent="0.2">
      <c r="A1154" s="10">
        <v>156220</v>
      </c>
      <c r="B1154" s="11" t="s">
        <v>3030</v>
      </c>
    </row>
    <row r="1155" spans="1:2" x14ac:dyDescent="0.2">
      <c r="A1155" s="8">
        <v>156287</v>
      </c>
      <c r="B1155" s="1" t="s">
        <v>3030</v>
      </c>
    </row>
    <row r="1156" spans="1:2" x14ac:dyDescent="0.2">
      <c r="A1156" s="10">
        <v>156477</v>
      </c>
      <c r="B1156" s="11" t="s">
        <v>3030</v>
      </c>
    </row>
    <row r="1157" spans="1:2" x14ac:dyDescent="0.2">
      <c r="A1157" s="8">
        <v>156478</v>
      </c>
      <c r="B1157" s="1" t="s">
        <v>3030</v>
      </c>
    </row>
    <row r="1158" spans="1:2" x14ac:dyDescent="0.2">
      <c r="A1158" s="10">
        <v>156541</v>
      </c>
      <c r="B1158" s="11" t="s">
        <v>3030</v>
      </c>
    </row>
    <row r="1159" spans="1:2" x14ac:dyDescent="0.2">
      <c r="A1159" s="8">
        <v>156568</v>
      </c>
      <c r="B1159" s="1" t="s">
        <v>3030</v>
      </c>
    </row>
    <row r="1160" spans="1:2" x14ac:dyDescent="0.2">
      <c r="A1160" s="10">
        <v>156604</v>
      </c>
      <c r="B1160" s="11" t="s">
        <v>3030</v>
      </c>
    </row>
    <row r="1161" spans="1:2" x14ac:dyDescent="0.2">
      <c r="A1161" s="8">
        <v>156605</v>
      </c>
      <c r="B1161" s="1" t="s">
        <v>3030</v>
      </c>
    </row>
    <row r="1162" spans="1:2" x14ac:dyDescent="0.2">
      <c r="A1162" s="10">
        <v>156606</v>
      </c>
      <c r="B1162" s="11" t="s">
        <v>3030</v>
      </c>
    </row>
    <row r="1163" spans="1:2" x14ac:dyDescent="0.2">
      <c r="A1163" s="8">
        <v>156729</v>
      </c>
      <c r="B1163" s="1" t="s">
        <v>3030</v>
      </c>
    </row>
    <row r="1164" spans="1:2" x14ac:dyDescent="0.2">
      <c r="A1164" s="10">
        <v>156862</v>
      </c>
      <c r="B1164" s="11" t="s">
        <v>3030</v>
      </c>
    </row>
    <row r="1165" spans="1:2" x14ac:dyDescent="0.2">
      <c r="A1165" s="8">
        <v>156987</v>
      </c>
      <c r="B1165" s="1" t="s">
        <v>3030</v>
      </c>
    </row>
    <row r="1166" spans="1:2" x14ac:dyDescent="0.2">
      <c r="A1166" s="10">
        <v>156988</v>
      </c>
      <c r="B1166" s="11" t="s">
        <v>3030</v>
      </c>
    </row>
    <row r="1167" spans="1:2" x14ac:dyDescent="0.2">
      <c r="A1167" s="8">
        <v>157087</v>
      </c>
      <c r="B1167" s="1" t="s">
        <v>3030</v>
      </c>
    </row>
    <row r="1168" spans="1:2" x14ac:dyDescent="0.2">
      <c r="A1168" s="10">
        <v>157180</v>
      </c>
      <c r="B1168" s="11" t="s">
        <v>3030</v>
      </c>
    </row>
    <row r="1169" spans="1:2" x14ac:dyDescent="0.2">
      <c r="A1169" s="8">
        <v>157215</v>
      </c>
      <c r="B1169" s="1" t="s">
        <v>3030</v>
      </c>
    </row>
    <row r="1170" spans="1:2" x14ac:dyDescent="0.2">
      <c r="A1170" s="10">
        <v>157337</v>
      </c>
      <c r="B1170" s="11" t="s">
        <v>3030</v>
      </c>
    </row>
    <row r="1171" spans="1:2" x14ac:dyDescent="0.2">
      <c r="A1171" s="8">
        <v>157338</v>
      </c>
      <c r="B1171" s="1" t="s">
        <v>3030</v>
      </c>
    </row>
    <row r="1172" spans="1:2" x14ac:dyDescent="0.2">
      <c r="A1172" s="10">
        <v>157400</v>
      </c>
      <c r="B1172" s="11" t="s">
        <v>3030</v>
      </c>
    </row>
    <row r="1173" spans="1:2" x14ac:dyDescent="0.2">
      <c r="A1173" s="8">
        <v>157402</v>
      </c>
      <c r="B1173" s="1" t="s">
        <v>3030</v>
      </c>
    </row>
    <row r="1174" spans="1:2" x14ac:dyDescent="0.2">
      <c r="A1174" s="10">
        <v>157406</v>
      </c>
      <c r="B1174" s="11" t="s">
        <v>3030</v>
      </c>
    </row>
    <row r="1175" spans="1:2" x14ac:dyDescent="0.2">
      <c r="A1175" s="8">
        <v>157435</v>
      </c>
      <c r="B1175" s="1" t="s">
        <v>3030</v>
      </c>
    </row>
    <row r="1176" spans="1:2" x14ac:dyDescent="0.2">
      <c r="A1176" s="10">
        <v>157438</v>
      </c>
      <c r="B1176" s="11" t="s">
        <v>3030</v>
      </c>
    </row>
    <row r="1177" spans="1:2" x14ac:dyDescent="0.2">
      <c r="A1177" s="8">
        <v>157497</v>
      </c>
      <c r="B1177" s="1" t="s">
        <v>3030</v>
      </c>
    </row>
    <row r="1178" spans="1:2" x14ac:dyDescent="0.2">
      <c r="A1178" s="10">
        <v>157499</v>
      </c>
      <c r="B1178" s="11" t="s">
        <v>3030</v>
      </c>
    </row>
    <row r="1179" spans="1:2" x14ac:dyDescent="0.2">
      <c r="A1179" s="8">
        <v>157562</v>
      </c>
      <c r="B1179" s="1" t="s">
        <v>3030</v>
      </c>
    </row>
    <row r="1180" spans="1:2" x14ac:dyDescent="0.2">
      <c r="A1180" s="10">
        <v>157565</v>
      </c>
      <c r="B1180" s="11" t="s">
        <v>3030</v>
      </c>
    </row>
    <row r="1181" spans="1:2" x14ac:dyDescent="0.2">
      <c r="A1181" s="8">
        <v>157597</v>
      </c>
      <c r="B1181" s="1" t="s">
        <v>3030</v>
      </c>
    </row>
    <row r="1182" spans="1:2" x14ac:dyDescent="0.2">
      <c r="A1182" s="10">
        <v>157659</v>
      </c>
      <c r="B1182" s="11" t="s">
        <v>3030</v>
      </c>
    </row>
    <row r="1183" spans="1:2" x14ac:dyDescent="0.2">
      <c r="A1183" s="8">
        <v>157689</v>
      </c>
      <c r="B1183" s="1" t="s">
        <v>3030</v>
      </c>
    </row>
    <row r="1184" spans="1:2" x14ac:dyDescent="0.2">
      <c r="A1184" s="10">
        <v>157753</v>
      </c>
      <c r="B1184" s="11" t="s">
        <v>3030</v>
      </c>
    </row>
    <row r="1185" spans="1:2" x14ac:dyDescent="0.2">
      <c r="A1185" s="8">
        <v>157791</v>
      </c>
      <c r="B1185" s="1" t="s">
        <v>3030</v>
      </c>
    </row>
    <row r="1186" spans="1:2" x14ac:dyDescent="0.2">
      <c r="A1186" s="10">
        <v>157822</v>
      </c>
      <c r="B1186" s="11" t="s">
        <v>3030</v>
      </c>
    </row>
    <row r="1187" spans="1:2" x14ac:dyDescent="0.2">
      <c r="A1187" s="8">
        <v>157853</v>
      </c>
      <c r="B1187" s="1" t="s">
        <v>3030</v>
      </c>
    </row>
    <row r="1188" spans="1:2" x14ac:dyDescent="0.2">
      <c r="A1188" s="10">
        <v>157882</v>
      </c>
      <c r="B1188" s="11" t="s">
        <v>3030</v>
      </c>
    </row>
    <row r="1189" spans="1:2" x14ac:dyDescent="0.2">
      <c r="A1189" s="8">
        <v>157979</v>
      </c>
      <c r="B1189" s="1" t="s">
        <v>3030</v>
      </c>
    </row>
    <row r="1190" spans="1:2" x14ac:dyDescent="0.2">
      <c r="A1190" s="10">
        <v>158047</v>
      </c>
      <c r="B1190" s="11" t="s">
        <v>3030</v>
      </c>
    </row>
    <row r="1191" spans="1:2" x14ac:dyDescent="0.2">
      <c r="A1191" s="8">
        <v>158110</v>
      </c>
      <c r="B1191" s="1" t="s">
        <v>3030</v>
      </c>
    </row>
    <row r="1192" spans="1:2" x14ac:dyDescent="0.2">
      <c r="A1192" s="10">
        <v>158136</v>
      </c>
      <c r="B1192" s="11" t="s">
        <v>3030</v>
      </c>
    </row>
    <row r="1193" spans="1:2" x14ac:dyDescent="0.2">
      <c r="A1193" s="8">
        <v>158139</v>
      </c>
      <c r="B1193" s="1" t="s">
        <v>3030</v>
      </c>
    </row>
    <row r="1194" spans="1:2" x14ac:dyDescent="0.2">
      <c r="A1194" s="10">
        <v>158173</v>
      </c>
      <c r="B1194" s="11" t="s">
        <v>3030</v>
      </c>
    </row>
    <row r="1195" spans="1:2" x14ac:dyDescent="0.2">
      <c r="A1195" s="8">
        <v>158200</v>
      </c>
      <c r="B1195" s="1" t="s">
        <v>3030</v>
      </c>
    </row>
    <row r="1196" spans="1:2" x14ac:dyDescent="0.2">
      <c r="A1196" s="10">
        <v>158300</v>
      </c>
      <c r="B1196" s="11" t="s">
        <v>3030</v>
      </c>
    </row>
    <row r="1197" spans="1:2" x14ac:dyDescent="0.2">
      <c r="A1197" s="8">
        <v>158302</v>
      </c>
      <c r="B1197" s="1" t="s">
        <v>3030</v>
      </c>
    </row>
    <row r="1198" spans="1:2" x14ac:dyDescent="0.2">
      <c r="A1198" s="10">
        <v>158430</v>
      </c>
      <c r="B1198" s="11" t="s">
        <v>3030</v>
      </c>
    </row>
    <row r="1199" spans="1:2" x14ac:dyDescent="0.2">
      <c r="A1199" s="8">
        <v>158492</v>
      </c>
      <c r="B1199" s="1" t="s">
        <v>3030</v>
      </c>
    </row>
    <row r="1200" spans="1:2" x14ac:dyDescent="0.2">
      <c r="A1200" s="10">
        <v>158494</v>
      </c>
      <c r="B1200" s="11" t="s">
        <v>3030</v>
      </c>
    </row>
    <row r="1201" spans="1:2" x14ac:dyDescent="0.2">
      <c r="A1201" s="8">
        <v>158584</v>
      </c>
      <c r="B1201" s="1" t="s">
        <v>3030</v>
      </c>
    </row>
    <row r="1202" spans="1:2" x14ac:dyDescent="0.2">
      <c r="A1202" s="10">
        <v>158590</v>
      </c>
      <c r="B1202" s="11" t="s">
        <v>3030</v>
      </c>
    </row>
    <row r="1203" spans="1:2" x14ac:dyDescent="0.2">
      <c r="A1203" s="8">
        <v>158652</v>
      </c>
      <c r="B1203" s="1" t="s">
        <v>3030</v>
      </c>
    </row>
    <row r="1204" spans="1:2" x14ac:dyDescent="0.2">
      <c r="A1204" s="10">
        <v>158684</v>
      </c>
      <c r="B1204" s="11" t="s">
        <v>3030</v>
      </c>
    </row>
    <row r="1205" spans="1:2" x14ac:dyDescent="0.2">
      <c r="A1205" s="8">
        <v>158713</v>
      </c>
      <c r="B1205" s="1" t="s">
        <v>3030</v>
      </c>
    </row>
    <row r="1206" spans="1:2" x14ac:dyDescent="0.2">
      <c r="A1206" s="10">
        <v>158875</v>
      </c>
      <c r="B1206" s="11" t="s">
        <v>3030</v>
      </c>
    </row>
    <row r="1207" spans="1:2" x14ac:dyDescent="0.2">
      <c r="A1207" s="8">
        <v>158878</v>
      </c>
      <c r="B1207" s="1" t="s">
        <v>3030</v>
      </c>
    </row>
    <row r="1208" spans="1:2" x14ac:dyDescent="0.2">
      <c r="A1208" s="10">
        <v>158908</v>
      </c>
      <c r="B1208" s="11" t="s">
        <v>3030</v>
      </c>
    </row>
    <row r="1209" spans="1:2" x14ac:dyDescent="0.2">
      <c r="A1209" s="8">
        <v>158968</v>
      </c>
      <c r="B1209" s="1" t="s">
        <v>3030</v>
      </c>
    </row>
    <row r="1210" spans="1:2" x14ac:dyDescent="0.2">
      <c r="A1210" s="10">
        <v>159034</v>
      </c>
      <c r="B1210" s="11" t="s">
        <v>3030</v>
      </c>
    </row>
    <row r="1211" spans="1:2" x14ac:dyDescent="0.2">
      <c r="A1211" s="8">
        <v>159068</v>
      </c>
      <c r="B1211" s="1" t="s">
        <v>3030</v>
      </c>
    </row>
    <row r="1212" spans="1:2" x14ac:dyDescent="0.2">
      <c r="A1212" s="10">
        <v>159099</v>
      </c>
      <c r="B1212" s="11" t="s">
        <v>3030</v>
      </c>
    </row>
    <row r="1213" spans="1:2" x14ac:dyDescent="0.2">
      <c r="A1213" s="8">
        <v>159103</v>
      </c>
      <c r="B1213" s="1" t="s">
        <v>3030</v>
      </c>
    </row>
    <row r="1214" spans="1:2" x14ac:dyDescent="0.2">
      <c r="A1214" s="10">
        <v>159196</v>
      </c>
      <c r="B1214" s="11" t="s">
        <v>3030</v>
      </c>
    </row>
    <row r="1215" spans="1:2" x14ac:dyDescent="0.2">
      <c r="A1215" s="8">
        <v>159292</v>
      </c>
      <c r="B1215" s="1" t="s">
        <v>3030</v>
      </c>
    </row>
    <row r="1216" spans="1:2" x14ac:dyDescent="0.2">
      <c r="A1216" s="10">
        <v>159387</v>
      </c>
      <c r="B1216" s="11" t="s">
        <v>3030</v>
      </c>
    </row>
    <row r="1217" spans="1:2" x14ac:dyDescent="0.2">
      <c r="A1217" s="8">
        <v>159484</v>
      </c>
      <c r="B1217" s="1" t="s">
        <v>3030</v>
      </c>
    </row>
    <row r="1218" spans="1:2" x14ac:dyDescent="0.2">
      <c r="A1218" s="10">
        <v>159640</v>
      </c>
      <c r="B1218" s="11" t="s">
        <v>3030</v>
      </c>
    </row>
    <row r="1219" spans="1:2" x14ac:dyDescent="0.2">
      <c r="A1219" s="8">
        <v>159646</v>
      </c>
      <c r="B1219" s="1" t="s">
        <v>3030</v>
      </c>
    </row>
    <row r="1220" spans="1:2" x14ac:dyDescent="0.2">
      <c r="A1220" s="10">
        <v>159838</v>
      </c>
      <c r="B1220" s="11" t="s">
        <v>3030</v>
      </c>
    </row>
    <row r="1221" spans="1:2" x14ac:dyDescent="0.2">
      <c r="A1221" s="8">
        <v>159866</v>
      </c>
      <c r="B1221" s="1" t="s">
        <v>3030</v>
      </c>
    </row>
    <row r="1222" spans="1:2" x14ac:dyDescent="0.2">
      <c r="A1222" s="10">
        <v>159992</v>
      </c>
      <c r="B1222" s="11" t="s">
        <v>3030</v>
      </c>
    </row>
    <row r="1223" spans="1:2" x14ac:dyDescent="0.2">
      <c r="A1223" s="8">
        <v>159997</v>
      </c>
      <c r="B1223" s="1" t="s">
        <v>3030</v>
      </c>
    </row>
    <row r="1224" spans="1:2" x14ac:dyDescent="0.2">
      <c r="A1224" s="10">
        <v>160025</v>
      </c>
      <c r="B1224" s="11" t="s">
        <v>3030</v>
      </c>
    </row>
    <row r="1225" spans="1:2" x14ac:dyDescent="0.2">
      <c r="A1225" s="8">
        <v>160095</v>
      </c>
      <c r="B1225" s="1" t="s">
        <v>3030</v>
      </c>
    </row>
    <row r="1226" spans="1:2" x14ac:dyDescent="0.2">
      <c r="A1226" s="10">
        <v>160127</v>
      </c>
      <c r="B1226" s="11" t="s">
        <v>3030</v>
      </c>
    </row>
    <row r="1227" spans="1:2" x14ac:dyDescent="0.2">
      <c r="A1227" s="8">
        <v>160188</v>
      </c>
      <c r="B1227" s="1" t="s">
        <v>3030</v>
      </c>
    </row>
    <row r="1228" spans="1:2" x14ac:dyDescent="0.2">
      <c r="A1228" s="10">
        <v>160218</v>
      </c>
      <c r="B1228" s="11" t="s">
        <v>3030</v>
      </c>
    </row>
    <row r="1229" spans="1:2" x14ac:dyDescent="0.2">
      <c r="A1229" s="8">
        <v>160315</v>
      </c>
      <c r="B1229" s="1" t="s">
        <v>3030</v>
      </c>
    </row>
    <row r="1230" spans="1:2" x14ac:dyDescent="0.2">
      <c r="A1230" s="10">
        <v>160348</v>
      </c>
      <c r="B1230" s="11" t="s">
        <v>3030</v>
      </c>
    </row>
    <row r="1231" spans="1:2" x14ac:dyDescent="0.2">
      <c r="A1231" s="8">
        <v>160380</v>
      </c>
      <c r="B1231" s="1" t="s">
        <v>3030</v>
      </c>
    </row>
    <row r="1232" spans="1:2" x14ac:dyDescent="0.2">
      <c r="A1232" s="10">
        <v>160414</v>
      </c>
      <c r="B1232" s="11" t="s">
        <v>3030</v>
      </c>
    </row>
    <row r="1233" spans="1:2" x14ac:dyDescent="0.2">
      <c r="A1233" s="8">
        <v>160441</v>
      </c>
      <c r="B1233" s="1" t="s">
        <v>3030</v>
      </c>
    </row>
    <row r="1234" spans="1:2" x14ac:dyDescent="0.2">
      <c r="A1234" s="10">
        <v>160447</v>
      </c>
      <c r="B1234" s="11" t="s">
        <v>3030</v>
      </c>
    </row>
    <row r="1235" spans="1:2" x14ac:dyDescent="0.2">
      <c r="A1235" s="8">
        <v>160543</v>
      </c>
      <c r="B1235" s="1" t="s">
        <v>3030</v>
      </c>
    </row>
    <row r="1236" spans="1:2" x14ac:dyDescent="0.2">
      <c r="A1236" s="10">
        <v>160667</v>
      </c>
      <c r="B1236" s="11" t="s">
        <v>3030</v>
      </c>
    </row>
    <row r="1237" spans="1:2" x14ac:dyDescent="0.2">
      <c r="A1237" s="8">
        <v>160668</v>
      </c>
      <c r="B1237" s="1" t="s">
        <v>3030</v>
      </c>
    </row>
    <row r="1238" spans="1:2" x14ac:dyDescent="0.2">
      <c r="A1238" s="10">
        <v>160734</v>
      </c>
      <c r="B1238" s="11" t="s">
        <v>3030</v>
      </c>
    </row>
    <row r="1239" spans="1:2" x14ac:dyDescent="0.2">
      <c r="A1239" s="8">
        <v>160762</v>
      </c>
      <c r="B1239" s="1" t="s">
        <v>3030</v>
      </c>
    </row>
    <row r="1240" spans="1:2" x14ac:dyDescent="0.2">
      <c r="A1240" s="10">
        <v>160825</v>
      </c>
      <c r="B1240" s="11" t="s">
        <v>3030</v>
      </c>
    </row>
    <row r="1241" spans="1:2" x14ac:dyDescent="0.2">
      <c r="A1241" s="8">
        <v>160860</v>
      </c>
      <c r="B1241" s="1" t="s">
        <v>3030</v>
      </c>
    </row>
    <row r="1242" spans="1:2" x14ac:dyDescent="0.2">
      <c r="A1242" s="10">
        <v>160861</v>
      </c>
      <c r="B1242" s="11" t="s">
        <v>3030</v>
      </c>
    </row>
    <row r="1243" spans="1:2" x14ac:dyDescent="0.2">
      <c r="A1243" s="8">
        <v>160891</v>
      </c>
      <c r="B1243" s="1" t="s">
        <v>3030</v>
      </c>
    </row>
    <row r="1244" spans="1:2" x14ac:dyDescent="0.2">
      <c r="A1244" s="10">
        <v>160924</v>
      </c>
      <c r="B1244" s="11" t="s">
        <v>3030</v>
      </c>
    </row>
    <row r="1245" spans="1:2" x14ac:dyDescent="0.2">
      <c r="A1245" s="8">
        <v>161080</v>
      </c>
      <c r="B1245" s="1" t="s">
        <v>3030</v>
      </c>
    </row>
    <row r="1246" spans="1:2" x14ac:dyDescent="0.2">
      <c r="A1246" s="10">
        <v>161087</v>
      </c>
      <c r="B1246" s="11" t="s">
        <v>3030</v>
      </c>
    </row>
    <row r="1247" spans="1:2" x14ac:dyDescent="0.2">
      <c r="A1247" s="8">
        <v>161210</v>
      </c>
      <c r="B1247" s="1" t="s">
        <v>3030</v>
      </c>
    </row>
    <row r="1248" spans="1:2" x14ac:dyDescent="0.2">
      <c r="A1248" s="10">
        <v>161212</v>
      </c>
      <c r="B1248" s="11" t="s">
        <v>3030</v>
      </c>
    </row>
    <row r="1249" spans="1:2" x14ac:dyDescent="0.2">
      <c r="A1249" s="8">
        <v>161304</v>
      </c>
      <c r="B1249" s="1" t="s">
        <v>3030</v>
      </c>
    </row>
    <row r="1250" spans="1:2" x14ac:dyDescent="0.2">
      <c r="A1250" s="10">
        <v>161310</v>
      </c>
      <c r="B1250" s="11" t="s">
        <v>3030</v>
      </c>
    </row>
    <row r="1251" spans="1:2" x14ac:dyDescent="0.2">
      <c r="A1251" s="8">
        <v>161340</v>
      </c>
      <c r="B1251" s="1" t="s">
        <v>3030</v>
      </c>
    </row>
    <row r="1252" spans="1:2" x14ac:dyDescent="0.2">
      <c r="A1252" s="10">
        <v>161369</v>
      </c>
      <c r="B1252" s="11" t="s">
        <v>3030</v>
      </c>
    </row>
    <row r="1253" spans="1:2" x14ac:dyDescent="0.2">
      <c r="A1253" s="8">
        <v>161437</v>
      </c>
      <c r="B1253" s="1" t="s">
        <v>3030</v>
      </c>
    </row>
    <row r="1254" spans="1:2" x14ac:dyDescent="0.2">
      <c r="A1254" s="10">
        <v>161466</v>
      </c>
      <c r="B1254" s="11" t="s">
        <v>3030</v>
      </c>
    </row>
    <row r="1255" spans="1:2" x14ac:dyDescent="0.2">
      <c r="A1255" s="8">
        <v>161531</v>
      </c>
      <c r="B1255" s="1" t="s">
        <v>3030</v>
      </c>
    </row>
    <row r="1256" spans="1:2" x14ac:dyDescent="0.2">
      <c r="A1256" s="10">
        <v>161599</v>
      </c>
      <c r="B1256" s="11" t="s">
        <v>3030</v>
      </c>
    </row>
    <row r="1257" spans="1:2" x14ac:dyDescent="0.2">
      <c r="A1257" s="8">
        <v>161657</v>
      </c>
      <c r="B1257" s="1" t="s">
        <v>3030</v>
      </c>
    </row>
    <row r="1258" spans="1:2" x14ac:dyDescent="0.2">
      <c r="A1258" s="10">
        <v>161661</v>
      </c>
      <c r="B1258" s="11" t="s">
        <v>3030</v>
      </c>
    </row>
    <row r="1259" spans="1:2" x14ac:dyDescent="0.2">
      <c r="A1259" s="8">
        <v>161693</v>
      </c>
      <c r="B1259" s="1" t="s">
        <v>3030</v>
      </c>
    </row>
    <row r="1260" spans="1:2" x14ac:dyDescent="0.2">
      <c r="A1260" s="10">
        <v>161786</v>
      </c>
      <c r="B1260" s="11" t="s">
        <v>3030</v>
      </c>
    </row>
    <row r="1261" spans="1:2" x14ac:dyDescent="0.2">
      <c r="A1261" s="8">
        <v>161791</v>
      </c>
      <c r="B1261" s="1" t="s">
        <v>3030</v>
      </c>
    </row>
    <row r="1262" spans="1:2" x14ac:dyDescent="0.2">
      <c r="A1262" s="10">
        <v>161848</v>
      </c>
      <c r="B1262" s="11" t="s">
        <v>3030</v>
      </c>
    </row>
    <row r="1263" spans="1:2" x14ac:dyDescent="0.2">
      <c r="A1263" s="8">
        <v>161917</v>
      </c>
      <c r="B1263" s="1" t="s">
        <v>3030</v>
      </c>
    </row>
    <row r="1264" spans="1:2" x14ac:dyDescent="0.2">
      <c r="A1264" s="10">
        <v>161944</v>
      </c>
      <c r="B1264" s="11" t="s">
        <v>3030</v>
      </c>
    </row>
    <row r="1265" spans="1:2" x14ac:dyDescent="0.2">
      <c r="A1265" s="8">
        <v>161948</v>
      </c>
      <c r="B1265" s="1" t="s">
        <v>3030</v>
      </c>
    </row>
    <row r="1266" spans="1:2" x14ac:dyDescent="0.2">
      <c r="A1266" s="10">
        <v>161950</v>
      </c>
      <c r="B1266" s="11" t="s">
        <v>3030</v>
      </c>
    </row>
    <row r="1267" spans="1:2" x14ac:dyDescent="0.2">
      <c r="A1267" s="8">
        <v>162043</v>
      </c>
      <c r="B1267" s="1" t="s">
        <v>3030</v>
      </c>
    </row>
    <row r="1268" spans="1:2" x14ac:dyDescent="0.2">
      <c r="A1268" s="10">
        <v>162078</v>
      </c>
      <c r="B1268" s="11" t="s">
        <v>3030</v>
      </c>
    </row>
    <row r="1269" spans="1:2" x14ac:dyDescent="0.2">
      <c r="A1269" s="8">
        <v>162235</v>
      </c>
      <c r="B1269" s="1" t="s">
        <v>3030</v>
      </c>
    </row>
    <row r="1270" spans="1:2" x14ac:dyDescent="0.2">
      <c r="A1270" s="10">
        <v>162238</v>
      </c>
      <c r="B1270" s="11" t="s">
        <v>3030</v>
      </c>
    </row>
    <row r="1271" spans="1:2" x14ac:dyDescent="0.2">
      <c r="A1271" s="8">
        <v>162265</v>
      </c>
      <c r="B1271" s="1" t="s">
        <v>3030</v>
      </c>
    </row>
    <row r="1272" spans="1:2" x14ac:dyDescent="0.2">
      <c r="A1272" s="10">
        <v>162266</v>
      </c>
      <c r="B1272" s="11" t="s">
        <v>3030</v>
      </c>
    </row>
    <row r="1273" spans="1:2" x14ac:dyDescent="0.2">
      <c r="A1273" s="8">
        <v>162330</v>
      </c>
      <c r="B1273" s="1" t="s">
        <v>3030</v>
      </c>
    </row>
    <row r="1274" spans="1:2" x14ac:dyDescent="0.2">
      <c r="A1274" s="10">
        <v>162331</v>
      </c>
      <c r="B1274" s="11" t="s">
        <v>3030</v>
      </c>
    </row>
    <row r="1275" spans="1:2" x14ac:dyDescent="0.2">
      <c r="A1275" s="8">
        <v>162335</v>
      </c>
      <c r="B1275" s="1" t="s">
        <v>3030</v>
      </c>
    </row>
    <row r="1276" spans="1:2" x14ac:dyDescent="0.2">
      <c r="A1276" s="10">
        <v>162586</v>
      </c>
      <c r="B1276" s="11" t="s">
        <v>3030</v>
      </c>
    </row>
    <row r="1277" spans="1:2" x14ac:dyDescent="0.2">
      <c r="A1277" s="8">
        <v>162590</v>
      </c>
      <c r="B1277" s="1" t="s">
        <v>3030</v>
      </c>
    </row>
    <row r="1278" spans="1:2" x14ac:dyDescent="0.2">
      <c r="A1278" s="10">
        <v>162650</v>
      </c>
      <c r="B1278" s="11" t="s">
        <v>3030</v>
      </c>
    </row>
    <row r="1279" spans="1:2" x14ac:dyDescent="0.2">
      <c r="A1279" s="8">
        <v>162654</v>
      </c>
      <c r="B1279" s="1" t="s">
        <v>3030</v>
      </c>
    </row>
    <row r="1280" spans="1:2" x14ac:dyDescent="0.2">
      <c r="A1280" s="10">
        <v>162655</v>
      </c>
      <c r="B1280" s="11" t="s">
        <v>3030</v>
      </c>
    </row>
    <row r="1281" spans="1:2" x14ac:dyDescent="0.2">
      <c r="A1281" s="8">
        <v>162683</v>
      </c>
      <c r="B1281" s="1" t="s">
        <v>3030</v>
      </c>
    </row>
    <row r="1282" spans="1:2" x14ac:dyDescent="0.2">
      <c r="A1282" s="10">
        <v>162744</v>
      </c>
      <c r="B1282" s="11" t="s">
        <v>3030</v>
      </c>
    </row>
    <row r="1283" spans="1:2" x14ac:dyDescent="0.2">
      <c r="A1283" s="8">
        <v>162745</v>
      </c>
      <c r="B1283" s="1" t="s">
        <v>3030</v>
      </c>
    </row>
    <row r="1284" spans="1:2" x14ac:dyDescent="0.2">
      <c r="A1284" s="10">
        <v>162812</v>
      </c>
      <c r="B1284" s="11" t="s">
        <v>3030</v>
      </c>
    </row>
    <row r="1285" spans="1:2" x14ac:dyDescent="0.2">
      <c r="A1285" s="8">
        <v>162937</v>
      </c>
      <c r="B1285" s="1" t="s">
        <v>3030</v>
      </c>
    </row>
    <row r="1286" spans="1:2" x14ac:dyDescent="0.2">
      <c r="A1286" s="10">
        <v>162943</v>
      </c>
      <c r="B1286" s="11" t="s">
        <v>3030</v>
      </c>
    </row>
    <row r="1287" spans="1:2" x14ac:dyDescent="0.2">
      <c r="A1287" s="8">
        <v>163005</v>
      </c>
      <c r="B1287" s="1" t="s">
        <v>3030</v>
      </c>
    </row>
    <row r="1288" spans="1:2" x14ac:dyDescent="0.2">
      <c r="A1288" s="10">
        <v>163006</v>
      </c>
      <c r="B1288" s="11" t="s">
        <v>3030</v>
      </c>
    </row>
    <row r="1289" spans="1:2" x14ac:dyDescent="0.2">
      <c r="A1289" s="8">
        <v>163101</v>
      </c>
      <c r="B1289" s="1" t="s">
        <v>3030</v>
      </c>
    </row>
    <row r="1290" spans="1:2" x14ac:dyDescent="0.2">
      <c r="A1290" s="10">
        <v>163102</v>
      </c>
      <c r="B1290" s="11" t="s">
        <v>3030</v>
      </c>
    </row>
    <row r="1291" spans="1:2" x14ac:dyDescent="0.2">
      <c r="A1291" s="8">
        <v>163131</v>
      </c>
      <c r="B1291" s="1" t="s">
        <v>3030</v>
      </c>
    </row>
    <row r="1292" spans="1:2" x14ac:dyDescent="0.2">
      <c r="A1292" s="10">
        <v>163193</v>
      </c>
      <c r="B1292" s="11" t="s">
        <v>3030</v>
      </c>
    </row>
    <row r="1293" spans="1:2" x14ac:dyDescent="0.2">
      <c r="A1293" s="8">
        <v>163259</v>
      </c>
      <c r="B1293" s="1" t="s">
        <v>3030</v>
      </c>
    </row>
    <row r="1294" spans="1:2" x14ac:dyDescent="0.2">
      <c r="A1294" s="10">
        <v>163261</v>
      </c>
      <c r="B1294" s="11" t="s">
        <v>3030</v>
      </c>
    </row>
    <row r="1295" spans="1:2" x14ac:dyDescent="0.2">
      <c r="A1295" s="8">
        <v>163357</v>
      </c>
      <c r="B1295" s="1" t="s">
        <v>3030</v>
      </c>
    </row>
    <row r="1296" spans="1:2" x14ac:dyDescent="0.2">
      <c r="A1296" s="10">
        <v>163518</v>
      </c>
      <c r="B1296" s="11" t="s">
        <v>3030</v>
      </c>
    </row>
    <row r="1297" spans="1:2" x14ac:dyDescent="0.2">
      <c r="A1297" s="8">
        <v>163519</v>
      </c>
      <c r="B1297" s="1" t="s">
        <v>3030</v>
      </c>
    </row>
    <row r="1298" spans="1:2" x14ac:dyDescent="0.2">
      <c r="A1298" s="10">
        <v>163544</v>
      </c>
      <c r="B1298" s="11" t="s">
        <v>3030</v>
      </c>
    </row>
    <row r="1299" spans="1:2" x14ac:dyDescent="0.2">
      <c r="A1299" s="8">
        <v>163608</v>
      </c>
      <c r="B1299" s="1" t="s">
        <v>3030</v>
      </c>
    </row>
    <row r="1300" spans="1:2" x14ac:dyDescent="0.2">
      <c r="A1300" s="10">
        <v>163647</v>
      </c>
      <c r="B1300" s="11" t="s">
        <v>3030</v>
      </c>
    </row>
    <row r="1301" spans="1:2" x14ac:dyDescent="0.2">
      <c r="A1301" s="8">
        <v>163673</v>
      </c>
      <c r="B1301" s="1" t="s">
        <v>3030</v>
      </c>
    </row>
    <row r="1302" spans="1:2" x14ac:dyDescent="0.2">
      <c r="A1302" s="10">
        <v>163833</v>
      </c>
      <c r="B1302" s="11" t="s">
        <v>3030</v>
      </c>
    </row>
    <row r="1303" spans="1:2" x14ac:dyDescent="0.2">
      <c r="A1303" s="8">
        <v>163839</v>
      </c>
      <c r="B1303" s="1" t="s">
        <v>3030</v>
      </c>
    </row>
    <row r="1304" spans="1:2" x14ac:dyDescent="0.2">
      <c r="A1304" s="10">
        <v>163902</v>
      </c>
      <c r="B1304" s="11" t="s">
        <v>3030</v>
      </c>
    </row>
    <row r="1305" spans="1:2" x14ac:dyDescent="0.2">
      <c r="A1305" s="8">
        <v>163933</v>
      </c>
      <c r="B1305" s="1" t="s">
        <v>3030</v>
      </c>
    </row>
    <row r="1306" spans="1:2" x14ac:dyDescent="0.2">
      <c r="A1306" s="10">
        <v>164152</v>
      </c>
      <c r="B1306" s="11" t="s">
        <v>3030</v>
      </c>
    </row>
    <row r="1307" spans="1:2" x14ac:dyDescent="0.2">
      <c r="A1307" s="8">
        <v>164184</v>
      </c>
      <c r="B1307" s="1" t="s">
        <v>3030</v>
      </c>
    </row>
    <row r="1308" spans="1:2" x14ac:dyDescent="0.2">
      <c r="A1308" s="10">
        <v>164187</v>
      </c>
      <c r="B1308" s="11" t="s">
        <v>3030</v>
      </c>
    </row>
    <row r="1309" spans="1:2" x14ac:dyDescent="0.2">
      <c r="A1309" s="8">
        <v>164216</v>
      </c>
      <c r="B1309" s="1" t="s">
        <v>3030</v>
      </c>
    </row>
    <row r="1310" spans="1:2" x14ac:dyDescent="0.2">
      <c r="A1310" s="10">
        <v>164254</v>
      </c>
      <c r="B1310" s="11" t="s">
        <v>3030</v>
      </c>
    </row>
    <row r="1311" spans="1:2" x14ac:dyDescent="0.2">
      <c r="A1311" s="8">
        <v>164282</v>
      </c>
      <c r="B1311" s="1" t="s">
        <v>3030</v>
      </c>
    </row>
    <row r="1312" spans="1:2" x14ac:dyDescent="0.2">
      <c r="A1312" s="10">
        <v>164345</v>
      </c>
      <c r="B1312" s="11" t="s">
        <v>3030</v>
      </c>
    </row>
    <row r="1313" spans="1:2" x14ac:dyDescent="0.2">
      <c r="A1313" s="8">
        <v>164412</v>
      </c>
      <c r="B1313" s="1" t="s">
        <v>3030</v>
      </c>
    </row>
    <row r="1314" spans="1:2" x14ac:dyDescent="0.2">
      <c r="A1314" s="10">
        <v>164504</v>
      </c>
      <c r="B1314" s="11" t="s">
        <v>3030</v>
      </c>
    </row>
    <row r="1315" spans="1:2" x14ac:dyDescent="0.2">
      <c r="A1315" s="8">
        <v>164606</v>
      </c>
      <c r="B1315" s="1" t="s">
        <v>3030</v>
      </c>
    </row>
    <row r="1316" spans="1:2" x14ac:dyDescent="0.2">
      <c r="A1316" s="10">
        <v>164728</v>
      </c>
      <c r="B1316" s="11" t="s">
        <v>3030</v>
      </c>
    </row>
    <row r="1317" spans="1:2" x14ac:dyDescent="0.2">
      <c r="A1317" s="8">
        <v>164888</v>
      </c>
      <c r="B1317" s="1" t="s">
        <v>3030</v>
      </c>
    </row>
    <row r="1318" spans="1:2" x14ac:dyDescent="0.2">
      <c r="A1318" s="10">
        <v>164895</v>
      </c>
      <c r="B1318" s="11" t="s">
        <v>3030</v>
      </c>
    </row>
    <row r="1319" spans="1:2" x14ac:dyDescent="0.2">
      <c r="A1319" s="8">
        <v>164926</v>
      </c>
      <c r="B1319" s="1" t="s">
        <v>3030</v>
      </c>
    </row>
    <row r="1320" spans="1:2" x14ac:dyDescent="0.2">
      <c r="A1320" s="10">
        <v>165151</v>
      </c>
      <c r="B1320" s="11" t="s">
        <v>3030</v>
      </c>
    </row>
    <row r="1321" spans="1:2" x14ac:dyDescent="0.2">
      <c r="A1321" s="8">
        <v>165209</v>
      </c>
      <c r="B1321" s="1" t="s">
        <v>3030</v>
      </c>
    </row>
    <row r="1322" spans="1:2" x14ac:dyDescent="0.2">
      <c r="A1322" s="10">
        <v>165243</v>
      </c>
      <c r="B1322" s="11" t="s">
        <v>3030</v>
      </c>
    </row>
    <row r="1323" spans="1:2" x14ac:dyDescent="0.2">
      <c r="A1323" s="8">
        <v>165403</v>
      </c>
      <c r="B1323" s="1" t="s">
        <v>3030</v>
      </c>
    </row>
    <row r="1324" spans="1:2" x14ac:dyDescent="0.2">
      <c r="A1324" s="10">
        <v>165436</v>
      </c>
      <c r="B1324" s="11" t="s">
        <v>3030</v>
      </c>
    </row>
    <row r="1325" spans="1:2" x14ac:dyDescent="0.2">
      <c r="A1325" s="8">
        <v>165437</v>
      </c>
      <c r="B1325" s="1" t="s">
        <v>3030</v>
      </c>
    </row>
    <row r="1326" spans="1:2" x14ac:dyDescent="0.2">
      <c r="A1326" s="10">
        <v>165465</v>
      </c>
      <c r="B1326" s="11" t="s">
        <v>3030</v>
      </c>
    </row>
    <row r="1327" spans="1:2" x14ac:dyDescent="0.2">
      <c r="A1327" s="8">
        <v>165691</v>
      </c>
      <c r="B1327" s="1" t="s">
        <v>3030</v>
      </c>
    </row>
    <row r="1328" spans="1:2" x14ac:dyDescent="0.2">
      <c r="A1328" s="10">
        <v>165693</v>
      </c>
      <c r="B1328" s="11" t="s">
        <v>3030</v>
      </c>
    </row>
    <row r="1329" spans="1:2" x14ac:dyDescent="0.2">
      <c r="A1329" s="8">
        <v>165820</v>
      </c>
      <c r="B1329" s="1" t="s">
        <v>3030</v>
      </c>
    </row>
    <row r="1330" spans="1:2" x14ac:dyDescent="0.2">
      <c r="A1330" s="10">
        <v>165823</v>
      </c>
      <c r="B1330" s="11" t="s">
        <v>3030</v>
      </c>
    </row>
    <row r="1331" spans="1:2" x14ac:dyDescent="0.2">
      <c r="A1331" s="8">
        <v>165848</v>
      </c>
      <c r="B1331" s="1" t="s">
        <v>3030</v>
      </c>
    </row>
    <row r="1332" spans="1:2" x14ac:dyDescent="0.2">
      <c r="A1332" s="10">
        <v>165852</v>
      </c>
      <c r="B1332" s="11" t="s">
        <v>3030</v>
      </c>
    </row>
    <row r="1333" spans="1:2" x14ac:dyDescent="0.2">
      <c r="A1333" s="8">
        <v>165944</v>
      </c>
      <c r="B1333" s="1" t="s">
        <v>3030</v>
      </c>
    </row>
    <row r="1334" spans="1:2" x14ac:dyDescent="0.2">
      <c r="A1334" s="10">
        <v>165951</v>
      </c>
      <c r="B1334" s="11" t="s">
        <v>3030</v>
      </c>
    </row>
    <row r="1335" spans="1:2" x14ac:dyDescent="0.2">
      <c r="A1335" s="8">
        <v>166137</v>
      </c>
      <c r="B1335" s="1" t="s">
        <v>3030</v>
      </c>
    </row>
    <row r="1336" spans="1:2" x14ac:dyDescent="0.2">
      <c r="A1336" s="10">
        <v>166138</v>
      </c>
      <c r="B1336" s="11" t="s">
        <v>3030</v>
      </c>
    </row>
    <row r="1337" spans="1:2" x14ac:dyDescent="0.2">
      <c r="A1337" s="8">
        <v>166170</v>
      </c>
      <c r="B1337" s="1" t="s">
        <v>3030</v>
      </c>
    </row>
    <row r="1338" spans="1:2" x14ac:dyDescent="0.2">
      <c r="A1338" s="10">
        <v>166200</v>
      </c>
      <c r="B1338" s="11" t="s">
        <v>3030</v>
      </c>
    </row>
    <row r="1339" spans="1:2" x14ac:dyDescent="0.2">
      <c r="A1339" s="8">
        <v>166203</v>
      </c>
      <c r="B1339" s="1" t="s">
        <v>3030</v>
      </c>
    </row>
    <row r="1340" spans="1:2" x14ac:dyDescent="0.2">
      <c r="A1340" s="10">
        <v>166296</v>
      </c>
      <c r="B1340" s="11" t="s">
        <v>3030</v>
      </c>
    </row>
    <row r="1341" spans="1:2" x14ac:dyDescent="0.2">
      <c r="A1341" s="8">
        <v>166302</v>
      </c>
      <c r="B1341" s="1" t="s">
        <v>3030</v>
      </c>
    </row>
    <row r="1342" spans="1:2" x14ac:dyDescent="0.2">
      <c r="A1342" s="10">
        <v>166329</v>
      </c>
      <c r="B1342" s="11" t="s">
        <v>3030</v>
      </c>
    </row>
    <row r="1343" spans="1:2" x14ac:dyDescent="0.2">
      <c r="A1343" s="8">
        <v>166330</v>
      </c>
      <c r="B1343" s="1" t="s">
        <v>3030</v>
      </c>
    </row>
    <row r="1344" spans="1:2" x14ac:dyDescent="0.2">
      <c r="A1344" s="10">
        <v>166332</v>
      </c>
      <c r="B1344" s="11" t="s">
        <v>3030</v>
      </c>
    </row>
    <row r="1345" spans="1:2" x14ac:dyDescent="0.2">
      <c r="A1345" s="8">
        <v>166360</v>
      </c>
      <c r="B1345" s="1" t="s">
        <v>3030</v>
      </c>
    </row>
    <row r="1346" spans="1:2" x14ac:dyDescent="0.2">
      <c r="A1346" s="10">
        <v>166363</v>
      </c>
      <c r="B1346" s="11" t="s">
        <v>3030</v>
      </c>
    </row>
    <row r="1347" spans="1:2" x14ac:dyDescent="0.2">
      <c r="A1347" s="8">
        <v>166392</v>
      </c>
      <c r="B1347" s="1" t="s">
        <v>3030</v>
      </c>
    </row>
    <row r="1348" spans="1:2" x14ac:dyDescent="0.2">
      <c r="A1348" s="10">
        <v>166398</v>
      </c>
      <c r="B1348" s="11" t="s">
        <v>3030</v>
      </c>
    </row>
    <row r="1349" spans="1:2" x14ac:dyDescent="0.2">
      <c r="A1349" s="8">
        <v>166493</v>
      </c>
      <c r="B1349" s="1" t="s">
        <v>3030</v>
      </c>
    </row>
    <row r="1350" spans="1:2" x14ac:dyDescent="0.2">
      <c r="A1350" s="10">
        <v>166686</v>
      </c>
      <c r="B1350" s="11" t="s">
        <v>3030</v>
      </c>
    </row>
    <row r="1351" spans="1:2" x14ac:dyDescent="0.2">
      <c r="A1351" s="8">
        <v>166779</v>
      </c>
      <c r="B1351" s="1" t="s">
        <v>3030</v>
      </c>
    </row>
    <row r="1352" spans="1:2" x14ac:dyDescent="0.2">
      <c r="A1352" s="10">
        <v>166906</v>
      </c>
      <c r="B1352" s="11" t="s">
        <v>3030</v>
      </c>
    </row>
    <row r="1353" spans="1:2" x14ac:dyDescent="0.2">
      <c r="A1353" s="8">
        <v>166940</v>
      </c>
      <c r="B1353" s="1" t="s">
        <v>3030</v>
      </c>
    </row>
    <row r="1354" spans="1:2" x14ac:dyDescent="0.2">
      <c r="A1354" s="10">
        <v>166972</v>
      </c>
      <c r="B1354" s="11" t="s">
        <v>3030</v>
      </c>
    </row>
    <row r="1355" spans="1:2" x14ac:dyDescent="0.2">
      <c r="A1355" s="8">
        <v>167000</v>
      </c>
      <c r="B1355" s="1" t="s">
        <v>3030</v>
      </c>
    </row>
    <row r="1356" spans="1:2" x14ac:dyDescent="0.2">
      <c r="A1356" s="10">
        <v>167036</v>
      </c>
      <c r="B1356" s="11" t="s">
        <v>3030</v>
      </c>
    </row>
    <row r="1357" spans="1:2" x14ac:dyDescent="0.2">
      <c r="A1357" s="8">
        <v>167197</v>
      </c>
      <c r="B1357" s="1" t="s">
        <v>3030</v>
      </c>
    </row>
    <row r="1358" spans="1:2" x14ac:dyDescent="0.2">
      <c r="A1358" s="10">
        <v>167256</v>
      </c>
      <c r="B1358" s="11" t="s">
        <v>3030</v>
      </c>
    </row>
    <row r="1359" spans="1:2" x14ac:dyDescent="0.2">
      <c r="A1359" s="8">
        <v>167322</v>
      </c>
      <c r="B1359" s="1" t="s">
        <v>3030</v>
      </c>
    </row>
    <row r="1360" spans="1:2" x14ac:dyDescent="0.2">
      <c r="A1360" s="10">
        <v>167325</v>
      </c>
      <c r="B1360" s="11" t="s">
        <v>3030</v>
      </c>
    </row>
    <row r="1361" spans="1:2" x14ac:dyDescent="0.2">
      <c r="A1361" s="8">
        <v>167352</v>
      </c>
      <c r="B1361" s="1" t="s">
        <v>3030</v>
      </c>
    </row>
    <row r="1362" spans="1:2" x14ac:dyDescent="0.2">
      <c r="A1362" s="10">
        <v>167391</v>
      </c>
      <c r="B1362" s="11" t="s">
        <v>3030</v>
      </c>
    </row>
    <row r="1363" spans="1:2" x14ac:dyDescent="0.2">
      <c r="A1363" s="8">
        <v>167452</v>
      </c>
      <c r="B1363" s="1" t="s">
        <v>3030</v>
      </c>
    </row>
    <row r="1364" spans="1:2" x14ac:dyDescent="0.2">
      <c r="A1364" s="10">
        <v>167486</v>
      </c>
      <c r="B1364" s="11" t="s">
        <v>3030</v>
      </c>
    </row>
    <row r="1365" spans="1:2" x14ac:dyDescent="0.2">
      <c r="A1365" s="8">
        <v>167516</v>
      </c>
      <c r="B1365" s="1" t="s">
        <v>3030</v>
      </c>
    </row>
    <row r="1366" spans="1:2" x14ac:dyDescent="0.2">
      <c r="A1366" s="10">
        <v>167646</v>
      </c>
      <c r="B1366" s="11" t="s">
        <v>3030</v>
      </c>
    </row>
    <row r="1367" spans="1:2" x14ac:dyDescent="0.2">
      <c r="A1367" s="8">
        <v>167935</v>
      </c>
      <c r="B1367" s="1" t="s">
        <v>3030</v>
      </c>
    </row>
    <row r="1368" spans="1:2" x14ac:dyDescent="0.2">
      <c r="A1368" s="10">
        <v>167965</v>
      </c>
      <c r="B1368" s="11" t="s">
        <v>3030</v>
      </c>
    </row>
    <row r="1369" spans="1:2" x14ac:dyDescent="0.2">
      <c r="A1369" s="8">
        <v>168413</v>
      </c>
      <c r="B1369" s="1" t="s">
        <v>3030</v>
      </c>
    </row>
    <row r="1370" spans="1:2" x14ac:dyDescent="0.2">
      <c r="A1370" s="10">
        <v>168539</v>
      </c>
      <c r="B1370" s="11" t="s">
        <v>3030</v>
      </c>
    </row>
    <row r="1371" spans="1:2" x14ac:dyDescent="0.2">
      <c r="A1371" s="8">
        <v>168571</v>
      </c>
      <c r="B1371" s="1" t="s">
        <v>3030</v>
      </c>
    </row>
    <row r="1372" spans="1:2" x14ac:dyDescent="0.2">
      <c r="A1372" s="10">
        <v>168635</v>
      </c>
      <c r="B1372" s="11" t="s">
        <v>3030</v>
      </c>
    </row>
    <row r="1373" spans="1:2" x14ac:dyDescent="0.2">
      <c r="A1373" s="8">
        <v>168668</v>
      </c>
      <c r="B1373" s="1" t="s">
        <v>3030</v>
      </c>
    </row>
    <row r="1374" spans="1:2" x14ac:dyDescent="0.2">
      <c r="A1374" s="10">
        <v>168733</v>
      </c>
      <c r="B1374" s="11" t="s">
        <v>3030</v>
      </c>
    </row>
    <row r="1375" spans="1:2" x14ac:dyDescent="0.2">
      <c r="A1375" s="8">
        <v>168734</v>
      </c>
      <c r="B1375" s="1" t="s">
        <v>3030</v>
      </c>
    </row>
    <row r="1376" spans="1:2" x14ac:dyDescent="0.2">
      <c r="A1376" s="10">
        <v>168766</v>
      </c>
      <c r="B1376" s="11" t="s">
        <v>3030</v>
      </c>
    </row>
    <row r="1377" spans="1:2" x14ac:dyDescent="0.2">
      <c r="A1377" s="8">
        <v>168958</v>
      </c>
      <c r="B1377" s="1" t="s">
        <v>3030</v>
      </c>
    </row>
    <row r="1378" spans="1:2" x14ac:dyDescent="0.2">
      <c r="A1378" s="10">
        <v>168984</v>
      </c>
      <c r="B1378" s="11" t="s">
        <v>3030</v>
      </c>
    </row>
    <row r="1379" spans="1:2" x14ac:dyDescent="0.2">
      <c r="A1379" s="8">
        <v>168988</v>
      </c>
      <c r="B1379" s="1" t="s">
        <v>3030</v>
      </c>
    </row>
    <row r="1380" spans="1:2" x14ac:dyDescent="0.2">
      <c r="A1380" s="10">
        <v>169023</v>
      </c>
      <c r="B1380" s="11" t="s">
        <v>3030</v>
      </c>
    </row>
    <row r="1381" spans="1:2" x14ac:dyDescent="0.2">
      <c r="A1381" s="8">
        <v>169052</v>
      </c>
      <c r="B1381" s="1" t="s">
        <v>3030</v>
      </c>
    </row>
    <row r="1382" spans="1:2" x14ac:dyDescent="0.2">
      <c r="A1382" s="10">
        <v>169053</v>
      </c>
      <c r="B1382" s="11" t="s">
        <v>3030</v>
      </c>
    </row>
    <row r="1383" spans="1:2" x14ac:dyDescent="0.2">
      <c r="A1383" s="8">
        <v>169177</v>
      </c>
      <c r="B1383" s="1" t="s">
        <v>3030</v>
      </c>
    </row>
    <row r="1384" spans="1:2" x14ac:dyDescent="0.2">
      <c r="A1384" s="10">
        <v>169244</v>
      </c>
      <c r="B1384" s="11" t="s">
        <v>3030</v>
      </c>
    </row>
    <row r="1385" spans="1:2" x14ac:dyDescent="0.2">
      <c r="A1385" s="8">
        <v>169374</v>
      </c>
      <c r="B1385" s="1" t="s">
        <v>3030</v>
      </c>
    </row>
    <row r="1386" spans="1:2" x14ac:dyDescent="0.2">
      <c r="A1386" s="10">
        <v>169434</v>
      </c>
      <c r="B1386" s="11" t="s">
        <v>3030</v>
      </c>
    </row>
    <row r="1387" spans="1:2" x14ac:dyDescent="0.2">
      <c r="A1387" s="8">
        <v>169469</v>
      </c>
      <c r="B1387" s="1" t="s">
        <v>3030</v>
      </c>
    </row>
    <row r="1388" spans="1:2" x14ac:dyDescent="0.2">
      <c r="A1388" s="10">
        <v>169503</v>
      </c>
      <c r="B1388" s="11" t="s">
        <v>3030</v>
      </c>
    </row>
    <row r="1389" spans="1:2" x14ac:dyDescent="0.2">
      <c r="A1389" s="8">
        <v>169531</v>
      </c>
      <c r="B1389" s="1" t="s">
        <v>3030</v>
      </c>
    </row>
    <row r="1390" spans="1:2" x14ac:dyDescent="0.2">
      <c r="A1390" s="10">
        <v>169533</v>
      </c>
      <c r="B1390" s="11" t="s">
        <v>3030</v>
      </c>
    </row>
    <row r="1391" spans="1:2" x14ac:dyDescent="0.2">
      <c r="A1391" s="8">
        <v>169534</v>
      </c>
      <c r="B1391" s="1" t="s">
        <v>3030</v>
      </c>
    </row>
    <row r="1392" spans="1:2" x14ac:dyDescent="0.2">
      <c r="A1392" s="10">
        <v>169565</v>
      </c>
      <c r="B1392" s="11" t="s">
        <v>3030</v>
      </c>
    </row>
    <row r="1393" spans="1:2" x14ac:dyDescent="0.2">
      <c r="A1393" s="8">
        <v>169631</v>
      </c>
      <c r="B1393" s="1" t="s">
        <v>3030</v>
      </c>
    </row>
    <row r="1394" spans="1:2" x14ac:dyDescent="0.2">
      <c r="A1394" s="10">
        <v>169662</v>
      </c>
      <c r="B1394" s="11" t="s">
        <v>3030</v>
      </c>
    </row>
    <row r="1395" spans="1:2" x14ac:dyDescent="0.2">
      <c r="A1395" s="8">
        <v>169726</v>
      </c>
      <c r="B1395" s="1" t="s">
        <v>3030</v>
      </c>
    </row>
    <row r="1396" spans="1:2" x14ac:dyDescent="0.2">
      <c r="A1396" s="10">
        <v>169756</v>
      </c>
      <c r="B1396" s="11" t="s">
        <v>3030</v>
      </c>
    </row>
    <row r="1397" spans="1:2" x14ac:dyDescent="0.2">
      <c r="A1397" s="8">
        <v>169855</v>
      </c>
      <c r="B1397" s="1" t="s">
        <v>3030</v>
      </c>
    </row>
    <row r="1398" spans="1:2" x14ac:dyDescent="0.2">
      <c r="A1398" s="10">
        <v>169881</v>
      </c>
      <c r="B1398" s="11" t="s">
        <v>3030</v>
      </c>
    </row>
    <row r="1399" spans="1:2" x14ac:dyDescent="0.2">
      <c r="A1399" s="8">
        <v>169884</v>
      </c>
      <c r="B1399" s="1" t="s">
        <v>3030</v>
      </c>
    </row>
    <row r="1400" spans="1:2" x14ac:dyDescent="0.2">
      <c r="A1400" s="10">
        <v>169977</v>
      </c>
      <c r="B1400" s="11" t="s">
        <v>3030</v>
      </c>
    </row>
    <row r="1401" spans="1:2" x14ac:dyDescent="0.2">
      <c r="A1401" s="8">
        <v>169981</v>
      </c>
      <c r="B1401" s="1" t="s">
        <v>3030</v>
      </c>
    </row>
    <row r="1402" spans="1:2" x14ac:dyDescent="0.2">
      <c r="A1402" s="10">
        <v>170011</v>
      </c>
      <c r="B1402" s="11" t="s">
        <v>3030</v>
      </c>
    </row>
    <row r="1403" spans="1:2" x14ac:dyDescent="0.2">
      <c r="A1403" s="8">
        <v>170012</v>
      </c>
      <c r="B1403" s="1" t="s">
        <v>3030</v>
      </c>
    </row>
    <row r="1404" spans="1:2" x14ac:dyDescent="0.2">
      <c r="A1404" s="10">
        <v>170015</v>
      </c>
      <c r="B1404" s="11" t="s">
        <v>3030</v>
      </c>
    </row>
    <row r="1405" spans="1:2" x14ac:dyDescent="0.2">
      <c r="A1405" s="8">
        <v>170079</v>
      </c>
      <c r="B1405" s="1" t="s">
        <v>3030</v>
      </c>
    </row>
    <row r="1406" spans="1:2" x14ac:dyDescent="0.2">
      <c r="A1406" s="10">
        <v>170106</v>
      </c>
      <c r="B1406" s="11" t="s">
        <v>3030</v>
      </c>
    </row>
    <row r="1407" spans="1:2" x14ac:dyDescent="0.2">
      <c r="A1407" s="8">
        <v>170169</v>
      </c>
      <c r="B1407" s="1" t="s">
        <v>3030</v>
      </c>
    </row>
    <row r="1408" spans="1:2" x14ac:dyDescent="0.2">
      <c r="A1408" s="10">
        <v>170174</v>
      </c>
      <c r="B1408" s="11" t="s">
        <v>3030</v>
      </c>
    </row>
    <row r="1409" spans="1:2" x14ac:dyDescent="0.2">
      <c r="A1409" s="8">
        <v>170201</v>
      </c>
      <c r="B1409" s="1" t="s">
        <v>3030</v>
      </c>
    </row>
    <row r="1410" spans="1:2" x14ac:dyDescent="0.2">
      <c r="A1410" s="10">
        <v>170236</v>
      </c>
      <c r="B1410" s="11" t="s">
        <v>3030</v>
      </c>
    </row>
    <row r="1411" spans="1:2" x14ac:dyDescent="0.2">
      <c r="A1411" s="8">
        <v>170265</v>
      </c>
      <c r="B1411" s="1" t="s">
        <v>3030</v>
      </c>
    </row>
    <row r="1412" spans="1:2" x14ac:dyDescent="0.2">
      <c r="A1412" s="10">
        <v>170301</v>
      </c>
      <c r="B1412" s="11" t="s">
        <v>3030</v>
      </c>
    </row>
    <row r="1413" spans="1:2" x14ac:dyDescent="0.2">
      <c r="A1413" s="8">
        <v>170360</v>
      </c>
      <c r="B1413" s="1" t="s">
        <v>3030</v>
      </c>
    </row>
    <row r="1414" spans="1:2" x14ac:dyDescent="0.2">
      <c r="A1414" s="10">
        <v>170398</v>
      </c>
      <c r="B1414" s="11" t="s">
        <v>3030</v>
      </c>
    </row>
    <row r="1415" spans="1:2" x14ac:dyDescent="0.2">
      <c r="A1415" s="8">
        <v>170494</v>
      </c>
      <c r="B1415" s="1" t="s">
        <v>3030</v>
      </c>
    </row>
    <row r="1416" spans="1:2" x14ac:dyDescent="0.2">
      <c r="A1416" s="10">
        <v>170621</v>
      </c>
      <c r="B1416" s="11" t="s">
        <v>3030</v>
      </c>
    </row>
    <row r="1417" spans="1:2" x14ac:dyDescent="0.2">
      <c r="A1417" s="8">
        <v>170747</v>
      </c>
      <c r="B1417" s="1" t="s">
        <v>3030</v>
      </c>
    </row>
    <row r="1418" spans="1:2" x14ac:dyDescent="0.2">
      <c r="A1418" s="10">
        <v>170815</v>
      </c>
      <c r="B1418" s="11" t="s">
        <v>3030</v>
      </c>
    </row>
    <row r="1419" spans="1:2" x14ac:dyDescent="0.2">
      <c r="A1419" s="8">
        <v>171161</v>
      </c>
      <c r="B1419" s="1" t="s">
        <v>3030</v>
      </c>
    </row>
    <row r="1420" spans="1:2" x14ac:dyDescent="0.2">
      <c r="A1420" s="10">
        <v>171288</v>
      </c>
      <c r="B1420" s="11" t="s">
        <v>3030</v>
      </c>
    </row>
    <row r="1421" spans="1:2" x14ac:dyDescent="0.2">
      <c r="A1421" s="8">
        <v>171322</v>
      </c>
      <c r="B1421" s="1" t="s">
        <v>3030</v>
      </c>
    </row>
    <row r="1422" spans="1:2" x14ac:dyDescent="0.2">
      <c r="A1422" s="10">
        <v>171353</v>
      </c>
      <c r="B1422" s="11" t="s">
        <v>3030</v>
      </c>
    </row>
    <row r="1423" spans="1:2" x14ac:dyDescent="0.2">
      <c r="A1423" s="8">
        <v>171357</v>
      </c>
      <c r="B1423" s="1" t="s">
        <v>3030</v>
      </c>
    </row>
    <row r="1424" spans="1:2" x14ac:dyDescent="0.2">
      <c r="A1424" s="10">
        <v>171420</v>
      </c>
      <c r="B1424" s="11" t="s">
        <v>3030</v>
      </c>
    </row>
    <row r="1425" spans="1:2" x14ac:dyDescent="0.2">
      <c r="A1425" s="8">
        <v>171483</v>
      </c>
      <c r="B1425" s="1" t="s">
        <v>3030</v>
      </c>
    </row>
    <row r="1426" spans="1:2" x14ac:dyDescent="0.2">
      <c r="A1426" s="10">
        <v>171512</v>
      </c>
      <c r="B1426" s="11" t="s">
        <v>3030</v>
      </c>
    </row>
    <row r="1427" spans="1:2" x14ac:dyDescent="0.2">
      <c r="A1427" s="8">
        <v>171515</v>
      </c>
      <c r="B1427" s="1" t="s">
        <v>3030</v>
      </c>
    </row>
    <row r="1428" spans="1:2" x14ac:dyDescent="0.2">
      <c r="A1428" s="10">
        <v>171576</v>
      </c>
      <c r="B1428" s="11" t="s">
        <v>3030</v>
      </c>
    </row>
    <row r="1429" spans="1:2" x14ac:dyDescent="0.2">
      <c r="A1429" s="8">
        <v>171710</v>
      </c>
      <c r="B1429" s="1" t="s">
        <v>3030</v>
      </c>
    </row>
    <row r="1430" spans="1:2" x14ac:dyDescent="0.2">
      <c r="A1430" s="10">
        <v>171772</v>
      </c>
      <c r="B1430" s="11" t="s">
        <v>3030</v>
      </c>
    </row>
    <row r="1431" spans="1:2" x14ac:dyDescent="0.2">
      <c r="A1431" s="8">
        <v>171839</v>
      </c>
      <c r="B1431" s="1" t="s">
        <v>3030</v>
      </c>
    </row>
    <row r="1432" spans="1:2" x14ac:dyDescent="0.2">
      <c r="A1432" s="10">
        <v>171935</v>
      </c>
      <c r="B1432" s="11" t="s">
        <v>3030</v>
      </c>
    </row>
    <row r="1433" spans="1:2" x14ac:dyDescent="0.2">
      <c r="A1433" s="8">
        <v>171994</v>
      </c>
      <c r="B1433" s="1" t="s">
        <v>3030</v>
      </c>
    </row>
    <row r="1434" spans="1:2" x14ac:dyDescent="0.2">
      <c r="A1434" s="10">
        <v>171998</v>
      </c>
      <c r="B1434" s="11" t="s">
        <v>3030</v>
      </c>
    </row>
    <row r="1435" spans="1:2" x14ac:dyDescent="0.2">
      <c r="A1435" s="8">
        <v>172026</v>
      </c>
      <c r="B1435" s="1" t="s">
        <v>3030</v>
      </c>
    </row>
    <row r="1436" spans="1:2" x14ac:dyDescent="0.2">
      <c r="A1436" s="10">
        <v>172029</v>
      </c>
      <c r="B1436" s="11" t="s">
        <v>3030</v>
      </c>
    </row>
    <row r="1437" spans="1:2" x14ac:dyDescent="0.2">
      <c r="A1437" s="8">
        <v>172283</v>
      </c>
      <c r="B1437" s="1" t="s">
        <v>3030</v>
      </c>
    </row>
    <row r="1438" spans="1:2" x14ac:dyDescent="0.2">
      <c r="A1438" s="10">
        <v>172344</v>
      </c>
      <c r="B1438" s="11" t="s">
        <v>3030</v>
      </c>
    </row>
    <row r="1439" spans="1:2" x14ac:dyDescent="0.2">
      <c r="A1439" s="8">
        <v>172349</v>
      </c>
      <c r="B1439" s="1" t="s">
        <v>3030</v>
      </c>
    </row>
    <row r="1440" spans="1:2" x14ac:dyDescent="0.2">
      <c r="A1440" s="10">
        <v>172442</v>
      </c>
      <c r="B1440" s="11" t="s">
        <v>3030</v>
      </c>
    </row>
    <row r="1441" spans="1:2" x14ac:dyDescent="0.2">
      <c r="A1441" s="8">
        <v>172504</v>
      </c>
      <c r="B1441" s="1" t="s">
        <v>3030</v>
      </c>
    </row>
    <row r="1442" spans="1:2" x14ac:dyDescent="0.2">
      <c r="A1442" s="10">
        <v>172505</v>
      </c>
      <c r="B1442" s="11" t="s">
        <v>3030</v>
      </c>
    </row>
    <row r="1443" spans="1:2" x14ac:dyDescent="0.2">
      <c r="A1443" s="8">
        <v>172602</v>
      </c>
      <c r="B1443" s="1" t="s">
        <v>3030</v>
      </c>
    </row>
    <row r="1444" spans="1:2" x14ac:dyDescent="0.2">
      <c r="A1444" s="10">
        <v>172634</v>
      </c>
      <c r="B1444" s="11" t="s">
        <v>3030</v>
      </c>
    </row>
    <row r="1445" spans="1:2" x14ac:dyDescent="0.2">
      <c r="A1445" s="8">
        <v>172761</v>
      </c>
      <c r="B1445" s="1" t="s">
        <v>3030</v>
      </c>
    </row>
    <row r="1446" spans="1:2" x14ac:dyDescent="0.2">
      <c r="A1446" s="10">
        <v>172762</v>
      </c>
      <c r="B1446" s="11" t="s">
        <v>3030</v>
      </c>
    </row>
    <row r="1447" spans="1:2" x14ac:dyDescent="0.2">
      <c r="A1447" s="8">
        <v>172764</v>
      </c>
      <c r="B1447" s="1" t="s">
        <v>3030</v>
      </c>
    </row>
    <row r="1448" spans="1:2" x14ac:dyDescent="0.2">
      <c r="A1448" s="10">
        <v>172797</v>
      </c>
      <c r="B1448" s="11" t="s">
        <v>3030</v>
      </c>
    </row>
    <row r="1449" spans="1:2" x14ac:dyDescent="0.2">
      <c r="A1449" s="8">
        <v>172799</v>
      </c>
      <c r="B1449" s="1" t="s">
        <v>3030</v>
      </c>
    </row>
    <row r="1450" spans="1:2" x14ac:dyDescent="0.2">
      <c r="A1450" s="10">
        <v>172921</v>
      </c>
      <c r="B1450" s="11" t="s">
        <v>3030</v>
      </c>
    </row>
    <row r="1451" spans="1:2" x14ac:dyDescent="0.2">
      <c r="A1451" s="8">
        <v>172952</v>
      </c>
      <c r="B1451" s="1" t="s">
        <v>3030</v>
      </c>
    </row>
    <row r="1452" spans="1:2" x14ac:dyDescent="0.2">
      <c r="A1452" s="10">
        <v>173016</v>
      </c>
      <c r="B1452" s="11" t="s">
        <v>3030</v>
      </c>
    </row>
    <row r="1453" spans="1:2" x14ac:dyDescent="0.2">
      <c r="A1453" s="8">
        <v>173048</v>
      </c>
      <c r="B1453" s="1" t="s">
        <v>3030</v>
      </c>
    </row>
    <row r="1454" spans="1:2" x14ac:dyDescent="0.2">
      <c r="A1454" s="10">
        <v>173118</v>
      </c>
      <c r="B1454" s="11" t="s">
        <v>3030</v>
      </c>
    </row>
    <row r="1455" spans="1:2" x14ac:dyDescent="0.2">
      <c r="A1455" s="8">
        <v>173147</v>
      </c>
      <c r="B1455" s="1" t="s">
        <v>3030</v>
      </c>
    </row>
    <row r="1456" spans="1:2" x14ac:dyDescent="0.2">
      <c r="A1456" s="10">
        <v>173208</v>
      </c>
      <c r="B1456" s="11" t="s">
        <v>3030</v>
      </c>
    </row>
    <row r="1457" spans="1:2" x14ac:dyDescent="0.2">
      <c r="A1457" s="8">
        <v>173310</v>
      </c>
      <c r="B1457" s="1" t="s">
        <v>3030</v>
      </c>
    </row>
    <row r="1458" spans="1:2" x14ac:dyDescent="0.2">
      <c r="A1458" s="10">
        <v>173338</v>
      </c>
      <c r="B1458" s="11" t="s">
        <v>3030</v>
      </c>
    </row>
    <row r="1459" spans="1:2" x14ac:dyDescent="0.2">
      <c r="A1459" s="8">
        <v>173373</v>
      </c>
      <c r="B1459" s="1" t="s">
        <v>3030</v>
      </c>
    </row>
    <row r="1460" spans="1:2" x14ac:dyDescent="0.2">
      <c r="A1460" s="10">
        <v>173466</v>
      </c>
      <c r="B1460" s="11" t="s">
        <v>3030</v>
      </c>
    </row>
    <row r="1461" spans="1:2" x14ac:dyDescent="0.2">
      <c r="A1461" s="8">
        <v>173563</v>
      </c>
      <c r="B1461" s="1" t="s">
        <v>3030</v>
      </c>
    </row>
    <row r="1462" spans="1:2" x14ac:dyDescent="0.2">
      <c r="A1462" s="10">
        <v>173565</v>
      </c>
      <c r="B1462" s="11" t="s">
        <v>3030</v>
      </c>
    </row>
    <row r="1463" spans="1:2" x14ac:dyDescent="0.2">
      <c r="A1463" s="8">
        <v>173567</v>
      </c>
      <c r="B1463" s="1" t="s">
        <v>3030</v>
      </c>
    </row>
    <row r="1464" spans="1:2" x14ac:dyDescent="0.2">
      <c r="A1464" s="10">
        <v>173594</v>
      </c>
      <c r="B1464" s="11" t="s">
        <v>3030</v>
      </c>
    </row>
    <row r="1465" spans="1:2" x14ac:dyDescent="0.2">
      <c r="A1465" s="8">
        <v>173721</v>
      </c>
      <c r="B1465" s="1" t="s">
        <v>3030</v>
      </c>
    </row>
    <row r="1466" spans="1:2" x14ac:dyDescent="0.2">
      <c r="A1466" s="10">
        <v>173726</v>
      </c>
      <c r="B1466" s="11" t="s">
        <v>3030</v>
      </c>
    </row>
    <row r="1467" spans="1:2" x14ac:dyDescent="0.2">
      <c r="A1467" s="8">
        <v>173786</v>
      </c>
      <c r="B1467" s="1" t="s">
        <v>3030</v>
      </c>
    </row>
    <row r="1468" spans="1:2" x14ac:dyDescent="0.2">
      <c r="A1468" s="10">
        <v>173822</v>
      </c>
      <c r="B1468" s="11" t="s">
        <v>3030</v>
      </c>
    </row>
    <row r="1469" spans="1:2" x14ac:dyDescent="0.2">
      <c r="A1469" s="8">
        <v>173823</v>
      </c>
      <c r="B1469" s="1" t="s">
        <v>3030</v>
      </c>
    </row>
    <row r="1470" spans="1:2" x14ac:dyDescent="0.2">
      <c r="A1470" s="10">
        <v>173849</v>
      </c>
      <c r="B1470" s="11" t="s">
        <v>3030</v>
      </c>
    </row>
    <row r="1471" spans="1:2" x14ac:dyDescent="0.2">
      <c r="A1471" s="8">
        <v>173917</v>
      </c>
      <c r="B1471" s="1" t="s">
        <v>3030</v>
      </c>
    </row>
    <row r="1472" spans="1:2" x14ac:dyDescent="0.2">
      <c r="A1472" s="10">
        <v>173977</v>
      </c>
      <c r="B1472" s="11" t="s">
        <v>3030</v>
      </c>
    </row>
    <row r="1473" spans="1:2" x14ac:dyDescent="0.2">
      <c r="A1473" s="8">
        <v>173983</v>
      </c>
      <c r="B1473" s="1" t="s">
        <v>3030</v>
      </c>
    </row>
    <row r="1474" spans="1:2" x14ac:dyDescent="0.2">
      <c r="A1474" s="10">
        <v>174047</v>
      </c>
      <c r="B1474" s="11" t="s">
        <v>3030</v>
      </c>
    </row>
    <row r="1475" spans="1:2" x14ac:dyDescent="0.2">
      <c r="A1475" s="8">
        <v>174169</v>
      </c>
      <c r="B1475" s="1" t="s">
        <v>3030</v>
      </c>
    </row>
    <row r="1476" spans="1:2" x14ac:dyDescent="0.2">
      <c r="A1476" s="10">
        <v>174171</v>
      </c>
      <c r="B1476" s="11" t="s">
        <v>3030</v>
      </c>
    </row>
    <row r="1477" spans="1:2" x14ac:dyDescent="0.2">
      <c r="A1477" s="8">
        <v>174201</v>
      </c>
      <c r="B1477" s="1" t="s">
        <v>3030</v>
      </c>
    </row>
    <row r="1478" spans="1:2" x14ac:dyDescent="0.2">
      <c r="A1478" s="10">
        <v>174239</v>
      </c>
      <c r="B1478" s="11" t="s">
        <v>3030</v>
      </c>
    </row>
    <row r="1479" spans="1:2" x14ac:dyDescent="0.2">
      <c r="A1479" s="8">
        <v>174269</v>
      </c>
      <c r="B1479" s="1" t="s">
        <v>3030</v>
      </c>
    </row>
    <row r="1480" spans="1:2" x14ac:dyDescent="0.2">
      <c r="A1480" s="10">
        <v>174297</v>
      </c>
      <c r="B1480" s="11" t="s">
        <v>3030</v>
      </c>
    </row>
    <row r="1481" spans="1:2" x14ac:dyDescent="0.2">
      <c r="A1481" s="8">
        <v>174300</v>
      </c>
      <c r="B1481" s="1" t="s">
        <v>3030</v>
      </c>
    </row>
    <row r="1482" spans="1:2" x14ac:dyDescent="0.2">
      <c r="A1482" s="10">
        <v>174395</v>
      </c>
      <c r="B1482" s="11" t="s">
        <v>3030</v>
      </c>
    </row>
    <row r="1483" spans="1:2" x14ac:dyDescent="0.2">
      <c r="A1483" s="8">
        <v>174553</v>
      </c>
      <c r="B1483" s="1" t="s">
        <v>3030</v>
      </c>
    </row>
    <row r="1484" spans="1:2" x14ac:dyDescent="0.2">
      <c r="A1484" s="10">
        <v>174559</v>
      </c>
      <c r="B1484" s="11" t="s">
        <v>3030</v>
      </c>
    </row>
    <row r="1485" spans="1:2" x14ac:dyDescent="0.2">
      <c r="A1485" s="8">
        <v>174584</v>
      </c>
      <c r="B1485" s="1" t="s">
        <v>3030</v>
      </c>
    </row>
    <row r="1486" spans="1:2" x14ac:dyDescent="0.2">
      <c r="A1486" s="10">
        <v>174648</v>
      </c>
      <c r="B1486" s="11" t="s">
        <v>3030</v>
      </c>
    </row>
    <row r="1487" spans="1:2" x14ac:dyDescent="0.2">
      <c r="A1487" s="8">
        <v>174713</v>
      </c>
      <c r="B1487" s="1" t="s">
        <v>3030</v>
      </c>
    </row>
    <row r="1488" spans="1:2" x14ac:dyDescent="0.2">
      <c r="A1488" s="10">
        <v>174813</v>
      </c>
      <c r="B1488" s="11" t="s">
        <v>3030</v>
      </c>
    </row>
    <row r="1489" spans="1:2" x14ac:dyDescent="0.2">
      <c r="A1489" s="8">
        <v>174872</v>
      </c>
      <c r="B1489" s="1" t="s">
        <v>3030</v>
      </c>
    </row>
    <row r="1490" spans="1:2" x14ac:dyDescent="0.2">
      <c r="A1490" s="10">
        <v>174876</v>
      </c>
      <c r="B1490" s="11" t="s">
        <v>3030</v>
      </c>
    </row>
    <row r="1491" spans="1:2" x14ac:dyDescent="0.2">
      <c r="A1491" s="8">
        <v>174879</v>
      </c>
      <c r="B1491" s="1" t="s">
        <v>3030</v>
      </c>
    </row>
    <row r="1492" spans="1:2" x14ac:dyDescent="0.2">
      <c r="A1492" s="10">
        <v>174937</v>
      </c>
      <c r="B1492" s="11" t="s">
        <v>3030</v>
      </c>
    </row>
    <row r="1493" spans="1:2" x14ac:dyDescent="0.2">
      <c r="A1493" s="8">
        <v>174938</v>
      </c>
      <c r="B1493" s="1" t="s">
        <v>3030</v>
      </c>
    </row>
    <row r="1494" spans="1:2" x14ac:dyDescent="0.2">
      <c r="A1494" s="10">
        <v>174940</v>
      </c>
      <c r="B1494" s="11" t="s">
        <v>3030</v>
      </c>
    </row>
    <row r="1495" spans="1:2" x14ac:dyDescent="0.2">
      <c r="A1495" s="8">
        <v>174971</v>
      </c>
      <c r="B1495" s="1" t="s">
        <v>3030</v>
      </c>
    </row>
    <row r="1496" spans="1:2" x14ac:dyDescent="0.2">
      <c r="A1496" s="10">
        <v>174975</v>
      </c>
      <c r="B1496" s="11" t="s">
        <v>3030</v>
      </c>
    </row>
    <row r="1497" spans="1:2" x14ac:dyDescent="0.2">
      <c r="A1497" s="8">
        <v>175035</v>
      </c>
      <c r="B1497" s="1" t="s">
        <v>3030</v>
      </c>
    </row>
    <row r="1498" spans="1:2" x14ac:dyDescent="0.2">
      <c r="A1498" s="10">
        <v>175128</v>
      </c>
      <c r="B1498" s="11" t="s">
        <v>3030</v>
      </c>
    </row>
    <row r="1499" spans="1:2" x14ac:dyDescent="0.2">
      <c r="A1499" s="8">
        <v>175130</v>
      </c>
      <c r="B1499" s="1" t="s">
        <v>3030</v>
      </c>
    </row>
    <row r="1500" spans="1:2" x14ac:dyDescent="0.2">
      <c r="A1500" s="10">
        <v>175195</v>
      </c>
      <c r="B1500" s="11" t="s">
        <v>3030</v>
      </c>
    </row>
    <row r="1501" spans="1:2" x14ac:dyDescent="0.2">
      <c r="A1501" s="8">
        <v>175292</v>
      </c>
      <c r="B1501" s="1" t="s">
        <v>3030</v>
      </c>
    </row>
    <row r="1502" spans="1:2" x14ac:dyDescent="0.2">
      <c r="A1502" s="10">
        <v>175321</v>
      </c>
      <c r="B1502" s="11" t="s">
        <v>3030</v>
      </c>
    </row>
    <row r="1503" spans="1:2" x14ac:dyDescent="0.2">
      <c r="A1503" s="8">
        <v>175324</v>
      </c>
      <c r="B1503" s="1" t="s">
        <v>3030</v>
      </c>
    </row>
    <row r="1504" spans="1:2" x14ac:dyDescent="0.2">
      <c r="A1504" s="10">
        <v>175326</v>
      </c>
      <c r="B1504" s="11" t="s">
        <v>3030</v>
      </c>
    </row>
    <row r="1505" spans="1:2" x14ac:dyDescent="0.2">
      <c r="A1505" s="8">
        <v>175416</v>
      </c>
      <c r="B1505" s="1" t="s">
        <v>3030</v>
      </c>
    </row>
    <row r="1506" spans="1:2" x14ac:dyDescent="0.2">
      <c r="A1506" s="10">
        <v>175448</v>
      </c>
      <c r="B1506" s="11" t="s">
        <v>3030</v>
      </c>
    </row>
    <row r="1507" spans="1:2" x14ac:dyDescent="0.2">
      <c r="A1507" s="8">
        <v>175512</v>
      </c>
      <c r="B1507" s="1" t="s">
        <v>3030</v>
      </c>
    </row>
    <row r="1508" spans="1:2" x14ac:dyDescent="0.2">
      <c r="A1508" s="10">
        <v>175576</v>
      </c>
      <c r="B1508" s="11" t="s">
        <v>3030</v>
      </c>
    </row>
    <row r="1509" spans="1:2" x14ac:dyDescent="0.2">
      <c r="A1509" s="8">
        <v>175578</v>
      </c>
      <c r="B1509" s="1" t="s">
        <v>3030</v>
      </c>
    </row>
    <row r="1510" spans="1:2" x14ac:dyDescent="0.2">
      <c r="A1510" s="10">
        <v>175580</v>
      </c>
      <c r="B1510" s="11" t="s">
        <v>3030</v>
      </c>
    </row>
    <row r="1511" spans="1:2" x14ac:dyDescent="0.2">
      <c r="A1511" s="8">
        <v>175672</v>
      </c>
      <c r="B1511" s="1" t="s">
        <v>3030</v>
      </c>
    </row>
    <row r="1512" spans="1:2" x14ac:dyDescent="0.2">
      <c r="A1512" s="10">
        <v>175673</v>
      </c>
      <c r="B1512" s="11" t="s">
        <v>3030</v>
      </c>
    </row>
    <row r="1513" spans="1:2" x14ac:dyDescent="0.2">
      <c r="A1513" s="8">
        <v>175676</v>
      </c>
      <c r="B1513" s="1" t="s">
        <v>3030</v>
      </c>
    </row>
    <row r="1514" spans="1:2" x14ac:dyDescent="0.2">
      <c r="A1514" s="10">
        <v>175999</v>
      </c>
      <c r="B1514" s="11" t="s">
        <v>3030</v>
      </c>
    </row>
    <row r="1515" spans="1:2" x14ac:dyDescent="0.2">
      <c r="A1515" s="8">
        <v>176024</v>
      </c>
      <c r="B1515" s="1" t="s">
        <v>3030</v>
      </c>
    </row>
    <row r="1516" spans="1:2" x14ac:dyDescent="0.2">
      <c r="A1516" s="10">
        <v>176026</v>
      </c>
      <c r="B1516" s="11" t="s">
        <v>3030</v>
      </c>
    </row>
    <row r="1517" spans="1:2" x14ac:dyDescent="0.2">
      <c r="A1517" s="8">
        <v>176029</v>
      </c>
      <c r="B1517" s="1" t="s">
        <v>3030</v>
      </c>
    </row>
    <row r="1518" spans="1:2" x14ac:dyDescent="0.2">
      <c r="A1518" s="10">
        <v>176120</v>
      </c>
      <c r="B1518" s="11" t="s">
        <v>3030</v>
      </c>
    </row>
    <row r="1519" spans="1:2" x14ac:dyDescent="0.2">
      <c r="A1519" s="8">
        <v>176190</v>
      </c>
      <c r="B1519" s="1" t="s">
        <v>3030</v>
      </c>
    </row>
    <row r="1520" spans="1:2" x14ac:dyDescent="0.2">
      <c r="A1520" s="10">
        <v>176248</v>
      </c>
      <c r="B1520" s="11" t="s">
        <v>3030</v>
      </c>
    </row>
    <row r="1521" spans="1:2" x14ac:dyDescent="0.2">
      <c r="A1521" s="8">
        <v>176378</v>
      </c>
      <c r="B1521" s="1" t="s">
        <v>3030</v>
      </c>
    </row>
    <row r="1522" spans="1:2" x14ac:dyDescent="0.2">
      <c r="A1522" s="10">
        <v>176382</v>
      </c>
      <c r="B1522" s="11" t="s">
        <v>3030</v>
      </c>
    </row>
    <row r="1523" spans="1:2" x14ac:dyDescent="0.2">
      <c r="A1523" s="8">
        <v>176410</v>
      </c>
      <c r="B1523" s="1" t="s">
        <v>3030</v>
      </c>
    </row>
    <row r="1524" spans="1:2" x14ac:dyDescent="0.2">
      <c r="A1524" s="10">
        <v>176443</v>
      </c>
      <c r="B1524" s="11" t="s">
        <v>3030</v>
      </c>
    </row>
    <row r="1525" spans="1:2" x14ac:dyDescent="0.2">
      <c r="A1525" s="8">
        <v>176511</v>
      </c>
      <c r="B1525" s="1" t="s">
        <v>3030</v>
      </c>
    </row>
    <row r="1526" spans="1:2" x14ac:dyDescent="0.2">
      <c r="A1526" s="10">
        <v>176536</v>
      </c>
      <c r="B1526" s="11" t="s">
        <v>3030</v>
      </c>
    </row>
    <row r="1527" spans="1:2" x14ac:dyDescent="0.2">
      <c r="A1527" s="8">
        <v>176572</v>
      </c>
      <c r="B1527" s="1" t="s">
        <v>3030</v>
      </c>
    </row>
    <row r="1528" spans="1:2" x14ac:dyDescent="0.2">
      <c r="A1528" s="10">
        <v>176698</v>
      </c>
      <c r="B1528" s="11" t="s">
        <v>3030</v>
      </c>
    </row>
    <row r="1529" spans="1:2" x14ac:dyDescent="0.2">
      <c r="A1529" s="8">
        <v>176825</v>
      </c>
      <c r="B1529" s="1" t="s">
        <v>3030</v>
      </c>
    </row>
    <row r="1530" spans="1:2" x14ac:dyDescent="0.2">
      <c r="A1530" s="10">
        <v>176955</v>
      </c>
      <c r="B1530" s="11" t="s">
        <v>3030</v>
      </c>
    </row>
    <row r="1531" spans="1:2" x14ac:dyDescent="0.2">
      <c r="A1531" s="8">
        <v>177051</v>
      </c>
      <c r="B1531" s="1" t="s">
        <v>3030</v>
      </c>
    </row>
    <row r="1532" spans="1:2" x14ac:dyDescent="0.2">
      <c r="A1532" s="10">
        <v>177053</v>
      </c>
      <c r="B1532" s="11" t="s">
        <v>3030</v>
      </c>
    </row>
    <row r="1533" spans="1:2" x14ac:dyDescent="0.2">
      <c r="A1533" s="8">
        <v>177081</v>
      </c>
      <c r="B1533" s="1" t="s">
        <v>3030</v>
      </c>
    </row>
    <row r="1534" spans="1:2" x14ac:dyDescent="0.2">
      <c r="A1534" s="10">
        <v>177151</v>
      </c>
      <c r="B1534" s="11" t="s">
        <v>3030</v>
      </c>
    </row>
    <row r="1535" spans="1:2" x14ac:dyDescent="0.2">
      <c r="A1535" s="8">
        <v>177180</v>
      </c>
      <c r="B1535" s="1" t="s">
        <v>3030</v>
      </c>
    </row>
    <row r="1536" spans="1:2" x14ac:dyDescent="0.2">
      <c r="A1536" s="10">
        <v>177214</v>
      </c>
      <c r="B1536" s="11" t="s">
        <v>3030</v>
      </c>
    </row>
    <row r="1537" spans="1:2" x14ac:dyDescent="0.2">
      <c r="A1537" s="8">
        <v>177243</v>
      </c>
      <c r="B1537" s="1" t="s">
        <v>3030</v>
      </c>
    </row>
    <row r="1538" spans="1:2" x14ac:dyDescent="0.2">
      <c r="A1538" s="10">
        <v>177274</v>
      </c>
      <c r="B1538" s="11" t="s">
        <v>3030</v>
      </c>
    </row>
    <row r="1539" spans="1:2" x14ac:dyDescent="0.2">
      <c r="A1539" s="8">
        <v>177279</v>
      </c>
      <c r="B1539" s="1" t="s">
        <v>3030</v>
      </c>
    </row>
    <row r="1540" spans="1:2" x14ac:dyDescent="0.2">
      <c r="A1540" s="10">
        <v>177336</v>
      </c>
      <c r="B1540" s="11" t="s">
        <v>3030</v>
      </c>
    </row>
    <row r="1541" spans="1:2" x14ac:dyDescent="0.2">
      <c r="A1541" s="8">
        <v>177371</v>
      </c>
      <c r="B1541" s="1" t="s">
        <v>3030</v>
      </c>
    </row>
    <row r="1542" spans="1:2" x14ac:dyDescent="0.2">
      <c r="A1542" s="10">
        <v>177401</v>
      </c>
      <c r="B1542" s="11" t="s">
        <v>3030</v>
      </c>
    </row>
    <row r="1543" spans="1:2" x14ac:dyDescent="0.2">
      <c r="A1543" s="8">
        <v>177407</v>
      </c>
      <c r="B1543" s="1" t="s">
        <v>3030</v>
      </c>
    </row>
    <row r="1544" spans="1:2" x14ac:dyDescent="0.2">
      <c r="A1544" s="10">
        <v>177464</v>
      </c>
      <c r="B1544" s="11" t="s">
        <v>3030</v>
      </c>
    </row>
    <row r="1545" spans="1:2" x14ac:dyDescent="0.2">
      <c r="A1545" s="8">
        <v>177501</v>
      </c>
      <c r="B1545" s="1" t="s">
        <v>3030</v>
      </c>
    </row>
    <row r="1546" spans="1:2" x14ac:dyDescent="0.2">
      <c r="A1546" s="10">
        <v>177534</v>
      </c>
      <c r="B1546" s="11" t="s">
        <v>3030</v>
      </c>
    </row>
    <row r="1547" spans="1:2" x14ac:dyDescent="0.2">
      <c r="A1547" s="8">
        <v>177656</v>
      </c>
      <c r="B1547" s="1" t="s">
        <v>3030</v>
      </c>
    </row>
    <row r="1548" spans="1:2" x14ac:dyDescent="0.2">
      <c r="A1548" s="10">
        <v>177786</v>
      </c>
      <c r="B1548" s="11" t="s">
        <v>3030</v>
      </c>
    </row>
    <row r="1549" spans="1:2" x14ac:dyDescent="0.2">
      <c r="A1549" s="8">
        <v>177850</v>
      </c>
      <c r="B1549" s="1" t="s">
        <v>3030</v>
      </c>
    </row>
    <row r="1550" spans="1:2" x14ac:dyDescent="0.2">
      <c r="A1550" s="10">
        <v>177886</v>
      </c>
      <c r="B1550" s="11" t="s">
        <v>3030</v>
      </c>
    </row>
    <row r="1551" spans="1:2" x14ac:dyDescent="0.2">
      <c r="A1551" s="8">
        <v>178011</v>
      </c>
      <c r="B1551" s="1" t="s">
        <v>3030</v>
      </c>
    </row>
    <row r="1552" spans="1:2" x14ac:dyDescent="0.2">
      <c r="A1552" s="10">
        <v>178040</v>
      </c>
      <c r="B1552" s="11" t="s">
        <v>3030</v>
      </c>
    </row>
    <row r="1553" spans="1:2" x14ac:dyDescent="0.2">
      <c r="A1553" s="8">
        <v>178170</v>
      </c>
      <c r="B1553" s="1" t="s">
        <v>3030</v>
      </c>
    </row>
    <row r="1554" spans="1:2" x14ac:dyDescent="0.2">
      <c r="A1554" s="10">
        <v>178234</v>
      </c>
      <c r="B1554" s="11" t="s">
        <v>3030</v>
      </c>
    </row>
    <row r="1555" spans="1:2" x14ac:dyDescent="0.2">
      <c r="A1555" s="8">
        <v>178235</v>
      </c>
      <c r="B1555" s="1" t="s">
        <v>3030</v>
      </c>
    </row>
    <row r="1556" spans="1:2" x14ac:dyDescent="0.2">
      <c r="A1556" s="10">
        <v>178362</v>
      </c>
      <c r="B1556" s="11" t="s">
        <v>3030</v>
      </c>
    </row>
    <row r="1557" spans="1:2" x14ac:dyDescent="0.2">
      <c r="A1557" s="8">
        <v>178392</v>
      </c>
      <c r="B1557" s="1" t="s">
        <v>3030</v>
      </c>
    </row>
    <row r="1558" spans="1:2" x14ac:dyDescent="0.2">
      <c r="A1558" s="10">
        <v>178425</v>
      </c>
      <c r="B1558" s="11" t="s">
        <v>3030</v>
      </c>
    </row>
    <row r="1559" spans="1:2" x14ac:dyDescent="0.2">
      <c r="A1559" s="8">
        <v>178431</v>
      </c>
      <c r="B1559" s="1" t="s">
        <v>3030</v>
      </c>
    </row>
    <row r="1560" spans="1:2" x14ac:dyDescent="0.2">
      <c r="A1560" s="10">
        <v>178520</v>
      </c>
      <c r="B1560" s="11" t="s">
        <v>3030</v>
      </c>
    </row>
    <row r="1561" spans="1:2" x14ac:dyDescent="0.2">
      <c r="A1561" s="8">
        <v>178621</v>
      </c>
      <c r="B1561" s="1" t="s">
        <v>3030</v>
      </c>
    </row>
    <row r="1562" spans="1:2" x14ac:dyDescent="0.2">
      <c r="A1562" s="10">
        <v>178648</v>
      </c>
      <c r="B1562" s="11" t="s">
        <v>3030</v>
      </c>
    </row>
    <row r="1563" spans="1:2" x14ac:dyDescent="0.2">
      <c r="A1563" s="8">
        <v>178650</v>
      </c>
      <c r="B1563" s="1" t="s">
        <v>3030</v>
      </c>
    </row>
    <row r="1564" spans="1:2" x14ac:dyDescent="0.2">
      <c r="A1564" s="10">
        <v>178651</v>
      </c>
      <c r="B1564" s="11" t="s">
        <v>3030</v>
      </c>
    </row>
    <row r="1565" spans="1:2" x14ac:dyDescent="0.2">
      <c r="A1565" s="8">
        <v>178749</v>
      </c>
      <c r="B1565" s="1" t="s">
        <v>3030</v>
      </c>
    </row>
    <row r="1566" spans="1:2" x14ac:dyDescent="0.2">
      <c r="A1566" s="10">
        <v>178776</v>
      </c>
      <c r="B1566" s="11" t="s">
        <v>3030</v>
      </c>
    </row>
    <row r="1567" spans="1:2" x14ac:dyDescent="0.2">
      <c r="A1567" s="8">
        <v>178777</v>
      </c>
      <c r="B1567" s="1" t="s">
        <v>3030</v>
      </c>
    </row>
    <row r="1568" spans="1:2" x14ac:dyDescent="0.2">
      <c r="A1568" s="10">
        <v>178840</v>
      </c>
      <c r="B1568" s="11" t="s">
        <v>3030</v>
      </c>
    </row>
    <row r="1569" spans="1:2" x14ac:dyDescent="0.2">
      <c r="A1569" s="8">
        <v>178846</v>
      </c>
      <c r="B1569" s="1" t="s">
        <v>3030</v>
      </c>
    </row>
    <row r="1570" spans="1:2" x14ac:dyDescent="0.2">
      <c r="A1570" s="10">
        <v>178874</v>
      </c>
      <c r="B1570" s="11" t="s">
        <v>3030</v>
      </c>
    </row>
    <row r="1571" spans="1:2" x14ac:dyDescent="0.2">
      <c r="A1571" s="8">
        <v>178875</v>
      </c>
      <c r="B1571" s="1" t="s">
        <v>3030</v>
      </c>
    </row>
    <row r="1572" spans="1:2" x14ac:dyDescent="0.2">
      <c r="A1572" s="10">
        <v>179006</v>
      </c>
      <c r="B1572" s="11" t="s">
        <v>3030</v>
      </c>
    </row>
    <row r="1573" spans="1:2" x14ac:dyDescent="0.2">
      <c r="A1573" s="8">
        <v>179101</v>
      </c>
      <c r="B1573" s="1" t="s">
        <v>3030</v>
      </c>
    </row>
    <row r="1574" spans="1:2" x14ac:dyDescent="0.2">
      <c r="A1574" s="10">
        <v>179291</v>
      </c>
      <c r="B1574" s="11" t="s">
        <v>3030</v>
      </c>
    </row>
    <row r="1575" spans="1:2" x14ac:dyDescent="0.2">
      <c r="A1575" s="8">
        <v>179418</v>
      </c>
      <c r="B1575" s="1" t="s">
        <v>3030</v>
      </c>
    </row>
    <row r="1576" spans="1:2" x14ac:dyDescent="0.2">
      <c r="A1576" s="10">
        <v>179420</v>
      </c>
      <c r="B1576" s="11" t="s">
        <v>3030</v>
      </c>
    </row>
    <row r="1577" spans="1:2" x14ac:dyDescent="0.2">
      <c r="A1577" s="8">
        <v>179452</v>
      </c>
      <c r="B1577" s="1" t="s">
        <v>3030</v>
      </c>
    </row>
    <row r="1578" spans="1:2" x14ac:dyDescent="0.2">
      <c r="A1578" s="10">
        <v>179514</v>
      </c>
      <c r="B1578" s="11" t="s">
        <v>3030</v>
      </c>
    </row>
    <row r="1579" spans="1:2" x14ac:dyDescent="0.2">
      <c r="A1579" s="8">
        <v>179768</v>
      </c>
      <c r="B1579" s="1" t="s">
        <v>3030</v>
      </c>
    </row>
    <row r="1580" spans="1:2" x14ac:dyDescent="0.2">
      <c r="A1580" s="10">
        <v>179837</v>
      </c>
      <c r="B1580" s="11" t="s">
        <v>3030</v>
      </c>
    </row>
    <row r="1581" spans="1:2" x14ac:dyDescent="0.2">
      <c r="A1581" s="8">
        <v>179900</v>
      </c>
      <c r="B1581" s="1" t="s">
        <v>3030</v>
      </c>
    </row>
    <row r="1582" spans="1:2" x14ac:dyDescent="0.2">
      <c r="A1582" s="10">
        <v>179931</v>
      </c>
      <c r="B1582" s="11" t="s">
        <v>3030</v>
      </c>
    </row>
    <row r="1583" spans="1:2" x14ac:dyDescent="0.2">
      <c r="A1583" s="8">
        <v>180025</v>
      </c>
      <c r="B1583" s="1" t="s">
        <v>3030</v>
      </c>
    </row>
    <row r="1584" spans="1:2" x14ac:dyDescent="0.2">
      <c r="A1584" s="10">
        <v>180058</v>
      </c>
      <c r="B1584" s="11" t="s">
        <v>3030</v>
      </c>
    </row>
    <row r="1585" spans="1:2" x14ac:dyDescent="0.2">
      <c r="A1585" s="8">
        <v>180059</v>
      </c>
      <c r="B1585" s="1" t="s">
        <v>3030</v>
      </c>
    </row>
    <row r="1586" spans="1:2" x14ac:dyDescent="0.2">
      <c r="A1586" s="10">
        <v>180061</v>
      </c>
      <c r="B1586" s="11" t="s">
        <v>3030</v>
      </c>
    </row>
    <row r="1587" spans="1:2" x14ac:dyDescent="0.2">
      <c r="A1587" s="8">
        <v>180216</v>
      </c>
      <c r="B1587" s="1" t="s">
        <v>3030</v>
      </c>
    </row>
    <row r="1588" spans="1:2" x14ac:dyDescent="0.2">
      <c r="A1588" s="10">
        <v>180287</v>
      </c>
      <c r="B1588" s="11" t="s">
        <v>3030</v>
      </c>
    </row>
    <row r="1589" spans="1:2" x14ac:dyDescent="0.2">
      <c r="A1589" s="8">
        <v>180381</v>
      </c>
      <c r="B1589" s="1" t="s">
        <v>3030</v>
      </c>
    </row>
    <row r="1590" spans="1:2" x14ac:dyDescent="0.2">
      <c r="A1590" s="10">
        <v>180412</v>
      </c>
      <c r="B1590" s="11" t="s">
        <v>3030</v>
      </c>
    </row>
    <row r="1591" spans="1:2" x14ac:dyDescent="0.2">
      <c r="A1591" s="8">
        <v>180507</v>
      </c>
      <c r="B1591" s="1" t="s">
        <v>3030</v>
      </c>
    </row>
    <row r="1592" spans="1:2" x14ac:dyDescent="0.2">
      <c r="A1592" s="10">
        <v>180633</v>
      </c>
      <c r="B1592" s="11" t="s">
        <v>3030</v>
      </c>
    </row>
    <row r="1593" spans="1:2" x14ac:dyDescent="0.2">
      <c r="A1593" s="8">
        <v>180638</v>
      </c>
      <c r="B1593" s="1" t="s">
        <v>3030</v>
      </c>
    </row>
    <row r="1594" spans="1:2" x14ac:dyDescent="0.2">
      <c r="A1594" s="10">
        <v>180639</v>
      </c>
      <c r="B1594" s="11" t="s">
        <v>3030</v>
      </c>
    </row>
    <row r="1595" spans="1:2" x14ac:dyDescent="0.2">
      <c r="A1595" s="8">
        <v>180698</v>
      </c>
      <c r="B1595" s="1" t="s">
        <v>3030</v>
      </c>
    </row>
    <row r="1596" spans="1:2" x14ac:dyDescent="0.2">
      <c r="A1596" s="10">
        <v>180700</v>
      </c>
      <c r="B1596" s="11" t="s">
        <v>3030</v>
      </c>
    </row>
    <row r="1597" spans="1:2" x14ac:dyDescent="0.2">
      <c r="A1597" s="8">
        <v>180760</v>
      </c>
      <c r="B1597" s="1" t="s">
        <v>3030</v>
      </c>
    </row>
    <row r="1598" spans="1:2" x14ac:dyDescent="0.2">
      <c r="A1598" s="10">
        <v>180767</v>
      </c>
      <c r="B1598" s="11" t="s">
        <v>3030</v>
      </c>
    </row>
    <row r="1599" spans="1:2" x14ac:dyDescent="0.2">
      <c r="A1599" s="8">
        <v>180798</v>
      </c>
      <c r="B1599" s="1" t="s">
        <v>3030</v>
      </c>
    </row>
    <row r="1600" spans="1:2" x14ac:dyDescent="0.2">
      <c r="A1600" s="10">
        <v>180861</v>
      </c>
      <c r="B1600" s="11" t="s">
        <v>3030</v>
      </c>
    </row>
    <row r="1601" spans="1:2" x14ac:dyDescent="0.2">
      <c r="A1601" s="8">
        <v>180894</v>
      </c>
      <c r="B1601" s="1" t="s">
        <v>3030</v>
      </c>
    </row>
    <row r="1602" spans="1:2" x14ac:dyDescent="0.2">
      <c r="A1602" s="10">
        <v>180922</v>
      </c>
      <c r="B1602" s="11" t="s">
        <v>3030</v>
      </c>
    </row>
    <row r="1603" spans="1:2" x14ac:dyDescent="0.2">
      <c r="A1603" s="8">
        <v>181054</v>
      </c>
      <c r="B1603" s="1" t="s">
        <v>3030</v>
      </c>
    </row>
    <row r="1604" spans="1:2" x14ac:dyDescent="0.2">
      <c r="A1604" s="10">
        <v>181084</v>
      </c>
      <c r="B1604" s="11" t="s">
        <v>3030</v>
      </c>
    </row>
    <row r="1605" spans="1:2" x14ac:dyDescent="0.2">
      <c r="A1605" s="8">
        <v>181147</v>
      </c>
      <c r="B1605" s="1" t="s">
        <v>3030</v>
      </c>
    </row>
    <row r="1606" spans="1:2" x14ac:dyDescent="0.2">
      <c r="A1606" s="10">
        <v>181181</v>
      </c>
      <c r="B1606" s="11" t="s">
        <v>3030</v>
      </c>
    </row>
    <row r="1607" spans="1:2" x14ac:dyDescent="0.2">
      <c r="A1607" s="8">
        <v>181278</v>
      </c>
      <c r="B1607" s="1" t="s">
        <v>3030</v>
      </c>
    </row>
    <row r="1608" spans="1:2" x14ac:dyDescent="0.2">
      <c r="A1608" s="10">
        <v>181342</v>
      </c>
      <c r="B1608" s="11" t="s">
        <v>3030</v>
      </c>
    </row>
    <row r="1609" spans="1:2" x14ac:dyDescent="0.2">
      <c r="A1609" s="8">
        <v>181372</v>
      </c>
      <c r="B1609" s="1" t="s">
        <v>3030</v>
      </c>
    </row>
    <row r="1610" spans="1:2" x14ac:dyDescent="0.2">
      <c r="A1610" s="10">
        <v>181434</v>
      </c>
      <c r="B1610" s="11" t="s">
        <v>3030</v>
      </c>
    </row>
    <row r="1611" spans="1:2" x14ac:dyDescent="0.2">
      <c r="A1611" s="8">
        <v>181500</v>
      </c>
      <c r="B1611" s="1" t="s">
        <v>3030</v>
      </c>
    </row>
    <row r="1612" spans="1:2" x14ac:dyDescent="0.2">
      <c r="A1612" s="10">
        <v>181528</v>
      </c>
      <c r="B1612" s="11" t="s">
        <v>3030</v>
      </c>
    </row>
    <row r="1613" spans="1:2" x14ac:dyDescent="0.2">
      <c r="A1613" s="8">
        <v>181566</v>
      </c>
      <c r="B1613" s="1" t="s">
        <v>3030</v>
      </c>
    </row>
    <row r="1614" spans="1:2" x14ac:dyDescent="0.2">
      <c r="A1614" s="10">
        <v>181688</v>
      </c>
      <c r="B1614" s="11" t="s">
        <v>3030</v>
      </c>
    </row>
    <row r="1615" spans="1:2" x14ac:dyDescent="0.2">
      <c r="A1615" s="8">
        <v>181755</v>
      </c>
      <c r="B1615" s="1" t="s">
        <v>3030</v>
      </c>
    </row>
    <row r="1616" spans="1:2" x14ac:dyDescent="0.2">
      <c r="A1616" s="10">
        <v>181759</v>
      </c>
      <c r="B1616" s="11" t="s">
        <v>3030</v>
      </c>
    </row>
    <row r="1617" spans="1:2" x14ac:dyDescent="0.2">
      <c r="A1617" s="8">
        <v>181784</v>
      </c>
      <c r="B1617" s="1" t="s">
        <v>3030</v>
      </c>
    </row>
    <row r="1618" spans="1:2" x14ac:dyDescent="0.2">
      <c r="A1618" s="10">
        <v>181851</v>
      </c>
      <c r="B1618" s="11" t="s">
        <v>3030</v>
      </c>
    </row>
    <row r="1619" spans="1:2" x14ac:dyDescent="0.2">
      <c r="A1619" s="8">
        <v>181914</v>
      </c>
      <c r="B1619" s="1" t="s">
        <v>3030</v>
      </c>
    </row>
    <row r="1620" spans="1:2" x14ac:dyDescent="0.2">
      <c r="A1620" s="10">
        <v>182015</v>
      </c>
      <c r="B1620" s="11" t="s">
        <v>3030</v>
      </c>
    </row>
    <row r="1621" spans="1:2" x14ac:dyDescent="0.2">
      <c r="A1621" s="8">
        <v>182072</v>
      </c>
      <c r="B1621" s="1" t="s">
        <v>3030</v>
      </c>
    </row>
    <row r="1622" spans="1:2" x14ac:dyDescent="0.2">
      <c r="A1622" s="10">
        <v>182075</v>
      </c>
      <c r="B1622" s="11" t="s">
        <v>3030</v>
      </c>
    </row>
    <row r="1623" spans="1:2" x14ac:dyDescent="0.2">
      <c r="A1623" s="8">
        <v>182170</v>
      </c>
      <c r="B1623" s="1" t="s">
        <v>3030</v>
      </c>
    </row>
    <row r="1624" spans="1:2" x14ac:dyDescent="0.2">
      <c r="A1624" s="10">
        <v>182233</v>
      </c>
      <c r="B1624" s="11" t="s">
        <v>3030</v>
      </c>
    </row>
    <row r="1625" spans="1:2" x14ac:dyDescent="0.2">
      <c r="A1625" s="8">
        <v>182365</v>
      </c>
      <c r="B1625" s="1" t="s">
        <v>3030</v>
      </c>
    </row>
    <row r="1626" spans="1:2" x14ac:dyDescent="0.2">
      <c r="A1626" s="10">
        <v>182392</v>
      </c>
      <c r="B1626" s="11" t="s">
        <v>3030</v>
      </c>
    </row>
    <row r="1627" spans="1:2" x14ac:dyDescent="0.2">
      <c r="A1627" s="8">
        <v>182492</v>
      </c>
      <c r="B1627" s="1" t="s">
        <v>3030</v>
      </c>
    </row>
    <row r="1628" spans="1:2" x14ac:dyDescent="0.2">
      <c r="A1628" s="10">
        <v>182559</v>
      </c>
      <c r="B1628" s="11" t="s">
        <v>3030</v>
      </c>
    </row>
    <row r="1629" spans="1:2" x14ac:dyDescent="0.2">
      <c r="A1629" s="8">
        <v>182586</v>
      </c>
      <c r="B1629" s="1" t="s">
        <v>3030</v>
      </c>
    </row>
    <row r="1630" spans="1:2" x14ac:dyDescent="0.2">
      <c r="A1630" s="10">
        <v>182680</v>
      </c>
      <c r="B1630" s="11" t="s">
        <v>3030</v>
      </c>
    </row>
    <row r="1631" spans="1:2" x14ac:dyDescent="0.2">
      <c r="A1631" s="8">
        <v>182681</v>
      </c>
      <c r="B1631" s="1" t="s">
        <v>3030</v>
      </c>
    </row>
    <row r="1632" spans="1:2" x14ac:dyDescent="0.2">
      <c r="A1632" s="10">
        <v>182683</v>
      </c>
      <c r="B1632" s="11" t="s">
        <v>3030</v>
      </c>
    </row>
    <row r="1633" spans="1:2" x14ac:dyDescent="0.2">
      <c r="A1633" s="8">
        <v>182750</v>
      </c>
      <c r="B1633" s="1" t="s">
        <v>3030</v>
      </c>
    </row>
    <row r="1634" spans="1:2" x14ac:dyDescent="0.2">
      <c r="A1634" s="10">
        <v>182781</v>
      </c>
      <c r="B1634" s="11" t="s">
        <v>3030</v>
      </c>
    </row>
    <row r="1635" spans="1:2" x14ac:dyDescent="0.2">
      <c r="A1635" s="8">
        <v>182906</v>
      </c>
      <c r="B1635" s="1" t="s">
        <v>3030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Region vs Salse</vt:lpstr>
      <vt:lpstr>Ship Mode Vs Salse</vt:lpstr>
      <vt:lpstr>Product</vt:lpstr>
      <vt:lpstr>Month</vt:lpstr>
      <vt:lpstr>Customer name </vt:lpstr>
      <vt:lpstr>Orders</vt:lpstr>
      <vt:lpstr>Returns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2023-06-08T11:38:44Z</dcterms:created>
  <dcterms:modified xsi:type="dcterms:W3CDTF">2025-12-16T08:25:53Z</dcterms:modified>
  <cp:category/>
  <cp:contentStatus/>
</cp:coreProperties>
</file>